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pivotTables/pivotTable1.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1.2019 CEMEN\WAREHOUSE MANAGEMENT REPORT\"/>
    </mc:Choice>
  </mc:AlternateContent>
  <bookViews>
    <workbookView xWindow="0" yWindow="0" windowWidth="20490" windowHeight="7620" tabRatio="825" firstSheet="3" activeTab="6"/>
  </bookViews>
  <sheets>
    <sheet name="PERFORMANCE DASHBOARD" sheetId="5" r:id="rId1"/>
    <sheet name="DELIVER REPORT" sheetId="1" r:id="rId2"/>
    <sheet name="DELIVERY CHARGE SUMMARY" sheetId="4" r:id="rId3"/>
    <sheet name="WAREHOUSE MANAGEMENT CHARGE" sheetId="7" r:id="rId4"/>
    <sheet name="WH CHARGE SUMMARY" sheetId="10" r:id="rId5"/>
    <sheet name="DELIVERY SERVICE CHARGE" sheetId="13" r:id="rId6"/>
    <sheet name="DATA PICKING PACKING UNIT" sheetId="11" r:id="rId7"/>
    <sheet name="TABLE CHARGE RATE" sheetId="2" r:id="rId8"/>
    <sheet name="PivotTable" sheetId="6" r:id="rId9"/>
    <sheet name="SIZE CALCULATION" sheetId="8" r:id="rId10"/>
    <sheet name="INDEX" sheetId="3" r:id="rId11"/>
    <sheet name="Sheet2" sheetId="9" state="hidden" r:id="rId12"/>
  </sheets>
  <externalReferences>
    <externalReference r:id="rId13"/>
  </externalReferences>
  <definedNames>
    <definedName name="_xlnm._FilterDatabase" localSheetId="6" hidden="1">'DATA PICKING PACKING UNIT'!$A$1:$T$994</definedName>
    <definedName name="_xlnm._FilterDatabase" localSheetId="1" hidden="1">'DELIVER REPORT'!$A$1:$AT$986</definedName>
  </definedNames>
  <calcPr calcId="162913"/>
  <pivotCaches>
    <pivotCache cacheId="0" r:id="rId14"/>
    <pivotCache cacheId="1" r:id="rId15"/>
  </pivotCaches>
</workbook>
</file>

<file path=xl/calcChain.xml><?xml version="1.0" encoding="utf-8"?>
<calcChain xmlns="http://schemas.openxmlformats.org/spreadsheetml/2006/main">
  <c r="X10" i="1" l="1"/>
  <c r="X11" i="1"/>
  <c r="X12" i="1"/>
  <c r="AH2" i="1" l="1"/>
  <c r="S137" i="11" l="1"/>
  <c r="T137" i="11"/>
  <c r="S138" i="11"/>
  <c r="T138" i="11"/>
  <c r="X51" i="1" l="1"/>
  <c r="X52" i="1"/>
  <c r="X53" i="1"/>
  <c r="X54" i="1"/>
  <c r="X55" i="1"/>
  <c r="X56" i="1"/>
  <c r="S30" i="11" l="1"/>
  <c r="S31" i="11"/>
  <c r="S32" i="11"/>
  <c r="S33" i="11"/>
  <c r="S34" i="11"/>
  <c r="S35" i="11"/>
  <c r="S36" i="11"/>
  <c r="S37" i="11"/>
  <c r="S38" i="11"/>
  <c r="S39" i="11"/>
  <c r="S40" i="11"/>
  <c r="S41" i="11"/>
  <c r="S42" i="11"/>
  <c r="S43" i="11"/>
  <c r="S44" i="11"/>
  <c r="S45" i="11"/>
  <c r="X3" i="1" l="1"/>
  <c r="Y3" i="1"/>
  <c r="X4" i="1"/>
  <c r="Y4" i="1"/>
  <c r="AA4" i="1" s="1"/>
  <c r="X5" i="1"/>
  <c r="Y5" i="1"/>
  <c r="X6" i="1"/>
  <c r="Y6" i="1"/>
  <c r="AA6" i="1" s="1"/>
  <c r="X7" i="1"/>
  <c r="Y7" i="1"/>
  <c r="X8" i="1"/>
  <c r="Y8" i="1"/>
  <c r="AA8" i="1" s="1"/>
  <c r="X9" i="1"/>
  <c r="Y9" i="1"/>
  <c r="Y10" i="1"/>
  <c r="AA10" i="1" s="1"/>
  <c r="Y11" i="1"/>
  <c r="AA11" i="1" s="1"/>
  <c r="Y12" i="1"/>
  <c r="AA12" i="1" s="1"/>
  <c r="X13" i="1"/>
  <c r="Y13" i="1"/>
  <c r="AA13" i="1" s="1"/>
  <c r="X14" i="1"/>
  <c r="Y14" i="1"/>
  <c r="AA14" i="1" s="1"/>
  <c r="X15" i="1"/>
  <c r="Y15" i="1"/>
  <c r="AA15" i="1" s="1"/>
  <c r="X16" i="1"/>
  <c r="Y16" i="1"/>
  <c r="AA16" i="1" s="1"/>
  <c r="X17" i="1"/>
  <c r="Y17" i="1"/>
  <c r="AA17" i="1" s="1"/>
  <c r="X18" i="1"/>
  <c r="Y18" i="1"/>
  <c r="AA18" i="1" s="1"/>
  <c r="X19" i="1"/>
  <c r="Y19" i="1"/>
  <c r="AA19" i="1" s="1"/>
  <c r="X20" i="1"/>
  <c r="Y20" i="1"/>
  <c r="AA20" i="1" s="1"/>
  <c r="X21" i="1"/>
  <c r="Y21" i="1"/>
  <c r="AA21" i="1" s="1"/>
  <c r="X22" i="1"/>
  <c r="Y22" i="1"/>
  <c r="AA22" i="1" s="1"/>
  <c r="X23" i="1"/>
  <c r="Y23" i="1"/>
  <c r="AA23" i="1" s="1"/>
  <c r="X24" i="1"/>
  <c r="Y24" i="1"/>
  <c r="AA24" i="1" s="1"/>
  <c r="X25" i="1"/>
  <c r="Y25" i="1"/>
  <c r="X26" i="1"/>
  <c r="Y26" i="1"/>
  <c r="AA26" i="1" s="1"/>
  <c r="X27" i="1"/>
  <c r="Y27" i="1"/>
  <c r="X28" i="1"/>
  <c r="Y28" i="1"/>
  <c r="AA28" i="1" s="1"/>
  <c r="X29" i="1"/>
  <c r="Y29" i="1"/>
  <c r="AA29" i="1" s="1"/>
  <c r="X30" i="1"/>
  <c r="Y30" i="1"/>
  <c r="AA30" i="1" s="1"/>
  <c r="X31" i="1"/>
  <c r="Y31" i="1"/>
  <c r="AA31" i="1" s="1"/>
  <c r="X32" i="1"/>
  <c r="Y32" i="1"/>
  <c r="AA32" i="1" s="1"/>
  <c r="X33" i="1"/>
  <c r="Y33" i="1"/>
  <c r="AA33" i="1" s="1"/>
  <c r="X34" i="1"/>
  <c r="Y34" i="1"/>
  <c r="AA34" i="1" s="1"/>
  <c r="X35" i="1"/>
  <c r="Y35" i="1"/>
  <c r="AA35" i="1" s="1"/>
  <c r="X36" i="1"/>
  <c r="Y36" i="1"/>
  <c r="AA36" i="1" s="1"/>
  <c r="X37" i="1"/>
  <c r="Y37" i="1"/>
  <c r="X38" i="1"/>
  <c r="Y38" i="1"/>
  <c r="AA38" i="1" s="1"/>
  <c r="X39" i="1"/>
  <c r="Y39" i="1"/>
  <c r="X40" i="1"/>
  <c r="Y40" i="1"/>
  <c r="AA40" i="1" s="1"/>
  <c r="X41" i="1"/>
  <c r="Y41" i="1"/>
  <c r="AA41" i="1" s="1"/>
  <c r="X42" i="1"/>
  <c r="Y42" i="1"/>
  <c r="AA42" i="1" s="1"/>
  <c r="X43" i="1"/>
  <c r="Y43" i="1"/>
  <c r="AA43" i="1" s="1"/>
  <c r="X44" i="1"/>
  <c r="Y44" i="1"/>
  <c r="AA44" i="1" s="1"/>
  <c r="X45" i="1"/>
  <c r="Y45" i="1"/>
  <c r="AA45" i="1" s="1"/>
  <c r="X46" i="1"/>
  <c r="Y46" i="1"/>
  <c r="AA46" i="1" s="1"/>
  <c r="X47" i="1"/>
  <c r="Y47" i="1"/>
  <c r="X48" i="1"/>
  <c r="Y48" i="1"/>
  <c r="AA48" i="1" s="1"/>
  <c r="X49" i="1"/>
  <c r="Y49" i="1"/>
  <c r="AA49" i="1" s="1"/>
  <c r="X50" i="1"/>
  <c r="Y50" i="1"/>
  <c r="AA50" i="1" s="1"/>
  <c r="Y51" i="1"/>
  <c r="Y52" i="1"/>
  <c r="AA52" i="1" s="1"/>
  <c r="Y53" i="1"/>
  <c r="AA53" i="1" s="1"/>
  <c r="Y54" i="1"/>
  <c r="AA54" i="1" s="1"/>
  <c r="Y55" i="1"/>
  <c r="Y56" i="1"/>
  <c r="AA56" i="1" s="1"/>
  <c r="X57" i="1"/>
  <c r="Y57" i="1"/>
  <c r="AA57" i="1" s="1"/>
  <c r="X58" i="1"/>
  <c r="Y58" i="1"/>
  <c r="AA58" i="1" s="1"/>
  <c r="X59" i="1"/>
  <c r="Y59" i="1"/>
  <c r="AA59" i="1" s="1"/>
  <c r="X60" i="1"/>
  <c r="Y60" i="1"/>
  <c r="AA60" i="1" s="1"/>
  <c r="X61" i="1"/>
  <c r="Y61" i="1"/>
  <c r="AA61" i="1" s="1"/>
  <c r="X62" i="1"/>
  <c r="Y62" i="1"/>
  <c r="AA62" i="1" s="1"/>
  <c r="X63" i="1"/>
  <c r="Y63" i="1"/>
  <c r="AA63" i="1" s="1"/>
  <c r="X64" i="1"/>
  <c r="Y64" i="1"/>
  <c r="AA64" i="1" s="1"/>
  <c r="X65" i="1"/>
  <c r="Y65" i="1"/>
  <c r="AA65" i="1" s="1"/>
  <c r="X66" i="1"/>
  <c r="Y66" i="1"/>
  <c r="AA66" i="1" s="1"/>
  <c r="X67" i="1"/>
  <c r="Y67" i="1"/>
  <c r="AA67" i="1" s="1"/>
  <c r="X68" i="1"/>
  <c r="Y68" i="1"/>
  <c r="AA68" i="1" s="1"/>
  <c r="X69" i="1"/>
  <c r="Y69" i="1"/>
  <c r="AA69" i="1" s="1"/>
  <c r="X70" i="1"/>
  <c r="Y70" i="1"/>
  <c r="AA70" i="1" s="1"/>
  <c r="X71" i="1"/>
  <c r="Y71" i="1"/>
  <c r="AA71" i="1" s="1"/>
  <c r="X72" i="1"/>
  <c r="Y72" i="1"/>
  <c r="AA72" i="1" s="1"/>
  <c r="X73" i="1"/>
  <c r="Y73" i="1"/>
  <c r="AA73" i="1" s="1"/>
  <c r="X74" i="1"/>
  <c r="Y74" i="1"/>
  <c r="AA74" i="1" s="1"/>
  <c r="X75" i="1"/>
  <c r="Y75" i="1"/>
  <c r="AA75" i="1" s="1"/>
  <c r="X76" i="1"/>
  <c r="Y76" i="1"/>
  <c r="AA76" i="1" s="1"/>
  <c r="X77" i="1"/>
  <c r="Y77" i="1"/>
  <c r="AA77" i="1" s="1"/>
  <c r="X78" i="1"/>
  <c r="Y78" i="1"/>
  <c r="AA78" i="1" s="1"/>
  <c r="X79" i="1"/>
  <c r="Y79" i="1"/>
  <c r="AA79" i="1" s="1"/>
  <c r="X80" i="1"/>
  <c r="Y80" i="1"/>
  <c r="AA80" i="1" s="1"/>
  <c r="X81" i="1"/>
  <c r="Y81" i="1"/>
  <c r="AA81" i="1" s="1"/>
  <c r="X82" i="1"/>
  <c r="Y82" i="1"/>
  <c r="AA82" i="1" s="1"/>
  <c r="X83" i="1"/>
  <c r="Y83" i="1"/>
  <c r="AA83" i="1" s="1"/>
  <c r="X84" i="1"/>
  <c r="Y84" i="1"/>
  <c r="AA84" i="1" s="1"/>
  <c r="X85" i="1"/>
  <c r="Y85" i="1"/>
  <c r="AA85" i="1" s="1"/>
  <c r="X86" i="1"/>
  <c r="Y86" i="1"/>
  <c r="AA86" i="1" s="1"/>
  <c r="X87" i="1"/>
  <c r="Y87" i="1"/>
  <c r="AA87" i="1" s="1"/>
  <c r="X88" i="1"/>
  <c r="Y88" i="1"/>
  <c r="AA88" i="1" s="1"/>
  <c r="X89" i="1"/>
  <c r="Y89" i="1"/>
  <c r="AA89" i="1" s="1"/>
  <c r="X90" i="1"/>
  <c r="Y90" i="1"/>
  <c r="AA90" i="1" s="1"/>
  <c r="X91" i="1"/>
  <c r="Y91" i="1"/>
  <c r="AA91" i="1" s="1"/>
  <c r="X92" i="1"/>
  <c r="Y92" i="1"/>
  <c r="AA92" i="1" s="1"/>
  <c r="X93" i="1"/>
  <c r="Y93" i="1"/>
  <c r="AA93" i="1" s="1"/>
  <c r="X94" i="1"/>
  <c r="Y94" i="1"/>
  <c r="AA94" i="1" s="1"/>
  <c r="X95" i="1"/>
  <c r="Y95" i="1"/>
  <c r="AA95" i="1" s="1"/>
  <c r="X96" i="1"/>
  <c r="Y96" i="1"/>
  <c r="AA96" i="1" s="1"/>
  <c r="X97" i="1"/>
  <c r="Y97" i="1"/>
  <c r="AA97" i="1" s="1"/>
  <c r="X98" i="1"/>
  <c r="Y98" i="1"/>
  <c r="AA98" i="1" s="1"/>
  <c r="X99" i="1"/>
  <c r="Y99" i="1"/>
  <c r="AA99" i="1" s="1"/>
  <c r="X100" i="1"/>
  <c r="Y100" i="1"/>
  <c r="AA100" i="1" s="1"/>
  <c r="X101" i="1"/>
  <c r="Y101" i="1"/>
  <c r="AA101" i="1" s="1"/>
  <c r="X102" i="1"/>
  <c r="Y102" i="1"/>
  <c r="AA102" i="1" s="1"/>
  <c r="X103" i="1"/>
  <c r="Y103" i="1"/>
  <c r="AA103" i="1" s="1"/>
  <c r="X104" i="1"/>
  <c r="Y104" i="1"/>
  <c r="AA104" i="1" s="1"/>
  <c r="X105" i="1"/>
  <c r="Y105" i="1"/>
  <c r="AA105" i="1" s="1"/>
  <c r="X106" i="1"/>
  <c r="Y106" i="1"/>
  <c r="AA106" i="1" s="1"/>
  <c r="X107" i="1"/>
  <c r="Y107" i="1"/>
  <c r="AA107" i="1" s="1"/>
  <c r="X108" i="1"/>
  <c r="Y108" i="1"/>
  <c r="AA108" i="1" s="1"/>
  <c r="X109" i="1"/>
  <c r="Y109" i="1"/>
  <c r="AA109" i="1" s="1"/>
  <c r="X110" i="1"/>
  <c r="Y110" i="1"/>
  <c r="AA110" i="1" s="1"/>
  <c r="X111" i="1"/>
  <c r="Y111" i="1"/>
  <c r="AA111" i="1" s="1"/>
  <c r="X112" i="1"/>
  <c r="Y112" i="1"/>
  <c r="AA112" i="1" s="1"/>
  <c r="X113" i="1"/>
  <c r="Y113" i="1"/>
  <c r="AA113" i="1" s="1"/>
  <c r="X114" i="1"/>
  <c r="Y114" i="1"/>
  <c r="AA114" i="1" s="1"/>
  <c r="X115" i="1"/>
  <c r="Y115" i="1"/>
  <c r="AA115" i="1" s="1"/>
  <c r="X116" i="1"/>
  <c r="Y116" i="1"/>
  <c r="AA116" i="1" s="1"/>
  <c r="X117" i="1"/>
  <c r="Y117" i="1"/>
  <c r="AA117" i="1" s="1"/>
  <c r="X118" i="1"/>
  <c r="Y118" i="1"/>
  <c r="AA118" i="1" s="1"/>
  <c r="X119" i="1"/>
  <c r="Y119" i="1"/>
  <c r="AA119" i="1" s="1"/>
  <c r="X120" i="1"/>
  <c r="Y120" i="1"/>
  <c r="AA120" i="1" s="1"/>
  <c r="X121" i="1"/>
  <c r="Y121" i="1"/>
  <c r="AA121" i="1" s="1"/>
  <c r="X122" i="1"/>
  <c r="Y122" i="1"/>
  <c r="X123" i="1"/>
  <c r="Y123" i="1"/>
  <c r="AA123" i="1" s="1"/>
  <c r="X124" i="1"/>
  <c r="Y124" i="1"/>
  <c r="X125" i="1"/>
  <c r="Y125" i="1"/>
  <c r="AA125" i="1" s="1"/>
  <c r="X126" i="1"/>
  <c r="Y126" i="1"/>
  <c r="X127" i="1"/>
  <c r="Y127" i="1"/>
  <c r="X128" i="1"/>
  <c r="Y128" i="1"/>
  <c r="X129" i="1"/>
  <c r="Y129" i="1"/>
  <c r="X130" i="1"/>
  <c r="Y130" i="1"/>
  <c r="X131" i="1"/>
  <c r="Y131" i="1"/>
  <c r="X132" i="1"/>
  <c r="Y132" i="1"/>
  <c r="X133" i="1"/>
  <c r="Y133" i="1"/>
  <c r="X134" i="1"/>
  <c r="Y134" i="1"/>
  <c r="X135" i="1"/>
  <c r="Y135" i="1"/>
  <c r="X136" i="1"/>
  <c r="Y136" i="1"/>
  <c r="X137" i="1"/>
  <c r="Y137" i="1"/>
  <c r="X138" i="1"/>
  <c r="Y138" i="1"/>
  <c r="X139" i="1"/>
  <c r="Y139" i="1"/>
  <c r="X140" i="1"/>
  <c r="Y140" i="1"/>
  <c r="X141" i="1"/>
  <c r="Y141" i="1"/>
  <c r="X142" i="1"/>
  <c r="Y142" i="1"/>
  <c r="X143" i="1"/>
  <c r="Y143" i="1"/>
  <c r="X144" i="1"/>
  <c r="Y144" i="1"/>
  <c r="X145" i="1"/>
  <c r="Y145" i="1"/>
  <c r="X146" i="1"/>
  <c r="Y146" i="1"/>
  <c r="X147" i="1"/>
  <c r="Y147" i="1"/>
  <c r="X148" i="1"/>
  <c r="Y148" i="1"/>
  <c r="X149" i="1"/>
  <c r="Y149" i="1"/>
  <c r="X150" i="1"/>
  <c r="Y150" i="1"/>
  <c r="X151" i="1"/>
  <c r="Y151" i="1"/>
  <c r="X152" i="1"/>
  <c r="Y152" i="1"/>
  <c r="X153" i="1"/>
  <c r="Y153" i="1"/>
  <c r="X154" i="1"/>
  <c r="Y154" i="1"/>
  <c r="X155" i="1"/>
  <c r="Y155" i="1"/>
  <c r="X156" i="1"/>
  <c r="Y156" i="1"/>
  <c r="X157" i="1"/>
  <c r="Y157" i="1"/>
  <c r="X158" i="1"/>
  <c r="Y158" i="1"/>
  <c r="X159" i="1"/>
  <c r="Y159" i="1"/>
  <c r="X160" i="1"/>
  <c r="Y160" i="1"/>
  <c r="X161" i="1"/>
  <c r="Y161" i="1"/>
  <c r="X162" i="1"/>
  <c r="Y162" i="1"/>
  <c r="X163" i="1"/>
  <c r="Y163" i="1"/>
  <c r="X164" i="1"/>
  <c r="Y164" i="1"/>
  <c r="X165" i="1"/>
  <c r="Y165" i="1"/>
  <c r="X166" i="1"/>
  <c r="Y166" i="1"/>
  <c r="X167" i="1"/>
  <c r="Y167" i="1"/>
  <c r="X168" i="1"/>
  <c r="Y168" i="1"/>
  <c r="X169" i="1"/>
  <c r="Y169" i="1"/>
  <c r="X170" i="1"/>
  <c r="Y170" i="1"/>
  <c r="X171" i="1"/>
  <c r="Y171" i="1"/>
  <c r="X172" i="1"/>
  <c r="Y172" i="1"/>
  <c r="X173" i="1"/>
  <c r="Y173" i="1"/>
  <c r="X174" i="1"/>
  <c r="Y174" i="1"/>
  <c r="X175" i="1"/>
  <c r="Y175" i="1"/>
  <c r="X176" i="1"/>
  <c r="Y176" i="1"/>
  <c r="X177" i="1"/>
  <c r="Y177" i="1"/>
  <c r="X178" i="1"/>
  <c r="Y178" i="1"/>
  <c r="X179" i="1"/>
  <c r="Y179" i="1"/>
  <c r="X180" i="1"/>
  <c r="Y180" i="1"/>
  <c r="X181" i="1"/>
  <c r="Y181" i="1"/>
  <c r="X182" i="1"/>
  <c r="Y182" i="1"/>
  <c r="X183" i="1"/>
  <c r="Y183" i="1"/>
  <c r="X184" i="1"/>
  <c r="Y184" i="1"/>
  <c r="X185" i="1"/>
  <c r="Y185" i="1"/>
  <c r="X186" i="1"/>
  <c r="Y186" i="1"/>
  <c r="X187" i="1"/>
  <c r="Y187" i="1"/>
  <c r="X188" i="1"/>
  <c r="Y188" i="1"/>
  <c r="X189" i="1"/>
  <c r="Y189" i="1"/>
  <c r="X190" i="1"/>
  <c r="Y190" i="1"/>
  <c r="X191" i="1"/>
  <c r="Y191" i="1"/>
  <c r="X192" i="1"/>
  <c r="Y192" i="1"/>
  <c r="X193" i="1"/>
  <c r="Y193" i="1"/>
  <c r="X194" i="1"/>
  <c r="Y194" i="1"/>
  <c r="X195" i="1"/>
  <c r="Y195" i="1"/>
  <c r="X196" i="1"/>
  <c r="Y196" i="1"/>
  <c r="X197" i="1"/>
  <c r="Y197" i="1"/>
  <c r="X198" i="1"/>
  <c r="Y198" i="1"/>
  <c r="X199" i="1"/>
  <c r="Y199" i="1"/>
  <c r="X200" i="1"/>
  <c r="Y200" i="1"/>
  <c r="X201" i="1"/>
  <c r="Y201" i="1"/>
  <c r="X202" i="1"/>
  <c r="Y202" i="1"/>
  <c r="X203" i="1"/>
  <c r="Y203" i="1"/>
  <c r="X204" i="1"/>
  <c r="Y204" i="1"/>
  <c r="X205" i="1"/>
  <c r="Y205" i="1"/>
  <c r="X206" i="1"/>
  <c r="Y206" i="1"/>
  <c r="X207" i="1"/>
  <c r="Y207" i="1"/>
  <c r="X208" i="1"/>
  <c r="Y208" i="1"/>
  <c r="X209" i="1"/>
  <c r="Y209" i="1"/>
  <c r="X210" i="1"/>
  <c r="Y210" i="1"/>
  <c r="X211" i="1"/>
  <c r="Y211" i="1"/>
  <c r="X212" i="1"/>
  <c r="Y212" i="1"/>
  <c r="X213" i="1"/>
  <c r="Y213" i="1"/>
  <c r="X214" i="1"/>
  <c r="Y214" i="1"/>
  <c r="X215" i="1"/>
  <c r="Y215" i="1"/>
  <c r="X216" i="1"/>
  <c r="Y216" i="1"/>
  <c r="X217" i="1"/>
  <c r="Y217" i="1"/>
  <c r="X218" i="1"/>
  <c r="Y218" i="1"/>
  <c r="X219" i="1"/>
  <c r="Y219" i="1"/>
  <c r="X220" i="1"/>
  <c r="Y220" i="1"/>
  <c r="X221" i="1"/>
  <c r="Y221" i="1"/>
  <c r="X222" i="1"/>
  <c r="Y222" i="1"/>
  <c r="X223" i="1"/>
  <c r="Y223" i="1"/>
  <c r="X224" i="1"/>
  <c r="Y224" i="1"/>
  <c r="X225" i="1"/>
  <c r="Y225" i="1"/>
  <c r="X226" i="1"/>
  <c r="Y226" i="1"/>
  <c r="X227" i="1"/>
  <c r="Y227" i="1"/>
  <c r="X228" i="1"/>
  <c r="Y228" i="1"/>
  <c r="X229" i="1"/>
  <c r="Y229" i="1"/>
  <c r="X230" i="1"/>
  <c r="Y230" i="1"/>
  <c r="X231" i="1"/>
  <c r="Y231" i="1"/>
  <c r="X232" i="1"/>
  <c r="Y232" i="1"/>
  <c r="X233" i="1"/>
  <c r="Y233" i="1"/>
  <c r="X234" i="1"/>
  <c r="Y234" i="1"/>
  <c r="X235" i="1"/>
  <c r="Y235" i="1"/>
  <c r="X236" i="1"/>
  <c r="Y236" i="1"/>
  <c r="X237" i="1"/>
  <c r="Y237" i="1"/>
  <c r="X238" i="1"/>
  <c r="Y238" i="1"/>
  <c r="X239" i="1"/>
  <c r="Y239" i="1"/>
  <c r="X240" i="1"/>
  <c r="Y240" i="1"/>
  <c r="X241" i="1"/>
  <c r="Y241" i="1"/>
  <c r="X242" i="1"/>
  <c r="Y242" i="1"/>
  <c r="X243" i="1"/>
  <c r="Y243" i="1"/>
  <c r="X244" i="1"/>
  <c r="Y244" i="1"/>
  <c r="X245" i="1"/>
  <c r="Y245" i="1"/>
  <c r="X246" i="1"/>
  <c r="Y246" i="1"/>
  <c r="X247" i="1"/>
  <c r="Y247" i="1"/>
  <c r="X248" i="1"/>
  <c r="Y248" i="1"/>
  <c r="X249" i="1"/>
  <c r="Y249" i="1"/>
  <c r="X250" i="1"/>
  <c r="Y250" i="1"/>
  <c r="X251" i="1"/>
  <c r="Y251" i="1"/>
  <c r="X252" i="1"/>
  <c r="Y252" i="1"/>
  <c r="X253" i="1"/>
  <c r="Y253" i="1"/>
  <c r="X254" i="1"/>
  <c r="Y254" i="1"/>
  <c r="X255" i="1"/>
  <c r="Y255" i="1"/>
  <c r="X256" i="1"/>
  <c r="Y256" i="1"/>
  <c r="X257" i="1"/>
  <c r="Y257" i="1"/>
  <c r="X258" i="1"/>
  <c r="Y258" i="1"/>
  <c r="X259" i="1"/>
  <c r="Y259" i="1"/>
  <c r="X260" i="1"/>
  <c r="Y260" i="1"/>
  <c r="X261" i="1"/>
  <c r="Y261" i="1"/>
  <c r="X262" i="1"/>
  <c r="Y262" i="1"/>
  <c r="X263" i="1"/>
  <c r="Y263" i="1"/>
  <c r="X264" i="1"/>
  <c r="Y264" i="1"/>
  <c r="X265" i="1"/>
  <c r="Y265" i="1"/>
  <c r="X266" i="1"/>
  <c r="Y266" i="1"/>
  <c r="X267" i="1"/>
  <c r="Y267" i="1"/>
  <c r="X268" i="1"/>
  <c r="Y268" i="1"/>
  <c r="X269" i="1"/>
  <c r="Y269" i="1"/>
  <c r="X270" i="1"/>
  <c r="Y270" i="1"/>
  <c r="X271" i="1"/>
  <c r="Y271" i="1"/>
  <c r="X272" i="1"/>
  <c r="Y272" i="1"/>
  <c r="X273" i="1"/>
  <c r="Y273" i="1"/>
  <c r="X274" i="1"/>
  <c r="Y274" i="1"/>
  <c r="X275" i="1"/>
  <c r="Y275" i="1"/>
  <c r="X276" i="1"/>
  <c r="Y276" i="1"/>
  <c r="X277" i="1"/>
  <c r="Y277" i="1"/>
  <c r="X278" i="1"/>
  <c r="Y278" i="1"/>
  <c r="X279" i="1"/>
  <c r="Y279" i="1"/>
  <c r="X280" i="1"/>
  <c r="Y280" i="1"/>
  <c r="X281" i="1"/>
  <c r="Y281" i="1"/>
  <c r="X282" i="1"/>
  <c r="Y282" i="1"/>
  <c r="X283" i="1"/>
  <c r="Y283" i="1"/>
  <c r="X284" i="1"/>
  <c r="Y284" i="1"/>
  <c r="X285" i="1"/>
  <c r="Y285" i="1"/>
  <c r="X286" i="1"/>
  <c r="Y286" i="1"/>
  <c r="X287" i="1"/>
  <c r="Y287" i="1"/>
  <c r="X288" i="1"/>
  <c r="Y288" i="1"/>
  <c r="X289" i="1"/>
  <c r="Y289" i="1"/>
  <c r="X290" i="1"/>
  <c r="Y290" i="1"/>
  <c r="X291" i="1"/>
  <c r="Y291" i="1"/>
  <c r="X292" i="1"/>
  <c r="Y292" i="1"/>
  <c r="X293" i="1"/>
  <c r="Y293" i="1"/>
  <c r="X294" i="1"/>
  <c r="Y294" i="1"/>
  <c r="X295" i="1"/>
  <c r="Y295" i="1"/>
  <c r="X296" i="1"/>
  <c r="Y296" i="1"/>
  <c r="X297" i="1"/>
  <c r="Y297" i="1"/>
  <c r="X298" i="1"/>
  <c r="Y298" i="1"/>
  <c r="X299" i="1"/>
  <c r="Y299" i="1"/>
  <c r="X300" i="1"/>
  <c r="Y300" i="1"/>
  <c r="X301" i="1"/>
  <c r="Y301" i="1"/>
  <c r="X302" i="1"/>
  <c r="Y302" i="1"/>
  <c r="X303" i="1"/>
  <c r="Y303" i="1"/>
  <c r="X304" i="1"/>
  <c r="Y304" i="1"/>
  <c r="X305" i="1"/>
  <c r="Y305" i="1"/>
  <c r="X306" i="1"/>
  <c r="Y306" i="1"/>
  <c r="X307" i="1"/>
  <c r="Y307" i="1"/>
  <c r="X308" i="1"/>
  <c r="Y308" i="1"/>
  <c r="X309" i="1"/>
  <c r="Y309" i="1"/>
  <c r="X310" i="1"/>
  <c r="Y310" i="1"/>
  <c r="X311" i="1"/>
  <c r="Y311" i="1"/>
  <c r="X312" i="1"/>
  <c r="Y312" i="1"/>
  <c r="X313" i="1"/>
  <c r="Y313" i="1"/>
  <c r="X314" i="1"/>
  <c r="Y314" i="1"/>
  <c r="X315" i="1"/>
  <c r="Y315" i="1"/>
  <c r="X316" i="1"/>
  <c r="Y316" i="1"/>
  <c r="X317" i="1"/>
  <c r="Y317" i="1"/>
  <c r="X318" i="1"/>
  <c r="Y318" i="1"/>
  <c r="X319" i="1"/>
  <c r="Y319" i="1"/>
  <c r="X320" i="1"/>
  <c r="Y320" i="1"/>
  <c r="X321" i="1"/>
  <c r="Y321" i="1"/>
  <c r="X322" i="1"/>
  <c r="Y322" i="1"/>
  <c r="X323" i="1"/>
  <c r="Y323" i="1"/>
  <c r="X324" i="1"/>
  <c r="Y324" i="1"/>
  <c r="X325" i="1"/>
  <c r="Y325" i="1"/>
  <c r="X326" i="1"/>
  <c r="Y326" i="1"/>
  <c r="X327" i="1"/>
  <c r="Y327" i="1"/>
  <c r="X328" i="1"/>
  <c r="Y328" i="1"/>
  <c r="X329" i="1"/>
  <c r="Y329" i="1"/>
  <c r="X330" i="1"/>
  <c r="Y330" i="1"/>
  <c r="X331" i="1"/>
  <c r="Y331" i="1"/>
  <c r="X332" i="1"/>
  <c r="Y332" i="1"/>
  <c r="X333" i="1"/>
  <c r="Y333" i="1"/>
  <c r="X334" i="1"/>
  <c r="Y334" i="1"/>
  <c r="X335" i="1"/>
  <c r="Y335" i="1"/>
  <c r="X336" i="1"/>
  <c r="Y336" i="1"/>
  <c r="X337" i="1"/>
  <c r="Y337" i="1"/>
  <c r="X338" i="1"/>
  <c r="Y338" i="1"/>
  <c r="X339" i="1"/>
  <c r="Y339" i="1"/>
  <c r="X340" i="1"/>
  <c r="Y340" i="1"/>
  <c r="X341" i="1"/>
  <c r="Y341" i="1"/>
  <c r="X342" i="1"/>
  <c r="Y342" i="1"/>
  <c r="X343" i="1"/>
  <c r="Y343" i="1"/>
  <c r="X344" i="1"/>
  <c r="Y344" i="1"/>
  <c r="X345" i="1"/>
  <c r="Y345" i="1"/>
  <c r="X346" i="1"/>
  <c r="Y346" i="1"/>
  <c r="X347" i="1"/>
  <c r="Y347" i="1"/>
  <c r="X348" i="1"/>
  <c r="Y348" i="1"/>
  <c r="X349" i="1"/>
  <c r="Y349" i="1"/>
  <c r="X350" i="1"/>
  <c r="Y350" i="1"/>
  <c r="X351" i="1"/>
  <c r="Y351" i="1"/>
  <c r="X352" i="1"/>
  <c r="Y352" i="1"/>
  <c r="X353" i="1"/>
  <c r="Y353" i="1"/>
  <c r="X354" i="1"/>
  <c r="Y354" i="1"/>
  <c r="X355" i="1"/>
  <c r="Y355" i="1"/>
  <c r="X356" i="1"/>
  <c r="Y356" i="1"/>
  <c r="X357" i="1"/>
  <c r="Y357" i="1"/>
  <c r="X358" i="1"/>
  <c r="Y358" i="1"/>
  <c r="X359" i="1"/>
  <c r="Y359" i="1"/>
  <c r="X360" i="1"/>
  <c r="Y360" i="1"/>
  <c r="X361" i="1"/>
  <c r="Y361" i="1"/>
  <c r="X362" i="1"/>
  <c r="Y362" i="1"/>
  <c r="X363" i="1"/>
  <c r="Y363" i="1"/>
  <c r="X364" i="1"/>
  <c r="Y364" i="1"/>
  <c r="X365" i="1"/>
  <c r="Y365" i="1"/>
  <c r="X366" i="1"/>
  <c r="Y366" i="1"/>
  <c r="X367" i="1"/>
  <c r="Y367" i="1"/>
  <c r="X368" i="1"/>
  <c r="Y368" i="1"/>
  <c r="X369" i="1"/>
  <c r="Y369" i="1"/>
  <c r="X370" i="1"/>
  <c r="Y370" i="1"/>
  <c r="X371" i="1"/>
  <c r="Y371" i="1"/>
  <c r="X372" i="1"/>
  <c r="Y372" i="1"/>
  <c r="X373" i="1"/>
  <c r="Y373" i="1"/>
  <c r="X374" i="1"/>
  <c r="Y374" i="1"/>
  <c r="X375" i="1"/>
  <c r="Y375" i="1"/>
  <c r="X376" i="1"/>
  <c r="Y376" i="1"/>
  <c r="X377" i="1"/>
  <c r="Y377" i="1"/>
  <c r="X378" i="1"/>
  <c r="Y378" i="1"/>
  <c r="X379" i="1"/>
  <c r="Y379" i="1"/>
  <c r="X380" i="1"/>
  <c r="Y380" i="1"/>
  <c r="X381" i="1"/>
  <c r="Y381" i="1"/>
  <c r="X382" i="1"/>
  <c r="Y382" i="1"/>
  <c r="X383" i="1"/>
  <c r="Y383" i="1"/>
  <c r="X384" i="1"/>
  <c r="Y384" i="1"/>
  <c r="X385" i="1"/>
  <c r="Y385" i="1"/>
  <c r="X386" i="1"/>
  <c r="Y386" i="1"/>
  <c r="X387" i="1"/>
  <c r="Y387" i="1"/>
  <c r="X388" i="1"/>
  <c r="Y388" i="1"/>
  <c r="X389" i="1"/>
  <c r="Y389" i="1"/>
  <c r="X390" i="1"/>
  <c r="Y390" i="1"/>
  <c r="X391" i="1"/>
  <c r="Y391" i="1"/>
  <c r="X392" i="1"/>
  <c r="Y392" i="1"/>
  <c r="X393" i="1"/>
  <c r="Y393" i="1"/>
  <c r="X394" i="1"/>
  <c r="Y394" i="1"/>
  <c r="X395" i="1"/>
  <c r="Y395" i="1"/>
  <c r="X396" i="1"/>
  <c r="Y396" i="1"/>
  <c r="X397" i="1"/>
  <c r="Y397" i="1"/>
  <c r="X398" i="1"/>
  <c r="Y398" i="1"/>
  <c r="X399" i="1"/>
  <c r="Y399" i="1"/>
  <c r="X400" i="1"/>
  <c r="Y400" i="1"/>
  <c r="X401" i="1"/>
  <c r="Y401" i="1"/>
  <c r="X402" i="1"/>
  <c r="Y402" i="1"/>
  <c r="X403" i="1"/>
  <c r="Y403" i="1"/>
  <c r="X404" i="1"/>
  <c r="Y404" i="1"/>
  <c r="X405" i="1"/>
  <c r="Y405" i="1"/>
  <c r="X406" i="1"/>
  <c r="Y406" i="1"/>
  <c r="X407" i="1"/>
  <c r="Y407" i="1"/>
  <c r="X408" i="1"/>
  <c r="Y408" i="1"/>
  <c r="X409" i="1"/>
  <c r="Y409" i="1"/>
  <c r="X410" i="1"/>
  <c r="Y410" i="1"/>
  <c r="X411" i="1"/>
  <c r="Y411" i="1"/>
  <c r="X412" i="1"/>
  <c r="Y412" i="1"/>
  <c r="X413" i="1"/>
  <c r="Y413" i="1"/>
  <c r="X414" i="1"/>
  <c r="Y414" i="1"/>
  <c r="X415" i="1"/>
  <c r="Y415" i="1"/>
  <c r="X416" i="1"/>
  <c r="Y416" i="1"/>
  <c r="X417" i="1"/>
  <c r="Y417" i="1"/>
  <c r="X418" i="1"/>
  <c r="Y418" i="1"/>
  <c r="X419" i="1"/>
  <c r="Y419" i="1"/>
  <c r="X420" i="1"/>
  <c r="Y420" i="1"/>
  <c r="X421" i="1"/>
  <c r="Y421" i="1"/>
  <c r="X422" i="1"/>
  <c r="Y422" i="1"/>
  <c r="X423" i="1"/>
  <c r="Y423" i="1"/>
  <c r="X424" i="1"/>
  <c r="Y424" i="1"/>
  <c r="X425" i="1"/>
  <c r="Y425" i="1"/>
  <c r="X426" i="1"/>
  <c r="Y426" i="1"/>
  <c r="X427" i="1"/>
  <c r="Y427" i="1"/>
  <c r="X428" i="1"/>
  <c r="Y428" i="1"/>
  <c r="X429" i="1"/>
  <c r="Y429" i="1"/>
  <c r="X430" i="1"/>
  <c r="Y430" i="1"/>
  <c r="X431" i="1"/>
  <c r="Y431" i="1"/>
  <c r="X432" i="1"/>
  <c r="Y432" i="1"/>
  <c r="X433" i="1"/>
  <c r="Y433" i="1"/>
  <c r="X434" i="1"/>
  <c r="Y434" i="1"/>
  <c r="X435" i="1"/>
  <c r="Y435" i="1"/>
  <c r="X436" i="1"/>
  <c r="Y436" i="1"/>
  <c r="X437" i="1"/>
  <c r="Y437" i="1"/>
  <c r="X438" i="1"/>
  <c r="Y438" i="1"/>
  <c r="X439" i="1"/>
  <c r="Y439" i="1"/>
  <c r="AA37" i="1"/>
  <c r="AA39" i="1"/>
  <c r="AA47" i="1"/>
  <c r="AA51" i="1"/>
  <c r="AA55" i="1"/>
  <c r="AA122" i="1"/>
  <c r="AA124" i="1"/>
  <c r="AA126" i="1"/>
  <c r="AA127" i="1"/>
  <c r="AA128" i="1"/>
  <c r="AA129" i="1"/>
  <c r="AA130" i="1"/>
  <c r="AA131" i="1"/>
  <c r="AA132" i="1"/>
  <c r="AA133" i="1"/>
  <c r="AA134" i="1"/>
  <c r="AA135" i="1"/>
  <c r="AA136" i="1"/>
  <c r="AA137" i="1"/>
  <c r="AA138" i="1"/>
  <c r="AA139" i="1"/>
  <c r="AA140" i="1"/>
  <c r="AA141" i="1"/>
  <c r="AA142" i="1"/>
  <c r="AA143" i="1"/>
  <c r="AA144" i="1"/>
  <c r="AA145" i="1"/>
  <c r="AA146" i="1"/>
  <c r="AA147" i="1"/>
  <c r="AA148" i="1"/>
  <c r="AA149" i="1"/>
  <c r="AA150" i="1"/>
  <c r="AA151" i="1"/>
  <c r="AA152" i="1"/>
  <c r="AA153" i="1"/>
  <c r="AA154" i="1"/>
  <c r="AA155" i="1"/>
  <c r="AA156" i="1"/>
  <c r="AA157" i="1"/>
  <c r="AA158" i="1"/>
  <c r="AA159" i="1"/>
  <c r="AA160" i="1"/>
  <c r="AA161" i="1"/>
  <c r="AA162" i="1"/>
  <c r="AA163" i="1"/>
  <c r="AA164" i="1"/>
  <c r="AA165" i="1"/>
  <c r="AA166" i="1"/>
  <c r="AA167" i="1"/>
  <c r="AA168" i="1"/>
  <c r="AA169" i="1"/>
  <c r="AA170" i="1"/>
  <c r="AA171" i="1"/>
  <c r="AA172" i="1"/>
  <c r="AA173" i="1"/>
  <c r="AA174" i="1"/>
  <c r="AA175" i="1"/>
  <c r="AA176" i="1"/>
  <c r="AA177" i="1"/>
  <c r="AA178" i="1"/>
  <c r="AA179" i="1"/>
  <c r="AA180" i="1"/>
  <c r="AA181" i="1"/>
  <c r="AA182" i="1"/>
  <c r="AA183" i="1"/>
  <c r="AA184" i="1"/>
  <c r="AA185" i="1"/>
  <c r="AA186" i="1"/>
  <c r="AA187" i="1"/>
  <c r="AA188" i="1"/>
  <c r="AA189" i="1"/>
  <c r="AA190" i="1"/>
  <c r="AA191" i="1"/>
  <c r="AA192" i="1"/>
  <c r="AA193" i="1"/>
  <c r="AA194" i="1"/>
  <c r="AA195" i="1"/>
  <c r="AA196" i="1"/>
  <c r="AA197" i="1"/>
  <c r="AA198" i="1"/>
  <c r="AA199" i="1"/>
  <c r="AA200" i="1"/>
  <c r="AA201" i="1"/>
  <c r="AA202" i="1"/>
  <c r="AA203" i="1"/>
  <c r="AA204" i="1"/>
  <c r="AA205" i="1"/>
  <c r="AA206" i="1"/>
  <c r="AA207" i="1"/>
  <c r="AA208" i="1"/>
  <c r="AA209" i="1"/>
  <c r="AA210" i="1"/>
  <c r="AA211" i="1"/>
  <c r="AA212" i="1"/>
  <c r="AA213" i="1"/>
  <c r="AA214" i="1"/>
  <c r="AA215" i="1"/>
  <c r="AA216" i="1"/>
  <c r="AA217" i="1"/>
  <c r="AA218" i="1"/>
  <c r="AA219" i="1"/>
  <c r="AA220" i="1"/>
  <c r="AA221" i="1"/>
  <c r="AA222" i="1"/>
  <c r="AA223" i="1"/>
  <c r="AA224" i="1"/>
  <c r="AA225" i="1"/>
  <c r="AA226" i="1"/>
  <c r="AA227" i="1"/>
  <c r="AA228" i="1"/>
  <c r="AA229" i="1"/>
  <c r="AA230" i="1"/>
  <c r="AA231" i="1"/>
  <c r="AA232" i="1"/>
  <c r="AA233" i="1"/>
  <c r="AA234" i="1"/>
  <c r="AA235" i="1"/>
  <c r="AA236" i="1"/>
  <c r="AA237" i="1"/>
  <c r="AA238" i="1"/>
  <c r="AA239" i="1"/>
  <c r="AA240" i="1"/>
  <c r="AA241" i="1"/>
  <c r="AA242" i="1"/>
  <c r="AA243" i="1"/>
  <c r="AA244" i="1"/>
  <c r="AA245" i="1"/>
  <c r="AA246" i="1"/>
  <c r="AA247" i="1"/>
  <c r="AA248" i="1"/>
  <c r="AA249" i="1"/>
  <c r="AA250" i="1"/>
  <c r="AA251" i="1"/>
  <c r="AA252" i="1"/>
  <c r="AA253" i="1"/>
  <c r="AA254" i="1"/>
  <c r="AA255" i="1"/>
  <c r="AA256" i="1"/>
  <c r="AA257" i="1"/>
  <c r="AA258" i="1"/>
  <c r="AA259" i="1"/>
  <c r="AA260" i="1"/>
  <c r="AA261" i="1"/>
  <c r="AA262" i="1"/>
  <c r="AA263" i="1"/>
  <c r="AA264" i="1"/>
  <c r="AA265" i="1"/>
  <c r="AA266" i="1"/>
  <c r="AA267" i="1"/>
  <c r="AA268" i="1"/>
  <c r="AA269" i="1"/>
  <c r="AA270" i="1"/>
  <c r="AA271" i="1"/>
  <c r="AA272" i="1"/>
  <c r="AA273" i="1"/>
  <c r="AA274" i="1"/>
  <c r="AA275" i="1"/>
  <c r="AA276" i="1"/>
  <c r="AA277" i="1"/>
  <c r="AA278" i="1"/>
  <c r="AA279" i="1"/>
  <c r="AA280" i="1"/>
  <c r="AA281" i="1"/>
  <c r="AA282" i="1"/>
  <c r="AA283" i="1"/>
  <c r="AA284" i="1"/>
  <c r="AA285" i="1"/>
  <c r="AA286" i="1"/>
  <c r="AA287" i="1"/>
  <c r="AA288" i="1"/>
  <c r="AA289" i="1"/>
  <c r="AA290" i="1"/>
  <c r="AA291" i="1"/>
  <c r="AA292" i="1"/>
  <c r="AA293" i="1"/>
  <c r="AA294" i="1"/>
  <c r="AA295" i="1"/>
  <c r="AA296" i="1"/>
  <c r="AA297" i="1"/>
  <c r="AA298" i="1"/>
  <c r="AA299" i="1"/>
  <c r="AA300" i="1"/>
  <c r="AA301" i="1"/>
  <c r="AA302" i="1"/>
  <c r="AA303" i="1"/>
  <c r="AA304" i="1"/>
  <c r="AA305" i="1"/>
  <c r="AA306" i="1"/>
  <c r="AA307" i="1"/>
  <c r="AA308" i="1"/>
  <c r="AA309" i="1"/>
  <c r="AA310" i="1"/>
  <c r="AA311" i="1"/>
  <c r="AA312" i="1"/>
  <c r="AA313" i="1"/>
  <c r="AA314" i="1"/>
  <c r="AA315" i="1"/>
  <c r="AA316" i="1"/>
  <c r="AA317" i="1"/>
  <c r="AA318" i="1"/>
  <c r="AA319" i="1"/>
  <c r="AA320" i="1"/>
  <c r="AA321" i="1"/>
  <c r="AA322" i="1"/>
  <c r="AA323" i="1"/>
  <c r="AA324" i="1"/>
  <c r="AA325" i="1"/>
  <c r="AA326" i="1"/>
  <c r="AA327" i="1"/>
  <c r="AA328" i="1"/>
  <c r="AA329" i="1"/>
  <c r="AA330" i="1"/>
  <c r="AA331" i="1"/>
  <c r="AA332" i="1"/>
  <c r="AA333" i="1"/>
  <c r="AA334" i="1"/>
  <c r="AA335" i="1"/>
  <c r="AA336" i="1"/>
  <c r="AA337" i="1"/>
  <c r="AA338" i="1"/>
  <c r="AA339" i="1"/>
  <c r="AA340" i="1"/>
  <c r="AA341" i="1"/>
  <c r="AA342" i="1"/>
  <c r="AA343" i="1"/>
  <c r="AA344" i="1"/>
  <c r="AA345" i="1"/>
  <c r="AA346" i="1"/>
  <c r="AA347" i="1"/>
  <c r="AA348" i="1"/>
  <c r="AA349" i="1"/>
  <c r="AA3" i="1"/>
  <c r="AA5" i="1"/>
  <c r="AA7" i="1"/>
  <c r="AA9" i="1"/>
  <c r="AA25" i="1"/>
  <c r="AA27" i="1"/>
  <c r="Y2" i="1" l="1"/>
  <c r="AA2" i="1" s="1"/>
  <c r="X2" i="1"/>
  <c r="H29" i="10" l="1"/>
  <c r="H31" i="10"/>
  <c r="H30" i="10"/>
  <c r="S16" i="11" l="1"/>
  <c r="S17" i="11"/>
  <c r="S18" i="11"/>
  <c r="S19" i="11"/>
  <c r="S20" i="11"/>
  <c r="S21" i="11"/>
  <c r="S22" i="11"/>
  <c r="S23" i="11"/>
  <c r="S24" i="11"/>
  <c r="S25" i="11"/>
  <c r="S26" i="11"/>
  <c r="S27" i="11"/>
  <c r="S28" i="11"/>
  <c r="S29" i="11"/>
  <c r="S46" i="11"/>
  <c r="S47" i="11"/>
  <c r="S48" i="11"/>
  <c r="S49" i="11"/>
  <c r="S50" i="11"/>
  <c r="S51" i="11"/>
  <c r="S52" i="11"/>
  <c r="S53" i="11"/>
  <c r="S54" i="11"/>
  <c r="S55" i="11"/>
  <c r="S56" i="11"/>
  <c r="S57" i="11"/>
  <c r="S58" i="11"/>
  <c r="S59" i="11"/>
  <c r="S60" i="11"/>
  <c r="S61" i="11"/>
  <c r="S62" i="11"/>
  <c r="S63" i="11"/>
  <c r="S64" i="11"/>
  <c r="S65" i="11"/>
  <c r="S66" i="11"/>
  <c r="S67" i="11"/>
  <c r="S68" i="11"/>
  <c r="S69" i="11"/>
  <c r="S70" i="11"/>
  <c r="S71" i="11"/>
  <c r="S72" i="11"/>
  <c r="S73" i="11"/>
  <c r="S74" i="11"/>
  <c r="S75" i="11"/>
  <c r="S76" i="11"/>
  <c r="S77" i="11"/>
  <c r="S78" i="11"/>
  <c r="S79" i="11"/>
  <c r="S80" i="11"/>
  <c r="S81" i="11"/>
  <c r="S82" i="11"/>
  <c r="S83" i="11"/>
  <c r="S84" i="11"/>
  <c r="S85" i="11"/>
  <c r="S86" i="11"/>
  <c r="S87" i="11"/>
  <c r="S88" i="11"/>
  <c r="S89" i="11"/>
  <c r="S90" i="11"/>
  <c r="S91" i="11"/>
  <c r="S92" i="11"/>
  <c r="S93" i="11"/>
  <c r="S94" i="11"/>
  <c r="S95" i="11"/>
  <c r="S96" i="11"/>
  <c r="S97" i="11"/>
  <c r="S98" i="11"/>
  <c r="S99" i="11"/>
  <c r="S100" i="11"/>
  <c r="S101" i="11"/>
  <c r="S102" i="11"/>
  <c r="S103" i="11"/>
  <c r="S104" i="11"/>
  <c r="S105" i="11"/>
  <c r="S106" i="11"/>
  <c r="S107" i="11"/>
  <c r="S108" i="11"/>
  <c r="S109" i="11"/>
  <c r="S110" i="11"/>
  <c r="S111" i="11"/>
  <c r="S112" i="11"/>
  <c r="S113" i="11"/>
  <c r="S114" i="11"/>
  <c r="S115" i="11"/>
  <c r="S116" i="11"/>
  <c r="S117" i="11"/>
  <c r="S118" i="11"/>
  <c r="S119" i="11"/>
  <c r="S120" i="11"/>
  <c r="S121" i="11"/>
  <c r="S122" i="11"/>
  <c r="S123" i="11"/>
  <c r="S124" i="11"/>
  <c r="S125" i="11"/>
  <c r="S126" i="11"/>
  <c r="S127" i="11"/>
  <c r="S128" i="11"/>
  <c r="S129" i="11"/>
  <c r="S130" i="11"/>
  <c r="S131" i="11"/>
  <c r="S132" i="11"/>
  <c r="S133" i="11"/>
  <c r="S134" i="11"/>
  <c r="S135" i="11"/>
  <c r="S136" i="11"/>
  <c r="S139" i="11"/>
  <c r="S140" i="11"/>
  <c r="S141" i="11"/>
  <c r="S142" i="11"/>
  <c r="S143" i="11"/>
  <c r="S144" i="11"/>
  <c r="S145" i="11"/>
  <c r="S146" i="11"/>
  <c r="S147" i="11"/>
  <c r="S148" i="11"/>
  <c r="S149" i="11"/>
  <c r="S150" i="11"/>
  <c r="S151" i="11"/>
  <c r="S152" i="11"/>
  <c r="S153" i="11"/>
  <c r="S154" i="11"/>
  <c r="S155" i="11"/>
  <c r="S156" i="11"/>
  <c r="S157" i="11"/>
  <c r="S158" i="11"/>
  <c r="S159" i="11"/>
  <c r="S160" i="11"/>
  <c r="S161" i="11"/>
  <c r="S162" i="11"/>
  <c r="S163" i="11"/>
  <c r="S164" i="11"/>
  <c r="S165" i="11"/>
  <c r="S166" i="11"/>
  <c r="S167" i="11"/>
  <c r="S168" i="11"/>
  <c r="S169" i="11"/>
  <c r="S170" i="11"/>
  <c r="S171" i="11"/>
  <c r="S172" i="11"/>
  <c r="S173" i="11"/>
  <c r="S174" i="11"/>
  <c r="S175" i="11"/>
  <c r="S176" i="11"/>
  <c r="S177" i="11"/>
  <c r="S178" i="11"/>
  <c r="S179" i="11"/>
  <c r="S180" i="11"/>
  <c r="S181" i="11"/>
  <c r="S182" i="11"/>
  <c r="S183" i="11"/>
  <c r="S184" i="11"/>
  <c r="S185" i="11"/>
  <c r="S186" i="11"/>
  <c r="S187" i="11"/>
  <c r="S188" i="11"/>
  <c r="S189" i="11"/>
  <c r="S190" i="11"/>
  <c r="S191" i="11"/>
  <c r="S192" i="11"/>
  <c r="S193" i="11"/>
  <c r="S194" i="11"/>
  <c r="S195" i="11"/>
  <c r="S196" i="11"/>
  <c r="S197" i="11"/>
  <c r="S198" i="11"/>
  <c r="S199" i="11"/>
  <c r="S200" i="11"/>
  <c r="S201" i="11"/>
  <c r="S202" i="11"/>
  <c r="S203" i="11"/>
  <c r="S204" i="11"/>
  <c r="S205" i="11"/>
  <c r="S206" i="11"/>
  <c r="S207" i="11"/>
  <c r="S208" i="11"/>
  <c r="S209" i="11"/>
  <c r="S210" i="11"/>
  <c r="S211" i="11"/>
  <c r="S212" i="11"/>
  <c r="S213" i="11"/>
  <c r="S214" i="11"/>
  <c r="S215" i="11"/>
  <c r="S216" i="11"/>
  <c r="S217" i="11"/>
  <c r="S218" i="11"/>
  <c r="S219" i="11"/>
  <c r="S220" i="11"/>
  <c r="S221" i="11"/>
  <c r="S222" i="11"/>
  <c r="S223" i="11"/>
  <c r="S224" i="11"/>
  <c r="S225" i="11"/>
  <c r="S226" i="11"/>
  <c r="S227" i="11"/>
  <c r="S228" i="11"/>
  <c r="S229" i="11"/>
  <c r="S230" i="11"/>
  <c r="S231" i="11"/>
  <c r="S232" i="11"/>
  <c r="S233" i="11"/>
  <c r="S234" i="11"/>
  <c r="S235" i="11"/>
  <c r="S236" i="11"/>
  <c r="S237" i="11"/>
  <c r="S238" i="11"/>
  <c r="S239" i="11"/>
  <c r="S240" i="11"/>
  <c r="S241" i="11"/>
  <c r="S242" i="11"/>
  <c r="S243" i="11"/>
  <c r="S244" i="11"/>
  <c r="S245" i="11"/>
  <c r="S246" i="11"/>
  <c r="S247" i="11"/>
  <c r="S248" i="11"/>
  <c r="S249" i="11"/>
  <c r="S250" i="11"/>
  <c r="S251" i="11"/>
  <c r="S252" i="11"/>
  <c r="S253" i="11"/>
  <c r="S254" i="11"/>
  <c r="S255" i="11"/>
  <c r="S256" i="11"/>
  <c r="S257" i="11"/>
  <c r="S258" i="11"/>
  <c r="S259" i="11"/>
  <c r="S260" i="11"/>
  <c r="S261" i="11"/>
  <c r="S262" i="11"/>
  <c r="S263" i="11"/>
  <c r="S264" i="11"/>
  <c r="S265" i="11"/>
  <c r="S266" i="11"/>
  <c r="S267" i="11"/>
  <c r="S268" i="11"/>
  <c r="S269" i="11"/>
  <c r="S270" i="11"/>
  <c r="S271" i="11"/>
  <c r="S272" i="11"/>
  <c r="S273" i="11"/>
  <c r="S274" i="11"/>
  <c r="S275" i="11"/>
  <c r="S276" i="11"/>
  <c r="S277" i="11"/>
  <c r="S278" i="11"/>
  <c r="S279" i="11"/>
  <c r="S280" i="11"/>
  <c r="S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332" i="11"/>
  <c r="S333" i="11"/>
  <c r="S334" i="11"/>
  <c r="S335" i="11"/>
  <c r="S336" i="11"/>
  <c r="S337" i="11"/>
  <c r="S338" i="11"/>
  <c r="S339" i="11"/>
  <c r="S340" i="11"/>
  <c r="S341" i="11"/>
  <c r="S342" i="11"/>
  <c r="S343" i="11"/>
  <c r="S344" i="11"/>
  <c r="S345" i="11"/>
  <c r="S346" i="11"/>
  <c r="S347" i="11"/>
  <c r="S348" i="11"/>
  <c r="S349" i="11"/>
  <c r="S350" i="11"/>
  <c r="S351" i="11"/>
  <c r="S352" i="11"/>
  <c r="S353" i="11"/>
  <c r="S354" i="11"/>
  <c r="S355" i="11"/>
  <c r="S356" i="11"/>
  <c r="S357" i="11"/>
  <c r="S358" i="11"/>
  <c r="S359" i="11"/>
  <c r="S360" i="11"/>
  <c r="S361" i="11"/>
  <c r="S362" i="11"/>
  <c r="S363" i="11"/>
  <c r="S364" i="11"/>
  <c r="S365" i="11"/>
  <c r="S366" i="11"/>
  <c r="S367" i="11"/>
  <c r="S368" i="11"/>
  <c r="S369" i="11"/>
  <c r="S370" i="11"/>
  <c r="S371" i="11"/>
  <c r="S372" i="11"/>
  <c r="S373" i="11"/>
  <c r="S374" i="11"/>
  <c r="S375" i="11"/>
  <c r="S376" i="11"/>
  <c r="S377" i="11"/>
  <c r="S378" i="11"/>
  <c r="S379" i="11"/>
  <c r="S380" i="11"/>
  <c r="S381" i="11"/>
  <c r="S382" i="11"/>
  <c r="S383" i="11"/>
  <c r="S384" i="11"/>
  <c r="S385" i="11"/>
  <c r="S386" i="11"/>
  <c r="S387" i="11"/>
  <c r="S388" i="11"/>
  <c r="S389" i="11"/>
  <c r="S390" i="11"/>
  <c r="S391" i="11"/>
  <c r="S392" i="11"/>
  <c r="S393" i="11"/>
  <c r="S394" i="11"/>
  <c r="S395" i="11"/>
  <c r="S396" i="11"/>
  <c r="S397" i="11"/>
  <c r="S398" i="11"/>
  <c r="S399" i="11"/>
  <c r="S400" i="11"/>
  <c r="S401" i="11"/>
  <c r="S402" i="11"/>
  <c r="S403" i="11"/>
  <c r="S404" i="11"/>
  <c r="S405" i="11"/>
  <c r="S406" i="11"/>
  <c r="S407" i="11"/>
  <c r="S408" i="11"/>
  <c r="S409" i="11"/>
  <c r="S410" i="11"/>
  <c r="S411" i="11"/>
  <c r="S412" i="11"/>
  <c r="S413" i="11"/>
  <c r="S414" i="11"/>
  <c r="S415" i="11"/>
  <c r="S416" i="11"/>
  <c r="S417" i="11"/>
  <c r="S418" i="11"/>
  <c r="S419" i="11"/>
  <c r="S420" i="11"/>
  <c r="S421" i="11"/>
  <c r="S422" i="11"/>
  <c r="S423" i="11"/>
  <c r="S424" i="11"/>
  <c r="S425" i="11"/>
  <c r="S426" i="11"/>
  <c r="S427" i="11"/>
  <c r="S428" i="11"/>
  <c r="S429" i="11"/>
  <c r="S430" i="11"/>
  <c r="S431" i="11"/>
  <c r="S432" i="11"/>
  <c r="S433" i="11"/>
  <c r="S434" i="11"/>
  <c r="S435" i="11"/>
  <c r="S436" i="11"/>
  <c r="S437" i="11"/>
  <c r="S438" i="11"/>
  <c r="S439" i="11"/>
  <c r="S440" i="11"/>
  <c r="S441" i="11"/>
  <c r="S442" i="11"/>
  <c r="S443" i="11"/>
  <c r="S444" i="11"/>
  <c r="S445" i="11"/>
  <c r="S446" i="11"/>
  <c r="S447" i="11"/>
  <c r="S448" i="11"/>
  <c r="S449" i="11"/>
  <c r="S450" i="11"/>
  <c r="S451" i="11"/>
  <c r="S452" i="11"/>
  <c r="S453" i="11"/>
  <c r="S454" i="11"/>
  <c r="S455" i="11"/>
  <c r="S456" i="11"/>
  <c r="S457" i="11"/>
  <c r="S458" i="11"/>
  <c r="S459" i="11"/>
  <c r="S460" i="11"/>
  <c r="S461" i="11"/>
  <c r="S462" i="11"/>
  <c r="S463" i="11"/>
  <c r="S464" i="11"/>
  <c r="S465" i="11"/>
  <c r="S466" i="11"/>
  <c r="S467" i="11"/>
  <c r="S468" i="11"/>
  <c r="S3" i="11"/>
  <c r="S4" i="11"/>
  <c r="S5" i="11"/>
  <c r="S6" i="11"/>
  <c r="S7" i="11"/>
  <c r="S8" i="11"/>
  <c r="S9" i="11"/>
  <c r="S10" i="11"/>
  <c r="S11" i="11"/>
  <c r="S12" i="11"/>
  <c r="S13" i="11"/>
  <c r="S14" i="11"/>
  <c r="S15" i="11"/>
  <c r="T3" i="11"/>
  <c r="T4" i="11"/>
  <c r="T5" i="11"/>
  <c r="T6" i="11"/>
  <c r="T7" i="11"/>
  <c r="T8" i="11"/>
  <c r="T9" i="11"/>
  <c r="T10" i="11"/>
  <c r="T11" i="11"/>
  <c r="T12" i="11"/>
  <c r="T13" i="11"/>
  <c r="T14" i="11"/>
  <c r="T15" i="11"/>
  <c r="T16" i="11"/>
  <c r="T17" i="11"/>
  <c r="T18" i="11"/>
  <c r="T19" i="11"/>
  <c r="T20" i="11"/>
  <c r="T21" i="11"/>
  <c r="T22" i="11"/>
  <c r="T23" i="11"/>
  <c r="T24" i="11"/>
  <c r="T25" i="11"/>
  <c r="T26" i="11"/>
  <c r="T27" i="11"/>
  <c r="T28" i="11"/>
  <c r="T29" i="11"/>
  <c r="T30" i="11"/>
  <c r="T31" i="11"/>
  <c r="T32" i="11"/>
  <c r="T33" i="11"/>
  <c r="T34" i="11"/>
  <c r="T35" i="11"/>
  <c r="T36" i="11"/>
  <c r="T37" i="11"/>
  <c r="T38" i="11"/>
  <c r="T39" i="11"/>
  <c r="T40" i="11"/>
  <c r="T41" i="11"/>
  <c r="T42" i="11"/>
  <c r="T43" i="11"/>
  <c r="T44" i="11"/>
  <c r="T45" i="11"/>
  <c r="T46" i="11"/>
  <c r="T47" i="11"/>
  <c r="T48" i="11"/>
  <c r="T49" i="11"/>
  <c r="T50" i="11"/>
  <c r="T51" i="11"/>
  <c r="T52" i="11"/>
  <c r="T53" i="11"/>
  <c r="T54" i="11"/>
  <c r="T55" i="11"/>
  <c r="T56" i="11"/>
  <c r="T57" i="11"/>
  <c r="T58" i="11"/>
  <c r="T59" i="11"/>
  <c r="T60" i="11"/>
  <c r="T61" i="11"/>
  <c r="T62" i="11"/>
  <c r="T63" i="11"/>
  <c r="T64" i="11"/>
  <c r="T65" i="11"/>
  <c r="T66" i="11"/>
  <c r="T67" i="11"/>
  <c r="T68" i="11"/>
  <c r="T69" i="11"/>
  <c r="T70" i="11"/>
  <c r="T71" i="11"/>
  <c r="T72" i="11"/>
  <c r="T73" i="11"/>
  <c r="T74" i="11"/>
  <c r="T75" i="11"/>
  <c r="T76" i="11"/>
  <c r="T77" i="11"/>
  <c r="T78" i="11"/>
  <c r="T79" i="11"/>
  <c r="T80" i="11"/>
  <c r="T81" i="11"/>
  <c r="T82" i="11"/>
  <c r="T83" i="11"/>
  <c r="T84" i="11"/>
  <c r="T85" i="11"/>
  <c r="T86" i="11"/>
  <c r="T87" i="11"/>
  <c r="T88" i="11"/>
  <c r="T89" i="11"/>
  <c r="T90" i="11"/>
  <c r="T91" i="11"/>
  <c r="T92" i="11"/>
  <c r="T93" i="11"/>
  <c r="T94" i="11"/>
  <c r="T95" i="11"/>
  <c r="T96" i="11"/>
  <c r="T97" i="11"/>
  <c r="T98" i="11"/>
  <c r="T99" i="11"/>
  <c r="T100" i="11"/>
  <c r="T101" i="11"/>
  <c r="T102" i="11"/>
  <c r="T103" i="11"/>
  <c r="T104" i="11"/>
  <c r="T105" i="11"/>
  <c r="T106" i="11"/>
  <c r="T107" i="11"/>
  <c r="T108" i="11"/>
  <c r="T109" i="11"/>
  <c r="T110" i="11"/>
  <c r="T111" i="11"/>
  <c r="T112" i="11"/>
  <c r="T113" i="11"/>
  <c r="T114" i="11"/>
  <c r="T115" i="11"/>
  <c r="T116" i="11"/>
  <c r="T117" i="11"/>
  <c r="T118" i="11"/>
  <c r="T119" i="11"/>
  <c r="T120" i="11"/>
  <c r="T121" i="11"/>
  <c r="T122" i="11"/>
  <c r="T123" i="11"/>
  <c r="T124" i="11"/>
  <c r="T125" i="11"/>
  <c r="T126" i="11"/>
  <c r="T127" i="11"/>
  <c r="T128" i="11"/>
  <c r="T129" i="11"/>
  <c r="T130" i="11"/>
  <c r="T131" i="11"/>
  <c r="T132" i="11"/>
  <c r="T133" i="11"/>
  <c r="T134" i="11"/>
  <c r="T135" i="11"/>
  <c r="T136" i="11"/>
  <c r="T139" i="11"/>
  <c r="T140" i="11"/>
  <c r="T141" i="11"/>
  <c r="T142" i="11"/>
  <c r="T143" i="11"/>
  <c r="T144" i="11"/>
  <c r="T145" i="11"/>
  <c r="T146" i="11"/>
  <c r="T147" i="11"/>
  <c r="T148" i="11"/>
  <c r="T149" i="11"/>
  <c r="T150" i="11"/>
  <c r="T151" i="11"/>
  <c r="T152" i="11"/>
  <c r="T153" i="11"/>
  <c r="T154" i="11"/>
  <c r="T155" i="11"/>
  <c r="T156" i="11"/>
  <c r="T157" i="11"/>
  <c r="T158" i="11"/>
  <c r="T159" i="11"/>
  <c r="T160" i="11"/>
  <c r="T161" i="11"/>
  <c r="T162" i="11"/>
  <c r="T163" i="11"/>
  <c r="T164" i="11"/>
  <c r="T165" i="11"/>
  <c r="T166" i="11"/>
  <c r="T167" i="11"/>
  <c r="T168" i="11"/>
  <c r="T169" i="11"/>
  <c r="T170" i="11"/>
  <c r="T171" i="11"/>
  <c r="T172" i="11"/>
  <c r="T173" i="11"/>
  <c r="T174" i="11"/>
  <c r="T175" i="11"/>
  <c r="T176" i="11"/>
  <c r="T177" i="11"/>
  <c r="T178" i="11"/>
  <c r="T179" i="11"/>
  <c r="T180" i="11"/>
  <c r="T181" i="11"/>
  <c r="T182" i="11"/>
  <c r="T183" i="11"/>
  <c r="T184" i="11"/>
  <c r="T185" i="11"/>
  <c r="T186" i="11"/>
  <c r="T187" i="11"/>
  <c r="T188" i="11"/>
  <c r="T189" i="11"/>
  <c r="T190" i="11"/>
  <c r="T191" i="11"/>
  <c r="T192" i="11"/>
  <c r="T193" i="11"/>
  <c r="T194" i="11"/>
  <c r="T195" i="11"/>
  <c r="T196" i="11"/>
  <c r="T197" i="11"/>
  <c r="T198" i="11"/>
  <c r="T199" i="11"/>
  <c r="T200" i="11"/>
  <c r="T201" i="11"/>
  <c r="T202" i="11"/>
  <c r="T203" i="11"/>
  <c r="T204" i="11"/>
  <c r="T205" i="11"/>
  <c r="T206" i="11"/>
  <c r="T207" i="11"/>
  <c r="T208" i="11"/>
  <c r="T209" i="11"/>
  <c r="T210" i="11"/>
  <c r="T211" i="11"/>
  <c r="T212" i="11"/>
  <c r="T213" i="11"/>
  <c r="T214" i="11"/>
  <c r="T215" i="11"/>
  <c r="T216" i="11"/>
  <c r="T217" i="11"/>
  <c r="T218" i="11"/>
  <c r="T219" i="11"/>
  <c r="T220" i="11"/>
  <c r="T221" i="11"/>
  <c r="T222" i="11"/>
  <c r="T223" i="11"/>
  <c r="T224" i="11"/>
  <c r="T225" i="11"/>
  <c r="T226" i="11"/>
  <c r="T227" i="11"/>
  <c r="T228" i="11"/>
  <c r="T229" i="11"/>
  <c r="T230" i="11"/>
  <c r="T231" i="11"/>
  <c r="T232" i="11"/>
  <c r="T233" i="11"/>
  <c r="T234" i="11"/>
  <c r="T235" i="11"/>
  <c r="T236" i="11"/>
  <c r="T237" i="11"/>
  <c r="T238" i="11"/>
  <c r="T239" i="11"/>
  <c r="T240" i="11"/>
  <c r="T241" i="11"/>
  <c r="T242" i="11"/>
  <c r="T243" i="11"/>
  <c r="T244" i="11"/>
  <c r="T245" i="11"/>
  <c r="T246" i="11"/>
  <c r="T247" i="11"/>
  <c r="T248" i="11"/>
  <c r="T249" i="11"/>
  <c r="T250" i="11"/>
  <c r="T251" i="11"/>
  <c r="T252" i="11"/>
  <c r="T253" i="11"/>
  <c r="T254" i="11"/>
  <c r="T255" i="11"/>
  <c r="T256" i="11"/>
  <c r="T257" i="11"/>
  <c r="T258" i="11"/>
  <c r="T259" i="11"/>
  <c r="T260" i="11"/>
  <c r="T261" i="11"/>
  <c r="T262" i="11"/>
  <c r="T263" i="11"/>
  <c r="T264" i="11"/>
  <c r="T265" i="11"/>
  <c r="T266" i="11"/>
  <c r="T267" i="11"/>
  <c r="T268" i="11"/>
  <c r="T269" i="11"/>
  <c r="T270" i="11"/>
  <c r="T271" i="11"/>
  <c r="T272" i="11"/>
  <c r="T273" i="11"/>
  <c r="T274" i="11"/>
  <c r="T275" i="11"/>
  <c r="T276" i="11"/>
  <c r="T277" i="11"/>
  <c r="T278" i="11"/>
  <c r="T279" i="11"/>
  <c r="T280" i="11"/>
  <c r="T281" i="11"/>
  <c r="T282" i="11"/>
  <c r="T283" i="11"/>
  <c r="T284" i="11"/>
  <c r="T285" i="11"/>
  <c r="T286" i="11"/>
  <c r="T287" i="11"/>
  <c r="T288" i="11"/>
  <c r="T289" i="11"/>
  <c r="T290" i="11"/>
  <c r="T291" i="11"/>
  <c r="T292" i="11"/>
  <c r="T293" i="11"/>
  <c r="T294" i="11"/>
  <c r="T295" i="11"/>
  <c r="T296" i="11"/>
  <c r="T297" i="11"/>
  <c r="T298" i="11"/>
  <c r="T299" i="11"/>
  <c r="T300" i="11"/>
  <c r="T301" i="11"/>
  <c r="T302" i="11"/>
  <c r="T303" i="11"/>
  <c r="T304" i="11"/>
  <c r="T305" i="11"/>
  <c r="T306" i="11"/>
  <c r="T307" i="11"/>
  <c r="T308" i="11"/>
  <c r="T309" i="11"/>
  <c r="T310" i="11"/>
  <c r="T311" i="11"/>
  <c r="T312" i="11"/>
  <c r="T313" i="11"/>
  <c r="T314" i="11"/>
  <c r="T315" i="11"/>
  <c r="T316" i="11"/>
  <c r="T317" i="11"/>
  <c r="T318" i="11"/>
  <c r="T319" i="11"/>
  <c r="T320" i="11"/>
  <c r="T321" i="11"/>
  <c r="T322" i="11"/>
  <c r="T323" i="11"/>
  <c r="T324" i="11"/>
  <c r="T325" i="11"/>
  <c r="T326" i="11"/>
  <c r="T327" i="11"/>
  <c r="T328" i="11"/>
  <c r="T329" i="11"/>
  <c r="T330" i="11"/>
  <c r="T331" i="11"/>
  <c r="T332" i="11"/>
  <c r="T333" i="11"/>
  <c r="T334" i="11"/>
  <c r="T335" i="11"/>
  <c r="T336" i="11"/>
  <c r="T337" i="11"/>
  <c r="T338" i="11"/>
  <c r="T339" i="11"/>
  <c r="T340" i="11"/>
  <c r="T341" i="11"/>
  <c r="T342" i="11"/>
  <c r="T343" i="11"/>
  <c r="T344" i="11"/>
  <c r="T345" i="11"/>
  <c r="T346" i="11"/>
  <c r="T347" i="11"/>
  <c r="T348" i="11"/>
  <c r="T349" i="11"/>
  <c r="T350" i="11"/>
  <c r="T351" i="11"/>
  <c r="T352" i="11"/>
  <c r="T353" i="11"/>
  <c r="T354" i="11"/>
  <c r="T355" i="11"/>
  <c r="T356" i="11"/>
  <c r="T357" i="11"/>
  <c r="T358" i="11"/>
  <c r="T359" i="11"/>
  <c r="T360" i="11"/>
  <c r="T361" i="11"/>
  <c r="T362" i="11"/>
  <c r="T363" i="11"/>
  <c r="T364" i="11"/>
  <c r="T365" i="11"/>
  <c r="T366" i="11"/>
  <c r="T367" i="11"/>
  <c r="T368" i="11"/>
  <c r="T369" i="11"/>
  <c r="T370" i="11"/>
  <c r="T371" i="11"/>
  <c r="T372" i="11"/>
  <c r="T373" i="11"/>
  <c r="T374" i="11"/>
  <c r="T375" i="11"/>
  <c r="T376" i="11"/>
  <c r="T377" i="11"/>
  <c r="T378" i="11"/>
  <c r="T379" i="11"/>
  <c r="T380" i="11"/>
  <c r="T381" i="11"/>
  <c r="T382" i="11"/>
  <c r="T383" i="11"/>
  <c r="T384" i="11"/>
  <c r="T385" i="11"/>
  <c r="T386" i="11"/>
  <c r="T387" i="11"/>
  <c r="T388" i="11"/>
  <c r="T389" i="11"/>
  <c r="T390" i="11"/>
  <c r="T391" i="11"/>
  <c r="T392" i="11"/>
  <c r="T393" i="11"/>
  <c r="T394" i="11"/>
  <c r="T395" i="11"/>
  <c r="T396" i="11"/>
  <c r="T397" i="11"/>
  <c r="T398" i="11"/>
  <c r="T399" i="11"/>
  <c r="T400" i="11"/>
  <c r="T401" i="11"/>
  <c r="T402" i="11"/>
  <c r="T403" i="11"/>
  <c r="T404" i="11"/>
  <c r="T405" i="11"/>
  <c r="T406" i="11"/>
  <c r="T407" i="11"/>
  <c r="T408" i="11"/>
  <c r="T409" i="11"/>
  <c r="T410" i="11"/>
  <c r="T411" i="11"/>
  <c r="T412" i="11"/>
  <c r="T413" i="11"/>
  <c r="T414" i="11"/>
  <c r="T415" i="11"/>
  <c r="T416" i="11"/>
  <c r="T417" i="11"/>
  <c r="T418" i="11"/>
  <c r="T419" i="11"/>
  <c r="T420" i="11"/>
  <c r="T421" i="11"/>
  <c r="T422" i="11"/>
  <c r="T423" i="11"/>
  <c r="AA350" i="1" l="1"/>
  <c r="AC350" i="1"/>
  <c r="AA351" i="1"/>
  <c r="AC351" i="1"/>
  <c r="AA352" i="1"/>
  <c r="AC352" i="1"/>
  <c r="AA353" i="1"/>
  <c r="AC353" i="1"/>
  <c r="AA354" i="1"/>
  <c r="AC354" i="1"/>
  <c r="AA355" i="1"/>
  <c r="AC355" i="1"/>
  <c r="AA356" i="1"/>
  <c r="AC356" i="1"/>
  <c r="AA357" i="1"/>
  <c r="AC357" i="1"/>
  <c r="AA358" i="1"/>
  <c r="AC358" i="1"/>
  <c r="AA359" i="1"/>
  <c r="AC359" i="1"/>
  <c r="A190" i="1" l="1"/>
  <c r="B190" i="1"/>
  <c r="A191" i="1"/>
  <c r="B191" i="1"/>
  <c r="A192" i="1"/>
  <c r="B192" i="1"/>
  <c r="A193" i="1"/>
  <c r="B193" i="1"/>
  <c r="A194" i="1"/>
  <c r="B194" i="1"/>
  <c r="A195" i="1"/>
  <c r="B195" i="1"/>
  <c r="A196" i="1"/>
  <c r="B196" i="1"/>
  <c r="A197" i="1"/>
  <c r="B197" i="1"/>
  <c r="A198" i="1"/>
  <c r="B198" i="1"/>
  <c r="A199" i="1"/>
  <c r="B199" i="1"/>
  <c r="A200" i="1"/>
  <c r="B200" i="1"/>
  <c r="A201" i="1"/>
  <c r="B201" i="1"/>
  <c r="A202" i="1"/>
  <c r="B202" i="1"/>
  <c r="A203" i="1"/>
  <c r="B203" i="1"/>
  <c r="A204" i="1"/>
  <c r="B204" i="1"/>
  <c r="A205" i="1"/>
  <c r="B205" i="1"/>
  <c r="A206" i="1"/>
  <c r="B206" i="1"/>
  <c r="A207" i="1"/>
  <c r="B207" i="1"/>
  <c r="A208" i="1"/>
  <c r="B208" i="1"/>
  <c r="A209" i="1"/>
  <c r="B209" i="1"/>
  <c r="A210" i="1"/>
  <c r="B210" i="1"/>
  <c r="A211" i="1"/>
  <c r="B211" i="1"/>
  <c r="A212" i="1"/>
  <c r="B212" i="1"/>
  <c r="A213" i="1"/>
  <c r="B213" i="1"/>
  <c r="A214" i="1"/>
  <c r="B214" i="1"/>
  <c r="A215" i="1"/>
  <c r="B215" i="1"/>
  <c r="A216" i="1"/>
  <c r="B216" i="1"/>
  <c r="A217" i="1"/>
  <c r="B217" i="1"/>
  <c r="A218" i="1"/>
  <c r="B218" i="1"/>
  <c r="A219" i="1"/>
  <c r="B219" i="1"/>
  <c r="A220" i="1"/>
  <c r="B220" i="1"/>
  <c r="A221" i="1"/>
  <c r="B221" i="1"/>
  <c r="A222" i="1"/>
  <c r="B222" i="1"/>
  <c r="A223" i="1"/>
  <c r="B223" i="1"/>
  <c r="A224" i="1"/>
  <c r="B224" i="1"/>
  <c r="A225" i="1"/>
  <c r="B225" i="1"/>
  <c r="A226" i="1"/>
  <c r="B226" i="1"/>
  <c r="A227" i="1"/>
  <c r="B227" i="1"/>
  <c r="A228" i="1"/>
  <c r="B228" i="1"/>
  <c r="A229" i="1"/>
  <c r="B229" i="1"/>
  <c r="A230" i="1"/>
  <c r="B230" i="1"/>
  <c r="A231" i="1"/>
  <c r="B231" i="1"/>
  <c r="A232" i="1"/>
  <c r="B232" i="1"/>
  <c r="A233" i="1"/>
  <c r="B233" i="1"/>
  <c r="A234" i="1"/>
  <c r="B234" i="1"/>
  <c r="A235" i="1"/>
  <c r="B235" i="1"/>
  <c r="A236" i="1"/>
  <c r="B236" i="1"/>
  <c r="A237" i="1"/>
  <c r="B237" i="1"/>
  <c r="A238" i="1"/>
  <c r="B238" i="1"/>
  <c r="A239" i="1"/>
  <c r="B239" i="1"/>
  <c r="A240" i="1"/>
  <c r="B240" i="1"/>
  <c r="A241" i="1"/>
  <c r="B241" i="1"/>
  <c r="A242" i="1"/>
  <c r="B242" i="1"/>
  <c r="A243" i="1"/>
  <c r="B243" i="1"/>
  <c r="A244" i="1"/>
  <c r="B244" i="1"/>
  <c r="A245" i="1"/>
  <c r="B245" i="1"/>
  <c r="A246" i="1"/>
  <c r="B246" i="1"/>
  <c r="A247" i="1"/>
  <c r="B247" i="1"/>
  <c r="A248" i="1"/>
  <c r="B248" i="1"/>
  <c r="A249" i="1"/>
  <c r="B249" i="1"/>
  <c r="A250" i="1"/>
  <c r="B250" i="1"/>
  <c r="A251" i="1"/>
  <c r="B251" i="1"/>
  <c r="A252" i="1"/>
  <c r="B252" i="1"/>
  <c r="A253" i="1"/>
  <c r="B253" i="1"/>
  <c r="A254" i="1"/>
  <c r="B254" i="1"/>
  <c r="A255" i="1"/>
  <c r="B255" i="1"/>
  <c r="A256" i="1"/>
  <c r="B256" i="1"/>
  <c r="A257" i="1"/>
  <c r="B257" i="1"/>
  <c r="A258" i="1"/>
  <c r="B258" i="1"/>
  <c r="A259" i="1"/>
  <c r="B259" i="1"/>
  <c r="A260" i="1"/>
  <c r="B260" i="1"/>
  <c r="A261" i="1"/>
  <c r="B261" i="1"/>
  <c r="A262" i="1"/>
  <c r="B262" i="1"/>
  <c r="A263" i="1"/>
  <c r="B263" i="1"/>
  <c r="A264" i="1"/>
  <c r="B264" i="1"/>
  <c r="A265" i="1"/>
  <c r="B265" i="1"/>
  <c r="A266" i="1"/>
  <c r="B266" i="1"/>
  <c r="A267" i="1"/>
  <c r="B267" i="1"/>
  <c r="A268" i="1"/>
  <c r="B268" i="1"/>
  <c r="A269" i="1"/>
  <c r="B269" i="1"/>
  <c r="A270" i="1"/>
  <c r="B270" i="1"/>
  <c r="A271" i="1"/>
  <c r="B271" i="1"/>
  <c r="A272" i="1"/>
  <c r="B272" i="1"/>
  <c r="A273" i="1"/>
  <c r="B273" i="1"/>
  <c r="A274" i="1"/>
  <c r="B274" i="1"/>
  <c r="A275" i="1"/>
  <c r="B275" i="1"/>
  <c r="A276" i="1"/>
  <c r="B276" i="1"/>
  <c r="A277" i="1"/>
  <c r="B277" i="1"/>
  <c r="A278" i="1"/>
  <c r="B278" i="1"/>
  <c r="A279" i="1"/>
  <c r="B279" i="1"/>
  <c r="A280" i="1"/>
  <c r="B280" i="1"/>
  <c r="A281" i="1"/>
  <c r="B281" i="1"/>
  <c r="A282" i="1"/>
  <c r="B282" i="1"/>
  <c r="A283" i="1"/>
  <c r="B283" i="1"/>
  <c r="A284" i="1"/>
  <c r="B284" i="1"/>
  <c r="A285" i="1"/>
  <c r="B285" i="1"/>
  <c r="A286" i="1"/>
  <c r="B286" i="1"/>
  <c r="A287" i="1"/>
  <c r="B287" i="1"/>
  <c r="A288" i="1"/>
  <c r="B288" i="1"/>
  <c r="A289" i="1"/>
  <c r="B289" i="1"/>
  <c r="A290" i="1"/>
  <c r="B290" i="1"/>
  <c r="A291" i="1"/>
  <c r="B291" i="1"/>
  <c r="A292" i="1"/>
  <c r="B292" i="1"/>
  <c r="A293" i="1"/>
  <c r="B293" i="1"/>
  <c r="A294" i="1"/>
  <c r="B294" i="1"/>
  <c r="A295" i="1"/>
  <c r="B295" i="1"/>
  <c r="A296" i="1"/>
  <c r="B296" i="1"/>
  <c r="A297" i="1"/>
  <c r="B297" i="1"/>
  <c r="A298" i="1"/>
  <c r="B298" i="1"/>
  <c r="A299" i="1"/>
  <c r="B299" i="1"/>
  <c r="A300" i="1"/>
  <c r="B300" i="1"/>
  <c r="A301" i="1"/>
  <c r="B301" i="1"/>
  <c r="A302" i="1"/>
  <c r="B302" i="1"/>
  <c r="A303" i="1"/>
  <c r="B303" i="1"/>
  <c r="A304" i="1"/>
  <c r="B304" i="1"/>
  <c r="A305" i="1"/>
  <c r="B305" i="1"/>
  <c r="A306" i="1"/>
  <c r="B306" i="1"/>
  <c r="A307" i="1"/>
  <c r="B307" i="1"/>
  <c r="A308" i="1"/>
  <c r="B308" i="1"/>
  <c r="A309" i="1"/>
  <c r="B309" i="1"/>
  <c r="A310" i="1"/>
  <c r="B310" i="1"/>
  <c r="A311" i="1"/>
  <c r="B311" i="1"/>
  <c r="A312" i="1"/>
  <c r="B312" i="1"/>
  <c r="A313" i="1"/>
  <c r="B313" i="1"/>
  <c r="A314" i="1"/>
  <c r="B314" i="1"/>
  <c r="A315" i="1"/>
  <c r="B315" i="1"/>
  <c r="A316" i="1"/>
  <c r="B316" i="1"/>
  <c r="A317" i="1"/>
  <c r="B317" i="1"/>
  <c r="A318" i="1"/>
  <c r="B318" i="1"/>
  <c r="A319" i="1"/>
  <c r="B319" i="1"/>
  <c r="A320" i="1"/>
  <c r="B320" i="1"/>
  <c r="A321" i="1"/>
  <c r="B321" i="1"/>
  <c r="A322" i="1"/>
  <c r="B322" i="1"/>
  <c r="A323" i="1"/>
  <c r="B323" i="1"/>
  <c r="A324" i="1"/>
  <c r="B324" i="1"/>
  <c r="A325" i="1"/>
  <c r="B325" i="1"/>
  <c r="A326" i="1"/>
  <c r="B326" i="1"/>
  <c r="A327" i="1"/>
  <c r="B327" i="1"/>
  <c r="A328" i="1"/>
  <c r="B328" i="1"/>
  <c r="A329" i="1"/>
  <c r="B329" i="1"/>
  <c r="A330" i="1"/>
  <c r="B330" i="1"/>
  <c r="A331" i="1"/>
  <c r="B331" i="1"/>
  <c r="A332" i="1"/>
  <c r="B332" i="1"/>
  <c r="A333" i="1"/>
  <c r="B333" i="1"/>
  <c r="A334" i="1"/>
  <c r="B334" i="1"/>
  <c r="A335" i="1"/>
  <c r="B335" i="1"/>
  <c r="A336" i="1"/>
  <c r="B336" i="1"/>
  <c r="A337" i="1"/>
  <c r="B337" i="1"/>
  <c r="A338" i="1"/>
  <c r="B338" i="1"/>
  <c r="A339" i="1"/>
  <c r="B339" i="1"/>
  <c r="A340" i="1"/>
  <c r="B340" i="1"/>
  <c r="A341" i="1"/>
  <c r="B341" i="1"/>
  <c r="A342" i="1"/>
  <c r="B342" i="1"/>
  <c r="A343" i="1"/>
  <c r="B343" i="1"/>
  <c r="A344" i="1"/>
  <c r="B344" i="1"/>
  <c r="A345" i="1"/>
  <c r="B345" i="1"/>
  <c r="A346" i="1"/>
  <c r="B346" i="1"/>
  <c r="A347" i="1"/>
  <c r="B347" i="1"/>
  <c r="A348" i="1"/>
  <c r="B348" i="1"/>
  <c r="A349" i="1"/>
  <c r="B349" i="1"/>
  <c r="A350" i="1"/>
  <c r="B350" i="1"/>
  <c r="A351" i="1"/>
  <c r="B351" i="1"/>
  <c r="A352" i="1"/>
  <c r="B352" i="1"/>
  <c r="A353" i="1"/>
  <c r="B353" i="1"/>
  <c r="A354" i="1"/>
  <c r="B354" i="1"/>
  <c r="A355" i="1"/>
  <c r="B355" i="1"/>
  <c r="A356" i="1"/>
  <c r="B356" i="1"/>
  <c r="A357" i="1"/>
  <c r="B357" i="1"/>
  <c r="A358" i="1"/>
  <c r="B358" i="1"/>
  <c r="A359" i="1"/>
  <c r="B359" i="1"/>
  <c r="A360" i="1"/>
  <c r="B360" i="1"/>
  <c r="I69" i="10" l="1"/>
  <c r="N32" i="10" l="1"/>
  <c r="E45" i="7" l="1"/>
  <c r="C42" i="7"/>
  <c r="J30" i="10" s="1"/>
  <c r="D42" i="7"/>
  <c r="J31" i="10" s="1"/>
  <c r="E42" i="7"/>
  <c r="C45" i="7" l="1"/>
  <c r="D45" i="7"/>
  <c r="B42" i="7"/>
  <c r="J29" i="10" s="1"/>
  <c r="J28" i="10" s="1"/>
  <c r="AF47" i="1" l="1"/>
  <c r="AM47" i="1"/>
  <c r="AN47" i="1"/>
  <c r="AO47" i="1"/>
  <c r="AP47" i="1"/>
  <c r="AQ47" i="1"/>
  <c r="AR47" i="1"/>
  <c r="AS47" i="1"/>
  <c r="AF48" i="1"/>
  <c r="AM48" i="1"/>
  <c r="AN48" i="1"/>
  <c r="AO48" i="1"/>
  <c r="AP48" i="1"/>
  <c r="AQ48" i="1"/>
  <c r="AR48" i="1"/>
  <c r="AS48" i="1"/>
  <c r="AF49" i="1"/>
  <c r="AM49" i="1"/>
  <c r="AN49" i="1"/>
  <c r="AO49" i="1"/>
  <c r="AP49" i="1"/>
  <c r="AQ49" i="1"/>
  <c r="AR49" i="1"/>
  <c r="AS49" i="1"/>
  <c r="A47" i="1"/>
  <c r="AI47" i="1" s="1"/>
  <c r="B47" i="1"/>
  <c r="A48" i="1"/>
  <c r="AI48" i="1" s="1"/>
  <c r="B48" i="1"/>
  <c r="A49" i="1"/>
  <c r="AI49" i="1" s="1"/>
  <c r="B49" i="1"/>
  <c r="A50" i="1"/>
  <c r="AI50" i="1" s="1"/>
  <c r="B50" i="1"/>
  <c r="AF50" i="1"/>
  <c r="AM50" i="1"/>
  <c r="AN50" i="1"/>
  <c r="AO50" i="1"/>
  <c r="AP50" i="1"/>
  <c r="AQ50" i="1"/>
  <c r="AR50" i="1"/>
  <c r="AS50" i="1"/>
  <c r="A130" i="1"/>
  <c r="B130" i="1"/>
  <c r="A131" i="1"/>
  <c r="B131" i="1"/>
  <c r="A132" i="1"/>
  <c r="B132" i="1"/>
  <c r="A133" i="1"/>
  <c r="B133" i="1"/>
  <c r="A134" i="1"/>
  <c r="B134" i="1"/>
  <c r="A135" i="1"/>
  <c r="B135" i="1"/>
  <c r="A136" i="1"/>
  <c r="B136" i="1"/>
  <c r="A137" i="1"/>
  <c r="B137" i="1"/>
  <c r="A138" i="1"/>
  <c r="B138" i="1"/>
  <c r="A139" i="1"/>
  <c r="B139" i="1"/>
  <c r="A140" i="1"/>
  <c r="B140" i="1"/>
  <c r="A141" i="1"/>
  <c r="B141" i="1"/>
  <c r="A142" i="1"/>
  <c r="B142" i="1"/>
  <c r="A143" i="1"/>
  <c r="B143" i="1"/>
  <c r="A144" i="1"/>
  <c r="B144" i="1"/>
  <c r="A145" i="1"/>
  <c r="B145" i="1"/>
  <c r="A146" i="1"/>
  <c r="B146" i="1"/>
  <c r="A147" i="1"/>
  <c r="B147" i="1"/>
  <c r="A148" i="1"/>
  <c r="B148" i="1"/>
  <c r="A149" i="1"/>
  <c r="B149" i="1"/>
  <c r="A150" i="1"/>
  <c r="B150" i="1"/>
  <c r="A151" i="1"/>
  <c r="B151" i="1"/>
  <c r="A152" i="1"/>
  <c r="B152" i="1"/>
  <c r="A153" i="1"/>
  <c r="B153" i="1"/>
  <c r="A154" i="1"/>
  <c r="B154" i="1"/>
  <c r="A155" i="1"/>
  <c r="B155" i="1"/>
  <c r="A156" i="1"/>
  <c r="B156" i="1"/>
  <c r="A157" i="1"/>
  <c r="B157" i="1"/>
  <c r="A158" i="1"/>
  <c r="B158" i="1"/>
  <c r="A159" i="1"/>
  <c r="B159" i="1"/>
  <c r="A160" i="1"/>
  <c r="B160" i="1"/>
  <c r="A161" i="1"/>
  <c r="B161" i="1"/>
  <c r="A162" i="1"/>
  <c r="B162" i="1"/>
  <c r="A163" i="1"/>
  <c r="B163" i="1"/>
  <c r="A164" i="1"/>
  <c r="B164" i="1"/>
  <c r="A165" i="1"/>
  <c r="B165" i="1"/>
  <c r="A166" i="1"/>
  <c r="B166" i="1"/>
  <c r="A167" i="1"/>
  <c r="B167" i="1"/>
  <c r="A168" i="1"/>
  <c r="B168" i="1"/>
  <c r="A169" i="1"/>
  <c r="B169" i="1"/>
  <c r="A170" i="1"/>
  <c r="B170" i="1"/>
  <c r="A171" i="1"/>
  <c r="B171" i="1"/>
  <c r="A172" i="1"/>
  <c r="B172" i="1"/>
  <c r="A173" i="1"/>
  <c r="B173" i="1"/>
  <c r="A174" i="1"/>
  <c r="B174" i="1"/>
  <c r="A175" i="1"/>
  <c r="B175" i="1"/>
  <c r="A176" i="1"/>
  <c r="B176" i="1"/>
  <c r="A177" i="1"/>
  <c r="B177" i="1"/>
  <c r="A178" i="1"/>
  <c r="B178" i="1"/>
  <c r="A179" i="1"/>
  <c r="B179" i="1"/>
  <c r="A180" i="1"/>
  <c r="B180" i="1"/>
  <c r="A181" i="1"/>
  <c r="B181" i="1"/>
  <c r="A182" i="1"/>
  <c r="B182" i="1"/>
  <c r="A183" i="1"/>
  <c r="B183" i="1"/>
  <c r="A184" i="1"/>
  <c r="B184" i="1"/>
  <c r="A185" i="1"/>
  <c r="B185" i="1"/>
  <c r="A186" i="1"/>
  <c r="B186" i="1"/>
  <c r="A187" i="1"/>
  <c r="B187" i="1"/>
  <c r="A188" i="1"/>
  <c r="B188" i="1"/>
  <c r="A189" i="1"/>
  <c r="B189" i="1"/>
  <c r="K29" i="8" l="1"/>
  <c r="K28" i="8"/>
  <c r="K27" i="8"/>
  <c r="K26" i="8"/>
  <c r="K25" i="8"/>
  <c r="K24" i="8"/>
  <c r="K23" i="8"/>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AM4" i="1" l="1"/>
  <c r="AN4" i="1"/>
  <c r="AO4" i="1"/>
  <c r="AP4" i="1"/>
  <c r="AQ4" i="1"/>
  <c r="AR4" i="1"/>
  <c r="AS4" i="1"/>
  <c r="AM5" i="1"/>
  <c r="AN5" i="1"/>
  <c r="AO5" i="1"/>
  <c r="AP5" i="1"/>
  <c r="AQ5" i="1"/>
  <c r="AR5" i="1"/>
  <c r="AS5" i="1"/>
  <c r="AM6" i="1"/>
  <c r="AN6" i="1"/>
  <c r="AO6" i="1"/>
  <c r="AP6" i="1"/>
  <c r="AQ6" i="1"/>
  <c r="AR6" i="1"/>
  <c r="AS6" i="1"/>
  <c r="AM7" i="1"/>
  <c r="AN7" i="1"/>
  <c r="AO7" i="1"/>
  <c r="AP7" i="1"/>
  <c r="AQ7" i="1"/>
  <c r="AR7" i="1"/>
  <c r="AS7" i="1"/>
  <c r="AM8" i="1"/>
  <c r="AN8" i="1"/>
  <c r="AO8" i="1"/>
  <c r="AP8" i="1"/>
  <c r="AQ8" i="1"/>
  <c r="AR8" i="1"/>
  <c r="AS8" i="1"/>
  <c r="AM9" i="1"/>
  <c r="AN9" i="1"/>
  <c r="AO9" i="1"/>
  <c r="AP9" i="1"/>
  <c r="AQ9" i="1"/>
  <c r="AR9" i="1"/>
  <c r="AS9" i="1"/>
  <c r="AM10" i="1"/>
  <c r="AN10" i="1"/>
  <c r="AO10" i="1"/>
  <c r="AP10" i="1"/>
  <c r="AQ10" i="1"/>
  <c r="AR10" i="1"/>
  <c r="AS10" i="1"/>
  <c r="AM11" i="1"/>
  <c r="AN11" i="1"/>
  <c r="AO11" i="1"/>
  <c r="AP11" i="1"/>
  <c r="AQ11" i="1"/>
  <c r="AR11" i="1"/>
  <c r="AS11" i="1"/>
  <c r="AM12" i="1"/>
  <c r="AN12" i="1"/>
  <c r="AO12" i="1"/>
  <c r="AP12" i="1"/>
  <c r="AQ12" i="1"/>
  <c r="AR12" i="1"/>
  <c r="AS12" i="1"/>
  <c r="AM13" i="1"/>
  <c r="AN13" i="1"/>
  <c r="AO13" i="1"/>
  <c r="AP13" i="1"/>
  <c r="AQ13" i="1"/>
  <c r="AR13" i="1"/>
  <c r="AS13" i="1"/>
  <c r="AM14" i="1"/>
  <c r="AN14" i="1"/>
  <c r="AO14" i="1"/>
  <c r="AP14" i="1"/>
  <c r="AQ14" i="1"/>
  <c r="AR14" i="1"/>
  <c r="AS14" i="1"/>
  <c r="AM15" i="1"/>
  <c r="AN15" i="1"/>
  <c r="AO15" i="1"/>
  <c r="AP15" i="1"/>
  <c r="AQ15" i="1"/>
  <c r="AR15" i="1"/>
  <c r="AS15" i="1"/>
  <c r="AM16" i="1"/>
  <c r="AN16" i="1"/>
  <c r="AO16" i="1"/>
  <c r="AP16" i="1"/>
  <c r="AQ16" i="1"/>
  <c r="AR16" i="1"/>
  <c r="AS16" i="1"/>
  <c r="AM17" i="1"/>
  <c r="AN17" i="1"/>
  <c r="AO17" i="1"/>
  <c r="AP17" i="1"/>
  <c r="AQ17" i="1"/>
  <c r="AR17" i="1"/>
  <c r="AS17" i="1"/>
  <c r="AM18" i="1"/>
  <c r="AN18" i="1"/>
  <c r="AO18" i="1"/>
  <c r="AP18" i="1"/>
  <c r="AQ18" i="1"/>
  <c r="AR18" i="1"/>
  <c r="AS18" i="1"/>
  <c r="AM19" i="1"/>
  <c r="AN19" i="1"/>
  <c r="AO19" i="1"/>
  <c r="AP19" i="1"/>
  <c r="AQ19" i="1"/>
  <c r="AR19" i="1"/>
  <c r="AS19" i="1"/>
  <c r="AM20" i="1"/>
  <c r="AN20" i="1"/>
  <c r="AO20" i="1"/>
  <c r="AP20" i="1"/>
  <c r="AQ20" i="1"/>
  <c r="AR20" i="1"/>
  <c r="AS20" i="1"/>
  <c r="AM21" i="1"/>
  <c r="AN21" i="1"/>
  <c r="AO21" i="1"/>
  <c r="AP21" i="1"/>
  <c r="AQ21" i="1"/>
  <c r="AR21" i="1"/>
  <c r="AS21" i="1"/>
  <c r="AM22" i="1"/>
  <c r="AN22" i="1"/>
  <c r="AO22" i="1"/>
  <c r="AP22" i="1"/>
  <c r="AQ22" i="1"/>
  <c r="AR22" i="1"/>
  <c r="AS22" i="1"/>
  <c r="AM23" i="1"/>
  <c r="AN23" i="1"/>
  <c r="AO23" i="1"/>
  <c r="AP23" i="1"/>
  <c r="AQ23" i="1"/>
  <c r="AR23" i="1"/>
  <c r="AS23" i="1"/>
  <c r="AM24" i="1"/>
  <c r="AN24" i="1"/>
  <c r="AO24" i="1"/>
  <c r="AP24" i="1"/>
  <c r="AQ24" i="1"/>
  <c r="AR24" i="1"/>
  <c r="AS24" i="1"/>
  <c r="AM25" i="1"/>
  <c r="AN25" i="1"/>
  <c r="AO25" i="1"/>
  <c r="AP25" i="1"/>
  <c r="AQ25" i="1"/>
  <c r="AR25" i="1"/>
  <c r="AS25" i="1"/>
  <c r="AM26" i="1"/>
  <c r="AN26" i="1"/>
  <c r="AO26" i="1"/>
  <c r="AP26" i="1"/>
  <c r="AQ26" i="1"/>
  <c r="AR26" i="1"/>
  <c r="AS26" i="1"/>
  <c r="AM27" i="1"/>
  <c r="AN27" i="1"/>
  <c r="AO27" i="1"/>
  <c r="AP27" i="1"/>
  <c r="AQ27" i="1"/>
  <c r="AR27" i="1"/>
  <c r="AS27" i="1"/>
  <c r="AM28" i="1"/>
  <c r="AN28" i="1"/>
  <c r="AO28" i="1"/>
  <c r="AP28" i="1"/>
  <c r="AQ28" i="1"/>
  <c r="AR28" i="1"/>
  <c r="AS28" i="1"/>
  <c r="AM29" i="1"/>
  <c r="AN29" i="1"/>
  <c r="AO29" i="1"/>
  <c r="AP29" i="1"/>
  <c r="AQ29" i="1"/>
  <c r="AR29" i="1"/>
  <c r="AS29" i="1"/>
  <c r="AM30" i="1"/>
  <c r="AN30" i="1"/>
  <c r="AO30" i="1"/>
  <c r="AP30" i="1"/>
  <c r="AQ30" i="1"/>
  <c r="AR30" i="1"/>
  <c r="AS30" i="1"/>
  <c r="AM31" i="1"/>
  <c r="AN31" i="1"/>
  <c r="AO31" i="1"/>
  <c r="AP31" i="1"/>
  <c r="AQ31" i="1"/>
  <c r="AR31" i="1"/>
  <c r="AS31" i="1"/>
  <c r="A113" i="1" l="1"/>
  <c r="B113" i="1"/>
  <c r="A114" i="1"/>
  <c r="B114" i="1"/>
  <c r="A115" i="1"/>
  <c r="B115" i="1"/>
  <c r="A116" i="1"/>
  <c r="B116" i="1"/>
  <c r="A117" i="1"/>
  <c r="B117" i="1"/>
  <c r="A118" i="1"/>
  <c r="B118" i="1"/>
  <c r="A119" i="1"/>
  <c r="B119" i="1"/>
  <c r="A120" i="1"/>
  <c r="B120" i="1"/>
  <c r="A121" i="1"/>
  <c r="B121" i="1"/>
  <c r="A122" i="1"/>
  <c r="B122" i="1"/>
  <c r="A123" i="1"/>
  <c r="B123" i="1"/>
  <c r="A124" i="1"/>
  <c r="B124" i="1"/>
  <c r="A125" i="1"/>
  <c r="B125" i="1"/>
  <c r="A126" i="1"/>
  <c r="B126" i="1"/>
  <c r="A127" i="1"/>
  <c r="B127" i="1"/>
  <c r="A128" i="1"/>
  <c r="B128" i="1"/>
  <c r="A129" i="1"/>
  <c r="B129" i="1"/>
  <c r="A112" i="1" l="1"/>
  <c r="B112" i="1"/>
  <c r="AS986" i="1" l="1"/>
  <c r="AR986" i="1"/>
  <c r="AQ986" i="1"/>
  <c r="AP986" i="1"/>
  <c r="AO986" i="1"/>
  <c r="AN986" i="1"/>
  <c r="AM986" i="1"/>
  <c r="AJ986" i="1"/>
  <c r="AI986" i="1"/>
  <c r="AH986" i="1"/>
  <c r="AG986" i="1"/>
  <c r="AF986" i="1"/>
  <c r="AS985" i="1"/>
  <c r="AR985" i="1"/>
  <c r="AQ985" i="1"/>
  <c r="AP985" i="1"/>
  <c r="AO985" i="1"/>
  <c r="AN985" i="1"/>
  <c r="AM985" i="1"/>
  <c r="AJ985" i="1"/>
  <c r="AI985" i="1"/>
  <c r="AH985" i="1"/>
  <c r="AG985" i="1"/>
  <c r="AF985" i="1"/>
  <c r="AS984" i="1"/>
  <c r="AR984" i="1"/>
  <c r="AQ984" i="1"/>
  <c r="AP984" i="1"/>
  <c r="AO984" i="1"/>
  <c r="AN984" i="1"/>
  <c r="AM984" i="1"/>
  <c r="AJ984" i="1"/>
  <c r="AI984" i="1"/>
  <c r="AH984" i="1"/>
  <c r="AG984" i="1"/>
  <c r="AF984" i="1"/>
  <c r="AS983" i="1"/>
  <c r="AR983" i="1"/>
  <c r="AQ983" i="1"/>
  <c r="AP983" i="1"/>
  <c r="AO983" i="1"/>
  <c r="AN983" i="1"/>
  <c r="AM983" i="1"/>
  <c r="AJ983" i="1"/>
  <c r="AI983" i="1"/>
  <c r="AH983" i="1"/>
  <c r="AG983" i="1"/>
  <c r="AF983" i="1"/>
  <c r="AS982" i="1"/>
  <c r="AR982" i="1"/>
  <c r="AQ982" i="1"/>
  <c r="AP982" i="1"/>
  <c r="AO982" i="1"/>
  <c r="AN982" i="1"/>
  <c r="AM982" i="1"/>
  <c r="AJ982" i="1"/>
  <c r="AI982" i="1"/>
  <c r="AH982" i="1"/>
  <c r="AG982" i="1"/>
  <c r="AF982" i="1"/>
  <c r="AS981" i="1"/>
  <c r="AR981" i="1"/>
  <c r="AQ981" i="1"/>
  <c r="AP981" i="1"/>
  <c r="AO981" i="1"/>
  <c r="AN981" i="1"/>
  <c r="AM981" i="1"/>
  <c r="AJ981" i="1"/>
  <c r="AI981" i="1"/>
  <c r="AH981" i="1"/>
  <c r="AG981" i="1"/>
  <c r="AF981" i="1"/>
  <c r="AS980" i="1"/>
  <c r="AR980" i="1"/>
  <c r="AQ980" i="1"/>
  <c r="AP980" i="1"/>
  <c r="AO980" i="1"/>
  <c r="AN980" i="1"/>
  <c r="AM980" i="1"/>
  <c r="AJ980" i="1"/>
  <c r="AI980" i="1"/>
  <c r="AH980" i="1"/>
  <c r="AG980" i="1"/>
  <c r="AF980" i="1"/>
  <c r="AS979" i="1"/>
  <c r="AR979" i="1"/>
  <c r="AQ979" i="1"/>
  <c r="AP979" i="1"/>
  <c r="AO979" i="1"/>
  <c r="AN979" i="1"/>
  <c r="AM979" i="1"/>
  <c r="AJ979" i="1"/>
  <c r="AI979" i="1"/>
  <c r="AH979" i="1"/>
  <c r="AG979" i="1"/>
  <c r="AF979" i="1"/>
  <c r="AS978" i="1"/>
  <c r="AR978" i="1"/>
  <c r="AQ978" i="1"/>
  <c r="AP978" i="1"/>
  <c r="AO978" i="1"/>
  <c r="AN978" i="1"/>
  <c r="AM978" i="1"/>
  <c r="AJ978" i="1"/>
  <c r="AI978" i="1"/>
  <c r="AH978" i="1"/>
  <c r="AG978" i="1"/>
  <c r="AF978" i="1"/>
  <c r="AS977" i="1"/>
  <c r="AR977" i="1"/>
  <c r="AQ977" i="1"/>
  <c r="AP977" i="1"/>
  <c r="AO977" i="1"/>
  <c r="AN977" i="1"/>
  <c r="AM977" i="1"/>
  <c r="AJ977" i="1"/>
  <c r="AI977" i="1"/>
  <c r="AH977" i="1"/>
  <c r="AG977" i="1"/>
  <c r="AF977" i="1"/>
  <c r="AS976" i="1"/>
  <c r="AR976" i="1"/>
  <c r="AQ976" i="1"/>
  <c r="AP976" i="1"/>
  <c r="AO976" i="1"/>
  <c r="AN976" i="1"/>
  <c r="AM976" i="1"/>
  <c r="AJ976" i="1"/>
  <c r="AI976" i="1"/>
  <c r="AH976" i="1"/>
  <c r="AG976" i="1"/>
  <c r="AF976" i="1"/>
  <c r="AS975" i="1"/>
  <c r="AR975" i="1"/>
  <c r="AQ975" i="1"/>
  <c r="AP975" i="1"/>
  <c r="AO975" i="1"/>
  <c r="AN975" i="1"/>
  <c r="AM975" i="1"/>
  <c r="AJ975" i="1"/>
  <c r="AI975" i="1"/>
  <c r="AH975" i="1"/>
  <c r="AG975" i="1"/>
  <c r="AF975" i="1"/>
  <c r="AS974" i="1"/>
  <c r="AR974" i="1"/>
  <c r="AQ974" i="1"/>
  <c r="AP974" i="1"/>
  <c r="AO974" i="1"/>
  <c r="AN974" i="1"/>
  <c r="AM974" i="1"/>
  <c r="AJ974" i="1"/>
  <c r="AI974" i="1"/>
  <c r="AH974" i="1"/>
  <c r="AG974" i="1"/>
  <c r="AF974" i="1"/>
  <c r="AS973" i="1"/>
  <c r="AR973" i="1"/>
  <c r="AQ973" i="1"/>
  <c r="AP973" i="1"/>
  <c r="AO973" i="1"/>
  <c r="AN973" i="1"/>
  <c r="AM973" i="1"/>
  <c r="AJ973" i="1"/>
  <c r="AI973" i="1"/>
  <c r="AH973" i="1"/>
  <c r="AG973" i="1"/>
  <c r="AF973" i="1"/>
  <c r="AS972" i="1"/>
  <c r="AR972" i="1"/>
  <c r="AQ972" i="1"/>
  <c r="AP972" i="1"/>
  <c r="AO972" i="1"/>
  <c r="AN972" i="1"/>
  <c r="AM972" i="1"/>
  <c r="AJ972" i="1"/>
  <c r="AI972" i="1"/>
  <c r="AH972" i="1"/>
  <c r="AG972" i="1"/>
  <c r="AF972" i="1"/>
  <c r="AS971" i="1"/>
  <c r="AR971" i="1"/>
  <c r="AQ971" i="1"/>
  <c r="AP971" i="1"/>
  <c r="AO971" i="1"/>
  <c r="AN971" i="1"/>
  <c r="AM971" i="1"/>
  <c r="AJ971" i="1"/>
  <c r="AI971" i="1"/>
  <c r="AH971" i="1"/>
  <c r="AG971" i="1"/>
  <c r="AF971" i="1"/>
  <c r="AS970" i="1"/>
  <c r="AR970" i="1"/>
  <c r="AQ970" i="1"/>
  <c r="AP970" i="1"/>
  <c r="AO970" i="1"/>
  <c r="AN970" i="1"/>
  <c r="AM970" i="1"/>
  <c r="AJ970" i="1"/>
  <c r="AI970" i="1"/>
  <c r="AH970" i="1"/>
  <c r="AG970" i="1"/>
  <c r="AF970" i="1"/>
  <c r="AT969" i="1"/>
  <c r="AT970" i="1" s="1"/>
  <c r="AT971" i="1" s="1"/>
  <c r="AT972" i="1" s="1"/>
  <c r="AT973" i="1" s="1"/>
  <c r="AT974" i="1" s="1"/>
  <c r="AT975" i="1" s="1"/>
  <c r="AT976" i="1" s="1"/>
  <c r="AT977" i="1" s="1"/>
  <c r="AT978" i="1" s="1"/>
  <c r="AT979" i="1" s="1"/>
  <c r="AT980" i="1" s="1"/>
  <c r="AT981" i="1" s="1"/>
  <c r="AT982" i="1" s="1"/>
  <c r="AT983" i="1" s="1"/>
  <c r="AT984" i="1" s="1"/>
  <c r="AT985" i="1" s="1"/>
  <c r="AT986" i="1" s="1"/>
  <c r="AS969" i="1"/>
  <c r="AR969" i="1"/>
  <c r="AQ969" i="1"/>
  <c r="AP969" i="1"/>
  <c r="AO969" i="1"/>
  <c r="AN969" i="1"/>
  <c r="AM969" i="1"/>
  <c r="AJ969" i="1"/>
  <c r="AI969" i="1"/>
  <c r="AH969" i="1"/>
  <c r="AG969" i="1"/>
  <c r="AF969" i="1"/>
  <c r="AA986" i="1"/>
  <c r="AA985" i="1"/>
  <c r="AA984" i="1"/>
  <c r="AA983" i="1"/>
  <c r="AA982" i="1"/>
  <c r="AA981" i="1"/>
  <c r="AA980" i="1"/>
  <c r="AA979" i="1"/>
  <c r="AA978" i="1"/>
  <c r="AA977" i="1"/>
  <c r="AA976" i="1"/>
  <c r="AA975" i="1"/>
  <c r="AA974" i="1"/>
  <c r="AA973" i="1"/>
  <c r="AA972" i="1"/>
  <c r="AA971" i="1"/>
  <c r="AA970" i="1"/>
  <c r="AA969" i="1"/>
  <c r="Z986" i="1"/>
  <c r="Z985" i="1"/>
  <c r="Z984" i="1"/>
  <c r="Z983" i="1"/>
  <c r="Z982" i="1"/>
  <c r="Z981" i="1"/>
  <c r="Z980" i="1"/>
  <c r="Z979" i="1"/>
  <c r="Z978" i="1"/>
  <c r="Z977" i="1"/>
  <c r="Z976" i="1"/>
  <c r="Z975" i="1"/>
  <c r="Z974" i="1"/>
  <c r="Z973" i="1"/>
  <c r="Z972" i="1"/>
  <c r="Z971" i="1"/>
  <c r="Z970" i="1"/>
  <c r="Z969" i="1"/>
  <c r="X986" i="1"/>
  <c r="X985" i="1"/>
  <c r="X984" i="1"/>
  <c r="X983" i="1"/>
  <c r="X982" i="1"/>
  <c r="X981" i="1"/>
  <c r="X980" i="1"/>
  <c r="X979" i="1"/>
  <c r="X978" i="1"/>
  <c r="X977" i="1"/>
  <c r="X976" i="1"/>
  <c r="X975" i="1"/>
  <c r="X974" i="1"/>
  <c r="X973" i="1"/>
  <c r="X972" i="1"/>
  <c r="X971" i="1"/>
  <c r="X970" i="1"/>
  <c r="X969" i="1"/>
  <c r="AC986" i="1"/>
  <c r="B986" i="1"/>
  <c r="A986" i="1"/>
  <c r="AC985" i="1"/>
  <c r="B985" i="1"/>
  <c r="A985" i="1"/>
  <c r="AC984" i="1"/>
  <c r="B984" i="1"/>
  <c r="A984" i="1"/>
  <c r="AC983" i="1"/>
  <c r="B983" i="1"/>
  <c r="A983" i="1"/>
  <c r="AC982" i="1"/>
  <c r="B982" i="1"/>
  <c r="A982" i="1"/>
  <c r="AC981" i="1"/>
  <c r="B981" i="1"/>
  <c r="A981" i="1"/>
  <c r="AC980" i="1"/>
  <c r="B980" i="1"/>
  <c r="A980" i="1"/>
  <c r="AC979" i="1"/>
  <c r="B979" i="1"/>
  <c r="A979" i="1"/>
  <c r="AC978" i="1"/>
  <c r="B978" i="1"/>
  <c r="A978" i="1"/>
  <c r="AC977" i="1"/>
  <c r="B977" i="1"/>
  <c r="A977" i="1"/>
  <c r="AC976" i="1"/>
  <c r="B976" i="1"/>
  <c r="A976" i="1"/>
  <c r="AC975" i="1"/>
  <c r="B975" i="1"/>
  <c r="A975" i="1"/>
  <c r="AC974" i="1"/>
  <c r="B974" i="1"/>
  <c r="A974" i="1"/>
  <c r="AC973" i="1"/>
  <c r="B973" i="1"/>
  <c r="A973" i="1"/>
  <c r="AC972" i="1"/>
  <c r="B972" i="1"/>
  <c r="A972" i="1"/>
  <c r="AC971" i="1"/>
  <c r="B971" i="1"/>
  <c r="A971" i="1"/>
  <c r="AC970" i="1"/>
  <c r="B970" i="1"/>
  <c r="A970" i="1"/>
  <c r="AC969" i="1"/>
  <c r="B969" i="1"/>
  <c r="A969" i="1"/>
  <c r="A105" i="1"/>
  <c r="B105" i="1"/>
  <c r="A106" i="1"/>
  <c r="B106" i="1"/>
  <c r="A107" i="1"/>
  <c r="B107" i="1"/>
  <c r="A108" i="1"/>
  <c r="B108" i="1"/>
  <c r="A109" i="1"/>
  <c r="B109" i="1"/>
  <c r="A110" i="1"/>
  <c r="B110" i="1"/>
  <c r="A111" i="1"/>
  <c r="B111" i="1"/>
  <c r="A94" i="1"/>
  <c r="B94" i="1"/>
  <c r="A95" i="1"/>
  <c r="B95" i="1"/>
  <c r="A96" i="1"/>
  <c r="B96" i="1"/>
  <c r="A97" i="1"/>
  <c r="B97" i="1"/>
  <c r="A98" i="1"/>
  <c r="B98" i="1"/>
  <c r="A99" i="1"/>
  <c r="B99" i="1"/>
  <c r="A100" i="1"/>
  <c r="B100" i="1"/>
  <c r="A101" i="1"/>
  <c r="B101" i="1"/>
  <c r="A102" i="1"/>
  <c r="B102" i="1"/>
  <c r="A103" i="1"/>
  <c r="B103" i="1"/>
  <c r="A104" i="1"/>
  <c r="B104" i="1"/>
  <c r="A61" i="1" l="1"/>
  <c r="B61" i="1"/>
  <c r="A62" i="1"/>
  <c r="B62" i="1"/>
  <c r="A63" i="1"/>
  <c r="B63" i="1"/>
  <c r="A64" i="1"/>
  <c r="B64" i="1"/>
  <c r="A65" i="1"/>
  <c r="B65" i="1"/>
  <c r="A66" i="1"/>
  <c r="B66" i="1"/>
  <c r="A67" i="1"/>
  <c r="B67" i="1"/>
  <c r="A68" i="1"/>
  <c r="B68" i="1"/>
  <c r="A69" i="1"/>
  <c r="B69" i="1"/>
  <c r="A70" i="1"/>
  <c r="B70" i="1"/>
  <c r="A71" i="1"/>
  <c r="B71" i="1"/>
  <c r="A72" i="1"/>
  <c r="B72" i="1"/>
  <c r="A73" i="1"/>
  <c r="B73" i="1"/>
  <c r="A74" i="1"/>
  <c r="B74" i="1"/>
  <c r="A75" i="1"/>
  <c r="B75" i="1"/>
  <c r="A76" i="1"/>
  <c r="B76" i="1"/>
  <c r="A77" i="1"/>
  <c r="B77" i="1"/>
  <c r="A78" i="1"/>
  <c r="B78" i="1"/>
  <c r="A79" i="1"/>
  <c r="B79" i="1"/>
  <c r="A80" i="1"/>
  <c r="B80" i="1"/>
  <c r="A81" i="1"/>
  <c r="B81" i="1"/>
  <c r="A82" i="1"/>
  <c r="B82" i="1"/>
  <c r="A83" i="1"/>
  <c r="B83" i="1"/>
  <c r="A84" i="1"/>
  <c r="B84" i="1"/>
  <c r="A85" i="1"/>
  <c r="B85" i="1"/>
  <c r="A86" i="1"/>
  <c r="B86" i="1"/>
  <c r="A87" i="1"/>
  <c r="B87" i="1"/>
  <c r="A88" i="1"/>
  <c r="B88" i="1"/>
  <c r="A89" i="1"/>
  <c r="B89" i="1"/>
  <c r="A90" i="1"/>
  <c r="B90" i="1"/>
  <c r="A91" i="1"/>
  <c r="B91" i="1"/>
  <c r="A92" i="1"/>
  <c r="B92" i="1"/>
  <c r="A93" i="1"/>
  <c r="B93" i="1"/>
  <c r="A43" i="1"/>
  <c r="B43" i="1"/>
  <c r="A44" i="1"/>
  <c r="B44" i="1"/>
  <c r="A45" i="1"/>
  <c r="B45" i="1"/>
  <c r="A46" i="1"/>
  <c r="B46" i="1"/>
  <c r="A51" i="1"/>
  <c r="B51" i="1"/>
  <c r="A52" i="1"/>
  <c r="B52" i="1"/>
  <c r="A53" i="1"/>
  <c r="B53" i="1"/>
  <c r="A54" i="1"/>
  <c r="B54" i="1"/>
  <c r="A55" i="1"/>
  <c r="B55" i="1"/>
  <c r="A56" i="1"/>
  <c r="B56" i="1"/>
  <c r="A57" i="1"/>
  <c r="B57" i="1"/>
  <c r="A58" i="1"/>
  <c r="B58" i="1"/>
  <c r="A59" i="1"/>
  <c r="B59" i="1"/>
  <c r="A60" i="1"/>
  <c r="B60" i="1"/>
  <c r="A34" i="1"/>
  <c r="A35" i="1"/>
  <c r="A36" i="1"/>
  <c r="A37" i="1"/>
  <c r="A38" i="1"/>
  <c r="A39" i="1"/>
  <c r="A40" i="1"/>
  <c r="A41" i="1"/>
  <c r="A42" i="1"/>
  <c r="B34" i="1"/>
  <c r="B35" i="1"/>
  <c r="B36" i="1"/>
  <c r="B37" i="1"/>
  <c r="B38" i="1"/>
  <c r="B39" i="1"/>
  <c r="B40" i="1"/>
  <c r="B41" i="1"/>
  <c r="B42" i="1"/>
  <c r="J18" i="4" l="1"/>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7" i="4"/>
  <c r="E9" i="4" l="1"/>
  <c r="I65" i="13" l="1"/>
  <c r="N44" i="13"/>
  <c r="N33" i="13"/>
  <c r="I10" i="13"/>
  <c r="AF3" i="1" l="1"/>
  <c r="AF4" i="1"/>
  <c r="AF5" i="1"/>
  <c r="AF6" i="1"/>
  <c r="AF7" i="1"/>
  <c r="AF8" i="1"/>
  <c r="AF9" i="1"/>
  <c r="AF10" i="1"/>
  <c r="AF11" i="1"/>
  <c r="AF12" i="1"/>
  <c r="AF13" i="1"/>
  <c r="AF14" i="1"/>
  <c r="AF15" i="1"/>
  <c r="AF16" i="1"/>
  <c r="AF17" i="1"/>
  <c r="AF18" i="1"/>
  <c r="AF19" i="1"/>
  <c r="AF20" i="1"/>
  <c r="AF21" i="1"/>
  <c r="AF22" i="1"/>
  <c r="AF23" i="1"/>
  <c r="AF24" i="1"/>
  <c r="AF25" i="1"/>
  <c r="AF26" i="1"/>
  <c r="AF27" i="1"/>
  <c r="AF28" i="1"/>
  <c r="AF29" i="1"/>
  <c r="AF30" i="1"/>
  <c r="AF31" i="1"/>
  <c r="AF32" i="1"/>
  <c r="AF33" i="1"/>
  <c r="AF34" i="1"/>
  <c r="AF35" i="1"/>
  <c r="AF36" i="1"/>
  <c r="AF37" i="1"/>
  <c r="AF38" i="1"/>
  <c r="AF39" i="1"/>
  <c r="AF40" i="1"/>
  <c r="AF41" i="1"/>
  <c r="AF42" i="1"/>
  <c r="AF43" i="1"/>
  <c r="AF44" i="1"/>
  <c r="AF45" i="1"/>
  <c r="AF46" i="1"/>
  <c r="AF51" i="1"/>
  <c r="AF52" i="1"/>
  <c r="AF53" i="1"/>
  <c r="AF54" i="1"/>
  <c r="AF55" i="1"/>
  <c r="AF56" i="1"/>
  <c r="AF57" i="1"/>
  <c r="AF58" i="1"/>
  <c r="AF59" i="1"/>
  <c r="AF60" i="1"/>
  <c r="AF61" i="1"/>
  <c r="AF62" i="1"/>
  <c r="AF63" i="1"/>
  <c r="AF64" i="1"/>
  <c r="AF65" i="1"/>
  <c r="AF66" i="1"/>
  <c r="AF67" i="1"/>
  <c r="AF68" i="1"/>
  <c r="AF69" i="1"/>
  <c r="AF70" i="1"/>
  <c r="AF71" i="1"/>
  <c r="AF72" i="1"/>
  <c r="AF73" i="1"/>
  <c r="AF74" i="1"/>
  <c r="AF75" i="1"/>
  <c r="AF76" i="1"/>
  <c r="AF77" i="1"/>
  <c r="AF78" i="1"/>
  <c r="AF79" i="1"/>
  <c r="AF80" i="1"/>
  <c r="AF81" i="1"/>
  <c r="AF82" i="1"/>
  <c r="AF83" i="1"/>
  <c r="AF84" i="1"/>
  <c r="AF85" i="1"/>
  <c r="AF86" i="1"/>
  <c r="AF87" i="1"/>
  <c r="AF88" i="1"/>
  <c r="AF89" i="1"/>
  <c r="AF90" i="1"/>
  <c r="AF91" i="1"/>
  <c r="AF92" i="1"/>
  <c r="AF93" i="1"/>
  <c r="AF94" i="1"/>
  <c r="AF95" i="1"/>
  <c r="AF96" i="1"/>
  <c r="AF97" i="1"/>
  <c r="AF98" i="1"/>
  <c r="AF99" i="1"/>
  <c r="AF100" i="1"/>
  <c r="AF101" i="1"/>
  <c r="AF102" i="1"/>
  <c r="AF103" i="1"/>
  <c r="AF104" i="1"/>
  <c r="AF105" i="1"/>
  <c r="AF106" i="1"/>
  <c r="AF107" i="1"/>
  <c r="AF108" i="1"/>
  <c r="AF109" i="1"/>
  <c r="AF110" i="1"/>
  <c r="AF111" i="1"/>
  <c r="AF112" i="1"/>
  <c r="AF113" i="1"/>
  <c r="AF114" i="1"/>
  <c r="AF115" i="1"/>
  <c r="AF116" i="1"/>
  <c r="AF117" i="1"/>
  <c r="AF118" i="1"/>
  <c r="AF119" i="1"/>
  <c r="AF120" i="1"/>
  <c r="AF121" i="1"/>
  <c r="AF122" i="1"/>
  <c r="AF123" i="1"/>
  <c r="AF124" i="1"/>
  <c r="AF125" i="1"/>
  <c r="AF126" i="1"/>
  <c r="AF127" i="1"/>
  <c r="AF128" i="1"/>
  <c r="AF129" i="1"/>
  <c r="AF130" i="1"/>
  <c r="AF131" i="1"/>
  <c r="AF132" i="1"/>
  <c r="AF133" i="1"/>
  <c r="AF134" i="1"/>
  <c r="AF135" i="1"/>
  <c r="AF136" i="1"/>
  <c r="AF137" i="1"/>
  <c r="AF138" i="1"/>
  <c r="AF139" i="1"/>
  <c r="AF140" i="1"/>
  <c r="AF141" i="1"/>
  <c r="AF142" i="1"/>
  <c r="AF143" i="1"/>
  <c r="AF144" i="1"/>
  <c r="AF145"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AF176" i="1"/>
  <c r="AF177" i="1"/>
  <c r="AF178" i="1"/>
  <c r="AF179" i="1"/>
  <c r="AF180" i="1"/>
  <c r="AF181" i="1"/>
  <c r="AF182" i="1"/>
  <c r="AF183" i="1"/>
  <c r="AF184" i="1"/>
  <c r="AF185" i="1"/>
  <c r="AF186" i="1"/>
  <c r="AF187" i="1"/>
  <c r="AF188" i="1"/>
  <c r="AF189" i="1"/>
  <c r="AF190" i="1"/>
  <c r="AF191" i="1"/>
  <c r="AF192" i="1"/>
  <c r="AF193" i="1"/>
  <c r="AF194" i="1"/>
  <c r="AF195" i="1"/>
  <c r="AF196" i="1"/>
  <c r="AF197" i="1"/>
  <c r="AF198" i="1"/>
  <c r="AF199" i="1"/>
  <c r="AF200" i="1"/>
  <c r="AF201" i="1"/>
  <c r="AF202" i="1"/>
  <c r="AF203" i="1"/>
  <c r="AF204" i="1"/>
  <c r="AF205" i="1"/>
  <c r="AF206" i="1"/>
  <c r="AF207" i="1"/>
  <c r="AF208" i="1"/>
  <c r="AF209" i="1"/>
  <c r="AF210" i="1"/>
  <c r="AF211" i="1"/>
  <c r="AF212" i="1"/>
  <c r="AF213" i="1"/>
  <c r="AF214" i="1"/>
  <c r="AF215" i="1"/>
  <c r="AF216" i="1"/>
  <c r="AF217" i="1"/>
  <c r="AF218" i="1"/>
  <c r="AF219" i="1"/>
  <c r="AF220" i="1"/>
  <c r="AF221" i="1"/>
  <c r="AF222" i="1"/>
  <c r="AF223" i="1"/>
  <c r="AF224" i="1"/>
  <c r="AF225" i="1"/>
  <c r="AF226" i="1"/>
  <c r="AF227" i="1"/>
  <c r="AF228" i="1"/>
  <c r="AF229" i="1"/>
  <c r="AF230" i="1"/>
  <c r="AF231" i="1"/>
  <c r="AF232" i="1"/>
  <c r="AF233" i="1"/>
  <c r="AF234" i="1"/>
  <c r="AF235" i="1"/>
  <c r="AF236" i="1"/>
  <c r="AF237" i="1"/>
  <c r="AF238" i="1"/>
  <c r="AF239" i="1"/>
  <c r="AF240" i="1"/>
  <c r="AF241" i="1"/>
  <c r="AF242" i="1"/>
  <c r="AF243" i="1"/>
  <c r="AF244" i="1"/>
  <c r="AF245" i="1"/>
  <c r="AF246" i="1"/>
  <c r="AF247" i="1"/>
  <c r="AF248" i="1"/>
  <c r="AF249" i="1"/>
  <c r="AF250" i="1"/>
  <c r="AF251" i="1"/>
  <c r="AF252" i="1"/>
  <c r="AF253" i="1"/>
  <c r="AF254" i="1"/>
  <c r="AF255" i="1"/>
  <c r="AF256" i="1"/>
  <c r="AF257" i="1"/>
  <c r="AF258" i="1"/>
  <c r="AF259" i="1"/>
  <c r="AF260" i="1"/>
  <c r="AF261" i="1"/>
  <c r="AF262" i="1"/>
  <c r="AF263" i="1"/>
  <c r="AF264" i="1"/>
  <c r="AF265" i="1"/>
  <c r="AF266" i="1"/>
  <c r="AF267" i="1"/>
  <c r="AF268" i="1"/>
  <c r="AF269" i="1"/>
  <c r="AF270" i="1"/>
  <c r="AF271" i="1"/>
  <c r="AF272" i="1"/>
  <c r="AF273" i="1"/>
  <c r="AF274" i="1"/>
  <c r="AF275" i="1"/>
  <c r="AF276" i="1"/>
  <c r="AF277" i="1"/>
  <c r="AF278" i="1"/>
  <c r="AF279" i="1"/>
  <c r="AF280" i="1"/>
  <c r="AF281" i="1"/>
  <c r="AF282" i="1"/>
  <c r="AF283" i="1"/>
  <c r="AF284" i="1"/>
  <c r="AF285" i="1"/>
  <c r="AF286" i="1"/>
  <c r="AF287" i="1"/>
  <c r="AF288" i="1"/>
  <c r="AF289" i="1"/>
  <c r="AF290" i="1"/>
  <c r="AF291" i="1"/>
  <c r="AF292" i="1"/>
  <c r="AF293" i="1"/>
  <c r="AF294" i="1"/>
  <c r="AF295" i="1"/>
  <c r="AF296" i="1"/>
  <c r="AF297" i="1"/>
  <c r="AF298" i="1"/>
  <c r="AF299" i="1"/>
  <c r="AF300" i="1"/>
  <c r="AF301" i="1"/>
  <c r="AF302" i="1"/>
  <c r="AF303" i="1"/>
  <c r="AF304" i="1"/>
  <c r="AF305" i="1"/>
  <c r="AF306" i="1"/>
  <c r="AF307" i="1"/>
  <c r="AF308" i="1"/>
  <c r="AF309" i="1"/>
  <c r="AF310" i="1"/>
  <c r="AF311" i="1"/>
  <c r="AF312" i="1"/>
  <c r="AF313" i="1"/>
  <c r="AF314" i="1"/>
  <c r="AF315" i="1"/>
  <c r="AF316" i="1"/>
  <c r="AF317" i="1"/>
  <c r="AF318" i="1"/>
  <c r="AF319" i="1"/>
  <c r="AF320" i="1"/>
  <c r="AF321" i="1"/>
  <c r="AF322" i="1"/>
  <c r="AF323" i="1"/>
  <c r="AF324" i="1"/>
  <c r="AF325" i="1"/>
  <c r="AF326" i="1"/>
  <c r="AF327" i="1"/>
  <c r="AF328" i="1"/>
  <c r="AF329" i="1"/>
  <c r="AF330" i="1"/>
  <c r="AF331" i="1"/>
  <c r="AF332" i="1"/>
  <c r="AF333" i="1"/>
  <c r="AF334" i="1"/>
  <c r="AF335" i="1"/>
  <c r="AF336" i="1"/>
  <c r="AF337" i="1"/>
  <c r="AF338" i="1"/>
  <c r="AF339" i="1"/>
  <c r="AF340" i="1"/>
  <c r="AF341" i="1"/>
  <c r="AF342" i="1"/>
  <c r="AF343" i="1"/>
  <c r="AF344" i="1"/>
  <c r="AF345" i="1"/>
  <c r="AF346" i="1"/>
  <c r="AF347" i="1"/>
  <c r="AF348" i="1"/>
  <c r="AF349" i="1"/>
  <c r="AF350" i="1"/>
  <c r="AF351" i="1"/>
  <c r="AF352" i="1"/>
  <c r="AF353" i="1"/>
  <c r="AF354" i="1"/>
  <c r="AF355" i="1"/>
  <c r="AF356" i="1"/>
  <c r="AF357" i="1"/>
  <c r="AF358" i="1"/>
  <c r="AF359" i="1"/>
  <c r="AF360" i="1"/>
  <c r="AF361" i="1"/>
  <c r="AF362" i="1"/>
  <c r="AF363" i="1"/>
  <c r="AF364" i="1"/>
  <c r="AF365" i="1"/>
  <c r="AF366" i="1"/>
  <c r="AF367" i="1"/>
  <c r="AF368" i="1"/>
  <c r="AF369" i="1"/>
  <c r="AF370" i="1"/>
  <c r="AF371" i="1"/>
  <c r="AF372" i="1"/>
  <c r="AF373" i="1"/>
  <c r="AF374" i="1"/>
  <c r="AF375" i="1"/>
  <c r="AF376" i="1"/>
  <c r="AF377" i="1"/>
  <c r="AF378" i="1"/>
  <c r="AF379" i="1"/>
  <c r="AF380" i="1"/>
  <c r="AF381" i="1"/>
  <c r="AF382" i="1"/>
  <c r="AF383" i="1"/>
  <c r="AF384" i="1"/>
  <c r="AF385" i="1"/>
  <c r="AF386" i="1"/>
  <c r="AF387" i="1"/>
  <c r="AF388" i="1"/>
  <c r="AF389" i="1"/>
  <c r="AF390" i="1"/>
  <c r="AF391" i="1"/>
  <c r="AF392" i="1"/>
  <c r="AF393" i="1"/>
  <c r="AF394" i="1"/>
  <c r="AF395" i="1"/>
  <c r="AF396" i="1"/>
  <c r="AF397" i="1"/>
  <c r="AF398" i="1"/>
  <c r="AF399" i="1"/>
  <c r="AF400" i="1"/>
  <c r="AF401" i="1"/>
  <c r="AF402" i="1"/>
  <c r="AF403"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AF786" i="1"/>
  <c r="AF787" i="1"/>
  <c r="AF788" i="1"/>
  <c r="AF789" i="1"/>
  <c r="AF790" i="1"/>
  <c r="AF791" i="1"/>
  <c r="AF792" i="1"/>
  <c r="AF793" i="1"/>
  <c r="AF794" i="1"/>
  <c r="AF795" i="1"/>
  <c r="AF796" i="1"/>
  <c r="AF797" i="1"/>
  <c r="AF798" i="1"/>
  <c r="AF799" i="1"/>
  <c r="AF800" i="1"/>
  <c r="AF801" i="1"/>
  <c r="AF802" i="1"/>
  <c r="AF803" i="1"/>
  <c r="AF804" i="1"/>
  <c r="AF805" i="1"/>
  <c r="AF806" i="1"/>
  <c r="AF807" i="1"/>
  <c r="AF808" i="1"/>
  <c r="AF809" i="1"/>
  <c r="AF810" i="1"/>
  <c r="AF811" i="1"/>
  <c r="AF812" i="1"/>
  <c r="AF813" i="1"/>
  <c r="AF814" i="1"/>
  <c r="AF815" i="1"/>
  <c r="AF816" i="1"/>
  <c r="AF817" i="1"/>
  <c r="AF818" i="1"/>
  <c r="AF819" i="1"/>
  <c r="AF820" i="1"/>
  <c r="AF821" i="1"/>
  <c r="AF822" i="1"/>
  <c r="AF823" i="1"/>
  <c r="AF824" i="1"/>
  <c r="AF825" i="1"/>
  <c r="AF826" i="1"/>
  <c r="AF827" i="1"/>
  <c r="AF828" i="1"/>
  <c r="AF829" i="1"/>
  <c r="AF830" i="1"/>
  <c r="AF831" i="1"/>
  <c r="AF832" i="1"/>
  <c r="AF833" i="1"/>
  <c r="AF834" i="1"/>
  <c r="AF835" i="1"/>
  <c r="AF836" i="1"/>
  <c r="AF837" i="1"/>
  <c r="AF838" i="1"/>
  <c r="AF839" i="1"/>
  <c r="AF840" i="1"/>
  <c r="AF841" i="1"/>
  <c r="AF842" i="1"/>
  <c r="AF843" i="1"/>
  <c r="AF844" i="1"/>
  <c r="AF845" i="1"/>
  <c r="AF846" i="1"/>
  <c r="AF847" i="1"/>
  <c r="AF848" i="1"/>
  <c r="AF849" i="1"/>
  <c r="AF850" i="1"/>
  <c r="AF851" i="1"/>
  <c r="AF852" i="1"/>
  <c r="AF853" i="1"/>
  <c r="AF854" i="1"/>
  <c r="AF855" i="1"/>
  <c r="AF856" i="1"/>
  <c r="AF857" i="1"/>
  <c r="AF858" i="1"/>
  <c r="AF859" i="1"/>
  <c r="AF860" i="1"/>
  <c r="AF861" i="1"/>
  <c r="AF862" i="1"/>
  <c r="AF863" i="1"/>
  <c r="AF864" i="1"/>
  <c r="AF865" i="1"/>
  <c r="AF866" i="1"/>
  <c r="AF867" i="1"/>
  <c r="AF868" i="1"/>
  <c r="AF869" i="1"/>
  <c r="AF870" i="1"/>
  <c r="AF871" i="1"/>
  <c r="AF872" i="1"/>
  <c r="AF873" i="1"/>
  <c r="AF874" i="1"/>
  <c r="AF875" i="1"/>
  <c r="AF876" i="1"/>
  <c r="AF877" i="1"/>
  <c r="AF878" i="1"/>
  <c r="AF879" i="1"/>
  <c r="AF880" i="1"/>
  <c r="AF881" i="1"/>
  <c r="AF882" i="1"/>
  <c r="AF883" i="1"/>
  <c r="AF884" i="1"/>
  <c r="AF885" i="1"/>
  <c r="AF886" i="1"/>
  <c r="AF887" i="1"/>
  <c r="AF888" i="1"/>
  <c r="AF889" i="1"/>
  <c r="AF890" i="1"/>
  <c r="AF891" i="1"/>
  <c r="AF892" i="1"/>
  <c r="AF893" i="1"/>
  <c r="AF894" i="1"/>
  <c r="AF895" i="1"/>
  <c r="AF896" i="1"/>
  <c r="AF897" i="1"/>
  <c r="AF898" i="1"/>
  <c r="AF899" i="1"/>
  <c r="AF900" i="1"/>
  <c r="AF901" i="1"/>
  <c r="AF902" i="1"/>
  <c r="AF903" i="1"/>
  <c r="AF904" i="1"/>
  <c r="AF905" i="1"/>
  <c r="AF906" i="1"/>
  <c r="AF907" i="1"/>
  <c r="AF908" i="1"/>
  <c r="AF909" i="1"/>
  <c r="AF910" i="1"/>
  <c r="AF911" i="1"/>
  <c r="AF912" i="1"/>
  <c r="AF913" i="1"/>
  <c r="AF914" i="1"/>
  <c r="AF915" i="1"/>
  <c r="AF916" i="1"/>
  <c r="AF917" i="1"/>
  <c r="AF918" i="1"/>
  <c r="AF919" i="1"/>
  <c r="AF920" i="1"/>
  <c r="AF921" i="1"/>
  <c r="AF922" i="1"/>
  <c r="AF923" i="1"/>
  <c r="AF924" i="1"/>
  <c r="AF925" i="1"/>
  <c r="AF926" i="1"/>
  <c r="AF927" i="1"/>
  <c r="AF928" i="1"/>
  <c r="AF929" i="1"/>
  <c r="AF930" i="1"/>
  <c r="AF931" i="1"/>
  <c r="AF932" i="1"/>
  <c r="AF933" i="1"/>
  <c r="AF934" i="1"/>
  <c r="AF935" i="1"/>
  <c r="AF936" i="1"/>
  <c r="AF937" i="1"/>
  <c r="AF938" i="1"/>
  <c r="AF939" i="1"/>
  <c r="AF940" i="1"/>
  <c r="AF941" i="1"/>
  <c r="AF942" i="1"/>
  <c r="AF943" i="1"/>
  <c r="AF944" i="1"/>
  <c r="AF945" i="1"/>
  <c r="AF946" i="1"/>
  <c r="AF947" i="1"/>
  <c r="AF948" i="1"/>
  <c r="AF949" i="1"/>
  <c r="AF950" i="1"/>
  <c r="AF951" i="1"/>
  <c r="AF952" i="1"/>
  <c r="AF953" i="1"/>
  <c r="AF954" i="1"/>
  <c r="AF955" i="1"/>
  <c r="AF956" i="1"/>
  <c r="AF957" i="1"/>
  <c r="AF958" i="1"/>
  <c r="AF959" i="1"/>
  <c r="AF960" i="1"/>
  <c r="AF961" i="1"/>
  <c r="AF962" i="1"/>
  <c r="AF963" i="1"/>
  <c r="AF964" i="1"/>
  <c r="AF965" i="1"/>
  <c r="AF966" i="1"/>
  <c r="AF2" i="1"/>
  <c r="K17" i="8" l="1"/>
  <c r="K18" i="8"/>
  <c r="K19" i="8"/>
  <c r="K20" i="8"/>
  <c r="K21" i="8"/>
  <c r="K22" i="8"/>
  <c r="K16" i="8"/>
  <c r="T424" i="11" l="1"/>
  <c r="T425" i="11"/>
  <c r="T426" i="11"/>
  <c r="T427" i="11"/>
  <c r="T428" i="11"/>
  <c r="T429" i="11"/>
  <c r="T430" i="11"/>
  <c r="T431" i="11"/>
  <c r="T432" i="11"/>
  <c r="T433" i="11"/>
  <c r="T434" i="11"/>
  <c r="T435" i="11"/>
  <c r="T436" i="11"/>
  <c r="T437" i="11"/>
  <c r="T438" i="11"/>
  <c r="T439" i="11"/>
  <c r="T440" i="11"/>
  <c r="T441" i="11"/>
  <c r="T442" i="11"/>
  <c r="T443" i="11"/>
  <c r="T444" i="11"/>
  <c r="T445" i="11"/>
  <c r="T446" i="11"/>
  <c r="T447" i="11"/>
  <c r="T448" i="11"/>
  <c r="T449" i="11"/>
  <c r="T450" i="11"/>
  <c r="T451" i="11"/>
  <c r="T452" i="11"/>
  <c r="T453" i="11"/>
  <c r="T454" i="11"/>
  <c r="T455" i="11"/>
  <c r="T456" i="11"/>
  <c r="T457" i="11"/>
  <c r="T458" i="11"/>
  <c r="T459" i="11"/>
  <c r="T460" i="11"/>
  <c r="T461" i="11"/>
  <c r="T462" i="11"/>
  <c r="T463" i="11"/>
  <c r="T464" i="11"/>
  <c r="T465" i="11"/>
  <c r="T466" i="11"/>
  <c r="T467" i="11"/>
  <c r="T468" i="11"/>
  <c r="T469" i="11"/>
  <c r="T470" i="11"/>
  <c r="T471" i="11"/>
  <c r="T472" i="11"/>
  <c r="T473" i="11"/>
  <c r="T474" i="11"/>
  <c r="T475" i="11"/>
  <c r="T476" i="11"/>
  <c r="T477" i="11"/>
  <c r="T478" i="11"/>
  <c r="T479" i="11"/>
  <c r="T480" i="11"/>
  <c r="T481" i="11"/>
  <c r="T482" i="11"/>
  <c r="T483" i="11"/>
  <c r="T484" i="11"/>
  <c r="T485" i="11"/>
  <c r="T486" i="11"/>
  <c r="T487" i="11"/>
  <c r="T488" i="11"/>
  <c r="T489" i="11"/>
  <c r="T490" i="11"/>
  <c r="T491" i="11"/>
  <c r="T492" i="11"/>
  <c r="T493" i="11"/>
  <c r="T494" i="11"/>
  <c r="T495" i="11"/>
  <c r="T496" i="11"/>
  <c r="T497" i="11"/>
  <c r="T498" i="11"/>
  <c r="T499" i="11"/>
  <c r="T500" i="11"/>
  <c r="T501" i="11"/>
  <c r="T502" i="11"/>
  <c r="T503" i="11"/>
  <c r="T504" i="11"/>
  <c r="T505" i="11"/>
  <c r="T506" i="11"/>
  <c r="T507" i="11"/>
  <c r="T508" i="11"/>
  <c r="T509" i="11"/>
  <c r="T510" i="11"/>
  <c r="T511" i="11"/>
  <c r="T512" i="11"/>
  <c r="T513" i="11"/>
  <c r="T514" i="11"/>
  <c r="T515" i="11"/>
  <c r="T516" i="11"/>
  <c r="T517" i="11"/>
  <c r="T518" i="11"/>
  <c r="T519" i="11"/>
  <c r="T520" i="11"/>
  <c r="T521" i="11"/>
  <c r="T522" i="11"/>
  <c r="T523" i="11"/>
  <c r="T524" i="11"/>
  <c r="T525" i="11"/>
  <c r="T526" i="11"/>
  <c r="T527" i="11"/>
  <c r="T528" i="11"/>
  <c r="T529" i="11"/>
  <c r="T530" i="11"/>
  <c r="T531" i="11"/>
  <c r="T532" i="11"/>
  <c r="T533" i="11"/>
  <c r="T534" i="11"/>
  <c r="T535" i="11"/>
  <c r="T536" i="11"/>
  <c r="T537" i="11"/>
  <c r="T538" i="11"/>
  <c r="T539" i="11"/>
  <c r="T540" i="11"/>
  <c r="T541" i="11"/>
  <c r="T542" i="11"/>
  <c r="T543" i="11"/>
  <c r="T544" i="11"/>
  <c r="T545" i="11"/>
  <c r="T546" i="11"/>
  <c r="T547" i="11"/>
  <c r="T548" i="11"/>
  <c r="T549" i="11"/>
  <c r="T550" i="11"/>
  <c r="T551" i="11"/>
  <c r="T552" i="11"/>
  <c r="T553" i="11"/>
  <c r="T554" i="11"/>
  <c r="T555" i="11"/>
  <c r="T556" i="11"/>
  <c r="T557" i="11"/>
  <c r="T558" i="11"/>
  <c r="T559" i="11"/>
  <c r="T560" i="11"/>
  <c r="T561" i="11"/>
  <c r="T562" i="11"/>
  <c r="T563" i="11"/>
  <c r="T564" i="11"/>
  <c r="T565" i="11"/>
  <c r="T566" i="11"/>
  <c r="T567" i="11"/>
  <c r="T568" i="11"/>
  <c r="T569" i="11"/>
  <c r="T570" i="11"/>
  <c r="T571" i="11"/>
  <c r="T572" i="11"/>
  <c r="T573" i="11"/>
  <c r="T574" i="11"/>
  <c r="T575" i="11"/>
  <c r="T576" i="11"/>
  <c r="T577" i="11"/>
  <c r="T578" i="11"/>
  <c r="T579" i="11"/>
  <c r="T580" i="11"/>
  <c r="T581" i="11"/>
  <c r="T582" i="11"/>
  <c r="T583" i="11"/>
  <c r="T584" i="11"/>
  <c r="T585" i="11"/>
  <c r="T586" i="11"/>
  <c r="T587" i="11"/>
  <c r="T588" i="11"/>
  <c r="T589" i="11"/>
  <c r="T590" i="11"/>
  <c r="T591" i="11"/>
  <c r="T592" i="11"/>
  <c r="T593" i="11"/>
  <c r="T594" i="11"/>
  <c r="T595" i="11"/>
  <c r="T596" i="11"/>
  <c r="T597" i="11"/>
  <c r="T598" i="11"/>
  <c r="T599" i="11"/>
  <c r="T600" i="11"/>
  <c r="T601" i="11"/>
  <c r="T602" i="11"/>
  <c r="T603" i="11"/>
  <c r="T604" i="11"/>
  <c r="T605" i="11"/>
  <c r="T606" i="11"/>
  <c r="T607" i="11"/>
  <c r="T608" i="11"/>
  <c r="T609" i="11"/>
  <c r="T610" i="11"/>
  <c r="T611" i="11"/>
  <c r="T612" i="11"/>
  <c r="T613" i="11"/>
  <c r="T614" i="11"/>
  <c r="T615" i="11"/>
  <c r="T616" i="11"/>
  <c r="T617" i="11"/>
  <c r="T618" i="11"/>
  <c r="T619" i="11"/>
  <c r="T620" i="11"/>
  <c r="T621" i="11"/>
  <c r="T622" i="11"/>
  <c r="T623" i="11"/>
  <c r="T624" i="11"/>
  <c r="T625" i="11"/>
  <c r="T626" i="11"/>
  <c r="T627" i="11"/>
  <c r="T628" i="11"/>
  <c r="T629" i="11"/>
  <c r="T630" i="11"/>
  <c r="T631" i="11"/>
  <c r="T632" i="11"/>
  <c r="T633" i="11"/>
  <c r="T634" i="11"/>
  <c r="T635" i="11"/>
  <c r="T636" i="11"/>
  <c r="T637" i="11"/>
  <c r="T638" i="11"/>
  <c r="T639" i="11"/>
  <c r="T640" i="11"/>
  <c r="T641" i="11"/>
  <c r="T642" i="11"/>
  <c r="T643" i="11"/>
  <c r="T644" i="11"/>
  <c r="T645" i="11"/>
  <c r="T646" i="11"/>
  <c r="T647" i="11"/>
  <c r="T648" i="11"/>
  <c r="T649" i="11"/>
  <c r="T650" i="11"/>
  <c r="T651" i="11"/>
  <c r="T652" i="11"/>
  <c r="T653" i="11"/>
  <c r="T654" i="11"/>
  <c r="T655" i="11"/>
  <c r="T656" i="11"/>
  <c r="T657" i="11"/>
  <c r="T658" i="11"/>
  <c r="T659" i="11"/>
  <c r="T660" i="11"/>
  <c r="T661" i="11"/>
  <c r="T662" i="11"/>
  <c r="T663" i="11"/>
  <c r="T664" i="11"/>
  <c r="T665" i="11"/>
  <c r="T666" i="11"/>
  <c r="T667" i="11"/>
  <c r="T668" i="11"/>
  <c r="T669" i="11"/>
  <c r="T670" i="11"/>
  <c r="T671" i="11"/>
  <c r="T672" i="11"/>
  <c r="T673" i="11"/>
  <c r="T674" i="11"/>
  <c r="T675" i="11"/>
  <c r="T676" i="11"/>
  <c r="T677" i="11"/>
  <c r="T678" i="11"/>
  <c r="T679" i="11"/>
  <c r="T680" i="11"/>
  <c r="T681" i="11"/>
  <c r="T682" i="11"/>
  <c r="T683" i="11"/>
  <c r="T684" i="11"/>
  <c r="T685" i="11"/>
  <c r="T686" i="11"/>
  <c r="T687" i="11"/>
  <c r="T688" i="11"/>
  <c r="T689" i="11"/>
  <c r="T690" i="11"/>
  <c r="T691" i="11"/>
  <c r="T692" i="11"/>
  <c r="T693" i="11"/>
  <c r="T694" i="11"/>
  <c r="T695" i="11"/>
  <c r="T696" i="11"/>
  <c r="T697" i="11"/>
  <c r="T698" i="11"/>
  <c r="T699" i="11"/>
  <c r="T700" i="11"/>
  <c r="T701" i="11"/>
  <c r="T702" i="11"/>
  <c r="T703" i="11"/>
  <c r="T704" i="11"/>
  <c r="T705" i="11"/>
  <c r="T706" i="11"/>
  <c r="T707" i="11"/>
  <c r="T708" i="11"/>
  <c r="T709" i="11"/>
  <c r="T710" i="11"/>
  <c r="T711" i="11"/>
  <c r="T712" i="11"/>
  <c r="T713" i="11"/>
  <c r="T714" i="11"/>
  <c r="T715" i="11"/>
  <c r="T716" i="11"/>
  <c r="T717" i="11"/>
  <c r="T718" i="11"/>
  <c r="T719" i="11"/>
  <c r="T720" i="11"/>
  <c r="T721" i="11"/>
  <c r="T722" i="11"/>
  <c r="T723" i="11"/>
  <c r="T724" i="11"/>
  <c r="T725" i="11"/>
  <c r="T726" i="11"/>
  <c r="T727" i="11"/>
  <c r="T728" i="11"/>
  <c r="T729" i="11"/>
  <c r="T730" i="11"/>
  <c r="T731" i="11"/>
  <c r="T732" i="11"/>
  <c r="T733" i="11"/>
  <c r="T734" i="11"/>
  <c r="T735" i="11"/>
  <c r="T736" i="11"/>
  <c r="T737" i="11"/>
  <c r="T738" i="11"/>
  <c r="T739" i="11"/>
  <c r="T740" i="11"/>
  <c r="T741" i="11"/>
  <c r="T742" i="11"/>
  <c r="T743" i="11"/>
  <c r="T744" i="11"/>
  <c r="T745" i="11"/>
  <c r="T746" i="11"/>
  <c r="T747" i="11"/>
  <c r="T748" i="11"/>
  <c r="T749" i="11"/>
  <c r="T750" i="11"/>
  <c r="T751" i="11"/>
  <c r="T752" i="11"/>
  <c r="T753" i="11"/>
  <c r="T754" i="11"/>
  <c r="T755" i="11"/>
  <c r="T756" i="11"/>
  <c r="T757" i="11"/>
  <c r="T758" i="11"/>
  <c r="T759" i="11"/>
  <c r="T760" i="11"/>
  <c r="T761" i="11"/>
  <c r="T762" i="11"/>
  <c r="T763" i="11"/>
  <c r="T764" i="11"/>
  <c r="T765" i="11"/>
  <c r="T766" i="11"/>
  <c r="T767" i="11"/>
  <c r="T768" i="11"/>
  <c r="T769" i="11"/>
  <c r="T770" i="11"/>
  <c r="T771" i="11"/>
  <c r="T772" i="11"/>
  <c r="T773" i="11"/>
  <c r="T774" i="11"/>
  <c r="T775" i="11"/>
  <c r="T776" i="11"/>
  <c r="T777" i="11"/>
  <c r="T778" i="11"/>
  <c r="T779" i="11"/>
  <c r="T780" i="11"/>
  <c r="T781" i="11"/>
  <c r="T782" i="11"/>
  <c r="T783" i="11"/>
  <c r="T784" i="11"/>
  <c r="T785" i="11"/>
  <c r="T786" i="11"/>
  <c r="T787" i="11"/>
  <c r="T788" i="11"/>
  <c r="T789" i="11"/>
  <c r="T790" i="11"/>
  <c r="T791" i="11"/>
  <c r="T792" i="11"/>
  <c r="T793" i="11"/>
  <c r="T794" i="11"/>
  <c r="T795" i="11"/>
  <c r="T796" i="11"/>
  <c r="T797" i="11"/>
  <c r="T798" i="11"/>
  <c r="T799" i="11"/>
  <c r="T800" i="11"/>
  <c r="T801" i="11"/>
  <c r="T802" i="11"/>
  <c r="T803" i="11"/>
  <c r="T804" i="11"/>
  <c r="T805" i="11"/>
  <c r="T806" i="11"/>
  <c r="T807" i="11"/>
  <c r="T808" i="11"/>
  <c r="T809" i="11"/>
  <c r="T810" i="11"/>
  <c r="T811" i="11"/>
  <c r="T812" i="11"/>
  <c r="T813" i="11"/>
  <c r="T814" i="11"/>
  <c r="T815" i="11"/>
  <c r="T816" i="11"/>
  <c r="T817" i="11"/>
  <c r="T818" i="11"/>
  <c r="T819" i="11"/>
  <c r="T820" i="11"/>
  <c r="T821" i="11"/>
  <c r="T822" i="11"/>
  <c r="T823" i="11"/>
  <c r="T824" i="11"/>
  <c r="T825" i="11"/>
  <c r="T826" i="11"/>
  <c r="T827" i="11"/>
  <c r="T828" i="11"/>
  <c r="T829" i="11"/>
  <c r="T830" i="11"/>
  <c r="T831" i="11"/>
  <c r="T832" i="11"/>
  <c r="T833" i="11"/>
  <c r="T834" i="11"/>
  <c r="T835" i="11"/>
  <c r="T836" i="11"/>
  <c r="T837" i="11"/>
  <c r="T838" i="11"/>
  <c r="T839" i="11"/>
  <c r="T840" i="11"/>
  <c r="T841" i="11"/>
  <c r="T842" i="11"/>
  <c r="T843" i="11"/>
  <c r="T844" i="11"/>
  <c r="T845" i="11"/>
  <c r="T846" i="11"/>
  <c r="T847" i="11"/>
  <c r="T848" i="11"/>
  <c r="T849" i="11"/>
  <c r="T850" i="11"/>
  <c r="T851" i="11"/>
  <c r="T852" i="11"/>
  <c r="T853" i="11"/>
  <c r="T854" i="11"/>
  <c r="T855" i="11"/>
  <c r="T856" i="11"/>
  <c r="T857" i="11"/>
  <c r="T858" i="11"/>
  <c r="T859" i="11"/>
  <c r="T860" i="11"/>
  <c r="T861" i="11"/>
  <c r="T862" i="11"/>
  <c r="T863" i="11"/>
  <c r="T864" i="11"/>
  <c r="T865" i="11"/>
  <c r="T866" i="11"/>
  <c r="T867" i="11"/>
  <c r="T868" i="11"/>
  <c r="T869" i="11"/>
  <c r="T870" i="11"/>
  <c r="T871" i="11"/>
  <c r="T872" i="11"/>
  <c r="T873" i="11"/>
  <c r="T874" i="11"/>
  <c r="T875" i="11"/>
  <c r="T876" i="11"/>
  <c r="T877" i="11"/>
  <c r="T878" i="11"/>
  <c r="T879" i="11"/>
  <c r="T880" i="11"/>
  <c r="T881" i="11"/>
  <c r="T882" i="11"/>
  <c r="T883" i="11"/>
  <c r="T884" i="11"/>
  <c r="T885" i="11"/>
  <c r="T886" i="11"/>
  <c r="T887" i="11"/>
  <c r="T888" i="11"/>
  <c r="T889" i="11"/>
  <c r="T890" i="11"/>
  <c r="T891" i="11"/>
  <c r="T892" i="11"/>
  <c r="T893" i="11"/>
  <c r="T894" i="11"/>
  <c r="T895" i="11"/>
  <c r="T896" i="11"/>
  <c r="T897" i="11"/>
  <c r="T898" i="11"/>
  <c r="T899" i="11"/>
  <c r="T900" i="11"/>
  <c r="T901" i="11"/>
  <c r="T902" i="11"/>
  <c r="T903" i="11"/>
  <c r="T904" i="11"/>
  <c r="T905" i="11"/>
  <c r="T906" i="11"/>
  <c r="T907" i="11"/>
  <c r="T908" i="11"/>
  <c r="T909" i="11"/>
  <c r="T910" i="11"/>
  <c r="T911" i="11"/>
  <c r="T912" i="11"/>
  <c r="T913" i="11"/>
  <c r="T914" i="11"/>
  <c r="T915" i="11"/>
  <c r="T916" i="11"/>
  <c r="T917" i="11"/>
  <c r="T918" i="11"/>
  <c r="T919" i="11"/>
  <c r="T920" i="11"/>
  <c r="T921" i="11"/>
  <c r="T922" i="11"/>
  <c r="T923" i="11"/>
  <c r="T924" i="11"/>
  <c r="T925" i="11"/>
  <c r="T926" i="11"/>
  <c r="T927" i="11"/>
  <c r="T928" i="11"/>
  <c r="T929" i="11"/>
  <c r="T930" i="11"/>
  <c r="T931" i="11"/>
  <c r="T932" i="11"/>
  <c r="T933" i="11"/>
  <c r="T934" i="11"/>
  <c r="T935" i="11"/>
  <c r="T936" i="11"/>
  <c r="T937" i="11"/>
  <c r="T938" i="11"/>
  <c r="T939" i="11"/>
  <c r="T940" i="11"/>
  <c r="T941" i="11"/>
  <c r="T942" i="11"/>
  <c r="T943" i="11"/>
  <c r="T944" i="11"/>
  <c r="T945" i="11"/>
  <c r="T946" i="11"/>
  <c r="T947" i="11"/>
  <c r="T948" i="11"/>
  <c r="T949" i="11"/>
  <c r="T950" i="11"/>
  <c r="T951" i="11"/>
  <c r="T952" i="11"/>
  <c r="T953" i="11"/>
  <c r="T954" i="11"/>
  <c r="T955" i="11"/>
  <c r="T956" i="11"/>
  <c r="T957" i="11"/>
  <c r="T958" i="11"/>
  <c r="T959" i="11"/>
  <c r="T960" i="11"/>
  <c r="T961" i="11"/>
  <c r="T962" i="11"/>
  <c r="T963" i="11"/>
  <c r="T964" i="11"/>
  <c r="T965" i="11"/>
  <c r="T966" i="11"/>
  <c r="T967" i="11"/>
  <c r="T968" i="11"/>
  <c r="T969" i="11"/>
  <c r="T970" i="11"/>
  <c r="T971" i="11"/>
  <c r="T972" i="11"/>
  <c r="T973" i="11"/>
  <c r="T974" i="11"/>
  <c r="T975" i="11"/>
  <c r="T976" i="11"/>
  <c r="T977" i="11"/>
  <c r="T978" i="11"/>
  <c r="T979" i="11"/>
  <c r="T980" i="11"/>
  <c r="T981" i="11"/>
  <c r="T982" i="11"/>
  <c r="T983" i="11"/>
  <c r="T984" i="11"/>
  <c r="T985" i="11"/>
  <c r="T986" i="11"/>
  <c r="T987" i="11"/>
  <c r="T988" i="11"/>
  <c r="T989" i="11"/>
  <c r="T990" i="11"/>
  <c r="T991" i="11"/>
  <c r="T992" i="11"/>
  <c r="T993" i="11"/>
  <c r="T2" i="11"/>
  <c r="S469" i="11"/>
  <c r="S470" i="11"/>
  <c r="S471" i="11"/>
  <c r="S472" i="11"/>
  <c r="S473" i="11"/>
  <c r="S474" i="11"/>
  <c r="S475" i="11"/>
  <c r="S476" i="11"/>
  <c r="S477" i="11"/>
  <c r="S478" i="11"/>
  <c r="S479" i="11"/>
  <c r="S480" i="11"/>
  <c r="S481" i="11"/>
  <c r="S482" i="11"/>
  <c r="S483" i="11"/>
  <c r="S484" i="11"/>
  <c r="S485" i="11"/>
  <c r="S486" i="11"/>
  <c r="S487" i="11"/>
  <c r="S488" i="11"/>
  <c r="S489" i="11"/>
  <c r="S490" i="11"/>
  <c r="S491" i="11"/>
  <c r="S492" i="11"/>
  <c r="S493" i="11"/>
  <c r="S494" i="11"/>
  <c r="S495" i="11"/>
  <c r="S496" i="11"/>
  <c r="S497" i="11"/>
  <c r="S498" i="11"/>
  <c r="S499" i="11"/>
  <c r="S500" i="11"/>
  <c r="S501" i="11"/>
  <c r="S502" i="11"/>
  <c r="S503" i="11"/>
  <c r="S504" i="11"/>
  <c r="S505" i="11"/>
  <c r="S506" i="11"/>
  <c r="S507" i="11"/>
  <c r="S508" i="11"/>
  <c r="S509" i="11"/>
  <c r="S510" i="11"/>
  <c r="S511" i="11"/>
  <c r="S512" i="11"/>
  <c r="S513" i="11"/>
  <c r="S514" i="11"/>
  <c r="S515" i="11"/>
  <c r="S516" i="11"/>
  <c r="S517" i="11"/>
  <c r="S518" i="11"/>
  <c r="S519" i="11"/>
  <c r="S520" i="11"/>
  <c r="S521" i="11"/>
  <c r="S522" i="11"/>
  <c r="S523" i="11"/>
  <c r="S524" i="11"/>
  <c r="S525" i="11"/>
  <c r="S526" i="11"/>
  <c r="S527" i="11"/>
  <c r="S528" i="11"/>
  <c r="S529" i="11"/>
  <c r="S530" i="11"/>
  <c r="S531" i="11"/>
  <c r="S532" i="11"/>
  <c r="S533" i="11"/>
  <c r="S534" i="11"/>
  <c r="S535" i="11"/>
  <c r="S536" i="11"/>
  <c r="S537" i="11"/>
  <c r="S538" i="11"/>
  <c r="S539" i="11"/>
  <c r="S540" i="11"/>
  <c r="S541" i="11"/>
  <c r="S542" i="11"/>
  <c r="S543" i="11"/>
  <c r="S544" i="11"/>
  <c r="S545" i="11"/>
  <c r="S546" i="11"/>
  <c r="S547" i="11"/>
  <c r="S548" i="11"/>
  <c r="S549" i="11"/>
  <c r="S550" i="11"/>
  <c r="S551" i="11"/>
  <c r="S552" i="11"/>
  <c r="S553" i="11"/>
  <c r="S554" i="11"/>
  <c r="S555" i="11"/>
  <c r="S556" i="11"/>
  <c r="S557" i="11"/>
  <c r="S558" i="11"/>
  <c r="S559" i="11"/>
  <c r="S560" i="11"/>
  <c r="S561" i="11"/>
  <c r="S562" i="11"/>
  <c r="S563" i="11"/>
  <c r="S564" i="11"/>
  <c r="S565" i="11"/>
  <c r="S566" i="11"/>
  <c r="S567" i="11"/>
  <c r="S568" i="11"/>
  <c r="S569" i="11"/>
  <c r="S570" i="11"/>
  <c r="S571" i="11"/>
  <c r="S572" i="11"/>
  <c r="S573" i="11"/>
  <c r="S574" i="11"/>
  <c r="S575" i="11"/>
  <c r="S576" i="11"/>
  <c r="S577" i="11"/>
  <c r="S578" i="11"/>
  <c r="S579" i="11"/>
  <c r="S580" i="11"/>
  <c r="S581" i="11"/>
  <c r="S582" i="11"/>
  <c r="S583" i="11"/>
  <c r="S584" i="11"/>
  <c r="S585" i="11"/>
  <c r="S586" i="11"/>
  <c r="S587" i="11"/>
  <c r="S588" i="11"/>
  <c r="S589" i="11"/>
  <c r="S590" i="11"/>
  <c r="S591" i="11"/>
  <c r="S592" i="11"/>
  <c r="S593" i="11"/>
  <c r="S594" i="11"/>
  <c r="S595" i="11"/>
  <c r="S596" i="11"/>
  <c r="S597" i="11"/>
  <c r="S598" i="11"/>
  <c r="S599" i="11"/>
  <c r="S600" i="11"/>
  <c r="S601" i="11"/>
  <c r="S602" i="11"/>
  <c r="S603" i="11"/>
  <c r="S604" i="11"/>
  <c r="S605" i="11"/>
  <c r="S606" i="11"/>
  <c r="S607" i="11"/>
  <c r="S608" i="11"/>
  <c r="S609" i="11"/>
  <c r="S610" i="11"/>
  <c r="S611" i="11"/>
  <c r="S612" i="11"/>
  <c r="S613" i="11"/>
  <c r="S614" i="11"/>
  <c r="S615" i="11"/>
  <c r="S616" i="11"/>
  <c r="S617" i="11"/>
  <c r="S618" i="11"/>
  <c r="S619" i="11"/>
  <c r="S620" i="11"/>
  <c r="S621" i="11"/>
  <c r="S622" i="11"/>
  <c r="S623" i="11"/>
  <c r="S624" i="11"/>
  <c r="S625" i="11"/>
  <c r="S626" i="11"/>
  <c r="S627" i="11"/>
  <c r="S628" i="11"/>
  <c r="S629" i="11"/>
  <c r="S630" i="11"/>
  <c r="S631" i="11"/>
  <c r="S632" i="11"/>
  <c r="S633" i="11"/>
  <c r="S634" i="11"/>
  <c r="S635" i="11"/>
  <c r="S636" i="11"/>
  <c r="S637" i="11"/>
  <c r="S638" i="11"/>
  <c r="S639" i="11"/>
  <c r="S640" i="11"/>
  <c r="S641" i="11"/>
  <c r="S642" i="11"/>
  <c r="S643" i="11"/>
  <c r="S644" i="11"/>
  <c r="S645" i="11"/>
  <c r="S646" i="11"/>
  <c r="S647" i="11"/>
  <c r="S648" i="11"/>
  <c r="S649" i="11"/>
  <c r="S650" i="11"/>
  <c r="S651" i="11"/>
  <c r="S652" i="11"/>
  <c r="S653" i="11"/>
  <c r="S654" i="11"/>
  <c r="S655" i="11"/>
  <c r="S656" i="11"/>
  <c r="S657" i="11"/>
  <c r="S658" i="11"/>
  <c r="S659" i="11"/>
  <c r="S660" i="11"/>
  <c r="S661" i="11"/>
  <c r="S662" i="11"/>
  <c r="S663" i="11"/>
  <c r="S664" i="11"/>
  <c r="S665" i="11"/>
  <c r="S666" i="11"/>
  <c r="S667" i="11"/>
  <c r="S668" i="11"/>
  <c r="S669" i="11"/>
  <c r="S670" i="11"/>
  <c r="S671" i="11"/>
  <c r="S672" i="11"/>
  <c r="S673" i="11"/>
  <c r="S674" i="11"/>
  <c r="S675" i="11"/>
  <c r="S676" i="11"/>
  <c r="S677" i="11"/>
  <c r="S678" i="11"/>
  <c r="S679" i="11"/>
  <c r="S680" i="11"/>
  <c r="S681" i="11"/>
  <c r="S682" i="11"/>
  <c r="S683" i="11"/>
  <c r="S684" i="11"/>
  <c r="S685" i="11"/>
  <c r="S686" i="11"/>
  <c r="S687" i="11"/>
  <c r="S688" i="11"/>
  <c r="S689" i="11"/>
  <c r="S690" i="11"/>
  <c r="S691" i="11"/>
  <c r="S692" i="11"/>
  <c r="S693" i="11"/>
  <c r="S694" i="11"/>
  <c r="S695" i="11"/>
  <c r="S696" i="11"/>
  <c r="S697" i="11"/>
  <c r="S698" i="11"/>
  <c r="S699" i="11"/>
  <c r="S700" i="11"/>
  <c r="S701" i="11"/>
  <c r="S702" i="11"/>
  <c r="S703" i="11"/>
  <c r="S704" i="11"/>
  <c r="S705" i="11"/>
  <c r="S706" i="11"/>
  <c r="S707" i="11"/>
  <c r="S708" i="11"/>
  <c r="S709" i="11"/>
  <c r="S710" i="11"/>
  <c r="S711" i="11"/>
  <c r="S712" i="11"/>
  <c r="S713" i="11"/>
  <c r="S714" i="11"/>
  <c r="S715" i="11"/>
  <c r="S716" i="11"/>
  <c r="S717" i="11"/>
  <c r="S718" i="11"/>
  <c r="S719" i="11"/>
  <c r="S720" i="11"/>
  <c r="S721" i="11"/>
  <c r="S722" i="11"/>
  <c r="S723" i="11"/>
  <c r="S724" i="11"/>
  <c r="S725" i="11"/>
  <c r="S726" i="11"/>
  <c r="S727" i="11"/>
  <c r="S728" i="11"/>
  <c r="S729" i="11"/>
  <c r="S730" i="11"/>
  <c r="S731" i="11"/>
  <c r="S732" i="11"/>
  <c r="S733" i="11"/>
  <c r="S734" i="11"/>
  <c r="S735" i="11"/>
  <c r="S736" i="11"/>
  <c r="S737" i="11"/>
  <c r="S738" i="11"/>
  <c r="S739" i="11"/>
  <c r="S740" i="11"/>
  <c r="S741" i="11"/>
  <c r="S742" i="11"/>
  <c r="S743" i="11"/>
  <c r="S744" i="11"/>
  <c r="S745" i="11"/>
  <c r="S746" i="11"/>
  <c r="S747" i="11"/>
  <c r="S748" i="11"/>
  <c r="S749" i="11"/>
  <c r="S750" i="11"/>
  <c r="S751" i="11"/>
  <c r="S752" i="11"/>
  <c r="S753" i="11"/>
  <c r="S754" i="11"/>
  <c r="S755" i="11"/>
  <c r="S756" i="11"/>
  <c r="S757" i="11"/>
  <c r="S758" i="11"/>
  <c r="S759" i="11"/>
  <c r="S760" i="11"/>
  <c r="S761" i="11"/>
  <c r="S762" i="11"/>
  <c r="S763" i="11"/>
  <c r="S764" i="11"/>
  <c r="S765" i="11"/>
  <c r="S766" i="11"/>
  <c r="S767" i="11"/>
  <c r="S768" i="11"/>
  <c r="S769" i="11"/>
  <c r="S770" i="11"/>
  <c r="S771" i="11"/>
  <c r="S772" i="11"/>
  <c r="S773" i="11"/>
  <c r="S774" i="11"/>
  <c r="S775" i="11"/>
  <c r="S776" i="11"/>
  <c r="S777" i="11"/>
  <c r="S778" i="11"/>
  <c r="S779" i="11"/>
  <c r="S780" i="11"/>
  <c r="S781" i="11"/>
  <c r="S782" i="11"/>
  <c r="S783" i="11"/>
  <c r="S784" i="11"/>
  <c r="S785" i="11"/>
  <c r="S786" i="11"/>
  <c r="S787" i="11"/>
  <c r="S788" i="11"/>
  <c r="S789" i="11"/>
  <c r="S790" i="11"/>
  <c r="S791" i="11"/>
  <c r="S792" i="11"/>
  <c r="S793" i="11"/>
  <c r="S794" i="11"/>
  <c r="S795" i="11"/>
  <c r="S796" i="11"/>
  <c r="S797" i="11"/>
  <c r="S798" i="11"/>
  <c r="S799" i="11"/>
  <c r="S800" i="11"/>
  <c r="S801" i="11"/>
  <c r="S802" i="11"/>
  <c r="S803" i="11"/>
  <c r="S804" i="11"/>
  <c r="S805" i="11"/>
  <c r="S806" i="11"/>
  <c r="S807" i="11"/>
  <c r="S808" i="11"/>
  <c r="S809" i="11"/>
  <c r="S810" i="11"/>
  <c r="S811" i="11"/>
  <c r="S812" i="11"/>
  <c r="S813" i="11"/>
  <c r="S814" i="11"/>
  <c r="S815" i="11"/>
  <c r="S816" i="11"/>
  <c r="S817" i="1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940" i="11"/>
  <c r="S941" i="11"/>
  <c r="S942" i="11"/>
  <c r="S943" i="11"/>
  <c r="S944" i="11"/>
  <c r="S945" i="11"/>
  <c r="S946" i="11"/>
  <c r="S947" i="11"/>
  <c r="S948" i="11"/>
  <c r="S949" i="11"/>
  <c r="S950" i="11"/>
  <c r="S951" i="11"/>
  <c r="S952" i="11"/>
  <c r="S953" i="11"/>
  <c r="S954" i="11"/>
  <c r="S955" i="11"/>
  <c r="S956" i="11"/>
  <c r="S957" i="11"/>
  <c r="S958" i="11"/>
  <c r="S959" i="11"/>
  <c r="S960" i="11"/>
  <c r="S961" i="11"/>
  <c r="S962" i="11"/>
  <c r="S963" i="11"/>
  <c r="S964" i="11"/>
  <c r="S965" i="11"/>
  <c r="S966" i="11"/>
  <c r="S967" i="11"/>
  <c r="S968" i="11"/>
  <c r="S969" i="11"/>
  <c r="S970" i="11"/>
  <c r="S971" i="11"/>
  <c r="S972" i="11"/>
  <c r="S973" i="11"/>
  <c r="S974" i="11"/>
  <c r="S975" i="11"/>
  <c r="S976" i="11"/>
  <c r="S977" i="11"/>
  <c r="S978" i="11"/>
  <c r="S979" i="11"/>
  <c r="S980" i="11"/>
  <c r="S981" i="11"/>
  <c r="S982" i="11"/>
  <c r="S983" i="11"/>
  <c r="S984" i="11"/>
  <c r="S985" i="11"/>
  <c r="S986" i="11"/>
  <c r="S987" i="11"/>
  <c r="S988" i="11"/>
  <c r="S989" i="11"/>
  <c r="S990" i="11"/>
  <c r="S991" i="11"/>
  <c r="S992" i="11"/>
  <c r="S993" i="11"/>
  <c r="S2" i="11"/>
  <c r="K2" i="8"/>
  <c r="K3" i="8"/>
  <c r="K4" i="8"/>
  <c r="K5" i="8"/>
  <c r="K6" i="8"/>
  <c r="K7" i="8"/>
  <c r="K8" i="8"/>
  <c r="K15" i="8"/>
  <c r="K14" i="8"/>
  <c r="K13" i="8"/>
  <c r="K12" i="8"/>
  <c r="K11" i="8"/>
  <c r="K10" i="8"/>
  <c r="K9" i="8"/>
  <c r="B46" i="7" l="1"/>
  <c r="L28" i="10"/>
  <c r="I13" i="5"/>
  <c r="G13" i="5"/>
  <c r="E13" i="5"/>
  <c r="R43" i="7"/>
  <c r="B3" i="4"/>
  <c r="H49" i="10"/>
  <c r="H47" i="10"/>
  <c r="H46" i="10"/>
  <c r="H45" i="10"/>
  <c r="H44" i="10"/>
  <c r="H43" i="10"/>
  <c r="H42" i="10"/>
  <c r="H40" i="10"/>
  <c r="H39" i="10"/>
  <c r="H38" i="10"/>
  <c r="H36" i="10"/>
  <c r="H35" i="10"/>
  <c r="H33" i="10"/>
  <c r="H28" i="10"/>
  <c r="I10" i="10"/>
  <c r="N37" i="10"/>
  <c r="N48" i="10"/>
  <c r="N31" i="10" l="1"/>
  <c r="N29" i="10"/>
  <c r="N30" i="10"/>
  <c r="N28" i="10" l="1"/>
  <c r="N27" i="10" s="1"/>
  <c r="B26" i="9"/>
  <c r="C41" i="9"/>
  <c r="G37" i="9"/>
  <c r="G25" i="9"/>
  <c r="K25" i="9" s="1"/>
  <c r="K31" i="9" s="1"/>
  <c r="J9" i="9"/>
  <c r="T4" i="9" s="1"/>
  <c r="T6" i="9" s="1"/>
  <c r="T1" i="9" l="1"/>
  <c r="T2" i="9" s="1"/>
  <c r="T3" i="9"/>
  <c r="K33" i="9"/>
  <c r="K35" i="9" s="1"/>
  <c r="T5" i="9"/>
  <c r="E21" i="9" l="1"/>
  <c r="K34" i="9"/>
  <c r="K36" i="9" l="1"/>
  <c r="B5" i="8" l="1"/>
  <c r="B7" i="8" s="1"/>
  <c r="B9" i="8" s="1"/>
  <c r="B8" i="8"/>
  <c r="L42" i="7" l="1"/>
  <c r="H42" i="7"/>
  <c r="I42" i="7"/>
  <c r="J42" i="7"/>
  <c r="K42" i="7"/>
  <c r="O43" i="7"/>
  <c r="P43" i="7"/>
  <c r="Q43" i="7"/>
  <c r="N43" i="7"/>
  <c r="M43" i="7"/>
  <c r="L43" i="7" l="1"/>
  <c r="L45" i="7" s="1"/>
  <c r="L47" i="7" s="1"/>
  <c r="K43" i="7"/>
  <c r="K45" i="7" s="1"/>
  <c r="K47" i="7" s="1"/>
  <c r="J43" i="7"/>
  <c r="J45" i="7" s="1"/>
  <c r="J47" i="7" s="1"/>
  <c r="I43" i="7"/>
  <c r="I45" i="7" s="1"/>
  <c r="I47" i="7" s="1"/>
  <c r="H43" i="7"/>
  <c r="H45" i="7" s="1"/>
  <c r="H47" i="7" s="1"/>
  <c r="G43" i="7"/>
  <c r="AA360" i="1"/>
  <c r="AA361" i="1"/>
  <c r="AA362" i="1"/>
  <c r="AA363" i="1"/>
  <c r="AA364" i="1"/>
  <c r="AA365" i="1"/>
  <c r="AA366" i="1"/>
  <c r="AA367" i="1"/>
  <c r="AA368" i="1"/>
  <c r="AA369" i="1"/>
  <c r="AA370" i="1"/>
  <c r="AA371" i="1"/>
  <c r="AA372" i="1"/>
  <c r="AA373" i="1"/>
  <c r="AA374" i="1"/>
  <c r="AA375" i="1"/>
  <c r="AA376" i="1"/>
  <c r="AA377" i="1"/>
  <c r="AA378" i="1"/>
  <c r="AA379" i="1"/>
  <c r="AA380" i="1"/>
  <c r="AA381" i="1"/>
  <c r="AA382" i="1"/>
  <c r="AA383" i="1"/>
  <c r="AA384" i="1"/>
  <c r="AA385" i="1"/>
  <c r="AA386" i="1"/>
  <c r="AA387" i="1"/>
  <c r="AA388" i="1"/>
  <c r="AA389" i="1"/>
  <c r="AA390" i="1"/>
  <c r="AA391" i="1"/>
  <c r="AA392" i="1"/>
  <c r="AA393" i="1"/>
  <c r="AA394" i="1"/>
  <c r="AA395" i="1"/>
  <c r="AA396" i="1"/>
  <c r="AA397" i="1"/>
  <c r="AA398" i="1"/>
  <c r="AA399" i="1"/>
  <c r="AA400" i="1"/>
  <c r="AA401" i="1"/>
  <c r="AA402" i="1"/>
  <c r="AA403" i="1"/>
  <c r="AA404" i="1"/>
  <c r="AA405" i="1"/>
  <c r="AA406" i="1"/>
  <c r="AA407" i="1"/>
  <c r="AA408" i="1"/>
  <c r="AA409" i="1"/>
  <c r="AA410" i="1"/>
  <c r="AA411" i="1"/>
  <c r="AA412" i="1"/>
  <c r="AA413" i="1"/>
  <c r="AA414" i="1"/>
  <c r="AA415" i="1"/>
  <c r="AA416" i="1"/>
  <c r="AA417" i="1"/>
  <c r="AA418" i="1"/>
  <c r="AA419" i="1"/>
  <c r="AA420" i="1"/>
  <c r="AA421" i="1"/>
  <c r="AA422" i="1"/>
  <c r="AA423" i="1"/>
  <c r="AA424" i="1"/>
  <c r="AA425" i="1"/>
  <c r="AA426" i="1"/>
  <c r="AA427" i="1"/>
  <c r="AA428" i="1"/>
  <c r="AA429" i="1"/>
  <c r="AA430" i="1"/>
  <c r="AA431" i="1"/>
  <c r="AA432" i="1"/>
  <c r="AA433" i="1"/>
  <c r="AA434" i="1"/>
  <c r="AA435" i="1"/>
  <c r="AA436" i="1"/>
  <c r="AA437" i="1"/>
  <c r="AA438" i="1"/>
  <c r="AA439" i="1"/>
  <c r="AA440" i="1"/>
  <c r="AA441" i="1"/>
  <c r="AA442" i="1"/>
  <c r="AA443" i="1"/>
  <c r="AA444" i="1"/>
  <c r="AA445" i="1"/>
  <c r="AA446" i="1"/>
  <c r="AA447" i="1"/>
  <c r="AA448" i="1"/>
  <c r="AA449" i="1"/>
  <c r="AA450" i="1"/>
  <c r="AA451" i="1"/>
  <c r="AA452" i="1"/>
  <c r="AA453" i="1"/>
  <c r="AA454" i="1"/>
  <c r="AA455" i="1"/>
  <c r="AA456" i="1"/>
  <c r="AA457" i="1"/>
  <c r="AA458" i="1"/>
  <c r="AA459" i="1"/>
  <c r="AA460" i="1"/>
  <c r="AA461" i="1"/>
  <c r="AA462" i="1"/>
  <c r="AA463" i="1"/>
  <c r="AA464" i="1"/>
  <c r="AA465" i="1"/>
  <c r="AA466" i="1"/>
  <c r="AA467" i="1"/>
  <c r="AA468" i="1"/>
  <c r="AA469" i="1"/>
  <c r="AA470" i="1"/>
  <c r="AA471" i="1"/>
  <c r="AA472" i="1"/>
  <c r="AA473" i="1"/>
  <c r="AA474" i="1"/>
  <c r="AA475" i="1"/>
  <c r="AA476" i="1"/>
  <c r="AA477" i="1"/>
  <c r="AA478" i="1"/>
  <c r="AA479" i="1"/>
  <c r="AA480" i="1"/>
  <c r="AA481" i="1"/>
  <c r="AA482" i="1"/>
  <c r="AA483" i="1"/>
  <c r="AA484" i="1"/>
  <c r="AA485" i="1"/>
  <c r="AA486" i="1"/>
  <c r="AA487" i="1"/>
  <c r="AA488" i="1"/>
  <c r="AA489" i="1"/>
  <c r="AA490" i="1"/>
  <c r="AA491" i="1"/>
  <c r="AA492" i="1"/>
  <c r="AA493" i="1"/>
  <c r="AA494" i="1"/>
  <c r="AA495" i="1"/>
  <c r="AA496" i="1"/>
  <c r="AA497" i="1"/>
  <c r="AA498" i="1"/>
  <c r="AA499" i="1"/>
  <c r="AA500" i="1"/>
  <c r="AA501" i="1"/>
  <c r="AA502" i="1"/>
  <c r="AA503" i="1"/>
  <c r="AA504" i="1"/>
  <c r="AA505" i="1"/>
  <c r="AA506" i="1"/>
  <c r="AA507" i="1"/>
  <c r="AA508" i="1"/>
  <c r="AA509" i="1"/>
  <c r="AA510" i="1"/>
  <c r="AA511" i="1"/>
  <c r="AA512" i="1"/>
  <c r="AA513" i="1"/>
  <c r="AA514" i="1"/>
  <c r="AA515" i="1"/>
  <c r="AA516" i="1"/>
  <c r="AA517" i="1"/>
  <c r="AA518" i="1"/>
  <c r="AA519" i="1"/>
  <c r="AA520" i="1"/>
  <c r="AA521" i="1"/>
  <c r="AA522" i="1"/>
  <c r="AA523" i="1"/>
  <c r="AA524" i="1"/>
  <c r="AA525" i="1"/>
  <c r="AA526" i="1"/>
  <c r="AA527" i="1"/>
  <c r="AA528" i="1"/>
  <c r="AA529" i="1"/>
  <c r="AA530" i="1"/>
  <c r="AA531" i="1"/>
  <c r="AA532" i="1"/>
  <c r="AA533" i="1"/>
  <c r="AA534" i="1"/>
  <c r="AA535" i="1"/>
  <c r="AA536" i="1"/>
  <c r="AA537" i="1"/>
  <c r="AA538" i="1"/>
  <c r="AA539" i="1"/>
  <c r="AA540" i="1"/>
  <c r="AA541" i="1"/>
  <c r="AA542" i="1"/>
  <c r="AA543" i="1"/>
  <c r="AA544" i="1"/>
  <c r="AA545" i="1"/>
  <c r="AA546" i="1"/>
  <c r="AA547" i="1"/>
  <c r="AA548" i="1"/>
  <c r="AA549" i="1"/>
  <c r="AA550" i="1"/>
  <c r="AA551" i="1"/>
  <c r="AA552" i="1"/>
  <c r="AA553" i="1"/>
  <c r="AA554" i="1"/>
  <c r="AA555" i="1"/>
  <c r="AA556" i="1"/>
  <c r="AA557" i="1"/>
  <c r="AA558" i="1"/>
  <c r="AA559" i="1"/>
  <c r="AA560" i="1"/>
  <c r="AA561" i="1"/>
  <c r="AA562" i="1"/>
  <c r="AA563" i="1"/>
  <c r="AA564" i="1"/>
  <c r="AA565" i="1"/>
  <c r="AA566" i="1"/>
  <c r="AA567" i="1"/>
  <c r="AA568" i="1"/>
  <c r="AA569" i="1"/>
  <c r="AA570" i="1"/>
  <c r="AA571" i="1"/>
  <c r="AA572" i="1"/>
  <c r="AA573" i="1"/>
  <c r="AA574" i="1"/>
  <c r="AA575" i="1"/>
  <c r="AA576" i="1"/>
  <c r="AA577" i="1"/>
  <c r="AA578" i="1"/>
  <c r="AA579" i="1"/>
  <c r="AA580" i="1"/>
  <c r="AA581" i="1"/>
  <c r="AA582" i="1"/>
  <c r="AA583" i="1"/>
  <c r="AA584" i="1"/>
  <c r="AA585" i="1"/>
  <c r="AA586" i="1"/>
  <c r="AA587" i="1"/>
  <c r="AA588" i="1"/>
  <c r="AA589" i="1"/>
  <c r="AA590" i="1"/>
  <c r="AA591" i="1"/>
  <c r="AA592" i="1"/>
  <c r="AA593" i="1"/>
  <c r="AA594" i="1"/>
  <c r="AA595" i="1"/>
  <c r="AA596" i="1"/>
  <c r="AA597" i="1"/>
  <c r="AA598" i="1"/>
  <c r="AA599" i="1"/>
  <c r="AA600" i="1"/>
  <c r="AA601" i="1"/>
  <c r="AA602" i="1"/>
  <c r="AA603" i="1"/>
  <c r="AA604" i="1"/>
  <c r="AA605" i="1"/>
  <c r="AA606" i="1"/>
  <c r="AA607" i="1"/>
  <c r="AA608" i="1"/>
  <c r="AA609" i="1"/>
  <c r="AA610" i="1"/>
  <c r="AA611" i="1"/>
  <c r="AA612" i="1"/>
  <c r="AA613" i="1"/>
  <c r="AA614" i="1"/>
  <c r="AA615" i="1"/>
  <c r="AA616" i="1"/>
  <c r="AA617" i="1"/>
  <c r="AA618" i="1"/>
  <c r="AA619" i="1"/>
  <c r="AA620" i="1"/>
  <c r="AA621" i="1"/>
  <c r="AA622" i="1"/>
  <c r="AA623" i="1"/>
  <c r="AA624" i="1"/>
  <c r="AA625" i="1"/>
  <c r="AA626" i="1"/>
  <c r="AA627" i="1"/>
  <c r="AA628" i="1"/>
  <c r="AA629" i="1"/>
  <c r="AA630" i="1"/>
  <c r="AA631" i="1"/>
  <c r="AA632" i="1"/>
  <c r="AA633" i="1"/>
  <c r="AA634" i="1"/>
  <c r="AA635" i="1"/>
  <c r="AA636" i="1"/>
  <c r="AA637" i="1"/>
  <c r="AA638" i="1"/>
  <c r="AA639" i="1"/>
  <c r="AA640" i="1"/>
  <c r="AA641" i="1"/>
  <c r="AA642" i="1"/>
  <c r="AA643" i="1"/>
  <c r="AA644" i="1"/>
  <c r="AA645" i="1"/>
  <c r="AA646" i="1"/>
  <c r="AA647" i="1"/>
  <c r="AA648" i="1"/>
  <c r="AA649" i="1"/>
  <c r="AA650" i="1"/>
  <c r="AA651" i="1"/>
  <c r="AA652" i="1"/>
  <c r="AA653" i="1"/>
  <c r="AA654" i="1"/>
  <c r="AA655" i="1"/>
  <c r="AA656" i="1"/>
  <c r="AA657" i="1"/>
  <c r="AA658" i="1"/>
  <c r="AA659" i="1"/>
  <c r="AA660" i="1"/>
  <c r="AA661" i="1"/>
  <c r="AA662" i="1"/>
  <c r="AA663" i="1"/>
  <c r="AA664" i="1"/>
  <c r="AA665" i="1"/>
  <c r="AA666" i="1"/>
  <c r="AA667" i="1"/>
  <c r="AA668" i="1"/>
  <c r="AA669" i="1"/>
  <c r="AA670" i="1"/>
  <c r="AA671" i="1"/>
  <c r="AA672" i="1"/>
  <c r="AA673" i="1"/>
  <c r="AA674" i="1"/>
  <c r="AA675" i="1"/>
  <c r="AA676" i="1"/>
  <c r="AA677" i="1"/>
  <c r="AA678" i="1"/>
  <c r="AA679" i="1"/>
  <c r="AA680" i="1"/>
  <c r="AA681" i="1"/>
  <c r="AA682" i="1"/>
  <c r="AA683" i="1"/>
  <c r="AA684" i="1"/>
  <c r="AA685" i="1"/>
  <c r="AA686" i="1"/>
  <c r="AA687" i="1"/>
  <c r="AA688" i="1"/>
  <c r="AA689" i="1"/>
  <c r="AA690" i="1"/>
  <c r="AA691" i="1"/>
  <c r="AA692" i="1"/>
  <c r="AA693" i="1"/>
  <c r="AA694" i="1"/>
  <c r="AA695" i="1"/>
  <c r="AA696" i="1"/>
  <c r="AA697" i="1"/>
  <c r="AA698" i="1"/>
  <c r="AA699" i="1"/>
  <c r="AA700" i="1"/>
  <c r="AA701" i="1"/>
  <c r="AA702" i="1"/>
  <c r="AA703" i="1"/>
  <c r="AA704" i="1"/>
  <c r="AA705" i="1"/>
  <c r="AA706" i="1"/>
  <c r="AA707" i="1"/>
  <c r="AA708" i="1"/>
  <c r="AA709" i="1"/>
  <c r="AA710" i="1"/>
  <c r="AA711" i="1"/>
  <c r="AA712" i="1"/>
  <c r="AA713" i="1"/>
  <c r="AA714" i="1"/>
  <c r="AA715" i="1"/>
  <c r="AA716" i="1"/>
  <c r="AA717" i="1"/>
  <c r="AA718" i="1"/>
  <c r="AA719" i="1"/>
  <c r="AA720" i="1"/>
  <c r="AA721" i="1"/>
  <c r="AA722" i="1"/>
  <c r="AA723" i="1"/>
  <c r="AA724" i="1"/>
  <c r="AA725" i="1"/>
  <c r="AA726" i="1"/>
  <c r="AA727" i="1"/>
  <c r="AA728" i="1"/>
  <c r="AA729" i="1"/>
  <c r="AA730" i="1"/>
  <c r="AA731" i="1"/>
  <c r="AA732" i="1"/>
  <c r="AA733" i="1"/>
  <c r="AA734" i="1"/>
  <c r="AA735" i="1"/>
  <c r="AA736" i="1"/>
  <c r="AA737" i="1"/>
  <c r="AA738" i="1"/>
  <c r="AA739" i="1"/>
  <c r="AA740" i="1"/>
  <c r="AA741" i="1"/>
  <c r="AA742" i="1"/>
  <c r="AA743" i="1"/>
  <c r="AA744" i="1"/>
  <c r="AA745" i="1"/>
  <c r="AA746" i="1"/>
  <c r="AA747" i="1"/>
  <c r="AA748" i="1"/>
  <c r="AA749" i="1"/>
  <c r="AA750" i="1"/>
  <c r="AA751" i="1"/>
  <c r="AA752" i="1"/>
  <c r="AA753" i="1"/>
  <c r="AA754" i="1"/>
  <c r="AA755" i="1"/>
  <c r="AA756" i="1"/>
  <c r="AA757" i="1"/>
  <c r="AA758" i="1"/>
  <c r="AA759" i="1"/>
  <c r="AA760" i="1"/>
  <c r="AA761" i="1"/>
  <c r="AA762" i="1"/>
  <c r="AA763" i="1"/>
  <c r="AA764" i="1"/>
  <c r="AA765" i="1"/>
  <c r="AA766" i="1"/>
  <c r="AA767" i="1"/>
  <c r="AA768" i="1"/>
  <c r="AA769" i="1"/>
  <c r="AA770" i="1"/>
  <c r="AA771" i="1"/>
  <c r="AA772" i="1"/>
  <c r="AA773" i="1"/>
  <c r="AA774" i="1"/>
  <c r="AA775" i="1"/>
  <c r="AA776" i="1"/>
  <c r="AA777" i="1"/>
  <c r="AA778" i="1"/>
  <c r="AA779" i="1"/>
  <c r="AA780" i="1"/>
  <c r="AA781" i="1"/>
  <c r="AA782" i="1"/>
  <c r="AA783" i="1"/>
  <c r="AA784" i="1"/>
  <c r="AA785" i="1"/>
  <c r="AA786" i="1"/>
  <c r="AA787" i="1"/>
  <c r="AA788" i="1"/>
  <c r="AA789" i="1"/>
  <c r="AA790" i="1"/>
  <c r="AA791" i="1"/>
  <c r="AA792" i="1"/>
  <c r="AA793" i="1"/>
  <c r="AA794" i="1"/>
  <c r="AA795" i="1"/>
  <c r="AA796" i="1"/>
  <c r="AA797" i="1"/>
  <c r="AA798" i="1"/>
  <c r="AA799" i="1"/>
  <c r="AA800" i="1"/>
  <c r="AA801" i="1"/>
  <c r="AA802" i="1"/>
  <c r="AA803" i="1"/>
  <c r="AA804" i="1"/>
  <c r="AA805" i="1"/>
  <c r="AA806" i="1"/>
  <c r="AA807" i="1"/>
  <c r="AA808" i="1"/>
  <c r="AA809" i="1"/>
  <c r="AA810" i="1"/>
  <c r="AA811" i="1"/>
  <c r="AA812" i="1"/>
  <c r="AA813" i="1"/>
  <c r="AA814" i="1"/>
  <c r="AA815" i="1"/>
  <c r="AA816" i="1"/>
  <c r="AA817" i="1"/>
  <c r="AA818" i="1"/>
  <c r="AA819" i="1"/>
  <c r="AA820" i="1"/>
  <c r="AA821" i="1"/>
  <c r="AA822" i="1"/>
  <c r="AA823" i="1"/>
  <c r="AA824" i="1"/>
  <c r="AA825" i="1"/>
  <c r="AA826" i="1"/>
  <c r="AA827" i="1"/>
  <c r="AA828" i="1"/>
  <c r="AA829" i="1"/>
  <c r="AA830" i="1"/>
  <c r="AA831" i="1"/>
  <c r="AA832" i="1"/>
  <c r="AA833" i="1"/>
  <c r="AA834" i="1"/>
  <c r="AA835" i="1"/>
  <c r="AA836" i="1"/>
  <c r="AA837" i="1"/>
  <c r="AA838" i="1"/>
  <c r="AA839" i="1"/>
  <c r="AA840" i="1"/>
  <c r="AA841" i="1"/>
  <c r="AA842" i="1"/>
  <c r="AA843" i="1"/>
  <c r="AA844" i="1"/>
  <c r="AA845" i="1"/>
  <c r="AA846" i="1"/>
  <c r="AA847" i="1"/>
  <c r="AA848" i="1"/>
  <c r="AA849" i="1"/>
  <c r="AA850" i="1"/>
  <c r="AA851" i="1"/>
  <c r="AA852" i="1"/>
  <c r="AA853" i="1"/>
  <c r="AA854" i="1"/>
  <c r="AA855" i="1"/>
  <c r="AA856" i="1"/>
  <c r="AA857" i="1"/>
  <c r="AA858" i="1"/>
  <c r="AA859" i="1"/>
  <c r="AA860" i="1"/>
  <c r="AA861" i="1"/>
  <c r="AA862" i="1"/>
  <c r="AA863" i="1"/>
  <c r="AA864" i="1"/>
  <c r="AA865" i="1"/>
  <c r="AA866" i="1"/>
  <c r="AA867" i="1"/>
  <c r="AA868" i="1"/>
  <c r="AA869" i="1"/>
  <c r="AA870" i="1"/>
  <c r="AA871" i="1"/>
  <c r="AA872" i="1"/>
  <c r="AA873" i="1"/>
  <c r="AA874" i="1"/>
  <c r="AA875" i="1"/>
  <c r="AA876" i="1"/>
  <c r="AA877" i="1"/>
  <c r="AA878" i="1"/>
  <c r="AA879" i="1"/>
  <c r="AA880" i="1"/>
  <c r="AA881" i="1"/>
  <c r="AA882" i="1"/>
  <c r="AA883" i="1"/>
  <c r="AA884" i="1"/>
  <c r="AA885" i="1"/>
  <c r="AA886" i="1"/>
  <c r="AA887" i="1"/>
  <c r="AA888" i="1"/>
  <c r="AA889" i="1"/>
  <c r="AA890" i="1"/>
  <c r="AA891" i="1"/>
  <c r="AA892" i="1"/>
  <c r="AA893" i="1"/>
  <c r="AA894" i="1"/>
  <c r="AA895" i="1"/>
  <c r="AA896" i="1"/>
  <c r="AA897" i="1"/>
  <c r="AA898" i="1"/>
  <c r="AA899" i="1"/>
  <c r="AA900" i="1"/>
  <c r="AA901" i="1"/>
  <c r="AA902" i="1"/>
  <c r="AA903" i="1"/>
  <c r="AA904" i="1"/>
  <c r="AA905" i="1"/>
  <c r="AA906" i="1"/>
  <c r="AA907" i="1"/>
  <c r="AA908" i="1"/>
  <c r="AA909" i="1"/>
  <c r="AA910" i="1"/>
  <c r="AA911" i="1"/>
  <c r="AA912" i="1"/>
  <c r="AA913" i="1"/>
  <c r="AA914" i="1"/>
  <c r="AA915" i="1"/>
  <c r="AA916" i="1"/>
  <c r="AA917" i="1"/>
  <c r="AA918" i="1"/>
  <c r="AA919" i="1"/>
  <c r="AA920" i="1"/>
  <c r="AA921" i="1"/>
  <c r="AA922" i="1"/>
  <c r="AA923" i="1"/>
  <c r="AA924" i="1"/>
  <c r="AA925" i="1"/>
  <c r="AA926" i="1"/>
  <c r="AA927" i="1"/>
  <c r="AA928" i="1"/>
  <c r="AA929" i="1"/>
  <c r="AA930" i="1"/>
  <c r="AA931" i="1"/>
  <c r="AA932" i="1"/>
  <c r="AA933" i="1"/>
  <c r="AA934" i="1"/>
  <c r="AA935" i="1"/>
  <c r="AA936" i="1"/>
  <c r="AA937" i="1"/>
  <c r="AA938" i="1"/>
  <c r="AA939" i="1"/>
  <c r="AA940" i="1"/>
  <c r="AA941" i="1"/>
  <c r="AA942" i="1"/>
  <c r="AA943" i="1"/>
  <c r="AA944" i="1"/>
  <c r="AA945" i="1"/>
  <c r="AA946" i="1"/>
  <c r="AA947" i="1"/>
  <c r="AA948" i="1"/>
  <c r="AA949" i="1"/>
  <c r="AA950" i="1"/>
  <c r="AA951" i="1"/>
  <c r="AA952" i="1"/>
  <c r="AA953" i="1"/>
  <c r="AA954" i="1"/>
  <c r="AA955" i="1"/>
  <c r="AA956" i="1"/>
  <c r="AA957" i="1"/>
  <c r="AA958" i="1"/>
  <c r="AA959" i="1"/>
  <c r="AA960" i="1"/>
  <c r="AA961" i="1"/>
  <c r="AA962" i="1"/>
  <c r="AA963" i="1"/>
  <c r="AA964" i="1"/>
  <c r="AA965" i="1"/>
  <c r="AA966" i="1"/>
  <c r="F43" i="7"/>
  <c r="H36" i="5" l="1"/>
  <c r="H35" i="5"/>
  <c r="C5" i="5"/>
  <c r="C6" i="5" s="1"/>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359" i="4"/>
  <c r="H360" i="4"/>
  <c r="H361" i="4"/>
  <c r="H362" i="4"/>
  <c r="H363" i="4"/>
  <c r="H364" i="4"/>
  <c r="H365" i="4"/>
  <c r="H366" i="4"/>
  <c r="H367" i="4"/>
  <c r="H368" i="4"/>
  <c r="H369" i="4"/>
  <c r="H370" i="4"/>
  <c r="H371" i="4"/>
  <c r="H372" i="4"/>
  <c r="H373" i="4"/>
  <c r="H374" i="4"/>
  <c r="H375" i="4"/>
  <c r="H376" i="4"/>
  <c r="H377" i="4"/>
  <c r="H378" i="4"/>
  <c r="H379" i="4"/>
  <c r="H380" i="4"/>
  <c r="H381" i="4"/>
  <c r="H382" i="4"/>
  <c r="H383" i="4"/>
  <c r="H384" i="4"/>
  <c r="H385" i="4"/>
  <c r="H386" i="4"/>
  <c r="H387" i="4"/>
  <c r="H388" i="4"/>
  <c r="H389" i="4"/>
  <c r="H390" i="4"/>
  <c r="H391" i="4"/>
  <c r="H392" i="4"/>
  <c r="H393" i="4"/>
  <c r="H394" i="4"/>
  <c r="H395" i="4"/>
  <c r="H396" i="4"/>
  <c r="H397" i="4"/>
  <c r="H398" i="4"/>
  <c r="H399" i="4"/>
  <c r="H400" i="4"/>
  <c r="H401" i="4"/>
  <c r="H402" i="4"/>
  <c r="H403" i="4"/>
  <c r="H404" i="4"/>
  <c r="H405" i="4"/>
  <c r="H406" i="4"/>
  <c r="H407" i="4"/>
  <c r="H408" i="4"/>
  <c r="H409" i="4"/>
  <c r="H410" i="4"/>
  <c r="H411" i="4"/>
  <c r="H412" i="4"/>
  <c r="H413" i="4"/>
  <c r="H414" i="4"/>
  <c r="H415" i="4"/>
  <c r="H416" i="4"/>
  <c r="H417" i="4"/>
  <c r="H418" i="4"/>
  <c r="H419" i="4"/>
  <c r="H420" i="4"/>
  <c r="H421" i="4"/>
  <c r="H422" i="4"/>
  <c r="H423" i="4"/>
  <c r="H424" i="4"/>
  <c r="H425" i="4"/>
  <c r="H426" i="4"/>
  <c r="H427" i="4"/>
  <c r="H428" i="4"/>
  <c r="H429" i="4"/>
  <c r="H430" i="4"/>
  <c r="H431" i="4"/>
  <c r="H432" i="4"/>
  <c r="H433" i="4"/>
  <c r="H434" i="4"/>
  <c r="H435" i="4"/>
  <c r="H436" i="4"/>
  <c r="H437" i="4"/>
  <c r="H438" i="4"/>
  <c r="H439" i="4"/>
  <c r="H440" i="4"/>
  <c r="H441" i="4"/>
  <c r="H442" i="4"/>
  <c r="H443" i="4"/>
  <c r="H444" i="4"/>
  <c r="H445" i="4"/>
  <c r="H446" i="4"/>
  <c r="H447" i="4"/>
  <c r="H448" i="4"/>
  <c r="H449" i="4"/>
  <c r="H450" i="4"/>
  <c r="H451" i="4"/>
  <c r="H452" i="4"/>
  <c r="H453" i="4"/>
  <c r="H454" i="4"/>
  <c r="H455" i="4"/>
  <c r="H456" i="4"/>
  <c r="H457" i="4"/>
  <c r="H458" i="4"/>
  <c r="H459" i="4"/>
  <c r="H460" i="4"/>
  <c r="H461" i="4"/>
  <c r="H462" i="4"/>
  <c r="H463" i="4"/>
  <c r="H464" i="4"/>
  <c r="H465" i="4"/>
  <c r="H466" i="4"/>
  <c r="H467" i="4"/>
  <c r="H468" i="4"/>
  <c r="H469" i="4"/>
  <c r="H470" i="4"/>
  <c r="H471" i="4"/>
  <c r="H472" i="4"/>
  <c r="H473" i="4"/>
  <c r="H474" i="4"/>
  <c r="H475" i="4"/>
  <c r="H476" i="4"/>
  <c r="H477" i="4"/>
  <c r="H478" i="4"/>
  <c r="H479" i="4"/>
  <c r="H480" i="4"/>
  <c r="H481" i="4"/>
  <c r="H482" i="4"/>
  <c r="H483" i="4"/>
  <c r="H484" i="4"/>
  <c r="H485" i="4"/>
  <c r="H486" i="4"/>
  <c r="H487" i="4"/>
  <c r="H488" i="4"/>
  <c r="H489" i="4"/>
  <c r="H490" i="4"/>
  <c r="H491" i="4"/>
  <c r="H492" i="4"/>
  <c r="H493" i="4"/>
  <c r="H494" i="4"/>
  <c r="H495" i="4"/>
  <c r="H496" i="4"/>
  <c r="H497" i="4"/>
  <c r="H498" i="4"/>
  <c r="H499" i="4"/>
  <c r="H500" i="4"/>
  <c r="H501" i="4"/>
  <c r="H502" i="4"/>
  <c r="H503" i="4"/>
  <c r="H504" i="4"/>
  <c r="H505" i="4"/>
  <c r="H506" i="4"/>
  <c r="H507" i="4"/>
  <c r="H508" i="4"/>
  <c r="H509" i="4"/>
  <c r="H510" i="4"/>
  <c r="H511" i="4"/>
  <c r="H512" i="4"/>
  <c r="H513" i="4"/>
  <c r="H514" i="4"/>
  <c r="H515" i="4"/>
  <c r="H516" i="4"/>
  <c r="H517" i="4"/>
  <c r="H518" i="4"/>
  <c r="H519" i="4"/>
  <c r="H520" i="4"/>
  <c r="H521" i="4"/>
  <c r="H522" i="4"/>
  <c r="H523" i="4"/>
  <c r="H524" i="4"/>
  <c r="H525" i="4"/>
  <c r="H526" i="4"/>
  <c r="H527" i="4"/>
  <c r="H528" i="4"/>
  <c r="H529" i="4"/>
  <c r="H530" i="4"/>
  <c r="H531" i="4"/>
  <c r="H532" i="4"/>
  <c r="H533" i="4"/>
  <c r="H534" i="4"/>
  <c r="H535" i="4"/>
  <c r="H536" i="4"/>
  <c r="H537" i="4"/>
  <c r="H538" i="4"/>
  <c r="H539" i="4"/>
  <c r="H540" i="4"/>
  <c r="H541" i="4"/>
  <c r="H542" i="4"/>
  <c r="H543" i="4"/>
  <c r="H544" i="4"/>
  <c r="H545" i="4"/>
  <c r="H546" i="4"/>
  <c r="H547" i="4"/>
  <c r="H548" i="4"/>
  <c r="H549" i="4"/>
  <c r="H550" i="4"/>
  <c r="H551" i="4"/>
  <c r="H552" i="4"/>
  <c r="H553" i="4"/>
  <c r="H554" i="4"/>
  <c r="H555" i="4"/>
  <c r="H556" i="4"/>
  <c r="H557" i="4"/>
  <c r="H558" i="4"/>
  <c r="H559" i="4"/>
  <c r="H560" i="4"/>
  <c r="H561" i="4"/>
  <c r="H562" i="4"/>
  <c r="H563" i="4"/>
  <c r="H564" i="4"/>
  <c r="H565" i="4"/>
  <c r="H566" i="4"/>
  <c r="H567" i="4"/>
  <c r="H568" i="4"/>
  <c r="H569" i="4"/>
  <c r="H570" i="4"/>
  <c r="H571" i="4"/>
  <c r="H572" i="4"/>
  <c r="H573" i="4"/>
  <c r="H574" i="4"/>
  <c r="H575" i="4"/>
  <c r="H576" i="4"/>
  <c r="H577" i="4"/>
  <c r="H578" i="4"/>
  <c r="H579" i="4"/>
  <c r="H580" i="4"/>
  <c r="H581" i="4"/>
  <c r="H582" i="4"/>
  <c r="H583" i="4"/>
  <c r="H584" i="4"/>
  <c r="H585" i="4"/>
  <c r="H586" i="4"/>
  <c r="H587" i="4"/>
  <c r="H588" i="4"/>
  <c r="H589" i="4"/>
  <c r="H590" i="4"/>
  <c r="H591" i="4"/>
  <c r="H592" i="4"/>
  <c r="H593" i="4"/>
  <c r="H594" i="4"/>
  <c r="H595" i="4"/>
  <c r="H596" i="4"/>
  <c r="H597" i="4"/>
  <c r="H598" i="4"/>
  <c r="H599" i="4"/>
  <c r="H600" i="4"/>
  <c r="H601" i="4"/>
  <c r="H602" i="4"/>
  <c r="H603" i="4"/>
  <c r="H604" i="4"/>
  <c r="H605" i="4"/>
  <c r="H606" i="4"/>
  <c r="H607" i="4"/>
  <c r="H608" i="4"/>
  <c r="H609" i="4"/>
  <c r="H610" i="4"/>
  <c r="H611" i="4"/>
  <c r="H612" i="4"/>
  <c r="H613" i="4"/>
  <c r="H614" i="4"/>
  <c r="H615" i="4"/>
  <c r="H616" i="4"/>
  <c r="H617" i="4"/>
  <c r="H618" i="4"/>
  <c r="H619" i="4"/>
  <c r="H620" i="4"/>
  <c r="H621" i="4"/>
  <c r="H622" i="4"/>
  <c r="H623" i="4"/>
  <c r="H624" i="4"/>
  <c r="H625" i="4"/>
  <c r="H626" i="4"/>
  <c r="H627" i="4"/>
  <c r="H628" i="4"/>
  <c r="H629" i="4"/>
  <c r="H630" i="4"/>
  <c r="H631" i="4"/>
  <c r="H632" i="4"/>
  <c r="H633" i="4"/>
  <c r="H634" i="4"/>
  <c r="H635" i="4"/>
  <c r="H636" i="4"/>
  <c r="H637" i="4"/>
  <c r="H638" i="4"/>
  <c r="H639" i="4"/>
  <c r="H640" i="4"/>
  <c r="H641" i="4"/>
  <c r="H642" i="4"/>
  <c r="H643" i="4"/>
  <c r="H644" i="4"/>
  <c r="H645" i="4"/>
  <c r="H646" i="4"/>
  <c r="H647" i="4"/>
  <c r="H648" i="4"/>
  <c r="H649" i="4"/>
  <c r="H650" i="4"/>
  <c r="H651" i="4"/>
  <c r="H652" i="4"/>
  <c r="H653" i="4"/>
  <c r="H654" i="4"/>
  <c r="H655" i="4"/>
  <c r="H656" i="4"/>
  <c r="H657" i="4"/>
  <c r="H658" i="4"/>
  <c r="H659" i="4"/>
  <c r="H660" i="4"/>
  <c r="H661" i="4"/>
  <c r="H662" i="4"/>
  <c r="H663" i="4"/>
  <c r="H664" i="4"/>
  <c r="H665" i="4"/>
  <c r="H666" i="4"/>
  <c r="H667" i="4"/>
  <c r="H668" i="4"/>
  <c r="H669" i="4"/>
  <c r="H670" i="4"/>
  <c r="H671" i="4"/>
  <c r="H672" i="4"/>
  <c r="H673" i="4"/>
  <c r="H674" i="4"/>
  <c r="H675" i="4"/>
  <c r="H676" i="4"/>
  <c r="H677" i="4"/>
  <c r="H678" i="4"/>
  <c r="H679" i="4"/>
  <c r="H680" i="4"/>
  <c r="H681" i="4"/>
  <c r="H682" i="4"/>
  <c r="H683" i="4"/>
  <c r="H684" i="4"/>
  <c r="H685" i="4"/>
  <c r="H686" i="4"/>
  <c r="H687" i="4"/>
  <c r="H688" i="4"/>
  <c r="H689" i="4"/>
  <c r="H690" i="4"/>
  <c r="H691" i="4"/>
  <c r="H692" i="4"/>
  <c r="H693" i="4"/>
  <c r="H694" i="4"/>
  <c r="H695" i="4"/>
  <c r="H696" i="4"/>
  <c r="H697" i="4"/>
  <c r="H698" i="4"/>
  <c r="H699" i="4"/>
  <c r="H700" i="4"/>
  <c r="H701" i="4"/>
  <c r="H702" i="4"/>
  <c r="H703" i="4"/>
  <c r="H704" i="4"/>
  <c r="H705" i="4"/>
  <c r="H706" i="4"/>
  <c r="H707" i="4"/>
  <c r="H708" i="4"/>
  <c r="H709" i="4"/>
  <c r="H710" i="4"/>
  <c r="H711" i="4"/>
  <c r="H712" i="4"/>
  <c r="H713" i="4"/>
  <c r="H714" i="4"/>
  <c r="H715" i="4"/>
  <c r="H716" i="4"/>
  <c r="H717" i="4"/>
  <c r="H718" i="4"/>
  <c r="H719" i="4"/>
  <c r="H720" i="4"/>
  <c r="H721" i="4"/>
  <c r="H722" i="4"/>
  <c r="H723" i="4"/>
  <c r="H724" i="4"/>
  <c r="H725" i="4"/>
  <c r="H726" i="4"/>
  <c r="H727" i="4"/>
  <c r="H728" i="4"/>
  <c r="H729" i="4"/>
  <c r="H730" i="4"/>
  <c r="H731" i="4"/>
  <c r="H732" i="4"/>
  <c r="H733" i="4"/>
  <c r="H734" i="4"/>
  <c r="H735" i="4"/>
  <c r="H736" i="4"/>
  <c r="H737" i="4"/>
  <c r="H738" i="4"/>
  <c r="H739" i="4"/>
  <c r="H740" i="4"/>
  <c r="H741" i="4"/>
  <c r="H742" i="4"/>
  <c r="H743" i="4"/>
  <c r="H744" i="4"/>
  <c r="H745" i="4"/>
  <c r="H746" i="4"/>
  <c r="H747" i="4"/>
  <c r="H748" i="4"/>
  <c r="H749" i="4"/>
  <c r="H750" i="4"/>
  <c r="H751" i="4"/>
  <c r="H752" i="4"/>
  <c r="H753" i="4"/>
  <c r="H754" i="4"/>
  <c r="H755" i="4"/>
  <c r="H756" i="4"/>
  <c r="H757" i="4"/>
  <c r="H758" i="4"/>
  <c r="H759" i="4"/>
  <c r="H760" i="4"/>
  <c r="H761" i="4"/>
  <c r="H762" i="4"/>
  <c r="H763" i="4"/>
  <c r="H764" i="4"/>
  <c r="H765" i="4"/>
  <c r="H766" i="4"/>
  <c r="H767" i="4"/>
  <c r="H768" i="4"/>
  <c r="H769" i="4"/>
  <c r="H770" i="4"/>
  <c r="H771" i="4"/>
  <c r="H772" i="4"/>
  <c r="H773" i="4"/>
  <c r="H774" i="4"/>
  <c r="H775" i="4"/>
  <c r="H776" i="4"/>
  <c r="H777" i="4"/>
  <c r="H778" i="4"/>
  <c r="H779" i="4"/>
  <c r="H780" i="4"/>
  <c r="H781" i="4"/>
  <c r="H782" i="4"/>
  <c r="H783" i="4"/>
  <c r="H784" i="4"/>
  <c r="H785" i="4"/>
  <c r="H786" i="4"/>
  <c r="H787" i="4"/>
  <c r="H788" i="4"/>
  <c r="H789" i="4"/>
  <c r="H790" i="4"/>
  <c r="H791" i="4"/>
  <c r="H792" i="4"/>
  <c r="H793" i="4"/>
  <c r="H794" i="4"/>
  <c r="H795" i="4"/>
  <c r="H796" i="4"/>
  <c r="H797" i="4"/>
  <c r="H798" i="4"/>
  <c r="H799" i="4"/>
  <c r="H800" i="4"/>
  <c r="H801" i="4"/>
  <c r="H802" i="4"/>
  <c r="H803" i="4"/>
  <c r="H804" i="4"/>
  <c r="H805" i="4"/>
  <c r="H806" i="4"/>
  <c r="H807" i="4"/>
  <c r="H808" i="4"/>
  <c r="H809" i="4"/>
  <c r="H810" i="4"/>
  <c r="H811" i="4"/>
  <c r="H812" i="4"/>
  <c r="H813" i="4"/>
  <c r="H814" i="4"/>
  <c r="H815" i="4"/>
  <c r="H816" i="4"/>
  <c r="H817" i="4"/>
  <c r="H818" i="4"/>
  <c r="H819" i="4"/>
  <c r="H820" i="4"/>
  <c r="H821" i="4"/>
  <c r="H822" i="4"/>
  <c r="H823" i="4"/>
  <c r="H824" i="4"/>
  <c r="H825" i="4"/>
  <c r="H826" i="4"/>
  <c r="H827" i="4"/>
  <c r="H828" i="4"/>
  <c r="H829" i="4"/>
  <c r="H830" i="4"/>
  <c r="H831" i="4"/>
  <c r="H832" i="4"/>
  <c r="H833" i="4"/>
  <c r="H834" i="4"/>
  <c r="H835" i="4"/>
  <c r="H836" i="4"/>
  <c r="H837" i="4"/>
  <c r="H838" i="4"/>
  <c r="H839" i="4"/>
  <c r="H840" i="4"/>
  <c r="H841" i="4"/>
  <c r="H842" i="4"/>
  <c r="H843" i="4"/>
  <c r="H844" i="4"/>
  <c r="H845" i="4"/>
  <c r="H846" i="4"/>
  <c r="H847" i="4"/>
  <c r="H848" i="4"/>
  <c r="H849" i="4"/>
  <c r="H850" i="4"/>
  <c r="H851" i="4"/>
  <c r="H852" i="4"/>
  <c r="H853" i="4"/>
  <c r="H854" i="4"/>
  <c r="H855" i="4"/>
  <c r="H856" i="4"/>
  <c r="H857" i="4"/>
  <c r="H858" i="4"/>
  <c r="H859" i="4"/>
  <c r="H860" i="4"/>
  <c r="H861" i="4"/>
  <c r="H862" i="4"/>
  <c r="H863" i="4"/>
  <c r="H864" i="4"/>
  <c r="H865" i="4"/>
  <c r="H866" i="4"/>
  <c r="H867" i="4"/>
  <c r="H868" i="4"/>
  <c r="H869" i="4"/>
  <c r="H870" i="4"/>
  <c r="H871" i="4"/>
  <c r="H872" i="4"/>
  <c r="H873" i="4"/>
  <c r="H874" i="4"/>
  <c r="H875" i="4"/>
  <c r="H876" i="4"/>
  <c r="H877" i="4"/>
  <c r="H878" i="4"/>
  <c r="H879" i="4"/>
  <c r="H880" i="4"/>
  <c r="H881" i="4"/>
  <c r="H882" i="4"/>
  <c r="H883" i="4"/>
  <c r="H884" i="4"/>
  <c r="H885" i="4"/>
  <c r="H886" i="4"/>
  <c r="H887" i="4"/>
  <c r="H888" i="4"/>
  <c r="H889" i="4"/>
  <c r="H890" i="4"/>
  <c r="H891" i="4"/>
  <c r="H892" i="4"/>
  <c r="H893" i="4"/>
  <c r="H894" i="4"/>
  <c r="H895" i="4"/>
  <c r="H896" i="4"/>
  <c r="H897" i="4"/>
  <c r="H898" i="4"/>
  <c r="H899" i="4"/>
  <c r="H900" i="4"/>
  <c r="H901" i="4"/>
  <c r="H902" i="4"/>
  <c r="H903" i="4"/>
  <c r="H904" i="4"/>
  <c r="H905" i="4"/>
  <c r="H906" i="4"/>
  <c r="H907" i="4"/>
  <c r="H908" i="4"/>
  <c r="H909" i="4"/>
  <c r="H910" i="4"/>
  <c r="H911" i="4"/>
  <c r="H912" i="4"/>
  <c r="H913" i="4"/>
  <c r="H914" i="4"/>
  <c r="H915" i="4"/>
  <c r="H916" i="4"/>
  <c r="H917" i="4"/>
  <c r="H918" i="4"/>
  <c r="H919" i="4"/>
  <c r="H920" i="4"/>
  <c r="H921" i="4"/>
  <c r="H922" i="4"/>
  <c r="H923" i="4"/>
  <c r="H924" i="4"/>
  <c r="H925" i="4"/>
  <c r="H926" i="4"/>
  <c r="H927" i="4"/>
  <c r="H928" i="4"/>
  <c r="H929" i="4"/>
  <c r="H930" i="4"/>
  <c r="H931" i="4"/>
  <c r="H932" i="4"/>
  <c r="H933" i="4"/>
  <c r="H934" i="4"/>
  <c r="H935" i="4"/>
  <c r="H936" i="4"/>
  <c r="H937" i="4"/>
  <c r="H938" i="4"/>
  <c r="H939" i="4"/>
  <c r="H940" i="4"/>
  <c r="H941" i="4"/>
  <c r="H942" i="4"/>
  <c r="H943" i="4"/>
  <c r="H944" i="4"/>
  <c r="H945" i="4"/>
  <c r="H946" i="4"/>
  <c r="H947" i="4"/>
  <c r="H948" i="4"/>
  <c r="H949" i="4"/>
  <c r="H950" i="4"/>
  <c r="H951" i="4"/>
  <c r="H952" i="4"/>
  <c r="H953" i="4"/>
  <c r="H954" i="4"/>
  <c r="H955" i="4"/>
  <c r="H956" i="4"/>
  <c r="H957" i="4"/>
  <c r="H958" i="4"/>
  <c r="H959" i="4"/>
  <c r="H960" i="4"/>
  <c r="H961" i="4"/>
  <c r="H962" i="4"/>
  <c r="H963" i="4"/>
  <c r="H964" i="4"/>
  <c r="H965" i="4"/>
  <c r="H966" i="4"/>
  <c r="H967" i="4"/>
  <c r="H968" i="4"/>
  <c r="H969" i="4"/>
  <c r="H970" i="4"/>
  <c r="H971" i="4"/>
  <c r="H972" i="4"/>
  <c r="H973" i="4"/>
  <c r="H974" i="4"/>
  <c r="H975" i="4"/>
  <c r="H976" i="4"/>
  <c r="H977" i="4"/>
  <c r="H978" i="4"/>
  <c r="H979" i="4"/>
  <c r="H980" i="4"/>
  <c r="H981" i="4"/>
  <c r="H982" i="4"/>
  <c r="H983" i="4"/>
  <c r="H984" i="4"/>
  <c r="H985" i="4"/>
  <c r="H986" i="4"/>
  <c r="H987" i="4"/>
  <c r="H988" i="4"/>
  <c r="H989" i="4"/>
  <c r="H990" i="4"/>
  <c r="H991" i="4"/>
  <c r="H992" i="4"/>
  <c r="H993" i="4"/>
  <c r="H994" i="4"/>
  <c r="H995" i="4"/>
  <c r="H996" i="4"/>
  <c r="H997" i="4"/>
  <c r="H998" i="4"/>
  <c r="H999" i="4"/>
  <c r="H1000" i="4"/>
  <c r="H1001" i="4"/>
  <c r="H1002" i="4"/>
  <c r="D9" i="4"/>
  <c r="C9"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359" i="4"/>
  <c r="I360" i="4"/>
  <c r="I361" i="4"/>
  <c r="I362" i="4"/>
  <c r="I363" i="4"/>
  <c r="I364" i="4"/>
  <c r="I365" i="4"/>
  <c r="I366" i="4"/>
  <c r="I367" i="4"/>
  <c r="I368" i="4"/>
  <c r="I369" i="4"/>
  <c r="I370" i="4"/>
  <c r="I371" i="4"/>
  <c r="I372" i="4"/>
  <c r="I373" i="4"/>
  <c r="I374" i="4"/>
  <c r="I375" i="4"/>
  <c r="I376" i="4"/>
  <c r="I377" i="4"/>
  <c r="I378" i="4"/>
  <c r="I379" i="4"/>
  <c r="I380" i="4"/>
  <c r="I381" i="4"/>
  <c r="I382" i="4"/>
  <c r="I383" i="4"/>
  <c r="I384" i="4"/>
  <c r="I385" i="4"/>
  <c r="I386" i="4"/>
  <c r="I387" i="4"/>
  <c r="I388" i="4"/>
  <c r="I389" i="4"/>
  <c r="I390" i="4"/>
  <c r="I391" i="4"/>
  <c r="I392" i="4"/>
  <c r="I393" i="4"/>
  <c r="I394" i="4"/>
  <c r="I395" i="4"/>
  <c r="I396" i="4"/>
  <c r="I397" i="4"/>
  <c r="I398" i="4"/>
  <c r="I399" i="4"/>
  <c r="I400" i="4"/>
  <c r="I401" i="4"/>
  <c r="I402" i="4"/>
  <c r="I403" i="4"/>
  <c r="I404" i="4"/>
  <c r="I405" i="4"/>
  <c r="I406" i="4"/>
  <c r="I407" i="4"/>
  <c r="I408" i="4"/>
  <c r="I409" i="4"/>
  <c r="I410" i="4"/>
  <c r="I411" i="4"/>
  <c r="I412" i="4"/>
  <c r="I413" i="4"/>
  <c r="I414" i="4"/>
  <c r="I415" i="4"/>
  <c r="I416" i="4"/>
  <c r="I417" i="4"/>
  <c r="I418" i="4"/>
  <c r="I419" i="4"/>
  <c r="I420" i="4"/>
  <c r="I421" i="4"/>
  <c r="I422" i="4"/>
  <c r="I423" i="4"/>
  <c r="I424" i="4"/>
  <c r="I425" i="4"/>
  <c r="I426" i="4"/>
  <c r="I427" i="4"/>
  <c r="I428" i="4"/>
  <c r="I429" i="4"/>
  <c r="I430" i="4"/>
  <c r="I431" i="4"/>
  <c r="I432" i="4"/>
  <c r="I433" i="4"/>
  <c r="I434" i="4"/>
  <c r="I435" i="4"/>
  <c r="I436" i="4"/>
  <c r="I437" i="4"/>
  <c r="I438" i="4"/>
  <c r="I439" i="4"/>
  <c r="I440" i="4"/>
  <c r="I441" i="4"/>
  <c r="I442" i="4"/>
  <c r="I443" i="4"/>
  <c r="I444" i="4"/>
  <c r="I445" i="4"/>
  <c r="I446" i="4"/>
  <c r="I447" i="4"/>
  <c r="I448" i="4"/>
  <c r="I449" i="4"/>
  <c r="I450" i="4"/>
  <c r="I451" i="4"/>
  <c r="I452" i="4"/>
  <c r="I453" i="4"/>
  <c r="I454" i="4"/>
  <c r="I455" i="4"/>
  <c r="I456" i="4"/>
  <c r="I457" i="4"/>
  <c r="I458" i="4"/>
  <c r="I459" i="4"/>
  <c r="I460" i="4"/>
  <c r="I461" i="4"/>
  <c r="I462" i="4"/>
  <c r="I463" i="4"/>
  <c r="I464" i="4"/>
  <c r="I465" i="4"/>
  <c r="I466" i="4"/>
  <c r="I467" i="4"/>
  <c r="I468" i="4"/>
  <c r="I469" i="4"/>
  <c r="I470" i="4"/>
  <c r="I471" i="4"/>
  <c r="I472" i="4"/>
  <c r="I473" i="4"/>
  <c r="I474" i="4"/>
  <c r="I475" i="4"/>
  <c r="I476" i="4"/>
  <c r="I477" i="4"/>
  <c r="I478" i="4"/>
  <c r="I479" i="4"/>
  <c r="I480" i="4"/>
  <c r="I481" i="4"/>
  <c r="I482" i="4"/>
  <c r="I483" i="4"/>
  <c r="I484" i="4"/>
  <c r="I485" i="4"/>
  <c r="I486" i="4"/>
  <c r="I487" i="4"/>
  <c r="I488" i="4"/>
  <c r="I489" i="4"/>
  <c r="I490" i="4"/>
  <c r="I491" i="4"/>
  <c r="I492" i="4"/>
  <c r="I493" i="4"/>
  <c r="I494" i="4"/>
  <c r="I495" i="4"/>
  <c r="I496" i="4"/>
  <c r="I497" i="4"/>
  <c r="I498" i="4"/>
  <c r="I499" i="4"/>
  <c r="I500" i="4"/>
  <c r="I501" i="4"/>
  <c r="I502" i="4"/>
  <c r="I503" i="4"/>
  <c r="I504" i="4"/>
  <c r="I505" i="4"/>
  <c r="I506" i="4"/>
  <c r="I507" i="4"/>
  <c r="I508" i="4"/>
  <c r="I509" i="4"/>
  <c r="I510" i="4"/>
  <c r="I511" i="4"/>
  <c r="I512" i="4"/>
  <c r="I513" i="4"/>
  <c r="I514" i="4"/>
  <c r="I515" i="4"/>
  <c r="I516" i="4"/>
  <c r="I517" i="4"/>
  <c r="I518" i="4"/>
  <c r="I519" i="4"/>
  <c r="I520" i="4"/>
  <c r="I521" i="4"/>
  <c r="I522" i="4"/>
  <c r="I523" i="4"/>
  <c r="I524" i="4"/>
  <c r="I525" i="4"/>
  <c r="I526" i="4"/>
  <c r="I527" i="4"/>
  <c r="I528" i="4"/>
  <c r="I529" i="4"/>
  <c r="I530" i="4"/>
  <c r="I531" i="4"/>
  <c r="I532" i="4"/>
  <c r="I533" i="4"/>
  <c r="I534" i="4"/>
  <c r="I535" i="4"/>
  <c r="I536" i="4"/>
  <c r="I537" i="4"/>
  <c r="I538" i="4"/>
  <c r="I539" i="4"/>
  <c r="I540" i="4"/>
  <c r="I541" i="4"/>
  <c r="I542" i="4"/>
  <c r="I543" i="4"/>
  <c r="I544" i="4"/>
  <c r="I545" i="4"/>
  <c r="I546" i="4"/>
  <c r="I547" i="4"/>
  <c r="I548" i="4"/>
  <c r="I549" i="4"/>
  <c r="I550" i="4"/>
  <c r="I551" i="4"/>
  <c r="I552" i="4"/>
  <c r="I553" i="4"/>
  <c r="I554" i="4"/>
  <c r="I555" i="4"/>
  <c r="I556" i="4"/>
  <c r="I557" i="4"/>
  <c r="I558" i="4"/>
  <c r="I559" i="4"/>
  <c r="I560" i="4"/>
  <c r="I561" i="4"/>
  <c r="I562" i="4"/>
  <c r="I563" i="4"/>
  <c r="I564" i="4"/>
  <c r="I565" i="4"/>
  <c r="I566" i="4"/>
  <c r="I567" i="4"/>
  <c r="I568" i="4"/>
  <c r="I569" i="4"/>
  <c r="I570" i="4"/>
  <c r="I571" i="4"/>
  <c r="I572" i="4"/>
  <c r="I573" i="4"/>
  <c r="I574" i="4"/>
  <c r="I575" i="4"/>
  <c r="I576" i="4"/>
  <c r="I577" i="4"/>
  <c r="I578" i="4"/>
  <c r="I579" i="4"/>
  <c r="I580" i="4"/>
  <c r="I581" i="4"/>
  <c r="I582" i="4"/>
  <c r="I583" i="4"/>
  <c r="I584" i="4"/>
  <c r="I585" i="4"/>
  <c r="I586" i="4"/>
  <c r="I587" i="4"/>
  <c r="I588" i="4"/>
  <c r="I589" i="4"/>
  <c r="I590" i="4"/>
  <c r="I591" i="4"/>
  <c r="I592" i="4"/>
  <c r="I593" i="4"/>
  <c r="I594" i="4"/>
  <c r="I595" i="4"/>
  <c r="I596" i="4"/>
  <c r="I597" i="4"/>
  <c r="I598" i="4"/>
  <c r="I599" i="4"/>
  <c r="I600" i="4"/>
  <c r="I601" i="4"/>
  <c r="I602" i="4"/>
  <c r="I603" i="4"/>
  <c r="I604" i="4"/>
  <c r="I605" i="4"/>
  <c r="I606" i="4"/>
  <c r="I607" i="4"/>
  <c r="I608" i="4"/>
  <c r="I609" i="4"/>
  <c r="I610" i="4"/>
  <c r="I611" i="4"/>
  <c r="I612" i="4"/>
  <c r="I613" i="4"/>
  <c r="I614" i="4"/>
  <c r="I615" i="4"/>
  <c r="I616" i="4"/>
  <c r="I617" i="4"/>
  <c r="I618" i="4"/>
  <c r="I619" i="4"/>
  <c r="I620" i="4"/>
  <c r="I621" i="4"/>
  <c r="I622" i="4"/>
  <c r="I623" i="4"/>
  <c r="I624" i="4"/>
  <c r="I625" i="4"/>
  <c r="I626" i="4"/>
  <c r="I627" i="4"/>
  <c r="I628" i="4"/>
  <c r="I629" i="4"/>
  <c r="I630" i="4"/>
  <c r="I631" i="4"/>
  <c r="I632" i="4"/>
  <c r="I633" i="4"/>
  <c r="I634" i="4"/>
  <c r="I635" i="4"/>
  <c r="I636" i="4"/>
  <c r="I637" i="4"/>
  <c r="I638" i="4"/>
  <c r="I639" i="4"/>
  <c r="I640" i="4"/>
  <c r="I641" i="4"/>
  <c r="I642" i="4"/>
  <c r="I643" i="4"/>
  <c r="I644" i="4"/>
  <c r="I645" i="4"/>
  <c r="I646" i="4"/>
  <c r="I647" i="4"/>
  <c r="I648" i="4"/>
  <c r="I649" i="4"/>
  <c r="I650" i="4"/>
  <c r="I651" i="4"/>
  <c r="I652" i="4"/>
  <c r="I653" i="4"/>
  <c r="I654" i="4"/>
  <c r="I655" i="4"/>
  <c r="I656" i="4"/>
  <c r="I657" i="4"/>
  <c r="I658" i="4"/>
  <c r="I659" i="4"/>
  <c r="I660" i="4"/>
  <c r="I661" i="4"/>
  <c r="I662" i="4"/>
  <c r="I663" i="4"/>
  <c r="I664" i="4"/>
  <c r="I665" i="4"/>
  <c r="I666" i="4"/>
  <c r="I667" i="4"/>
  <c r="I668" i="4"/>
  <c r="I669" i="4"/>
  <c r="I670" i="4"/>
  <c r="I671" i="4"/>
  <c r="I672" i="4"/>
  <c r="I673" i="4"/>
  <c r="I674" i="4"/>
  <c r="I675" i="4"/>
  <c r="I676" i="4"/>
  <c r="I677" i="4"/>
  <c r="I678" i="4"/>
  <c r="I679" i="4"/>
  <c r="I680" i="4"/>
  <c r="I681" i="4"/>
  <c r="I682" i="4"/>
  <c r="I683" i="4"/>
  <c r="I684" i="4"/>
  <c r="I685" i="4"/>
  <c r="I686" i="4"/>
  <c r="I687" i="4"/>
  <c r="I688" i="4"/>
  <c r="I689" i="4"/>
  <c r="I690" i="4"/>
  <c r="I691" i="4"/>
  <c r="I692" i="4"/>
  <c r="I693" i="4"/>
  <c r="I694" i="4"/>
  <c r="I695" i="4"/>
  <c r="I696" i="4"/>
  <c r="I697" i="4"/>
  <c r="I698" i="4"/>
  <c r="I699" i="4"/>
  <c r="I700" i="4"/>
  <c r="I701" i="4"/>
  <c r="I702" i="4"/>
  <c r="I703" i="4"/>
  <c r="I704" i="4"/>
  <c r="I705" i="4"/>
  <c r="I706" i="4"/>
  <c r="I707" i="4"/>
  <c r="I708" i="4"/>
  <c r="I709" i="4"/>
  <c r="I710" i="4"/>
  <c r="I711" i="4"/>
  <c r="I712" i="4"/>
  <c r="I713" i="4"/>
  <c r="I714" i="4"/>
  <c r="I715" i="4"/>
  <c r="I716" i="4"/>
  <c r="I717" i="4"/>
  <c r="I718" i="4"/>
  <c r="I719" i="4"/>
  <c r="I720" i="4"/>
  <c r="I721" i="4"/>
  <c r="I722" i="4"/>
  <c r="I723" i="4"/>
  <c r="I724" i="4"/>
  <c r="I725" i="4"/>
  <c r="I726" i="4"/>
  <c r="I727" i="4"/>
  <c r="I728" i="4"/>
  <c r="I729" i="4"/>
  <c r="I730" i="4"/>
  <c r="I731" i="4"/>
  <c r="I732" i="4"/>
  <c r="I733" i="4"/>
  <c r="I734" i="4"/>
  <c r="I735" i="4"/>
  <c r="I736" i="4"/>
  <c r="I737" i="4"/>
  <c r="I738" i="4"/>
  <c r="I739" i="4"/>
  <c r="I740" i="4"/>
  <c r="I741" i="4"/>
  <c r="I742" i="4"/>
  <c r="I743" i="4"/>
  <c r="I744" i="4"/>
  <c r="I745" i="4"/>
  <c r="I746" i="4"/>
  <c r="I747" i="4"/>
  <c r="I748" i="4"/>
  <c r="I749" i="4"/>
  <c r="I750" i="4"/>
  <c r="I751" i="4"/>
  <c r="I752" i="4"/>
  <c r="I753" i="4"/>
  <c r="I754" i="4"/>
  <c r="I755" i="4"/>
  <c r="I756" i="4"/>
  <c r="I757" i="4"/>
  <c r="I758" i="4"/>
  <c r="I759" i="4"/>
  <c r="I760" i="4"/>
  <c r="I761" i="4"/>
  <c r="I762" i="4"/>
  <c r="I763" i="4"/>
  <c r="I764" i="4"/>
  <c r="I765" i="4"/>
  <c r="I766" i="4"/>
  <c r="I767" i="4"/>
  <c r="I768" i="4"/>
  <c r="I769" i="4"/>
  <c r="I770" i="4"/>
  <c r="I771" i="4"/>
  <c r="I772" i="4"/>
  <c r="I773" i="4"/>
  <c r="I774" i="4"/>
  <c r="I775" i="4"/>
  <c r="I776" i="4"/>
  <c r="I777" i="4"/>
  <c r="I778" i="4"/>
  <c r="I779" i="4"/>
  <c r="I780" i="4"/>
  <c r="I781" i="4"/>
  <c r="I782" i="4"/>
  <c r="I783" i="4"/>
  <c r="I784" i="4"/>
  <c r="I785" i="4"/>
  <c r="I786" i="4"/>
  <c r="I787" i="4"/>
  <c r="I788" i="4"/>
  <c r="I789" i="4"/>
  <c r="I790" i="4"/>
  <c r="I791" i="4"/>
  <c r="I792" i="4"/>
  <c r="I793" i="4"/>
  <c r="I794" i="4"/>
  <c r="I795" i="4"/>
  <c r="I796" i="4"/>
  <c r="I797" i="4"/>
  <c r="I798" i="4"/>
  <c r="I799" i="4"/>
  <c r="I800" i="4"/>
  <c r="I801" i="4"/>
  <c r="I802" i="4"/>
  <c r="I803" i="4"/>
  <c r="I804" i="4"/>
  <c r="I805" i="4"/>
  <c r="I806" i="4"/>
  <c r="I807" i="4"/>
  <c r="I808" i="4"/>
  <c r="I809" i="4"/>
  <c r="I810" i="4"/>
  <c r="I811" i="4"/>
  <c r="I812" i="4"/>
  <c r="I813" i="4"/>
  <c r="I814" i="4"/>
  <c r="I815" i="4"/>
  <c r="I816" i="4"/>
  <c r="I817" i="4"/>
  <c r="I818" i="4"/>
  <c r="I819" i="4"/>
  <c r="I820" i="4"/>
  <c r="I821" i="4"/>
  <c r="I822" i="4"/>
  <c r="I823" i="4"/>
  <c r="I824" i="4"/>
  <c r="I825" i="4"/>
  <c r="I826" i="4"/>
  <c r="I827" i="4"/>
  <c r="I828" i="4"/>
  <c r="I829" i="4"/>
  <c r="I830" i="4"/>
  <c r="I831" i="4"/>
  <c r="I832" i="4"/>
  <c r="I833" i="4"/>
  <c r="I834" i="4"/>
  <c r="I835" i="4"/>
  <c r="I836" i="4"/>
  <c r="I837" i="4"/>
  <c r="I838" i="4"/>
  <c r="I839" i="4"/>
  <c r="I840" i="4"/>
  <c r="I841" i="4"/>
  <c r="I842" i="4"/>
  <c r="I843" i="4"/>
  <c r="I844" i="4"/>
  <c r="I845" i="4"/>
  <c r="I846" i="4"/>
  <c r="I847" i="4"/>
  <c r="I848" i="4"/>
  <c r="I849" i="4"/>
  <c r="I850" i="4"/>
  <c r="I851" i="4"/>
  <c r="I852" i="4"/>
  <c r="I853" i="4"/>
  <c r="I854" i="4"/>
  <c r="I855" i="4"/>
  <c r="I856" i="4"/>
  <c r="I857" i="4"/>
  <c r="I858" i="4"/>
  <c r="I859" i="4"/>
  <c r="I860" i="4"/>
  <c r="I861" i="4"/>
  <c r="I862" i="4"/>
  <c r="I863" i="4"/>
  <c r="I864" i="4"/>
  <c r="I865" i="4"/>
  <c r="I866" i="4"/>
  <c r="I867" i="4"/>
  <c r="I868" i="4"/>
  <c r="I869" i="4"/>
  <c r="I870" i="4"/>
  <c r="I871" i="4"/>
  <c r="I872" i="4"/>
  <c r="I873" i="4"/>
  <c r="I874" i="4"/>
  <c r="I875" i="4"/>
  <c r="I876" i="4"/>
  <c r="I877" i="4"/>
  <c r="I878" i="4"/>
  <c r="I879" i="4"/>
  <c r="I880" i="4"/>
  <c r="I881" i="4"/>
  <c r="I882" i="4"/>
  <c r="I883" i="4"/>
  <c r="I884" i="4"/>
  <c r="I885" i="4"/>
  <c r="I886" i="4"/>
  <c r="I887" i="4"/>
  <c r="I888" i="4"/>
  <c r="I889" i="4"/>
  <c r="I890" i="4"/>
  <c r="I891" i="4"/>
  <c r="I892" i="4"/>
  <c r="I893" i="4"/>
  <c r="I894" i="4"/>
  <c r="I895" i="4"/>
  <c r="I896" i="4"/>
  <c r="I897" i="4"/>
  <c r="I898" i="4"/>
  <c r="I899" i="4"/>
  <c r="I900" i="4"/>
  <c r="I901" i="4"/>
  <c r="I902" i="4"/>
  <c r="I903" i="4"/>
  <c r="I904" i="4"/>
  <c r="I905" i="4"/>
  <c r="I906" i="4"/>
  <c r="I907" i="4"/>
  <c r="I908" i="4"/>
  <c r="I909" i="4"/>
  <c r="I910" i="4"/>
  <c r="I911" i="4"/>
  <c r="I912" i="4"/>
  <c r="I913" i="4"/>
  <c r="I914" i="4"/>
  <c r="I915" i="4"/>
  <c r="I916" i="4"/>
  <c r="I917" i="4"/>
  <c r="I918" i="4"/>
  <c r="I919" i="4"/>
  <c r="I920" i="4"/>
  <c r="I921" i="4"/>
  <c r="I922" i="4"/>
  <c r="I923" i="4"/>
  <c r="I924" i="4"/>
  <c r="I925" i="4"/>
  <c r="I926" i="4"/>
  <c r="I927" i="4"/>
  <c r="I928" i="4"/>
  <c r="I929" i="4"/>
  <c r="I930" i="4"/>
  <c r="I931" i="4"/>
  <c r="I932" i="4"/>
  <c r="I933" i="4"/>
  <c r="I934" i="4"/>
  <c r="I935" i="4"/>
  <c r="I936" i="4"/>
  <c r="I937" i="4"/>
  <c r="I938" i="4"/>
  <c r="I939" i="4"/>
  <c r="I940" i="4"/>
  <c r="I941" i="4"/>
  <c r="I942" i="4"/>
  <c r="I943" i="4"/>
  <c r="I944" i="4"/>
  <c r="I945" i="4"/>
  <c r="I946" i="4"/>
  <c r="I947" i="4"/>
  <c r="I948" i="4"/>
  <c r="I949" i="4"/>
  <c r="I950" i="4"/>
  <c r="I951" i="4"/>
  <c r="I952" i="4"/>
  <c r="I953" i="4"/>
  <c r="I954" i="4"/>
  <c r="I955" i="4"/>
  <c r="I956" i="4"/>
  <c r="I957" i="4"/>
  <c r="I958" i="4"/>
  <c r="I959" i="4"/>
  <c r="I960" i="4"/>
  <c r="I961" i="4"/>
  <c r="I962" i="4"/>
  <c r="I963" i="4"/>
  <c r="I964" i="4"/>
  <c r="I965" i="4"/>
  <c r="I966" i="4"/>
  <c r="I967" i="4"/>
  <c r="I968" i="4"/>
  <c r="I969" i="4"/>
  <c r="I970" i="4"/>
  <c r="I971" i="4"/>
  <c r="I972" i="4"/>
  <c r="I973" i="4"/>
  <c r="I974" i="4"/>
  <c r="I975" i="4"/>
  <c r="I976" i="4"/>
  <c r="I977" i="4"/>
  <c r="I978" i="4"/>
  <c r="I979" i="4"/>
  <c r="I980" i="4"/>
  <c r="I981" i="4"/>
  <c r="I982" i="4"/>
  <c r="I983" i="4"/>
  <c r="I984" i="4"/>
  <c r="I985" i="4"/>
  <c r="I986" i="4"/>
  <c r="I987" i="4"/>
  <c r="I988" i="4"/>
  <c r="I989" i="4"/>
  <c r="I990" i="4"/>
  <c r="I991" i="4"/>
  <c r="I992" i="4"/>
  <c r="I993" i="4"/>
  <c r="I994" i="4"/>
  <c r="I995" i="4"/>
  <c r="I996" i="4"/>
  <c r="I997" i="4"/>
  <c r="I998" i="4"/>
  <c r="I999" i="4"/>
  <c r="I1000" i="4"/>
  <c r="I1001" i="4"/>
  <c r="I1002" i="4"/>
  <c r="H1003" i="4"/>
  <c r="I1003" i="4"/>
  <c r="H1004" i="4"/>
  <c r="I1004" i="4"/>
  <c r="H1005" i="4"/>
  <c r="I1005" i="4"/>
  <c r="H1006" i="4"/>
  <c r="I1006" i="4"/>
  <c r="H1007" i="4"/>
  <c r="I1007" i="4"/>
  <c r="H1008" i="4"/>
  <c r="I1008" i="4"/>
  <c r="H1009" i="4"/>
  <c r="I1009" i="4"/>
  <c r="H1010" i="4"/>
  <c r="I1010" i="4"/>
  <c r="H1011" i="4"/>
  <c r="I1011" i="4"/>
  <c r="H1012" i="4"/>
  <c r="I1012" i="4"/>
  <c r="H1013" i="4"/>
  <c r="I1013" i="4"/>
  <c r="H1014" i="4"/>
  <c r="I1014" i="4"/>
  <c r="H1015" i="4"/>
  <c r="I1015" i="4"/>
  <c r="H1016" i="4"/>
  <c r="I1016" i="4"/>
  <c r="H1017" i="4"/>
  <c r="I1017" i="4"/>
  <c r="H1018" i="4"/>
  <c r="I1018" i="4"/>
  <c r="H1019" i="4"/>
  <c r="I1019" i="4"/>
  <c r="H1020" i="4"/>
  <c r="I1020" i="4"/>
  <c r="H1021" i="4"/>
  <c r="I1021" i="4"/>
  <c r="H1022" i="4"/>
  <c r="I1022" i="4"/>
  <c r="H1023" i="4"/>
  <c r="I1023" i="4"/>
  <c r="H1024" i="4"/>
  <c r="I1024" i="4"/>
  <c r="H1025" i="4"/>
  <c r="I1025" i="4"/>
  <c r="H1026" i="4"/>
  <c r="I1026" i="4"/>
  <c r="H1027" i="4"/>
  <c r="I1027" i="4"/>
  <c r="H1028" i="4"/>
  <c r="I1028" i="4"/>
  <c r="H1029" i="4"/>
  <c r="I1029" i="4"/>
  <c r="H1030" i="4"/>
  <c r="I1030" i="4"/>
  <c r="H1031" i="4"/>
  <c r="I1031" i="4"/>
  <c r="H1032" i="4"/>
  <c r="I1032" i="4"/>
  <c r="H1033" i="4"/>
  <c r="I1033" i="4"/>
  <c r="H1034" i="4"/>
  <c r="I1034" i="4"/>
  <c r="H1035" i="4"/>
  <c r="I1035" i="4"/>
  <c r="H1036" i="4"/>
  <c r="I1036" i="4"/>
  <c r="H1037" i="4"/>
  <c r="I1037" i="4"/>
  <c r="H1038" i="4"/>
  <c r="I1038" i="4"/>
  <c r="H1039" i="4"/>
  <c r="I1039" i="4"/>
  <c r="H1040" i="4"/>
  <c r="I1040" i="4"/>
  <c r="H1041" i="4"/>
  <c r="I1041" i="4"/>
  <c r="H1042" i="4"/>
  <c r="I1042" i="4"/>
  <c r="H1043" i="4"/>
  <c r="I1043" i="4"/>
  <c r="H1044" i="4"/>
  <c r="I1044" i="4"/>
  <c r="H1045" i="4"/>
  <c r="I1045" i="4"/>
  <c r="H1046" i="4"/>
  <c r="I1046" i="4"/>
  <c r="H1047" i="4"/>
  <c r="I1047" i="4"/>
  <c r="H1048" i="4"/>
  <c r="I1048" i="4"/>
  <c r="H1049" i="4"/>
  <c r="I1049" i="4"/>
  <c r="H1050" i="4"/>
  <c r="I1050" i="4"/>
  <c r="H1051" i="4"/>
  <c r="I1051" i="4"/>
  <c r="H1052" i="4"/>
  <c r="I1052" i="4"/>
  <c r="H1053" i="4"/>
  <c r="I1053" i="4"/>
  <c r="H1054" i="4"/>
  <c r="I1054" i="4"/>
  <c r="H1055" i="4"/>
  <c r="I1055" i="4"/>
  <c r="H1056" i="4"/>
  <c r="I1056" i="4"/>
  <c r="H1057" i="4"/>
  <c r="I1057" i="4"/>
  <c r="H1058" i="4"/>
  <c r="I1058" i="4"/>
  <c r="H1059" i="4"/>
  <c r="I1059" i="4"/>
  <c r="H1060" i="4"/>
  <c r="I1060" i="4"/>
  <c r="H1061" i="4"/>
  <c r="I1061" i="4"/>
  <c r="H1062" i="4"/>
  <c r="I1062" i="4"/>
  <c r="H1063" i="4"/>
  <c r="I1063" i="4"/>
  <c r="H1064" i="4"/>
  <c r="I1064" i="4"/>
  <c r="H1065" i="4"/>
  <c r="I1065" i="4"/>
  <c r="H1066" i="4"/>
  <c r="I1066" i="4"/>
  <c r="H1067" i="4"/>
  <c r="I1067" i="4"/>
  <c r="H1068" i="4"/>
  <c r="I1068" i="4"/>
  <c r="H1069" i="4"/>
  <c r="I1069" i="4"/>
  <c r="H1070" i="4"/>
  <c r="I1070" i="4"/>
  <c r="H1071" i="4"/>
  <c r="I1071" i="4"/>
  <c r="H1072" i="4"/>
  <c r="I1072" i="4"/>
  <c r="H1073" i="4"/>
  <c r="I1073" i="4"/>
  <c r="H1074" i="4"/>
  <c r="I1074" i="4"/>
  <c r="H1075" i="4"/>
  <c r="I1075" i="4"/>
  <c r="H1076" i="4"/>
  <c r="I1076" i="4"/>
  <c r="H1077" i="4"/>
  <c r="I1077" i="4"/>
  <c r="H1078" i="4"/>
  <c r="I1078" i="4"/>
  <c r="H1079" i="4"/>
  <c r="I1079" i="4"/>
  <c r="H1080" i="4"/>
  <c r="I1080" i="4"/>
  <c r="H1081" i="4"/>
  <c r="I1081" i="4"/>
  <c r="H1082" i="4"/>
  <c r="I1082" i="4"/>
  <c r="H1083" i="4"/>
  <c r="I1083" i="4"/>
  <c r="H1084" i="4"/>
  <c r="I1084" i="4"/>
  <c r="H1085" i="4"/>
  <c r="I1085" i="4"/>
  <c r="H1086" i="4"/>
  <c r="I1086" i="4"/>
  <c r="H1087" i="4"/>
  <c r="I1087" i="4"/>
  <c r="H1088" i="4"/>
  <c r="I1088" i="4"/>
  <c r="H1089" i="4"/>
  <c r="I1089" i="4"/>
  <c r="H1090" i="4"/>
  <c r="I1090" i="4"/>
  <c r="H1091" i="4"/>
  <c r="I1091" i="4"/>
  <c r="H1092" i="4"/>
  <c r="I1092" i="4"/>
  <c r="H1093" i="4"/>
  <c r="I1093" i="4"/>
  <c r="H1094" i="4"/>
  <c r="I1094" i="4"/>
  <c r="H1095" i="4"/>
  <c r="I1095" i="4"/>
  <c r="H1096" i="4"/>
  <c r="I1096" i="4"/>
  <c r="H1097" i="4"/>
  <c r="I1097" i="4"/>
  <c r="H1098" i="4"/>
  <c r="I1098" i="4"/>
  <c r="H1099" i="4"/>
  <c r="I1099" i="4"/>
  <c r="H1100" i="4"/>
  <c r="I1100" i="4"/>
  <c r="H1101" i="4"/>
  <c r="I1101" i="4"/>
  <c r="H1102" i="4"/>
  <c r="I1102" i="4"/>
  <c r="H1103" i="4"/>
  <c r="I1103" i="4"/>
  <c r="H1104" i="4"/>
  <c r="I1104" i="4"/>
  <c r="H1105" i="4"/>
  <c r="I1105" i="4"/>
  <c r="H1106" i="4"/>
  <c r="I1106" i="4"/>
  <c r="H1107" i="4"/>
  <c r="I1107" i="4"/>
  <c r="H1108" i="4"/>
  <c r="I1108" i="4"/>
  <c r="H1109" i="4"/>
  <c r="I1109" i="4"/>
  <c r="H1110" i="4"/>
  <c r="I1110" i="4"/>
  <c r="H1111" i="4"/>
  <c r="I1111" i="4"/>
  <c r="H1112" i="4"/>
  <c r="I1112" i="4"/>
  <c r="H1113" i="4"/>
  <c r="I1113" i="4"/>
  <c r="H1114" i="4"/>
  <c r="I1114" i="4"/>
  <c r="H1115" i="4"/>
  <c r="I1115" i="4"/>
  <c r="H1116" i="4"/>
  <c r="I1116" i="4"/>
  <c r="H1117" i="4"/>
  <c r="I1117" i="4"/>
  <c r="H1118" i="4"/>
  <c r="I1118" i="4"/>
  <c r="H1119" i="4"/>
  <c r="I1119" i="4"/>
  <c r="H1120" i="4"/>
  <c r="I1120" i="4"/>
  <c r="H1121" i="4"/>
  <c r="I1121" i="4"/>
  <c r="H1122" i="4"/>
  <c r="I1122" i="4"/>
  <c r="H1123" i="4"/>
  <c r="I1123" i="4"/>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H361" i="1"/>
  <c r="AI361" i="1"/>
  <c r="AJ361" i="1"/>
  <c r="AH362" i="1"/>
  <c r="AI362" i="1"/>
  <c r="AJ362" i="1"/>
  <c r="AH363" i="1"/>
  <c r="AI363" i="1"/>
  <c r="AJ363" i="1"/>
  <c r="AH364" i="1"/>
  <c r="AI364" i="1"/>
  <c r="AJ364" i="1"/>
  <c r="AH365" i="1"/>
  <c r="AI365" i="1"/>
  <c r="AJ365" i="1"/>
  <c r="AH366" i="1"/>
  <c r="AI366" i="1"/>
  <c r="AJ366" i="1"/>
  <c r="AH367" i="1"/>
  <c r="AI367" i="1"/>
  <c r="AJ367" i="1"/>
  <c r="AH368" i="1"/>
  <c r="AI368" i="1"/>
  <c r="AJ368" i="1"/>
  <c r="AH369" i="1"/>
  <c r="AI369" i="1"/>
  <c r="AJ369" i="1"/>
  <c r="AH370" i="1"/>
  <c r="AI370" i="1"/>
  <c r="AJ370" i="1"/>
  <c r="AH371" i="1"/>
  <c r="AI371" i="1"/>
  <c r="AJ371" i="1"/>
  <c r="AH372" i="1"/>
  <c r="AI372" i="1"/>
  <c r="AJ372" i="1"/>
  <c r="AH373" i="1"/>
  <c r="AI373" i="1"/>
  <c r="AJ373" i="1"/>
  <c r="AH374" i="1"/>
  <c r="AI374" i="1"/>
  <c r="AJ374" i="1"/>
  <c r="AH375" i="1"/>
  <c r="AI375" i="1"/>
  <c r="AJ375" i="1"/>
  <c r="AH376" i="1"/>
  <c r="AI376" i="1"/>
  <c r="AJ376" i="1"/>
  <c r="AH377" i="1"/>
  <c r="AI377" i="1"/>
  <c r="AJ377" i="1"/>
  <c r="AH378" i="1"/>
  <c r="AI378" i="1"/>
  <c r="AJ378" i="1"/>
  <c r="AH379" i="1"/>
  <c r="AI379" i="1"/>
  <c r="AJ379" i="1"/>
  <c r="AH380" i="1"/>
  <c r="AI380" i="1"/>
  <c r="AJ380" i="1"/>
  <c r="AH381" i="1"/>
  <c r="AI381" i="1"/>
  <c r="AJ381" i="1"/>
  <c r="AH382" i="1"/>
  <c r="AI382" i="1"/>
  <c r="AJ382" i="1"/>
  <c r="AH383" i="1"/>
  <c r="AI383" i="1"/>
  <c r="AJ383" i="1"/>
  <c r="AH384" i="1"/>
  <c r="AI384" i="1"/>
  <c r="AJ384" i="1"/>
  <c r="AH385" i="1"/>
  <c r="AI385" i="1"/>
  <c r="AJ385" i="1"/>
  <c r="AH386" i="1"/>
  <c r="AI386" i="1"/>
  <c r="AJ386" i="1"/>
  <c r="AH387" i="1"/>
  <c r="AI387" i="1"/>
  <c r="AJ387" i="1"/>
  <c r="AH388" i="1"/>
  <c r="AI388" i="1"/>
  <c r="AJ388" i="1"/>
  <c r="AH389" i="1"/>
  <c r="AI389" i="1"/>
  <c r="AJ389" i="1"/>
  <c r="AH390" i="1"/>
  <c r="AI390" i="1"/>
  <c r="AJ390" i="1"/>
  <c r="AH391" i="1"/>
  <c r="AI391" i="1"/>
  <c r="AJ391" i="1"/>
  <c r="AH392" i="1"/>
  <c r="AI392" i="1"/>
  <c r="AJ392" i="1"/>
  <c r="AH393" i="1"/>
  <c r="AI393" i="1"/>
  <c r="AJ393" i="1"/>
  <c r="AH394" i="1"/>
  <c r="AI394" i="1"/>
  <c r="AJ394" i="1"/>
  <c r="AH395" i="1"/>
  <c r="AI395" i="1"/>
  <c r="AJ395" i="1"/>
  <c r="AH396" i="1"/>
  <c r="AI396" i="1"/>
  <c r="AJ396" i="1"/>
  <c r="AH397" i="1"/>
  <c r="AI397" i="1"/>
  <c r="AJ397" i="1"/>
  <c r="AH398" i="1"/>
  <c r="AI398" i="1"/>
  <c r="AJ398" i="1"/>
  <c r="AH399" i="1"/>
  <c r="AI399" i="1"/>
  <c r="AJ399" i="1"/>
  <c r="AH400" i="1"/>
  <c r="AI400" i="1"/>
  <c r="AJ400" i="1"/>
  <c r="AH401" i="1"/>
  <c r="AI401" i="1"/>
  <c r="AJ401" i="1"/>
  <c r="AH402" i="1"/>
  <c r="AI402" i="1"/>
  <c r="AJ402" i="1"/>
  <c r="AH403" i="1"/>
  <c r="AI403" i="1"/>
  <c r="AJ403" i="1"/>
  <c r="AH404" i="1"/>
  <c r="AI404" i="1"/>
  <c r="AJ404" i="1"/>
  <c r="AH405" i="1"/>
  <c r="AI405" i="1"/>
  <c r="AJ405" i="1"/>
  <c r="AH406" i="1"/>
  <c r="AI406" i="1"/>
  <c r="AJ406" i="1"/>
  <c r="AH407" i="1"/>
  <c r="AI407" i="1"/>
  <c r="AJ407" i="1"/>
  <c r="AH408" i="1"/>
  <c r="AI408" i="1"/>
  <c r="AJ408" i="1"/>
  <c r="AH409" i="1"/>
  <c r="AI409" i="1"/>
  <c r="AJ409" i="1"/>
  <c r="AH410" i="1"/>
  <c r="AI410" i="1"/>
  <c r="AJ410" i="1"/>
  <c r="AH411" i="1"/>
  <c r="AI411" i="1"/>
  <c r="AJ411" i="1"/>
  <c r="AH412" i="1"/>
  <c r="AI412" i="1"/>
  <c r="AJ412" i="1"/>
  <c r="AH413" i="1"/>
  <c r="AI413" i="1"/>
  <c r="AJ413" i="1"/>
  <c r="AH414" i="1"/>
  <c r="AI414" i="1"/>
  <c r="AJ414" i="1"/>
  <c r="AH415" i="1"/>
  <c r="AI415" i="1"/>
  <c r="AJ415" i="1"/>
  <c r="AH416" i="1"/>
  <c r="AI416" i="1"/>
  <c r="AJ416" i="1"/>
  <c r="AH417" i="1"/>
  <c r="AI417" i="1"/>
  <c r="AJ417" i="1"/>
  <c r="AH418" i="1"/>
  <c r="AI418" i="1"/>
  <c r="AJ418" i="1"/>
  <c r="AH419" i="1"/>
  <c r="AI419" i="1"/>
  <c r="AJ419" i="1"/>
  <c r="AH420" i="1"/>
  <c r="AI420" i="1"/>
  <c r="AJ420" i="1"/>
  <c r="AH421" i="1"/>
  <c r="AI421" i="1"/>
  <c r="AJ421" i="1"/>
  <c r="AH422" i="1"/>
  <c r="AI422" i="1"/>
  <c r="AJ422" i="1"/>
  <c r="AH423" i="1"/>
  <c r="AI423" i="1"/>
  <c r="AJ423" i="1"/>
  <c r="AH424" i="1"/>
  <c r="AI424" i="1"/>
  <c r="AJ424" i="1"/>
  <c r="AH425" i="1"/>
  <c r="AI425" i="1"/>
  <c r="AJ425" i="1"/>
  <c r="AH426" i="1"/>
  <c r="AI426" i="1"/>
  <c r="AJ426" i="1"/>
  <c r="AH427" i="1"/>
  <c r="AI427" i="1"/>
  <c r="AJ427" i="1"/>
  <c r="AH428" i="1"/>
  <c r="AI428" i="1"/>
  <c r="AJ428" i="1"/>
  <c r="AH429" i="1"/>
  <c r="AI429" i="1"/>
  <c r="AJ429" i="1"/>
  <c r="AH430" i="1"/>
  <c r="AI430" i="1"/>
  <c r="AJ430" i="1"/>
  <c r="AH431" i="1"/>
  <c r="AI431" i="1"/>
  <c r="AJ431" i="1"/>
  <c r="AH432" i="1"/>
  <c r="AI432" i="1"/>
  <c r="AJ432" i="1"/>
  <c r="AH433" i="1"/>
  <c r="AI433" i="1"/>
  <c r="AJ433" i="1"/>
  <c r="AH434" i="1"/>
  <c r="AI434" i="1"/>
  <c r="AJ434" i="1"/>
  <c r="AH435" i="1"/>
  <c r="AI435" i="1"/>
  <c r="AJ435" i="1"/>
  <c r="AH436" i="1"/>
  <c r="AI436" i="1"/>
  <c r="AJ436" i="1"/>
  <c r="AH437" i="1"/>
  <c r="AI437" i="1"/>
  <c r="AJ437" i="1"/>
  <c r="AH438" i="1"/>
  <c r="AI438" i="1"/>
  <c r="AJ438" i="1"/>
  <c r="AH439" i="1"/>
  <c r="AI439" i="1"/>
  <c r="AJ439" i="1"/>
  <c r="AH440" i="1"/>
  <c r="AI440" i="1"/>
  <c r="AJ440" i="1"/>
  <c r="AH441" i="1"/>
  <c r="AI441" i="1"/>
  <c r="AJ441" i="1"/>
  <c r="AH442" i="1"/>
  <c r="AI442" i="1"/>
  <c r="AJ442" i="1"/>
  <c r="AH443" i="1"/>
  <c r="AI443" i="1"/>
  <c r="AJ443" i="1"/>
  <c r="AH444" i="1"/>
  <c r="AI444" i="1"/>
  <c r="AJ444" i="1"/>
  <c r="AH445" i="1"/>
  <c r="AI445" i="1"/>
  <c r="AJ445" i="1"/>
  <c r="AH446" i="1"/>
  <c r="AI446" i="1"/>
  <c r="AJ446" i="1"/>
  <c r="AH447" i="1"/>
  <c r="AI447" i="1"/>
  <c r="AJ447" i="1"/>
  <c r="AH448" i="1"/>
  <c r="AI448" i="1"/>
  <c r="AJ448" i="1"/>
  <c r="AH449" i="1"/>
  <c r="AI449" i="1"/>
  <c r="AJ449" i="1"/>
  <c r="AH450" i="1"/>
  <c r="AI450" i="1"/>
  <c r="AJ450" i="1"/>
  <c r="AH451" i="1"/>
  <c r="AI451" i="1"/>
  <c r="AJ451" i="1"/>
  <c r="AH452" i="1"/>
  <c r="AI452" i="1"/>
  <c r="AJ452" i="1"/>
  <c r="AH453" i="1"/>
  <c r="AI453" i="1"/>
  <c r="AJ453" i="1"/>
  <c r="AH454" i="1"/>
  <c r="AI454" i="1"/>
  <c r="AJ454" i="1"/>
  <c r="AH455" i="1"/>
  <c r="AI455" i="1"/>
  <c r="AJ455" i="1"/>
  <c r="AH456" i="1"/>
  <c r="AI456" i="1"/>
  <c r="AJ456" i="1"/>
  <c r="AH457" i="1"/>
  <c r="AI457" i="1"/>
  <c r="AJ457" i="1"/>
  <c r="AH458" i="1"/>
  <c r="AI458" i="1"/>
  <c r="AJ458" i="1"/>
  <c r="AH459" i="1"/>
  <c r="AI459" i="1"/>
  <c r="AJ459" i="1"/>
  <c r="AH460" i="1"/>
  <c r="AI460" i="1"/>
  <c r="AJ460" i="1"/>
  <c r="AH461" i="1"/>
  <c r="AI461" i="1"/>
  <c r="AJ461" i="1"/>
  <c r="AH462" i="1"/>
  <c r="AI462" i="1"/>
  <c r="AJ462" i="1"/>
  <c r="AH463" i="1"/>
  <c r="AI463" i="1"/>
  <c r="AJ463" i="1"/>
  <c r="AH464" i="1"/>
  <c r="AI464" i="1"/>
  <c r="AJ464" i="1"/>
  <c r="AH465" i="1"/>
  <c r="AI465" i="1"/>
  <c r="AJ465" i="1"/>
  <c r="AH466" i="1"/>
  <c r="AI466" i="1"/>
  <c r="AJ466" i="1"/>
  <c r="AH467" i="1"/>
  <c r="AI467" i="1"/>
  <c r="AJ467" i="1"/>
  <c r="AH468" i="1"/>
  <c r="AI468" i="1"/>
  <c r="AJ468" i="1"/>
  <c r="AH469" i="1"/>
  <c r="AI469" i="1"/>
  <c r="AJ469" i="1"/>
  <c r="AH470" i="1"/>
  <c r="AI470" i="1"/>
  <c r="AJ470" i="1"/>
  <c r="AH471" i="1"/>
  <c r="AI471" i="1"/>
  <c r="AJ471" i="1"/>
  <c r="AH472" i="1"/>
  <c r="AI472" i="1"/>
  <c r="AJ472" i="1"/>
  <c r="AH473" i="1"/>
  <c r="AI473" i="1"/>
  <c r="AJ473" i="1"/>
  <c r="AH474" i="1"/>
  <c r="AI474" i="1"/>
  <c r="AJ474" i="1"/>
  <c r="AH475" i="1"/>
  <c r="AI475" i="1"/>
  <c r="AJ475" i="1"/>
  <c r="AH476" i="1"/>
  <c r="AI476" i="1"/>
  <c r="AJ476" i="1"/>
  <c r="AH477" i="1"/>
  <c r="AI477" i="1"/>
  <c r="AJ477" i="1"/>
  <c r="AH478" i="1"/>
  <c r="AI478" i="1"/>
  <c r="AJ478" i="1"/>
  <c r="AH479" i="1"/>
  <c r="AI479" i="1"/>
  <c r="AJ479" i="1"/>
  <c r="AH480" i="1"/>
  <c r="AI480" i="1"/>
  <c r="AJ480" i="1"/>
  <c r="AH481" i="1"/>
  <c r="AI481" i="1"/>
  <c r="AJ481" i="1"/>
  <c r="AH482" i="1"/>
  <c r="AI482" i="1"/>
  <c r="AJ482" i="1"/>
  <c r="AH483" i="1"/>
  <c r="AI483" i="1"/>
  <c r="AJ483" i="1"/>
  <c r="AH484" i="1"/>
  <c r="AI484" i="1"/>
  <c r="AJ484" i="1"/>
  <c r="AH485" i="1"/>
  <c r="AI485" i="1"/>
  <c r="AJ485" i="1"/>
  <c r="AH486" i="1"/>
  <c r="AI486" i="1"/>
  <c r="AJ486" i="1"/>
  <c r="AH487" i="1"/>
  <c r="AI487" i="1"/>
  <c r="AJ487" i="1"/>
  <c r="AH488" i="1"/>
  <c r="AI488" i="1"/>
  <c r="AJ488" i="1"/>
  <c r="AH489" i="1"/>
  <c r="AI489" i="1"/>
  <c r="AJ489" i="1"/>
  <c r="AH490" i="1"/>
  <c r="AI490" i="1"/>
  <c r="AJ490" i="1"/>
  <c r="AH491" i="1"/>
  <c r="AI491" i="1"/>
  <c r="AJ491" i="1"/>
  <c r="AH492" i="1"/>
  <c r="AI492" i="1"/>
  <c r="AJ492" i="1"/>
  <c r="AH493" i="1"/>
  <c r="AI493" i="1"/>
  <c r="AJ493" i="1"/>
  <c r="AH494" i="1"/>
  <c r="AI494" i="1"/>
  <c r="AJ494" i="1"/>
  <c r="AH495" i="1"/>
  <c r="AI495" i="1"/>
  <c r="AJ495" i="1"/>
  <c r="AH496" i="1"/>
  <c r="AI496" i="1"/>
  <c r="AJ496" i="1"/>
  <c r="AH497" i="1"/>
  <c r="AI497" i="1"/>
  <c r="AJ497" i="1"/>
  <c r="AH498" i="1"/>
  <c r="AI498" i="1"/>
  <c r="AJ498" i="1"/>
  <c r="AH499" i="1"/>
  <c r="AI499" i="1"/>
  <c r="AJ499" i="1"/>
  <c r="AH500" i="1"/>
  <c r="AI500" i="1"/>
  <c r="AJ500" i="1"/>
  <c r="AH501" i="1"/>
  <c r="AI501" i="1"/>
  <c r="AJ501" i="1"/>
  <c r="AH502" i="1"/>
  <c r="AI502" i="1"/>
  <c r="AJ502" i="1"/>
  <c r="AH503" i="1"/>
  <c r="AI503" i="1"/>
  <c r="AJ503" i="1"/>
  <c r="AH504" i="1"/>
  <c r="AI504" i="1"/>
  <c r="AJ504" i="1"/>
  <c r="AH505" i="1"/>
  <c r="AI505" i="1"/>
  <c r="AJ505" i="1"/>
  <c r="AH506" i="1"/>
  <c r="AI506" i="1"/>
  <c r="AJ506" i="1"/>
  <c r="AH507" i="1"/>
  <c r="AI507" i="1"/>
  <c r="AJ507" i="1"/>
  <c r="AH508" i="1"/>
  <c r="AI508" i="1"/>
  <c r="AJ508" i="1"/>
  <c r="AH509" i="1"/>
  <c r="AI509" i="1"/>
  <c r="AJ509" i="1"/>
  <c r="AH510" i="1"/>
  <c r="AI510" i="1"/>
  <c r="AJ510" i="1"/>
  <c r="AH511" i="1"/>
  <c r="AI511" i="1"/>
  <c r="AJ511" i="1"/>
  <c r="AH512" i="1"/>
  <c r="AI512" i="1"/>
  <c r="AJ512" i="1"/>
  <c r="AH513" i="1"/>
  <c r="AI513" i="1"/>
  <c r="AJ513" i="1"/>
  <c r="AH514" i="1"/>
  <c r="AI514" i="1"/>
  <c r="AJ514" i="1"/>
  <c r="AH515" i="1"/>
  <c r="AI515" i="1"/>
  <c r="AJ515" i="1"/>
  <c r="AH516" i="1"/>
  <c r="AI516" i="1"/>
  <c r="AJ516" i="1"/>
  <c r="AH517" i="1"/>
  <c r="AI517" i="1"/>
  <c r="AJ517" i="1"/>
  <c r="AH518" i="1"/>
  <c r="AI518" i="1"/>
  <c r="AJ518" i="1"/>
  <c r="AH519" i="1"/>
  <c r="AI519" i="1"/>
  <c r="AJ519" i="1"/>
  <c r="AH520" i="1"/>
  <c r="AI520" i="1"/>
  <c r="AJ520" i="1"/>
  <c r="AH521" i="1"/>
  <c r="AI521" i="1"/>
  <c r="AJ521" i="1"/>
  <c r="AH522" i="1"/>
  <c r="AI522" i="1"/>
  <c r="AJ522" i="1"/>
  <c r="AH523" i="1"/>
  <c r="AI523" i="1"/>
  <c r="AJ523" i="1"/>
  <c r="AH524" i="1"/>
  <c r="AI524" i="1"/>
  <c r="AJ524" i="1"/>
  <c r="AH525" i="1"/>
  <c r="AI525" i="1"/>
  <c r="AJ525" i="1"/>
  <c r="AH526" i="1"/>
  <c r="AI526" i="1"/>
  <c r="AJ526" i="1"/>
  <c r="AH527" i="1"/>
  <c r="AI527" i="1"/>
  <c r="AJ527" i="1"/>
  <c r="AH528" i="1"/>
  <c r="AI528" i="1"/>
  <c r="AJ528" i="1"/>
  <c r="AH529" i="1"/>
  <c r="AI529" i="1"/>
  <c r="AJ529" i="1"/>
  <c r="AH530" i="1"/>
  <c r="AI530" i="1"/>
  <c r="AJ530" i="1"/>
  <c r="AH531" i="1"/>
  <c r="AI531" i="1"/>
  <c r="AJ531" i="1"/>
  <c r="AH532" i="1"/>
  <c r="AI532" i="1"/>
  <c r="AJ532" i="1"/>
  <c r="AH533" i="1"/>
  <c r="AI533" i="1"/>
  <c r="AJ533" i="1"/>
  <c r="AH534" i="1"/>
  <c r="AI534" i="1"/>
  <c r="AJ534" i="1"/>
  <c r="AH535" i="1"/>
  <c r="AI535" i="1"/>
  <c r="AJ535" i="1"/>
  <c r="AH536" i="1"/>
  <c r="AI536" i="1"/>
  <c r="AJ536" i="1"/>
  <c r="AH537" i="1"/>
  <c r="AI537" i="1"/>
  <c r="AJ537" i="1"/>
  <c r="AH538" i="1"/>
  <c r="AI538" i="1"/>
  <c r="AJ538" i="1"/>
  <c r="AH539" i="1"/>
  <c r="AI539" i="1"/>
  <c r="AJ539" i="1"/>
  <c r="AH540" i="1"/>
  <c r="AI540" i="1"/>
  <c r="AJ540" i="1"/>
  <c r="AH541" i="1"/>
  <c r="AI541" i="1"/>
  <c r="AJ541" i="1"/>
  <c r="AH542" i="1"/>
  <c r="AI542" i="1"/>
  <c r="AJ542" i="1"/>
  <c r="AH543" i="1"/>
  <c r="AI543" i="1"/>
  <c r="AJ543" i="1"/>
  <c r="AH544" i="1"/>
  <c r="AI544" i="1"/>
  <c r="AJ544" i="1"/>
  <c r="AH545" i="1"/>
  <c r="AI545" i="1"/>
  <c r="AJ545" i="1"/>
  <c r="AH546" i="1"/>
  <c r="AI546" i="1"/>
  <c r="AJ546" i="1"/>
  <c r="AH547" i="1"/>
  <c r="AI547" i="1"/>
  <c r="AJ547" i="1"/>
  <c r="AH548" i="1"/>
  <c r="AI548" i="1"/>
  <c r="AJ548" i="1"/>
  <c r="AH549" i="1"/>
  <c r="AI549" i="1"/>
  <c r="AJ549" i="1"/>
  <c r="AH550" i="1"/>
  <c r="AI550" i="1"/>
  <c r="AJ550" i="1"/>
  <c r="AH551" i="1"/>
  <c r="AI551" i="1"/>
  <c r="AJ551" i="1"/>
  <c r="AH552" i="1"/>
  <c r="AI552" i="1"/>
  <c r="AJ552" i="1"/>
  <c r="AH553" i="1"/>
  <c r="AI553" i="1"/>
  <c r="AJ553" i="1"/>
  <c r="AH554" i="1"/>
  <c r="AI554" i="1"/>
  <c r="AJ554" i="1"/>
  <c r="AH555" i="1"/>
  <c r="AI555" i="1"/>
  <c r="AJ555" i="1"/>
  <c r="AH556" i="1"/>
  <c r="AI556" i="1"/>
  <c r="AJ556" i="1"/>
  <c r="AH557" i="1"/>
  <c r="AI557" i="1"/>
  <c r="AJ557" i="1"/>
  <c r="AH558" i="1"/>
  <c r="AI558" i="1"/>
  <c r="AJ558" i="1"/>
  <c r="AH559" i="1"/>
  <c r="AI559" i="1"/>
  <c r="AJ559" i="1"/>
  <c r="AH560" i="1"/>
  <c r="AI560" i="1"/>
  <c r="AJ560" i="1"/>
  <c r="AH561" i="1"/>
  <c r="AI561" i="1"/>
  <c r="AJ561" i="1"/>
  <c r="AH562" i="1"/>
  <c r="AI562" i="1"/>
  <c r="AJ562" i="1"/>
  <c r="AH563" i="1"/>
  <c r="AI563" i="1"/>
  <c r="AJ563" i="1"/>
  <c r="AH564" i="1"/>
  <c r="AI564" i="1"/>
  <c r="AJ564" i="1"/>
  <c r="AH565" i="1"/>
  <c r="AI565" i="1"/>
  <c r="AJ565" i="1"/>
  <c r="AH566" i="1"/>
  <c r="AI566" i="1"/>
  <c r="AJ566" i="1"/>
  <c r="AH567" i="1"/>
  <c r="AI567" i="1"/>
  <c r="AJ567" i="1"/>
  <c r="AH568" i="1"/>
  <c r="AI568" i="1"/>
  <c r="AJ568" i="1"/>
  <c r="AH569" i="1"/>
  <c r="AI569" i="1"/>
  <c r="AJ569" i="1"/>
  <c r="AH570" i="1"/>
  <c r="AI570" i="1"/>
  <c r="AJ570" i="1"/>
  <c r="AH571" i="1"/>
  <c r="AI571" i="1"/>
  <c r="AJ571" i="1"/>
  <c r="AH572" i="1"/>
  <c r="AI572" i="1"/>
  <c r="AJ572" i="1"/>
  <c r="AH573" i="1"/>
  <c r="AI573" i="1"/>
  <c r="AJ573" i="1"/>
  <c r="AH574" i="1"/>
  <c r="AI574" i="1"/>
  <c r="AJ574" i="1"/>
  <c r="AH575" i="1"/>
  <c r="AI575" i="1"/>
  <c r="AJ575" i="1"/>
  <c r="AH576" i="1"/>
  <c r="AI576" i="1"/>
  <c r="AJ576" i="1"/>
  <c r="AH577" i="1"/>
  <c r="AI577" i="1"/>
  <c r="AJ577" i="1"/>
  <c r="AH578" i="1"/>
  <c r="AI578" i="1"/>
  <c r="AJ578" i="1"/>
  <c r="AH579" i="1"/>
  <c r="AI579" i="1"/>
  <c r="AJ579" i="1"/>
  <c r="AH580" i="1"/>
  <c r="AI580" i="1"/>
  <c r="AJ580" i="1"/>
  <c r="AH581" i="1"/>
  <c r="AI581" i="1"/>
  <c r="AJ581" i="1"/>
  <c r="AH582" i="1"/>
  <c r="AI582" i="1"/>
  <c r="AJ582" i="1"/>
  <c r="AH583" i="1"/>
  <c r="AI583" i="1"/>
  <c r="AJ583" i="1"/>
  <c r="AH584" i="1"/>
  <c r="AI584" i="1"/>
  <c r="AJ584" i="1"/>
  <c r="AH585" i="1"/>
  <c r="AI585" i="1"/>
  <c r="AJ585" i="1"/>
  <c r="AH586" i="1"/>
  <c r="AI586" i="1"/>
  <c r="AJ586" i="1"/>
  <c r="AH587" i="1"/>
  <c r="AI587" i="1"/>
  <c r="AJ587" i="1"/>
  <c r="AH588" i="1"/>
  <c r="AI588" i="1"/>
  <c r="AJ588" i="1"/>
  <c r="AH589" i="1"/>
  <c r="AI589" i="1"/>
  <c r="AJ589" i="1"/>
  <c r="AH590" i="1"/>
  <c r="AI590" i="1"/>
  <c r="AJ590" i="1"/>
  <c r="AH591" i="1"/>
  <c r="AI591" i="1"/>
  <c r="AJ591" i="1"/>
  <c r="AH592" i="1"/>
  <c r="AI592" i="1"/>
  <c r="AJ592" i="1"/>
  <c r="AH593" i="1"/>
  <c r="AI593" i="1"/>
  <c r="AJ593" i="1"/>
  <c r="AH594" i="1"/>
  <c r="AI594" i="1"/>
  <c r="AJ594" i="1"/>
  <c r="AH595" i="1"/>
  <c r="AI595" i="1"/>
  <c r="AJ595" i="1"/>
  <c r="AH596" i="1"/>
  <c r="AI596" i="1"/>
  <c r="AJ596" i="1"/>
  <c r="AH597" i="1"/>
  <c r="AI597" i="1"/>
  <c r="AJ597" i="1"/>
  <c r="AH598" i="1"/>
  <c r="AI598" i="1"/>
  <c r="AJ598" i="1"/>
  <c r="AH599" i="1"/>
  <c r="AI599" i="1"/>
  <c r="AJ599" i="1"/>
  <c r="AH600" i="1"/>
  <c r="AI600" i="1"/>
  <c r="AJ600" i="1"/>
  <c r="AH601" i="1"/>
  <c r="AI601" i="1"/>
  <c r="AJ601" i="1"/>
  <c r="AH602" i="1"/>
  <c r="AI602" i="1"/>
  <c r="AJ602" i="1"/>
  <c r="AH603" i="1"/>
  <c r="AI603" i="1"/>
  <c r="AJ603" i="1"/>
  <c r="AH604" i="1"/>
  <c r="AI604" i="1"/>
  <c r="AJ604" i="1"/>
  <c r="AH605" i="1"/>
  <c r="AI605" i="1"/>
  <c r="AJ605" i="1"/>
  <c r="AH606" i="1"/>
  <c r="AI606" i="1"/>
  <c r="AJ606" i="1"/>
  <c r="AH607" i="1"/>
  <c r="AI607" i="1"/>
  <c r="AJ607" i="1"/>
  <c r="AH608" i="1"/>
  <c r="AI608" i="1"/>
  <c r="AJ608" i="1"/>
  <c r="AH609" i="1"/>
  <c r="AI609" i="1"/>
  <c r="AJ609" i="1"/>
  <c r="AH610" i="1"/>
  <c r="AI610" i="1"/>
  <c r="AJ610" i="1"/>
  <c r="AH611" i="1"/>
  <c r="AI611" i="1"/>
  <c r="AJ611" i="1"/>
  <c r="AH612" i="1"/>
  <c r="AI612" i="1"/>
  <c r="AJ612" i="1"/>
  <c r="AH613" i="1"/>
  <c r="AI613" i="1"/>
  <c r="AJ613" i="1"/>
  <c r="AH614" i="1"/>
  <c r="AI614" i="1"/>
  <c r="AJ614" i="1"/>
  <c r="AH615" i="1"/>
  <c r="AI615" i="1"/>
  <c r="AJ615" i="1"/>
  <c r="AH616" i="1"/>
  <c r="AI616" i="1"/>
  <c r="AJ616" i="1"/>
  <c r="AH617" i="1"/>
  <c r="AI617" i="1"/>
  <c r="AJ617" i="1"/>
  <c r="AH618" i="1"/>
  <c r="AI618" i="1"/>
  <c r="AJ618" i="1"/>
  <c r="AH619" i="1"/>
  <c r="AI619" i="1"/>
  <c r="AJ619" i="1"/>
  <c r="AH620" i="1"/>
  <c r="AI620" i="1"/>
  <c r="AJ620" i="1"/>
  <c r="AH621" i="1"/>
  <c r="AI621" i="1"/>
  <c r="AJ621" i="1"/>
  <c r="AH622" i="1"/>
  <c r="AI622" i="1"/>
  <c r="AJ622" i="1"/>
  <c r="AH623" i="1"/>
  <c r="AI623" i="1"/>
  <c r="AJ623" i="1"/>
  <c r="AH624" i="1"/>
  <c r="AI624" i="1"/>
  <c r="AJ624" i="1"/>
  <c r="AH625" i="1"/>
  <c r="AI625" i="1"/>
  <c r="AJ625" i="1"/>
  <c r="AH626" i="1"/>
  <c r="AI626" i="1"/>
  <c r="AJ626" i="1"/>
  <c r="AH627" i="1"/>
  <c r="AI627" i="1"/>
  <c r="AJ627" i="1"/>
  <c r="AH628" i="1"/>
  <c r="AI628" i="1"/>
  <c r="AJ628" i="1"/>
  <c r="AH629" i="1"/>
  <c r="AI629" i="1"/>
  <c r="AJ629" i="1"/>
  <c r="AH630" i="1"/>
  <c r="AI630" i="1"/>
  <c r="AJ630" i="1"/>
  <c r="AH631" i="1"/>
  <c r="AI631" i="1"/>
  <c r="AJ631" i="1"/>
  <c r="AH632" i="1"/>
  <c r="AI632" i="1"/>
  <c r="AJ632" i="1"/>
  <c r="AH633" i="1"/>
  <c r="AI633" i="1"/>
  <c r="AJ633" i="1"/>
  <c r="AH634" i="1"/>
  <c r="AI634" i="1"/>
  <c r="AJ634" i="1"/>
  <c r="AH635" i="1"/>
  <c r="AI635" i="1"/>
  <c r="AJ635" i="1"/>
  <c r="AH636" i="1"/>
  <c r="AI636" i="1"/>
  <c r="AJ636" i="1"/>
  <c r="AH637" i="1"/>
  <c r="AI637" i="1"/>
  <c r="AJ637" i="1"/>
  <c r="AH638" i="1"/>
  <c r="AI638" i="1"/>
  <c r="AJ638" i="1"/>
  <c r="AH639" i="1"/>
  <c r="AI639" i="1"/>
  <c r="AJ639" i="1"/>
  <c r="AH640" i="1"/>
  <c r="AI640" i="1"/>
  <c r="AJ640" i="1"/>
  <c r="AH641" i="1"/>
  <c r="AI641" i="1"/>
  <c r="AJ641" i="1"/>
  <c r="AH642" i="1"/>
  <c r="AI642" i="1"/>
  <c r="AJ642" i="1"/>
  <c r="AH643" i="1"/>
  <c r="AI643" i="1"/>
  <c r="AJ643" i="1"/>
  <c r="AH644" i="1"/>
  <c r="AI644" i="1"/>
  <c r="AJ644" i="1"/>
  <c r="AH645" i="1"/>
  <c r="AI645" i="1"/>
  <c r="AJ645" i="1"/>
  <c r="AH646" i="1"/>
  <c r="AI646" i="1"/>
  <c r="AJ646" i="1"/>
  <c r="AH647" i="1"/>
  <c r="AI647" i="1"/>
  <c r="AJ647" i="1"/>
  <c r="AH648" i="1"/>
  <c r="AI648" i="1"/>
  <c r="AJ648" i="1"/>
  <c r="AH649" i="1"/>
  <c r="AI649" i="1"/>
  <c r="AJ649" i="1"/>
  <c r="AH650" i="1"/>
  <c r="AI650" i="1"/>
  <c r="AJ650" i="1"/>
  <c r="AH651" i="1"/>
  <c r="AI651" i="1"/>
  <c r="AJ651" i="1"/>
  <c r="AH652" i="1"/>
  <c r="AI652" i="1"/>
  <c r="AJ652" i="1"/>
  <c r="AH653" i="1"/>
  <c r="AI653" i="1"/>
  <c r="AJ653" i="1"/>
  <c r="AH654" i="1"/>
  <c r="AI654" i="1"/>
  <c r="AJ654" i="1"/>
  <c r="AH655" i="1"/>
  <c r="AI655" i="1"/>
  <c r="AJ655" i="1"/>
  <c r="AH656" i="1"/>
  <c r="AI656" i="1"/>
  <c r="AJ656" i="1"/>
  <c r="AH657" i="1"/>
  <c r="AI657" i="1"/>
  <c r="AJ657" i="1"/>
  <c r="AH658" i="1"/>
  <c r="AI658" i="1"/>
  <c r="AJ658" i="1"/>
  <c r="AH659" i="1"/>
  <c r="AI659" i="1"/>
  <c r="AJ659" i="1"/>
  <c r="AH660" i="1"/>
  <c r="AI660" i="1"/>
  <c r="AJ660" i="1"/>
  <c r="AH661" i="1"/>
  <c r="AI661" i="1"/>
  <c r="AJ661" i="1"/>
  <c r="AH662" i="1"/>
  <c r="AI662" i="1"/>
  <c r="AJ662" i="1"/>
  <c r="AH663" i="1"/>
  <c r="AI663" i="1"/>
  <c r="AJ663" i="1"/>
  <c r="AH664" i="1"/>
  <c r="AI664" i="1"/>
  <c r="AJ664" i="1"/>
  <c r="AH665" i="1"/>
  <c r="AI665" i="1"/>
  <c r="AJ665" i="1"/>
  <c r="AH666" i="1"/>
  <c r="AI666" i="1"/>
  <c r="AJ666" i="1"/>
  <c r="AH667" i="1"/>
  <c r="AI667" i="1"/>
  <c r="AJ667" i="1"/>
  <c r="AH668" i="1"/>
  <c r="AI668" i="1"/>
  <c r="AJ668" i="1"/>
  <c r="AH669" i="1"/>
  <c r="AI669" i="1"/>
  <c r="AJ669" i="1"/>
  <c r="AH670" i="1"/>
  <c r="AI670" i="1"/>
  <c r="AJ670" i="1"/>
  <c r="AH671" i="1"/>
  <c r="AI671" i="1"/>
  <c r="AJ671" i="1"/>
  <c r="AH672" i="1"/>
  <c r="AI672" i="1"/>
  <c r="AJ672" i="1"/>
  <c r="AH673" i="1"/>
  <c r="AI673" i="1"/>
  <c r="AJ673" i="1"/>
  <c r="AH674" i="1"/>
  <c r="AI674" i="1"/>
  <c r="AJ674" i="1"/>
  <c r="AH675" i="1"/>
  <c r="AI675" i="1"/>
  <c r="AJ675" i="1"/>
  <c r="AH676" i="1"/>
  <c r="AI676" i="1"/>
  <c r="AJ676" i="1"/>
  <c r="AH677" i="1"/>
  <c r="AI677" i="1"/>
  <c r="AJ677" i="1"/>
  <c r="AH678" i="1"/>
  <c r="AI678" i="1"/>
  <c r="AJ678" i="1"/>
  <c r="AH679" i="1"/>
  <c r="AI679" i="1"/>
  <c r="AJ679" i="1"/>
  <c r="AH680" i="1"/>
  <c r="AI680" i="1"/>
  <c r="AJ680" i="1"/>
  <c r="AH681" i="1"/>
  <c r="AI681" i="1"/>
  <c r="AJ681" i="1"/>
  <c r="AH682" i="1"/>
  <c r="AI682" i="1"/>
  <c r="AJ682" i="1"/>
  <c r="AH683" i="1"/>
  <c r="AI683" i="1"/>
  <c r="AJ683" i="1"/>
  <c r="AH684" i="1"/>
  <c r="AI684" i="1"/>
  <c r="AJ684" i="1"/>
  <c r="AH685" i="1"/>
  <c r="AI685" i="1"/>
  <c r="AJ685" i="1"/>
  <c r="AH686" i="1"/>
  <c r="AI686" i="1"/>
  <c r="AJ686" i="1"/>
  <c r="AH687" i="1"/>
  <c r="AI687" i="1"/>
  <c r="AJ687" i="1"/>
  <c r="AH688" i="1"/>
  <c r="AI688" i="1"/>
  <c r="AJ688" i="1"/>
  <c r="AH689" i="1"/>
  <c r="AI689" i="1"/>
  <c r="AJ689" i="1"/>
  <c r="AH690" i="1"/>
  <c r="AI690" i="1"/>
  <c r="AJ690" i="1"/>
  <c r="AH691" i="1"/>
  <c r="AI691" i="1"/>
  <c r="AJ691" i="1"/>
  <c r="AH692" i="1"/>
  <c r="AI692" i="1"/>
  <c r="AJ692" i="1"/>
  <c r="AH693" i="1"/>
  <c r="AI693" i="1"/>
  <c r="AJ693" i="1"/>
  <c r="AH694" i="1"/>
  <c r="AI694" i="1"/>
  <c r="AJ694" i="1"/>
  <c r="AH695" i="1"/>
  <c r="AI695" i="1"/>
  <c r="AJ695" i="1"/>
  <c r="AH696" i="1"/>
  <c r="AI696" i="1"/>
  <c r="AJ696" i="1"/>
  <c r="AH697" i="1"/>
  <c r="AI697" i="1"/>
  <c r="AJ697" i="1"/>
  <c r="AH698" i="1"/>
  <c r="AI698" i="1"/>
  <c r="AJ698" i="1"/>
  <c r="AH699" i="1"/>
  <c r="AI699" i="1"/>
  <c r="AJ699" i="1"/>
  <c r="AH700" i="1"/>
  <c r="AI700" i="1"/>
  <c r="AJ700" i="1"/>
  <c r="AH701" i="1"/>
  <c r="AI701" i="1"/>
  <c r="AJ701" i="1"/>
  <c r="AH702" i="1"/>
  <c r="AI702" i="1"/>
  <c r="AJ702" i="1"/>
  <c r="AH703" i="1"/>
  <c r="AI703" i="1"/>
  <c r="AJ703" i="1"/>
  <c r="AH704" i="1"/>
  <c r="AI704" i="1"/>
  <c r="AJ704" i="1"/>
  <c r="AH705" i="1"/>
  <c r="AI705" i="1"/>
  <c r="AJ705" i="1"/>
  <c r="AH706" i="1"/>
  <c r="AI706" i="1"/>
  <c r="AJ706" i="1"/>
  <c r="AH707" i="1"/>
  <c r="AI707" i="1"/>
  <c r="AJ707" i="1"/>
  <c r="AH708" i="1"/>
  <c r="AI708" i="1"/>
  <c r="AJ708" i="1"/>
  <c r="AH709" i="1"/>
  <c r="AI709" i="1"/>
  <c r="AJ709" i="1"/>
  <c r="AH710" i="1"/>
  <c r="AI710" i="1"/>
  <c r="AJ710" i="1"/>
  <c r="AH711" i="1"/>
  <c r="AI711" i="1"/>
  <c r="AJ711" i="1"/>
  <c r="AH712" i="1"/>
  <c r="AI712" i="1"/>
  <c r="AJ712" i="1"/>
  <c r="AH713" i="1"/>
  <c r="AI713" i="1"/>
  <c r="AJ713" i="1"/>
  <c r="AH714" i="1"/>
  <c r="AI714" i="1"/>
  <c r="AJ714" i="1"/>
  <c r="AH715" i="1"/>
  <c r="AI715" i="1"/>
  <c r="AJ715" i="1"/>
  <c r="AH716" i="1"/>
  <c r="AI716" i="1"/>
  <c r="AJ716" i="1"/>
  <c r="AH717" i="1"/>
  <c r="AI717" i="1"/>
  <c r="AJ717" i="1"/>
  <c r="AH718" i="1"/>
  <c r="AI718" i="1"/>
  <c r="AJ718" i="1"/>
  <c r="AH719" i="1"/>
  <c r="AI719" i="1"/>
  <c r="AJ719" i="1"/>
  <c r="AH720" i="1"/>
  <c r="AI720" i="1"/>
  <c r="AJ720" i="1"/>
  <c r="AH721" i="1"/>
  <c r="AI721" i="1"/>
  <c r="AJ721" i="1"/>
  <c r="AH722" i="1"/>
  <c r="AI722" i="1"/>
  <c r="AJ722" i="1"/>
  <c r="AH723" i="1"/>
  <c r="AI723" i="1"/>
  <c r="AJ723" i="1"/>
  <c r="AH724" i="1"/>
  <c r="AI724" i="1"/>
  <c r="AJ724" i="1"/>
  <c r="AH725" i="1"/>
  <c r="AI725" i="1"/>
  <c r="AJ725" i="1"/>
  <c r="AH726" i="1"/>
  <c r="AI726" i="1"/>
  <c r="AJ726" i="1"/>
  <c r="AH727" i="1"/>
  <c r="AI727" i="1"/>
  <c r="AJ727" i="1"/>
  <c r="AH728" i="1"/>
  <c r="AI728" i="1"/>
  <c r="AJ728" i="1"/>
  <c r="AH729" i="1"/>
  <c r="AI729" i="1"/>
  <c r="AJ729" i="1"/>
  <c r="AH730" i="1"/>
  <c r="AI730" i="1"/>
  <c r="AJ730" i="1"/>
  <c r="AH731" i="1"/>
  <c r="AI731" i="1"/>
  <c r="AJ731" i="1"/>
  <c r="AH732" i="1"/>
  <c r="AI732" i="1"/>
  <c r="AJ732" i="1"/>
  <c r="AH733" i="1"/>
  <c r="AI733" i="1"/>
  <c r="AJ733" i="1"/>
  <c r="AH734" i="1"/>
  <c r="AI734" i="1"/>
  <c r="AJ734" i="1"/>
  <c r="AH735" i="1"/>
  <c r="AI735" i="1"/>
  <c r="AJ735" i="1"/>
  <c r="AH736" i="1"/>
  <c r="AI736" i="1"/>
  <c r="AJ736" i="1"/>
  <c r="AH737" i="1"/>
  <c r="AI737" i="1"/>
  <c r="AJ737" i="1"/>
  <c r="AH738" i="1"/>
  <c r="AI738" i="1"/>
  <c r="AJ738" i="1"/>
  <c r="AH739" i="1"/>
  <c r="AI739" i="1"/>
  <c r="AJ739" i="1"/>
  <c r="AH740" i="1"/>
  <c r="AI740" i="1"/>
  <c r="AJ740" i="1"/>
  <c r="AH741" i="1"/>
  <c r="AI741" i="1"/>
  <c r="AJ741" i="1"/>
  <c r="AH742" i="1"/>
  <c r="AI742" i="1"/>
  <c r="AJ742" i="1"/>
  <c r="AH743" i="1"/>
  <c r="AI743" i="1"/>
  <c r="AJ743" i="1"/>
  <c r="AH744" i="1"/>
  <c r="AI744" i="1"/>
  <c r="AJ744" i="1"/>
  <c r="AH745" i="1"/>
  <c r="AI745" i="1"/>
  <c r="AJ745" i="1"/>
  <c r="AH746" i="1"/>
  <c r="AI746" i="1"/>
  <c r="AJ746" i="1"/>
  <c r="AH747" i="1"/>
  <c r="AI747" i="1"/>
  <c r="AJ747" i="1"/>
  <c r="AH748" i="1"/>
  <c r="AI748" i="1"/>
  <c r="AJ748" i="1"/>
  <c r="AH749" i="1"/>
  <c r="AI749" i="1"/>
  <c r="AJ749" i="1"/>
  <c r="AH750" i="1"/>
  <c r="AI750" i="1"/>
  <c r="AJ750" i="1"/>
  <c r="AH751" i="1"/>
  <c r="AI751" i="1"/>
  <c r="AJ751" i="1"/>
  <c r="AH752" i="1"/>
  <c r="AI752" i="1"/>
  <c r="AJ752" i="1"/>
  <c r="AH753" i="1"/>
  <c r="AI753" i="1"/>
  <c r="AJ753" i="1"/>
  <c r="AH754" i="1"/>
  <c r="AI754" i="1"/>
  <c r="AJ754" i="1"/>
  <c r="AH755" i="1"/>
  <c r="AI755" i="1"/>
  <c r="AJ755" i="1"/>
  <c r="AH756" i="1"/>
  <c r="AI756" i="1"/>
  <c r="AJ756" i="1"/>
  <c r="AH757" i="1"/>
  <c r="AI757" i="1"/>
  <c r="AJ757" i="1"/>
  <c r="AH758" i="1"/>
  <c r="AI758" i="1"/>
  <c r="AJ758" i="1"/>
  <c r="AH759" i="1"/>
  <c r="AI759" i="1"/>
  <c r="AJ759" i="1"/>
  <c r="AH760" i="1"/>
  <c r="AI760" i="1"/>
  <c r="AJ760" i="1"/>
  <c r="AH761" i="1"/>
  <c r="AI761" i="1"/>
  <c r="AJ761" i="1"/>
  <c r="AH762" i="1"/>
  <c r="AI762" i="1"/>
  <c r="AJ762" i="1"/>
  <c r="AH763" i="1"/>
  <c r="AI763" i="1"/>
  <c r="AJ763" i="1"/>
  <c r="AH764" i="1"/>
  <c r="AI764" i="1"/>
  <c r="AJ764" i="1"/>
  <c r="AH765" i="1"/>
  <c r="AI765" i="1"/>
  <c r="AJ765" i="1"/>
  <c r="AH766" i="1"/>
  <c r="AI766" i="1"/>
  <c r="AJ766" i="1"/>
  <c r="AH767" i="1"/>
  <c r="AI767" i="1"/>
  <c r="AJ767" i="1"/>
  <c r="AH768" i="1"/>
  <c r="AI768" i="1"/>
  <c r="AJ768" i="1"/>
  <c r="AH769" i="1"/>
  <c r="AI769" i="1"/>
  <c r="AJ769" i="1"/>
  <c r="AH770" i="1"/>
  <c r="AI770" i="1"/>
  <c r="AJ770" i="1"/>
  <c r="AH771" i="1"/>
  <c r="AI771" i="1"/>
  <c r="AJ771" i="1"/>
  <c r="AH772" i="1"/>
  <c r="AI772" i="1"/>
  <c r="AJ772" i="1"/>
  <c r="AH773" i="1"/>
  <c r="AI773" i="1"/>
  <c r="AJ773" i="1"/>
  <c r="AH774" i="1"/>
  <c r="AI774" i="1"/>
  <c r="AJ774" i="1"/>
  <c r="AH775" i="1"/>
  <c r="AI775" i="1"/>
  <c r="AJ775" i="1"/>
  <c r="AH776" i="1"/>
  <c r="AI776" i="1"/>
  <c r="AJ776" i="1"/>
  <c r="AH777" i="1"/>
  <c r="AI777" i="1"/>
  <c r="AJ777" i="1"/>
  <c r="AH778" i="1"/>
  <c r="AI778" i="1"/>
  <c r="AJ778" i="1"/>
  <c r="AH779" i="1"/>
  <c r="AI779" i="1"/>
  <c r="AJ779" i="1"/>
  <c r="AH780" i="1"/>
  <c r="AI780" i="1"/>
  <c r="AJ780" i="1"/>
  <c r="AH781" i="1"/>
  <c r="AI781" i="1"/>
  <c r="AJ781" i="1"/>
  <c r="AH782" i="1"/>
  <c r="AI782" i="1"/>
  <c r="AJ782" i="1"/>
  <c r="AH783" i="1"/>
  <c r="AI783" i="1"/>
  <c r="AJ783" i="1"/>
  <c r="AH784" i="1"/>
  <c r="AI784" i="1"/>
  <c r="AJ784" i="1"/>
  <c r="AH785" i="1"/>
  <c r="AI785" i="1"/>
  <c r="AJ785" i="1"/>
  <c r="AH786" i="1"/>
  <c r="AI786" i="1"/>
  <c r="AJ786" i="1"/>
  <c r="AH787" i="1"/>
  <c r="AI787" i="1"/>
  <c r="AJ787" i="1"/>
  <c r="AH788" i="1"/>
  <c r="AI788" i="1"/>
  <c r="AJ788" i="1"/>
  <c r="AH789" i="1"/>
  <c r="AI789" i="1"/>
  <c r="AJ789" i="1"/>
  <c r="AH790" i="1"/>
  <c r="AI790" i="1"/>
  <c r="AJ790" i="1"/>
  <c r="AH791" i="1"/>
  <c r="AI791" i="1"/>
  <c r="AJ791" i="1"/>
  <c r="AH792" i="1"/>
  <c r="AI792" i="1"/>
  <c r="AJ792" i="1"/>
  <c r="AH793" i="1"/>
  <c r="AI793" i="1"/>
  <c r="AJ793" i="1"/>
  <c r="AH794" i="1"/>
  <c r="AI794" i="1"/>
  <c r="AJ794" i="1"/>
  <c r="AH795" i="1"/>
  <c r="AI795" i="1"/>
  <c r="AJ795" i="1"/>
  <c r="AH796" i="1"/>
  <c r="AI796" i="1"/>
  <c r="AJ796" i="1"/>
  <c r="AH797" i="1"/>
  <c r="AI797" i="1"/>
  <c r="AJ797" i="1"/>
  <c r="AH798" i="1"/>
  <c r="AI798" i="1"/>
  <c r="AJ798" i="1"/>
  <c r="AH799" i="1"/>
  <c r="AI799" i="1"/>
  <c r="AJ799" i="1"/>
  <c r="AH800" i="1"/>
  <c r="AI800" i="1"/>
  <c r="AJ800" i="1"/>
  <c r="AH801" i="1"/>
  <c r="AI801" i="1"/>
  <c r="AJ801" i="1"/>
  <c r="AH802" i="1"/>
  <c r="AI802" i="1"/>
  <c r="AJ802" i="1"/>
  <c r="AH803" i="1"/>
  <c r="AI803" i="1"/>
  <c r="AJ803" i="1"/>
  <c r="AH804" i="1"/>
  <c r="AI804" i="1"/>
  <c r="AJ804" i="1"/>
  <c r="AH805" i="1"/>
  <c r="AI805" i="1"/>
  <c r="AJ805" i="1"/>
  <c r="AH806" i="1"/>
  <c r="AI806" i="1"/>
  <c r="AJ806" i="1"/>
  <c r="AH807" i="1"/>
  <c r="AI807" i="1"/>
  <c r="AJ807" i="1"/>
  <c r="AH808" i="1"/>
  <c r="AI808" i="1"/>
  <c r="AJ808" i="1"/>
  <c r="AH809" i="1"/>
  <c r="AI809" i="1"/>
  <c r="AJ809" i="1"/>
  <c r="AH810" i="1"/>
  <c r="AI810" i="1"/>
  <c r="AJ810" i="1"/>
  <c r="AH811" i="1"/>
  <c r="AI811" i="1"/>
  <c r="AJ811" i="1"/>
  <c r="AH812" i="1"/>
  <c r="AI812" i="1"/>
  <c r="AJ812" i="1"/>
  <c r="AH813" i="1"/>
  <c r="AI813" i="1"/>
  <c r="AJ813" i="1"/>
  <c r="AH814" i="1"/>
  <c r="AI814" i="1"/>
  <c r="AJ814" i="1"/>
  <c r="AH815" i="1"/>
  <c r="AI815" i="1"/>
  <c r="AJ815" i="1"/>
  <c r="AH816" i="1"/>
  <c r="AI816" i="1"/>
  <c r="AJ816" i="1"/>
  <c r="AH817" i="1"/>
  <c r="AI817" i="1"/>
  <c r="AJ817" i="1"/>
  <c r="AH818" i="1"/>
  <c r="AI818" i="1"/>
  <c r="AJ818" i="1"/>
  <c r="AH819" i="1"/>
  <c r="AI819" i="1"/>
  <c r="AJ819" i="1"/>
  <c r="AH820" i="1"/>
  <c r="AI820" i="1"/>
  <c r="AJ820" i="1"/>
  <c r="AH821" i="1"/>
  <c r="AI821" i="1"/>
  <c r="AJ821" i="1"/>
  <c r="AH822" i="1"/>
  <c r="AI822" i="1"/>
  <c r="AJ822" i="1"/>
  <c r="AH823" i="1"/>
  <c r="AI823" i="1"/>
  <c r="AJ823" i="1"/>
  <c r="AH824" i="1"/>
  <c r="AI824" i="1"/>
  <c r="AJ824" i="1"/>
  <c r="AH825" i="1"/>
  <c r="AI825" i="1"/>
  <c r="AJ825" i="1"/>
  <c r="AH826" i="1"/>
  <c r="AI826" i="1"/>
  <c r="AJ826" i="1"/>
  <c r="AH827" i="1"/>
  <c r="AI827" i="1"/>
  <c r="AJ827" i="1"/>
  <c r="AH828" i="1"/>
  <c r="AI828" i="1"/>
  <c r="AJ828" i="1"/>
  <c r="AH829" i="1"/>
  <c r="AI829" i="1"/>
  <c r="AJ829" i="1"/>
  <c r="AH830" i="1"/>
  <c r="AI830" i="1"/>
  <c r="AJ830" i="1"/>
  <c r="AH831" i="1"/>
  <c r="AI831" i="1"/>
  <c r="AJ831" i="1"/>
  <c r="AH832" i="1"/>
  <c r="AI832" i="1"/>
  <c r="AJ832" i="1"/>
  <c r="AH833" i="1"/>
  <c r="AI833" i="1"/>
  <c r="AJ833" i="1"/>
  <c r="AH834" i="1"/>
  <c r="AI834" i="1"/>
  <c r="AJ834" i="1"/>
  <c r="AH835" i="1"/>
  <c r="AI835" i="1"/>
  <c r="AJ835" i="1"/>
  <c r="AH836" i="1"/>
  <c r="AI836" i="1"/>
  <c r="AJ836" i="1"/>
  <c r="AH837" i="1"/>
  <c r="AI837" i="1"/>
  <c r="AJ837" i="1"/>
  <c r="AH838" i="1"/>
  <c r="AI838" i="1"/>
  <c r="AJ838" i="1"/>
  <c r="AH839" i="1"/>
  <c r="AI839" i="1"/>
  <c r="AJ839" i="1"/>
  <c r="AH840" i="1"/>
  <c r="AI840" i="1"/>
  <c r="AJ840" i="1"/>
  <c r="AH841" i="1"/>
  <c r="AI841" i="1"/>
  <c r="AJ841" i="1"/>
  <c r="AH842" i="1"/>
  <c r="AI842" i="1"/>
  <c r="AJ842" i="1"/>
  <c r="AH843" i="1"/>
  <c r="AI843" i="1"/>
  <c r="AJ843" i="1"/>
  <c r="AH844" i="1"/>
  <c r="AI844" i="1"/>
  <c r="AJ844" i="1"/>
  <c r="AH845" i="1"/>
  <c r="AI845" i="1"/>
  <c r="AJ845" i="1"/>
  <c r="AH846" i="1"/>
  <c r="AI846" i="1"/>
  <c r="AJ846" i="1"/>
  <c r="AH847" i="1"/>
  <c r="AI847" i="1"/>
  <c r="AJ847" i="1"/>
  <c r="AH848" i="1"/>
  <c r="AI848" i="1"/>
  <c r="AJ848" i="1"/>
  <c r="AH849" i="1"/>
  <c r="AI849" i="1"/>
  <c r="AJ849" i="1"/>
  <c r="AH850" i="1"/>
  <c r="AI850" i="1"/>
  <c r="AJ850" i="1"/>
  <c r="AH851" i="1"/>
  <c r="AI851" i="1"/>
  <c r="AJ851" i="1"/>
  <c r="AH852" i="1"/>
  <c r="AI852" i="1"/>
  <c r="AJ852" i="1"/>
  <c r="AH853" i="1"/>
  <c r="AI853" i="1"/>
  <c r="AJ853" i="1"/>
  <c r="AH854" i="1"/>
  <c r="AI854" i="1"/>
  <c r="AJ854" i="1"/>
  <c r="AH855" i="1"/>
  <c r="AI855" i="1"/>
  <c r="AJ855" i="1"/>
  <c r="AH856" i="1"/>
  <c r="AI856" i="1"/>
  <c r="AJ856" i="1"/>
  <c r="AH857" i="1"/>
  <c r="AI857" i="1"/>
  <c r="AJ857" i="1"/>
  <c r="AH858" i="1"/>
  <c r="AI858" i="1"/>
  <c r="AJ858" i="1"/>
  <c r="AH859" i="1"/>
  <c r="AI859" i="1"/>
  <c r="AJ859" i="1"/>
  <c r="AH860" i="1"/>
  <c r="AI860" i="1"/>
  <c r="AJ860" i="1"/>
  <c r="AH861" i="1"/>
  <c r="AI861" i="1"/>
  <c r="AJ861" i="1"/>
  <c r="AH862" i="1"/>
  <c r="AI862" i="1"/>
  <c r="AJ862" i="1"/>
  <c r="AH863" i="1"/>
  <c r="AI863" i="1"/>
  <c r="AJ863" i="1"/>
  <c r="AH864" i="1"/>
  <c r="AI864" i="1"/>
  <c r="AJ864" i="1"/>
  <c r="AH865" i="1"/>
  <c r="AI865" i="1"/>
  <c r="AJ865" i="1"/>
  <c r="AH866" i="1"/>
  <c r="AI866" i="1"/>
  <c r="AJ866" i="1"/>
  <c r="AH867" i="1"/>
  <c r="AI867" i="1"/>
  <c r="AJ867" i="1"/>
  <c r="AH868" i="1"/>
  <c r="AI868" i="1"/>
  <c r="AJ868" i="1"/>
  <c r="AH869" i="1"/>
  <c r="AI869" i="1"/>
  <c r="AJ869" i="1"/>
  <c r="AH870" i="1"/>
  <c r="AI870" i="1"/>
  <c r="AJ870" i="1"/>
  <c r="AH871" i="1"/>
  <c r="AI871" i="1"/>
  <c r="AJ871" i="1"/>
  <c r="AH872" i="1"/>
  <c r="AI872" i="1"/>
  <c r="AJ872" i="1"/>
  <c r="AH873" i="1"/>
  <c r="AI873" i="1"/>
  <c r="AJ873" i="1"/>
  <c r="AH874" i="1"/>
  <c r="AI874" i="1"/>
  <c r="AJ874" i="1"/>
  <c r="AH875" i="1"/>
  <c r="AI875" i="1"/>
  <c r="AJ875" i="1"/>
  <c r="AH876" i="1"/>
  <c r="AI876" i="1"/>
  <c r="AJ876" i="1"/>
  <c r="AH877" i="1"/>
  <c r="AI877" i="1"/>
  <c r="AJ877" i="1"/>
  <c r="AH878" i="1"/>
  <c r="AI878" i="1"/>
  <c r="AJ878" i="1"/>
  <c r="AH879" i="1"/>
  <c r="AI879" i="1"/>
  <c r="AJ879" i="1"/>
  <c r="AH880" i="1"/>
  <c r="AI880" i="1"/>
  <c r="AJ880" i="1"/>
  <c r="AH881" i="1"/>
  <c r="AI881" i="1"/>
  <c r="AJ881" i="1"/>
  <c r="AH882" i="1"/>
  <c r="AI882" i="1"/>
  <c r="AJ882" i="1"/>
  <c r="AH883" i="1"/>
  <c r="AI883" i="1"/>
  <c r="AJ883" i="1"/>
  <c r="AH884" i="1"/>
  <c r="AI884" i="1"/>
  <c r="AJ884" i="1"/>
  <c r="AH885" i="1"/>
  <c r="AI885" i="1"/>
  <c r="AJ885" i="1"/>
  <c r="AH886" i="1"/>
  <c r="AI886" i="1"/>
  <c r="AJ886" i="1"/>
  <c r="AH887" i="1"/>
  <c r="AI887" i="1"/>
  <c r="AJ887" i="1"/>
  <c r="AH888" i="1"/>
  <c r="AI888" i="1"/>
  <c r="AJ888" i="1"/>
  <c r="AH889" i="1"/>
  <c r="AI889" i="1"/>
  <c r="AJ889" i="1"/>
  <c r="AH890" i="1"/>
  <c r="AI890" i="1"/>
  <c r="AJ890" i="1"/>
  <c r="AH891" i="1"/>
  <c r="AI891" i="1"/>
  <c r="AJ891" i="1"/>
  <c r="AH892" i="1"/>
  <c r="AI892" i="1"/>
  <c r="AJ892" i="1"/>
  <c r="AH893" i="1"/>
  <c r="AI893" i="1"/>
  <c r="AJ893" i="1"/>
  <c r="AH894" i="1"/>
  <c r="AI894" i="1"/>
  <c r="AJ894" i="1"/>
  <c r="AH895" i="1"/>
  <c r="AI895" i="1"/>
  <c r="AJ895" i="1"/>
  <c r="AH896" i="1"/>
  <c r="AI896" i="1"/>
  <c r="AJ896" i="1"/>
  <c r="AH897" i="1"/>
  <c r="AI897" i="1"/>
  <c r="AJ897" i="1"/>
  <c r="AH898" i="1"/>
  <c r="AI898" i="1"/>
  <c r="AJ898" i="1"/>
  <c r="AH899" i="1"/>
  <c r="AI899" i="1"/>
  <c r="AJ899" i="1"/>
  <c r="AH900" i="1"/>
  <c r="AI900" i="1"/>
  <c r="AJ900" i="1"/>
  <c r="AH901" i="1"/>
  <c r="AI901" i="1"/>
  <c r="AJ901" i="1"/>
  <c r="AH902" i="1"/>
  <c r="AI902" i="1"/>
  <c r="AJ902" i="1"/>
  <c r="AH903" i="1"/>
  <c r="AI903" i="1"/>
  <c r="AJ903" i="1"/>
  <c r="AH904" i="1"/>
  <c r="AI904" i="1"/>
  <c r="AJ904" i="1"/>
  <c r="AH905" i="1"/>
  <c r="AI905" i="1"/>
  <c r="AJ905" i="1"/>
  <c r="AH906" i="1"/>
  <c r="AI906" i="1"/>
  <c r="AJ906" i="1"/>
  <c r="AH907" i="1"/>
  <c r="AI907" i="1"/>
  <c r="AJ907" i="1"/>
  <c r="AH908" i="1"/>
  <c r="AI908" i="1"/>
  <c r="AJ908" i="1"/>
  <c r="AH909" i="1"/>
  <c r="AI909" i="1"/>
  <c r="AJ909" i="1"/>
  <c r="AH910" i="1"/>
  <c r="AI910" i="1"/>
  <c r="AJ910" i="1"/>
  <c r="AH911" i="1"/>
  <c r="AI911" i="1"/>
  <c r="AJ911" i="1"/>
  <c r="AH912" i="1"/>
  <c r="AI912" i="1"/>
  <c r="AJ912" i="1"/>
  <c r="AH913" i="1"/>
  <c r="AI913" i="1"/>
  <c r="AJ913" i="1"/>
  <c r="AH914" i="1"/>
  <c r="AI914" i="1"/>
  <c r="AJ914" i="1"/>
  <c r="AH915" i="1"/>
  <c r="AI915" i="1"/>
  <c r="AJ915" i="1"/>
  <c r="AH916" i="1"/>
  <c r="AI916" i="1"/>
  <c r="AJ916" i="1"/>
  <c r="AH917" i="1"/>
  <c r="AI917" i="1"/>
  <c r="AJ917" i="1"/>
  <c r="AH918" i="1"/>
  <c r="AI918" i="1"/>
  <c r="AJ918" i="1"/>
  <c r="AH919" i="1"/>
  <c r="AI919" i="1"/>
  <c r="AJ919" i="1"/>
  <c r="AH920" i="1"/>
  <c r="AI920" i="1"/>
  <c r="AJ920" i="1"/>
  <c r="AH921" i="1"/>
  <c r="AI921" i="1"/>
  <c r="AJ921" i="1"/>
  <c r="AH922" i="1"/>
  <c r="AI922" i="1"/>
  <c r="AJ922" i="1"/>
  <c r="AH923" i="1"/>
  <c r="AI923" i="1"/>
  <c r="AJ923" i="1"/>
  <c r="AH924" i="1"/>
  <c r="AI924" i="1"/>
  <c r="AJ924" i="1"/>
  <c r="AH925" i="1"/>
  <c r="AI925" i="1"/>
  <c r="AJ925" i="1"/>
  <c r="AH926" i="1"/>
  <c r="AI926" i="1"/>
  <c r="AJ926" i="1"/>
  <c r="AH927" i="1"/>
  <c r="AI927" i="1"/>
  <c r="AJ927" i="1"/>
  <c r="AH928" i="1"/>
  <c r="AI928" i="1"/>
  <c r="AJ928" i="1"/>
  <c r="AH929" i="1"/>
  <c r="AI929" i="1"/>
  <c r="AJ929" i="1"/>
  <c r="AH930" i="1"/>
  <c r="AI930" i="1"/>
  <c r="AJ930" i="1"/>
  <c r="AH931" i="1"/>
  <c r="AI931" i="1"/>
  <c r="AJ931" i="1"/>
  <c r="AH932" i="1"/>
  <c r="AI932" i="1"/>
  <c r="AJ932" i="1"/>
  <c r="AH933" i="1"/>
  <c r="AI933" i="1"/>
  <c r="AJ933" i="1"/>
  <c r="AH934" i="1"/>
  <c r="AI934" i="1"/>
  <c r="AJ934" i="1"/>
  <c r="AH935" i="1"/>
  <c r="AI935" i="1"/>
  <c r="AJ935" i="1"/>
  <c r="AH936" i="1"/>
  <c r="AI936" i="1"/>
  <c r="AJ936" i="1"/>
  <c r="AH937" i="1"/>
  <c r="AI937" i="1"/>
  <c r="AJ937" i="1"/>
  <c r="AH938" i="1"/>
  <c r="AI938" i="1"/>
  <c r="AJ938" i="1"/>
  <c r="AH939" i="1"/>
  <c r="AI939" i="1"/>
  <c r="AJ939" i="1"/>
  <c r="AH940" i="1"/>
  <c r="AI940" i="1"/>
  <c r="AJ940" i="1"/>
  <c r="AH941" i="1"/>
  <c r="AI941" i="1"/>
  <c r="AJ941" i="1"/>
  <c r="AH942" i="1"/>
  <c r="AI942" i="1"/>
  <c r="AJ942" i="1"/>
  <c r="AH943" i="1"/>
  <c r="AI943" i="1"/>
  <c r="AJ943" i="1"/>
  <c r="AH944" i="1"/>
  <c r="AI944" i="1"/>
  <c r="AJ944" i="1"/>
  <c r="AH945" i="1"/>
  <c r="AI945" i="1"/>
  <c r="AJ945" i="1"/>
  <c r="AH946" i="1"/>
  <c r="AI946" i="1"/>
  <c r="AJ946" i="1"/>
  <c r="AH947" i="1"/>
  <c r="AI947" i="1"/>
  <c r="AJ947" i="1"/>
  <c r="AH948" i="1"/>
  <c r="AI948" i="1"/>
  <c r="AJ948" i="1"/>
  <c r="AH949" i="1"/>
  <c r="AI949" i="1"/>
  <c r="AJ949" i="1"/>
  <c r="AH950" i="1"/>
  <c r="AI950" i="1"/>
  <c r="AJ950" i="1"/>
  <c r="AH951" i="1"/>
  <c r="AI951" i="1"/>
  <c r="AJ951" i="1"/>
  <c r="AH952" i="1"/>
  <c r="AI952" i="1"/>
  <c r="AJ952" i="1"/>
  <c r="AH953" i="1"/>
  <c r="AI953" i="1"/>
  <c r="AJ953" i="1"/>
  <c r="AH954" i="1"/>
  <c r="AI954" i="1"/>
  <c r="AJ954" i="1"/>
  <c r="AH955" i="1"/>
  <c r="AI955" i="1"/>
  <c r="AJ955" i="1"/>
  <c r="AH956" i="1"/>
  <c r="AI956" i="1"/>
  <c r="AJ956" i="1"/>
  <c r="AH957" i="1"/>
  <c r="AI957" i="1"/>
  <c r="AJ957" i="1"/>
  <c r="AH958" i="1"/>
  <c r="AI958" i="1"/>
  <c r="AJ958" i="1"/>
  <c r="AH959" i="1"/>
  <c r="AI959" i="1"/>
  <c r="AJ959" i="1"/>
  <c r="AH960" i="1"/>
  <c r="AI960" i="1"/>
  <c r="AJ960" i="1"/>
  <c r="AH961" i="1"/>
  <c r="AI961" i="1"/>
  <c r="AJ961" i="1"/>
  <c r="AH962" i="1"/>
  <c r="AI962" i="1"/>
  <c r="AJ962" i="1"/>
  <c r="AH963" i="1"/>
  <c r="AI963" i="1"/>
  <c r="AJ963" i="1"/>
  <c r="AH964" i="1"/>
  <c r="AI964" i="1"/>
  <c r="AJ964" i="1"/>
  <c r="AH965" i="1"/>
  <c r="AI965" i="1"/>
  <c r="AJ965" i="1"/>
  <c r="AH966" i="1"/>
  <c r="AI966" i="1"/>
  <c r="AJ966" i="1"/>
  <c r="A561" i="1"/>
  <c r="B561" i="1"/>
  <c r="A562" i="1"/>
  <c r="B562" i="1"/>
  <c r="A563" i="1"/>
  <c r="B563" i="1"/>
  <c r="A564" i="1"/>
  <c r="B564" i="1"/>
  <c r="A565" i="1"/>
  <c r="B565" i="1"/>
  <c r="A566" i="1"/>
  <c r="B566" i="1"/>
  <c r="A567" i="1"/>
  <c r="B567" i="1"/>
  <c r="A568" i="1"/>
  <c r="B568" i="1"/>
  <c r="A569" i="1"/>
  <c r="B569" i="1"/>
  <c r="A570" i="1"/>
  <c r="B570" i="1"/>
  <c r="A571" i="1"/>
  <c r="B571" i="1"/>
  <c r="A572" i="1"/>
  <c r="B572" i="1"/>
  <c r="A573" i="1"/>
  <c r="B573" i="1"/>
  <c r="A574" i="1"/>
  <c r="B574" i="1"/>
  <c r="A575" i="1"/>
  <c r="B575" i="1"/>
  <c r="A576" i="1"/>
  <c r="B576" i="1"/>
  <c r="A577" i="1"/>
  <c r="B577" i="1"/>
  <c r="A578" i="1"/>
  <c r="B578" i="1"/>
  <c r="A579" i="1"/>
  <c r="B579" i="1"/>
  <c r="A580" i="1"/>
  <c r="B580" i="1"/>
  <c r="A581" i="1"/>
  <c r="B581" i="1"/>
  <c r="A582" i="1"/>
  <c r="B582" i="1"/>
  <c r="A583" i="1"/>
  <c r="B583" i="1"/>
  <c r="A584" i="1"/>
  <c r="B584" i="1"/>
  <c r="A585" i="1"/>
  <c r="B585" i="1"/>
  <c r="A586" i="1"/>
  <c r="B586" i="1"/>
  <c r="A587" i="1"/>
  <c r="B587" i="1"/>
  <c r="A588" i="1"/>
  <c r="B588" i="1"/>
  <c r="A589" i="1"/>
  <c r="B589" i="1"/>
  <c r="A590" i="1"/>
  <c r="B590" i="1"/>
  <c r="A591" i="1"/>
  <c r="B591" i="1"/>
  <c r="A592" i="1"/>
  <c r="B592" i="1"/>
  <c r="A593" i="1"/>
  <c r="B593" i="1"/>
  <c r="A594" i="1"/>
  <c r="B594" i="1"/>
  <c r="A595" i="1"/>
  <c r="B595" i="1"/>
  <c r="A596" i="1"/>
  <c r="B596" i="1"/>
  <c r="A597" i="1"/>
  <c r="B597" i="1"/>
  <c r="A598" i="1"/>
  <c r="B598" i="1"/>
  <c r="A599" i="1"/>
  <c r="B599" i="1"/>
  <c r="A600" i="1"/>
  <c r="B600" i="1"/>
  <c r="A601" i="1"/>
  <c r="B601" i="1"/>
  <c r="A602" i="1"/>
  <c r="B602" i="1"/>
  <c r="A603" i="1"/>
  <c r="B603" i="1"/>
  <c r="A604" i="1"/>
  <c r="B604" i="1"/>
  <c r="A605" i="1"/>
  <c r="B605" i="1"/>
  <c r="A606" i="1"/>
  <c r="B606" i="1"/>
  <c r="A607" i="1"/>
  <c r="B607" i="1"/>
  <c r="A608" i="1"/>
  <c r="B608" i="1"/>
  <c r="A609" i="1"/>
  <c r="B609" i="1"/>
  <c r="A610" i="1"/>
  <c r="B610" i="1"/>
  <c r="A611" i="1"/>
  <c r="B611" i="1"/>
  <c r="A612" i="1"/>
  <c r="B612" i="1"/>
  <c r="A613" i="1"/>
  <c r="B613" i="1"/>
  <c r="A614" i="1"/>
  <c r="B614" i="1"/>
  <c r="A615" i="1"/>
  <c r="B615" i="1"/>
  <c r="A616" i="1"/>
  <c r="B616" i="1"/>
  <c r="A617" i="1"/>
  <c r="B617" i="1"/>
  <c r="A618" i="1"/>
  <c r="B618" i="1"/>
  <c r="A619" i="1"/>
  <c r="B619" i="1"/>
  <c r="A620" i="1"/>
  <c r="B620" i="1"/>
  <c r="A621" i="1"/>
  <c r="B621" i="1"/>
  <c r="A622" i="1"/>
  <c r="B622" i="1"/>
  <c r="A623" i="1"/>
  <c r="B623" i="1"/>
  <c r="A624" i="1"/>
  <c r="B624" i="1"/>
  <c r="A625" i="1"/>
  <c r="B625" i="1"/>
  <c r="A626" i="1"/>
  <c r="B626" i="1"/>
  <c r="A627" i="1"/>
  <c r="B627" i="1"/>
  <c r="A628" i="1"/>
  <c r="B628" i="1"/>
  <c r="A629" i="1"/>
  <c r="B629" i="1"/>
  <c r="A630" i="1"/>
  <c r="B630" i="1"/>
  <c r="A631" i="1"/>
  <c r="B631" i="1"/>
  <c r="A632" i="1"/>
  <c r="B632" i="1"/>
  <c r="A633" i="1"/>
  <c r="B633" i="1"/>
  <c r="A634" i="1"/>
  <c r="B634" i="1"/>
  <c r="A635" i="1"/>
  <c r="B635" i="1"/>
  <c r="A636" i="1"/>
  <c r="B636" i="1"/>
  <c r="A637" i="1"/>
  <c r="B637" i="1"/>
  <c r="A638" i="1"/>
  <c r="B638" i="1"/>
  <c r="A639" i="1"/>
  <c r="B639" i="1"/>
  <c r="A640" i="1"/>
  <c r="B640" i="1"/>
  <c r="A641" i="1"/>
  <c r="B641" i="1"/>
  <c r="A642" i="1"/>
  <c r="B642" i="1"/>
  <c r="A643" i="1"/>
  <c r="B643" i="1"/>
  <c r="A644" i="1"/>
  <c r="B644" i="1"/>
  <c r="A645" i="1"/>
  <c r="B645" i="1"/>
  <c r="A646" i="1"/>
  <c r="B646" i="1"/>
  <c r="A647" i="1"/>
  <c r="B647" i="1"/>
  <c r="A648" i="1"/>
  <c r="B648" i="1"/>
  <c r="A649" i="1"/>
  <c r="B649" i="1"/>
  <c r="A650" i="1"/>
  <c r="B650" i="1"/>
  <c r="A651" i="1"/>
  <c r="B651" i="1"/>
  <c r="A652" i="1"/>
  <c r="B652" i="1"/>
  <c r="A653" i="1"/>
  <c r="B653" i="1"/>
  <c r="A654" i="1"/>
  <c r="B654" i="1"/>
  <c r="A655" i="1"/>
  <c r="B655" i="1"/>
  <c r="A656" i="1"/>
  <c r="B656" i="1"/>
  <c r="A657" i="1"/>
  <c r="B657" i="1"/>
  <c r="A658" i="1"/>
  <c r="B658" i="1"/>
  <c r="A659" i="1"/>
  <c r="B659" i="1"/>
  <c r="A660" i="1"/>
  <c r="B660" i="1"/>
  <c r="A661" i="1"/>
  <c r="B661" i="1"/>
  <c r="A662" i="1"/>
  <c r="B662" i="1"/>
  <c r="A663" i="1"/>
  <c r="B663" i="1"/>
  <c r="A664" i="1"/>
  <c r="B664" i="1"/>
  <c r="A665" i="1"/>
  <c r="B665" i="1"/>
  <c r="A666" i="1"/>
  <c r="B666" i="1"/>
  <c r="A667" i="1"/>
  <c r="B667" i="1"/>
  <c r="A668" i="1"/>
  <c r="B668" i="1"/>
  <c r="A669" i="1"/>
  <c r="B669" i="1"/>
  <c r="A670" i="1"/>
  <c r="B670" i="1"/>
  <c r="A671" i="1"/>
  <c r="B671" i="1"/>
  <c r="A672" i="1"/>
  <c r="B672" i="1"/>
  <c r="A673" i="1"/>
  <c r="B673" i="1"/>
  <c r="A674" i="1"/>
  <c r="B674" i="1"/>
  <c r="A675" i="1"/>
  <c r="B675" i="1"/>
  <c r="A676" i="1"/>
  <c r="B676" i="1"/>
  <c r="A677" i="1"/>
  <c r="B677" i="1"/>
  <c r="A678" i="1"/>
  <c r="B678" i="1"/>
  <c r="A679" i="1"/>
  <c r="B679" i="1"/>
  <c r="A680" i="1"/>
  <c r="B680" i="1"/>
  <c r="A681" i="1"/>
  <c r="B681" i="1"/>
  <c r="A682" i="1"/>
  <c r="B682" i="1"/>
  <c r="A683" i="1"/>
  <c r="B683" i="1"/>
  <c r="A684" i="1"/>
  <c r="B684" i="1"/>
  <c r="A685" i="1"/>
  <c r="B685" i="1"/>
  <c r="A686" i="1"/>
  <c r="B686" i="1"/>
  <c r="A687" i="1"/>
  <c r="B687" i="1"/>
  <c r="A688" i="1"/>
  <c r="B688" i="1"/>
  <c r="A689" i="1"/>
  <c r="B689" i="1"/>
  <c r="A690" i="1"/>
  <c r="B690" i="1"/>
  <c r="A691" i="1"/>
  <c r="B691" i="1"/>
  <c r="A692" i="1"/>
  <c r="B692" i="1"/>
  <c r="A693" i="1"/>
  <c r="B693" i="1"/>
  <c r="A694" i="1"/>
  <c r="B694" i="1"/>
  <c r="A695" i="1"/>
  <c r="B695" i="1"/>
  <c r="A696" i="1"/>
  <c r="B696" i="1"/>
  <c r="A697" i="1"/>
  <c r="B697" i="1"/>
  <c r="A698" i="1"/>
  <c r="B698" i="1"/>
  <c r="A699" i="1"/>
  <c r="B699" i="1"/>
  <c r="A700" i="1"/>
  <c r="B700" i="1"/>
  <c r="A701" i="1"/>
  <c r="B701" i="1"/>
  <c r="A702" i="1"/>
  <c r="B702" i="1"/>
  <c r="A703" i="1"/>
  <c r="B703" i="1"/>
  <c r="A704" i="1"/>
  <c r="B704" i="1"/>
  <c r="A705" i="1"/>
  <c r="B705" i="1"/>
  <c r="A706" i="1"/>
  <c r="B706" i="1"/>
  <c r="A707" i="1"/>
  <c r="B707" i="1"/>
  <c r="A708" i="1"/>
  <c r="B708" i="1"/>
  <c r="A709" i="1"/>
  <c r="B709" i="1"/>
  <c r="A710" i="1"/>
  <c r="B710" i="1"/>
  <c r="A711" i="1"/>
  <c r="B711" i="1"/>
  <c r="A712" i="1"/>
  <c r="B712" i="1"/>
  <c r="A713" i="1"/>
  <c r="B713" i="1"/>
  <c r="A714" i="1"/>
  <c r="B714" i="1"/>
  <c r="A715" i="1"/>
  <c r="B715" i="1"/>
  <c r="A716" i="1"/>
  <c r="B716" i="1"/>
  <c r="A717" i="1"/>
  <c r="B717" i="1"/>
  <c r="A718" i="1"/>
  <c r="B718" i="1"/>
  <c r="A719" i="1"/>
  <c r="B719" i="1"/>
  <c r="A720" i="1"/>
  <c r="B720" i="1"/>
  <c r="A721" i="1"/>
  <c r="B721" i="1"/>
  <c r="A722" i="1"/>
  <c r="B722" i="1"/>
  <c r="A723" i="1"/>
  <c r="B723" i="1"/>
  <c r="A724" i="1"/>
  <c r="B724" i="1"/>
  <c r="A725" i="1"/>
  <c r="B725" i="1"/>
  <c r="A726" i="1"/>
  <c r="B726" i="1"/>
  <c r="A727" i="1"/>
  <c r="B727" i="1"/>
  <c r="A728" i="1"/>
  <c r="B728" i="1"/>
  <c r="A729" i="1"/>
  <c r="B729" i="1"/>
  <c r="A730" i="1"/>
  <c r="B730" i="1"/>
  <c r="A731" i="1"/>
  <c r="B731" i="1"/>
  <c r="A732" i="1"/>
  <c r="B732" i="1"/>
  <c r="A733" i="1"/>
  <c r="B733" i="1"/>
  <c r="A734" i="1"/>
  <c r="B734" i="1"/>
  <c r="A735" i="1"/>
  <c r="B735" i="1"/>
  <c r="A736" i="1"/>
  <c r="B736" i="1"/>
  <c r="A737" i="1"/>
  <c r="B737" i="1"/>
  <c r="A738" i="1"/>
  <c r="B738" i="1"/>
  <c r="A739" i="1"/>
  <c r="B739" i="1"/>
  <c r="A740" i="1"/>
  <c r="B740" i="1"/>
  <c r="A741" i="1"/>
  <c r="B741" i="1"/>
  <c r="A742" i="1"/>
  <c r="B742" i="1"/>
  <c r="A743" i="1"/>
  <c r="B743" i="1"/>
  <c r="A744" i="1"/>
  <c r="B744" i="1"/>
  <c r="A745" i="1"/>
  <c r="B745" i="1"/>
  <c r="A746" i="1"/>
  <c r="B746" i="1"/>
  <c r="A747" i="1"/>
  <c r="B747" i="1"/>
  <c r="A748" i="1"/>
  <c r="B748" i="1"/>
  <c r="A749" i="1"/>
  <c r="B749" i="1"/>
  <c r="A750" i="1"/>
  <c r="B750" i="1"/>
  <c r="A751" i="1"/>
  <c r="B751" i="1"/>
  <c r="A752" i="1"/>
  <c r="B752" i="1"/>
  <c r="A753" i="1"/>
  <c r="B753" i="1"/>
  <c r="A754" i="1"/>
  <c r="B754" i="1"/>
  <c r="A755" i="1"/>
  <c r="B755" i="1"/>
  <c r="A756" i="1"/>
  <c r="B756" i="1"/>
  <c r="A757" i="1"/>
  <c r="B757" i="1"/>
  <c r="A758" i="1"/>
  <c r="B758" i="1"/>
  <c r="A759" i="1"/>
  <c r="B759" i="1"/>
  <c r="A760" i="1"/>
  <c r="B760" i="1"/>
  <c r="A761" i="1"/>
  <c r="B761" i="1"/>
  <c r="A762" i="1"/>
  <c r="B762" i="1"/>
  <c r="A763" i="1"/>
  <c r="B763" i="1"/>
  <c r="A764" i="1"/>
  <c r="B764" i="1"/>
  <c r="A765" i="1"/>
  <c r="B765" i="1"/>
  <c r="A766" i="1"/>
  <c r="B766" i="1"/>
  <c r="A767" i="1"/>
  <c r="B767" i="1"/>
  <c r="A768" i="1"/>
  <c r="B768" i="1"/>
  <c r="A769" i="1"/>
  <c r="B769" i="1"/>
  <c r="A770" i="1"/>
  <c r="B770" i="1"/>
  <c r="A771" i="1"/>
  <c r="B771" i="1"/>
  <c r="A772" i="1"/>
  <c r="B772" i="1"/>
  <c r="A773" i="1"/>
  <c r="B773" i="1"/>
  <c r="A774" i="1"/>
  <c r="B774" i="1"/>
  <c r="A775" i="1"/>
  <c r="B775" i="1"/>
  <c r="A776" i="1"/>
  <c r="B776" i="1"/>
  <c r="A777" i="1"/>
  <c r="B777" i="1"/>
  <c r="A778" i="1"/>
  <c r="B778" i="1"/>
  <c r="A779" i="1"/>
  <c r="B779" i="1"/>
  <c r="A780" i="1"/>
  <c r="B780" i="1"/>
  <c r="A781" i="1"/>
  <c r="B781" i="1"/>
  <c r="A782" i="1"/>
  <c r="B782" i="1"/>
  <c r="A783" i="1"/>
  <c r="B783" i="1"/>
  <c r="A784" i="1"/>
  <c r="B784" i="1"/>
  <c r="A785" i="1"/>
  <c r="B785" i="1"/>
  <c r="A786" i="1"/>
  <c r="B786" i="1"/>
  <c r="A787" i="1"/>
  <c r="B787" i="1"/>
  <c r="A788" i="1"/>
  <c r="B788" i="1"/>
  <c r="A789" i="1"/>
  <c r="B789" i="1"/>
  <c r="A790" i="1"/>
  <c r="B790" i="1"/>
  <c r="A791" i="1"/>
  <c r="B791" i="1"/>
  <c r="A792" i="1"/>
  <c r="B792" i="1"/>
  <c r="A793" i="1"/>
  <c r="B793" i="1"/>
  <c r="A794" i="1"/>
  <c r="B794" i="1"/>
  <c r="A795" i="1"/>
  <c r="B795" i="1"/>
  <c r="A796" i="1"/>
  <c r="B796" i="1"/>
  <c r="A797" i="1"/>
  <c r="B797" i="1"/>
  <c r="A798" i="1"/>
  <c r="B798" i="1"/>
  <c r="A799" i="1"/>
  <c r="B799" i="1"/>
  <c r="A800" i="1"/>
  <c r="B800" i="1"/>
  <c r="A801" i="1"/>
  <c r="B801" i="1"/>
  <c r="A802" i="1"/>
  <c r="B802" i="1"/>
  <c r="A803" i="1"/>
  <c r="B803" i="1"/>
  <c r="A804" i="1"/>
  <c r="B804" i="1"/>
  <c r="A805" i="1"/>
  <c r="B805" i="1"/>
  <c r="A806" i="1"/>
  <c r="B806" i="1"/>
  <c r="A807" i="1"/>
  <c r="B807" i="1"/>
  <c r="A808" i="1"/>
  <c r="B808" i="1"/>
  <c r="A809" i="1"/>
  <c r="B809" i="1"/>
  <c r="A810" i="1"/>
  <c r="B810" i="1"/>
  <c r="A811" i="1"/>
  <c r="B811" i="1"/>
  <c r="A812" i="1"/>
  <c r="B812" i="1"/>
  <c r="A813" i="1"/>
  <c r="B813" i="1"/>
  <c r="A814" i="1"/>
  <c r="B814" i="1"/>
  <c r="A815" i="1"/>
  <c r="B815" i="1"/>
  <c r="A816" i="1"/>
  <c r="B816" i="1"/>
  <c r="A817" i="1"/>
  <c r="B817" i="1"/>
  <c r="A818" i="1"/>
  <c r="B818" i="1"/>
  <c r="A819" i="1"/>
  <c r="B819" i="1"/>
  <c r="A820" i="1"/>
  <c r="B820" i="1"/>
  <c r="A821" i="1"/>
  <c r="B821" i="1"/>
  <c r="A822" i="1"/>
  <c r="B822" i="1"/>
  <c r="A823" i="1"/>
  <c r="B823" i="1"/>
  <c r="A824" i="1"/>
  <c r="B824" i="1"/>
  <c r="A825" i="1"/>
  <c r="B825" i="1"/>
  <c r="A826" i="1"/>
  <c r="B826" i="1"/>
  <c r="A827" i="1"/>
  <c r="B827" i="1"/>
  <c r="A828" i="1"/>
  <c r="B828" i="1"/>
  <c r="A829" i="1"/>
  <c r="B829" i="1"/>
  <c r="A830" i="1"/>
  <c r="B830" i="1"/>
  <c r="A831" i="1"/>
  <c r="B831" i="1"/>
  <c r="A832" i="1"/>
  <c r="B832" i="1"/>
  <c r="A833" i="1"/>
  <c r="B833" i="1"/>
  <c r="A834" i="1"/>
  <c r="B834" i="1"/>
  <c r="A835" i="1"/>
  <c r="B835" i="1"/>
  <c r="A836" i="1"/>
  <c r="B836" i="1"/>
  <c r="A837" i="1"/>
  <c r="B837" i="1"/>
  <c r="A838" i="1"/>
  <c r="B838" i="1"/>
  <c r="A839" i="1"/>
  <c r="B839" i="1"/>
  <c r="A840" i="1"/>
  <c r="B840" i="1"/>
  <c r="A841" i="1"/>
  <c r="B841" i="1"/>
  <c r="A842" i="1"/>
  <c r="B842" i="1"/>
  <c r="A843" i="1"/>
  <c r="B843" i="1"/>
  <c r="A844" i="1"/>
  <c r="B844" i="1"/>
  <c r="A845" i="1"/>
  <c r="B845" i="1"/>
  <c r="A846" i="1"/>
  <c r="B846" i="1"/>
  <c r="A847" i="1"/>
  <c r="B847" i="1"/>
  <c r="A848" i="1"/>
  <c r="B848" i="1"/>
  <c r="A849" i="1"/>
  <c r="B849" i="1"/>
  <c r="A850" i="1"/>
  <c r="B850" i="1"/>
  <c r="A851" i="1"/>
  <c r="B851" i="1"/>
  <c r="A852" i="1"/>
  <c r="B852" i="1"/>
  <c r="A853" i="1"/>
  <c r="B853" i="1"/>
  <c r="A854" i="1"/>
  <c r="B854" i="1"/>
  <c r="A855" i="1"/>
  <c r="B855" i="1"/>
  <c r="A856" i="1"/>
  <c r="B856" i="1"/>
  <c r="A857" i="1"/>
  <c r="B857" i="1"/>
  <c r="A858" i="1"/>
  <c r="B858" i="1"/>
  <c r="A859" i="1"/>
  <c r="B859" i="1"/>
  <c r="A860" i="1"/>
  <c r="B860" i="1"/>
  <c r="A861" i="1"/>
  <c r="B861" i="1"/>
  <c r="A862" i="1"/>
  <c r="B862" i="1"/>
  <c r="A863" i="1"/>
  <c r="B863" i="1"/>
  <c r="A864" i="1"/>
  <c r="B864" i="1"/>
  <c r="A865" i="1"/>
  <c r="B865" i="1"/>
  <c r="A866" i="1"/>
  <c r="B866" i="1"/>
  <c r="A867" i="1"/>
  <c r="B867" i="1"/>
  <c r="A868" i="1"/>
  <c r="B868" i="1"/>
  <c r="A869" i="1"/>
  <c r="B869" i="1"/>
  <c r="A870" i="1"/>
  <c r="B870" i="1"/>
  <c r="A871" i="1"/>
  <c r="B871" i="1"/>
  <c r="A872" i="1"/>
  <c r="B872" i="1"/>
  <c r="A873" i="1"/>
  <c r="B873" i="1"/>
  <c r="A874" i="1"/>
  <c r="B874" i="1"/>
  <c r="A875" i="1"/>
  <c r="B875" i="1"/>
  <c r="A876" i="1"/>
  <c r="B876" i="1"/>
  <c r="A877" i="1"/>
  <c r="B877" i="1"/>
  <c r="A878" i="1"/>
  <c r="B878" i="1"/>
  <c r="A879" i="1"/>
  <c r="B879" i="1"/>
  <c r="A880" i="1"/>
  <c r="B880" i="1"/>
  <c r="A881" i="1"/>
  <c r="B881" i="1"/>
  <c r="A882" i="1"/>
  <c r="B882" i="1"/>
  <c r="A883" i="1"/>
  <c r="B883" i="1"/>
  <c r="A884" i="1"/>
  <c r="B884" i="1"/>
  <c r="A885" i="1"/>
  <c r="B885" i="1"/>
  <c r="A886" i="1"/>
  <c r="B886" i="1"/>
  <c r="A887" i="1"/>
  <c r="B887" i="1"/>
  <c r="A888" i="1"/>
  <c r="B888" i="1"/>
  <c r="A889" i="1"/>
  <c r="B889" i="1"/>
  <c r="A890" i="1"/>
  <c r="B890" i="1"/>
  <c r="A891" i="1"/>
  <c r="B891" i="1"/>
  <c r="A892" i="1"/>
  <c r="B892" i="1"/>
  <c r="A893" i="1"/>
  <c r="B893" i="1"/>
  <c r="A894" i="1"/>
  <c r="B894" i="1"/>
  <c r="A895" i="1"/>
  <c r="B895" i="1"/>
  <c r="A896" i="1"/>
  <c r="B896" i="1"/>
  <c r="A897" i="1"/>
  <c r="B897" i="1"/>
  <c r="A898" i="1"/>
  <c r="B898" i="1"/>
  <c r="A899" i="1"/>
  <c r="B899" i="1"/>
  <c r="A900" i="1"/>
  <c r="B900" i="1"/>
  <c r="A901" i="1"/>
  <c r="B901" i="1"/>
  <c r="A902" i="1"/>
  <c r="B902" i="1"/>
  <c r="A903" i="1"/>
  <c r="B903" i="1"/>
  <c r="A904" i="1"/>
  <c r="B904" i="1"/>
  <c r="A905" i="1"/>
  <c r="B905" i="1"/>
  <c r="A906" i="1"/>
  <c r="B906" i="1"/>
  <c r="A907" i="1"/>
  <c r="B907" i="1"/>
  <c r="A908" i="1"/>
  <c r="B908" i="1"/>
  <c r="A909" i="1"/>
  <c r="B909" i="1"/>
  <c r="A910" i="1"/>
  <c r="B910" i="1"/>
  <c r="A911" i="1"/>
  <c r="B911" i="1"/>
  <c r="A912" i="1"/>
  <c r="B912" i="1"/>
  <c r="A913" i="1"/>
  <c r="B913" i="1"/>
  <c r="A914" i="1"/>
  <c r="B914" i="1"/>
  <c r="A915" i="1"/>
  <c r="B915" i="1"/>
  <c r="A916" i="1"/>
  <c r="B916" i="1"/>
  <c r="A917" i="1"/>
  <c r="B917" i="1"/>
  <c r="A918" i="1"/>
  <c r="B918" i="1"/>
  <c r="A919" i="1"/>
  <c r="B919" i="1"/>
  <c r="A920" i="1"/>
  <c r="B920" i="1"/>
  <c r="A921" i="1"/>
  <c r="B921" i="1"/>
  <c r="A922" i="1"/>
  <c r="B922" i="1"/>
  <c r="A923" i="1"/>
  <c r="B923" i="1"/>
  <c r="A924" i="1"/>
  <c r="B924" i="1"/>
  <c r="A925" i="1"/>
  <c r="B925" i="1"/>
  <c r="A926" i="1"/>
  <c r="B926" i="1"/>
  <c r="A927" i="1"/>
  <c r="B927" i="1"/>
  <c r="A928" i="1"/>
  <c r="B928" i="1"/>
  <c r="A929" i="1"/>
  <c r="B929" i="1"/>
  <c r="A930" i="1"/>
  <c r="B930" i="1"/>
  <c r="A931" i="1"/>
  <c r="B931" i="1"/>
  <c r="A932" i="1"/>
  <c r="B932" i="1"/>
  <c r="A933" i="1"/>
  <c r="B933" i="1"/>
  <c r="A934" i="1"/>
  <c r="B934" i="1"/>
  <c r="A935" i="1"/>
  <c r="B935" i="1"/>
  <c r="A936" i="1"/>
  <c r="B936" i="1"/>
  <c r="A937" i="1"/>
  <c r="B937" i="1"/>
  <c r="A938" i="1"/>
  <c r="B938" i="1"/>
  <c r="A939" i="1"/>
  <c r="B939" i="1"/>
  <c r="A940" i="1"/>
  <c r="B940" i="1"/>
  <c r="A941" i="1"/>
  <c r="B941" i="1"/>
  <c r="A942" i="1"/>
  <c r="B942" i="1"/>
  <c r="A943" i="1"/>
  <c r="B943" i="1"/>
  <c r="A944" i="1"/>
  <c r="B944" i="1"/>
  <c r="A945" i="1"/>
  <c r="B945" i="1"/>
  <c r="A946" i="1"/>
  <c r="B946" i="1"/>
  <c r="A947" i="1"/>
  <c r="B947" i="1"/>
  <c r="A948" i="1"/>
  <c r="B948" i="1"/>
  <c r="A949" i="1"/>
  <c r="B949" i="1"/>
  <c r="A950" i="1"/>
  <c r="B950" i="1"/>
  <c r="A951" i="1"/>
  <c r="B951" i="1"/>
  <c r="A952" i="1"/>
  <c r="B952" i="1"/>
  <c r="A953" i="1"/>
  <c r="B953" i="1"/>
  <c r="A954" i="1"/>
  <c r="B954" i="1"/>
  <c r="A955" i="1"/>
  <c r="B955" i="1"/>
  <c r="A956" i="1"/>
  <c r="B956" i="1"/>
  <c r="A957" i="1"/>
  <c r="B957" i="1"/>
  <c r="A958" i="1"/>
  <c r="B958" i="1"/>
  <c r="A959" i="1"/>
  <c r="B959" i="1"/>
  <c r="A960" i="1"/>
  <c r="B960" i="1"/>
  <c r="A961" i="1"/>
  <c r="B961" i="1"/>
  <c r="A962" i="1"/>
  <c r="B962" i="1"/>
  <c r="A963" i="1"/>
  <c r="B963" i="1"/>
  <c r="A964" i="1"/>
  <c r="B964" i="1"/>
  <c r="A965" i="1"/>
  <c r="B965" i="1"/>
  <c r="A966" i="1"/>
  <c r="B96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I353" i="1"/>
  <c r="AI354" i="1"/>
  <c r="AI355" i="1"/>
  <c r="AI356" i="1"/>
  <c r="AI357" i="1"/>
  <c r="AI358" i="1"/>
  <c r="AI359" i="1"/>
  <c r="AI360" i="1"/>
  <c r="A361" i="1"/>
  <c r="B361" i="1"/>
  <c r="A362" i="1"/>
  <c r="B362" i="1"/>
  <c r="A363" i="1"/>
  <c r="B363" i="1"/>
  <c r="A364" i="1"/>
  <c r="B364" i="1"/>
  <c r="A365" i="1"/>
  <c r="B365" i="1"/>
  <c r="A366" i="1"/>
  <c r="B366" i="1"/>
  <c r="A367" i="1"/>
  <c r="B367" i="1"/>
  <c r="A368" i="1"/>
  <c r="B368" i="1"/>
  <c r="A369" i="1"/>
  <c r="B369" i="1"/>
  <c r="A370" i="1"/>
  <c r="B370" i="1"/>
  <c r="A371" i="1"/>
  <c r="B371" i="1"/>
  <c r="A372" i="1"/>
  <c r="B372" i="1"/>
  <c r="A373" i="1"/>
  <c r="B373" i="1"/>
  <c r="A374" i="1"/>
  <c r="B374" i="1"/>
  <c r="A375" i="1"/>
  <c r="B375" i="1"/>
  <c r="A376" i="1"/>
  <c r="B376" i="1"/>
  <c r="A377" i="1"/>
  <c r="B377" i="1"/>
  <c r="A378" i="1"/>
  <c r="B378" i="1"/>
  <c r="A379" i="1"/>
  <c r="B379" i="1"/>
  <c r="A380" i="1"/>
  <c r="B380" i="1"/>
  <c r="A381" i="1"/>
  <c r="B381" i="1"/>
  <c r="A382" i="1"/>
  <c r="B382" i="1"/>
  <c r="A383" i="1"/>
  <c r="B383" i="1"/>
  <c r="A384" i="1"/>
  <c r="B384" i="1"/>
  <c r="A385" i="1"/>
  <c r="B385" i="1"/>
  <c r="A386" i="1"/>
  <c r="B386" i="1"/>
  <c r="A387" i="1"/>
  <c r="B387" i="1"/>
  <c r="A388" i="1"/>
  <c r="B388" i="1"/>
  <c r="A389" i="1"/>
  <c r="B389" i="1"/>
  <c r="A390" i="1"/>
  <c r="B390" i="1"/>
  <c r="A391" i="1"/>
  <c r="B391" i="1"/>
  <c r="A392" i="1"/>
  <c r="B392" i="1"/>
  <c r="A393" i="1"/>
  <c r="B393" i="1"/>
  <c r="A394" i="1"/>
  <c r="B394" i="1"/>
  <c r="A395" i="1"/>
  <c r="B395" i="1"/>
  <c r="A396" i="1"/>
  <c r="B396" i="1"/>
  <c r="A397" i="1"/>
  <c r="B397" i="1"/>
  <c r="A398" i="1"/>
  <c r="B398" i="1"/>
  <c r="A399" i="1"/>
  <c r="B399" i="1"/>
  <c r="A400" i="1"/>
  <c r="B400" i="1"/>
  <c r="A401" i="1"/>
  <c r="B401" i="1"/>
  <c r="A402" i="1"/>
  <c r="B402" i="1"/>
  <c r="A403" i="1"/>
  <c r="B403" i="1"/>
  <c r="A404" i="1"/>
  <c r="B404" i="1"/>
  <c r="A405" i="1"/>
  <c r="B405" i="1"/>
  <c r="A406" i="1"/>
  <c r="B406" i="1"/>
  <c r="A407" i="1"/>
  <c r="B407" i="1"/>
  <c r="A408" i="1"/>
  <c r="B408" i="1"/>
  <c r="A409" i="1"/>
  <c r="B409" i="1"/>
  <c r="A410" i="1"/>
  <c r="B410" i="1"/>
  <c r="A411" i="1"/>
  <c r="B411" i="1"/>
  <c r="A412" i="1"/>
  <c r="B412" i="1"/>
  <c r="A413" i="1"/>
  <c r="B413" i="1"/>
  <c r="A414" i="1"/>
  <c r="B414" i="1"/>
  <c r="A415" i="1"/>
  <c r="B415" i="1"/>
  <c r="A416" i="1"/>
  <c r="B416" i="1"/>
  <c r="A417" i="1"/>
  <c r="B417" i="1"/>
  <c r="A418" i="1"/>
  <c r="B418" i="1"/>
  <c r="A419" i="1"/>
  <c r="B419" i="1"/>
  <c r="A420" i="1"/>
  <c r="B420" i="1"/>
  <c r="A421" i="1"/>
  <c r="B421" i="1"/>
  <c r="A422" i="1"/>
  <c r="B422" i="1"/>
  <c r="A423" i="1"/>
  <c r="B423" i="1"/>
  <c r="A424" i="1"/>
  <c r="B424" i="1"/>
  <c r="A425" i="1"/>
  <c r="B425" i="1"/>
  <c r="A426" i="1"/>
  <c r="B426" i="1"/>
  <c r="A427" i="1"/>
  <c r="B427" i="1"/>
  <c r="A428" i="1"/>
  <c r="B428" i="1"/>
  <c r="A429" i="1"/>
  <c r="B429" i="1"/>
  <c r="A430" i="1"/>
  <c r="B430" i="1"/>
  <c r="A431" i="1"/>
  <c r="B431" i="1"/>
  <c r="A432" i="1"/>
  <c r="B432" i="1"/>
  <c r="A433" i="1"/>
  <c r="B433" i="1"/>
  <c r="A434" i="1"/>
  <c r="B434" i="1"/>
  <c r="A435" i="1"/>
  <c r="B435" i="1"/>
  <c r="A436" i="1"/>
  <c r="B436" i="1"/>
  <c r="A437" i="1"/>
  <c r="B437" i="1"/>
  <c r="A438" i="1"/>
  <c r="B438" i="1"/>
  <c r="A439" i="1"/>
  <c r="B439" i="1"/>
  <c r="A440" i="1"/>
  <c r="B440" i="1"/>
  <c r="A441" i="1"/>
  <c r="B441" i="1"/>
  <c r="A442" i="1"/>
  <c r="B442" i="1"/>
  <c r="A443" i="1"/>
  <c r="B443" i="1"/>
  <c r="A444" i="1"/>
  <c r="B444" i="1"/>
  <c r="A445" i="1"/>
  <c r="B445" i="1"/>
  <c r="A446" i="1"/>
  <c r="B446" i="1"/>
  <c r="A447" i="1"/>
  <c r="B447" i="1"/>
  <c r="A448" i="1"/>
  <c r="B448" i="1"/>
  <c r="A449" i="1"/>
  <c r="B449" i="1"/>
  <c r="A450" i="1"/>
  <c r="B450" i="1"/>
  <c r="A451" i="1"/>
  <c r="B451" i="1"/>
  <c r="A452" i="1"/>
  <c r="B452" i="1"/>
  <c r="A453" i="1"/>
  <c r="B453" i="1"/>
  <c r="A454" i="1"/>
  <c r="B454" i="1"/>
  <c r="A455" i="1"/>
  <c r="B455" i="1"/>
  <c r="A456" i="1"/>
  <c r="B456" i="1"/>
  <c r="A457" i="1"/>
  <c r="B457" i="1"/>
  <c r="A458" i="1"/>
  <c r="B458" i="1"/>
  <c r="A459" i="1"/>
  <c r="B459" i="1"/>
  <c r="A460" i="1"/>
  <c r="B460" i="1"/>
  <c r="A461" i="1"/>
  <c r="B461" i="1"/>
  <c r="A462" i="1"/>
  <c r="B462" i="1"/>
  <c r="A463" i="1"/>
  <c r="B463" i="1"/>
  <c r="A464" i="1"/>
  <c r="B464" i="1"/>
  <c r="A465" i="1"/>
  <c r="B465" i="1"/>
  <c r="A466" i="1"/>
  <c r="B466" i="1"/>
  <c r="A467" i="1"/>
  <c r="B467" i="1"/>
  <c r="A468" i="1"/>
  <c r="B468" i="1"/>
  <c r="A469" i="1"/>
  <c r="B469" i="1"/>
  <c r="A470" i="1"/>
  <c r="B470" i="1"/>
  <c r="A471" i="1"/>
  <c r="B471" i="1"/>
  <c r="A472" i="1"/>
  <c r="B472" i="1"/>
  <c r="A473" i="1"/>
  <c r="B473" i="1"/>
  <c r="A474" i="1"/>
  <c r="B474" i="1"/>
  <c r="A475" i="1"/>
  <c r="B475" i="1"/>
  <c r="A476" i="1"/>
  <c r="B476" i="1"/>
  <c r="A477" i="1"/>
  <c r="B477" i="1"/>
  <c r="A478" i="1"/>
  <c r="B478" i="1"/>
  <c r="A479" i="1"/>
  <c r="B479" i="1"/>
  <c r="A480" i="1"/>
  <c r="B480" i="1"/>
  <c r="A481" i="1"/>
  <c r="B481" i="1"/>
  <c r="A482" i="1"/>
  <c r="B482" i="1"/>
  <c r="A483" i="1"/>
  <c r="B483" i="1"/>
  <c r="A484" i="1"/>
  <c r="B484" i="1"/>
  <c r="A485" i="1"/>
  <c r="B485" i="1"/>
  <c r="A486" i="1"/>
  <c r="B486" i="1"/>
  <c r="A487" i="1"/>
  <c r="B487" i="1"/>
  <c r="A488" i="1"/>
  <c r="B488" i="1"/>
  <c r="A489" i="1"/>
  <c r="B489" i="1"/>
  <c r="A490" i="1"/>
  <c r="B490" i="1"/>
  <c r="A491" i="1"/>
  <c r="B491" i="1"/>
  <c r="A492" i="1"/>
  <c r="B492" i="1"/>
  <c r="A493" i="1"/>
  <c r="B493" i="1"/>
  <c r="A494" i="1"/>
  <c r="B494" i="1"/>
  <c r="A495" i="1"/>
  <c r="B495" i="1"/>
  <c r="A496" i="1"/>
  <c r="B496" i="1"/>
  <c r="A497" i="1"/>
  <c r="B497" i="1"/>
  <c r="A498" i="1"/>
  <c r="B498" i="1"/>
  <c r="A499" i="1"/>
  <c r="B499" i="1"/>
  <c r="A500" i="1"/>
  <c r="B500" i="1"/>
  <c r="A501" i="1"/>
  <c r="B501" i="1"/>
  <c r="A502" i="1"/>
  <c r="B502" i="1"/>
  <c r="A503" i="1"/>
  <c r="B503" i="1"/>
  <c r="A504" i="1"/>
  <c r="B504" i="1"/>
  <c r="A505" i="1"/>
  <c r="B505" i="1"/>
  <c r="A506" i="1"/>
  <c r="B506" i="1"/>
  <c r="A507" i="1"/>
  <c r="B507" i="1"/>
  <c r="A508" i="1"/>
  <c r="B508" i="1"/>
  <c r="A509" i="1"/>
  <c r="B509" i="1"/>
  <c r="A510" i="1"/>
  <c r="B510" i="1"/>
  <c r="A511" i="1"/>
  <c r="B511" i="1"/>
  <c r="A512" i="1"/>
  <c r="B512" i="1"/>
  <c r="A513" i="1"/>
  <c r="B513" i="1"/>
  <c r="A514" i="1"/>
  <c r="B514" i="1"/>
  <c r="A515" i="1"/>
  <c r="B515" i="1"/>
  <c r="A516" i="1"/>
  <c r="B516" i="1"/>
  <c r="A517" i="1"/>
  <c r="B517" i="1"/>
  <c r="A518" i="1"/>
  <c r="B518" i="1"/>
  <c r="A519" i="1"/>
  <c r="B519" i="1"/>
  <c r="A520" i="1"/>
  <c r="B520" i="1"/>
  <c r="A521" i="1"/>
  <c r="B521" i="1"/>
  <c r="A522" i="1"/>
  <c r="B522" i="1"/>
  <c r="A523" i="1"/>
  <c r="B523" i="1"/>
  <c r="A524" i="1"/>
  <c r="B524" i="1"/>
  <c r="A525" i="1"/>
  <c r="B525" i="1"/>
  <c r="A526" i="1"/>
  <c r="B526" i="1"/>
  <c r="A527" i="1"/>
  <c r="B527" i="1"/>
  <c r="A528" i="1"/>
  <c r="B528" i="1"/>
  <c r="A529" i="1"/>
  <c r="B529" i="1"/>
  <c r="A530" i="1"/>
  <c r="B530" i="1"/>
  <c r="A531" i="1"/>
  <c r="B531" i="1"/>
  <c r="A532" i="1"/>
  <c r="B532" i="1"/>
  <c r="A533" i="1"/>
  <c r="B533" i="1"/>
  <c r="A534" i="1"/>
  <c r="B534" i="1"/>
  <c r="A535" i="1"/>
  <c r="B535" i="1"/>
  <c r="A536" i="1"/>
  <c r="B536" i="1"/>
  <c r="A537" i="1"/>
  <c r="B537" i="1"/>
  <c r="A538" i="1"/>
  <c r="B538" i="1"/>
  <c r="A539" i="1"/>
  <c r="B539" i="1"/>
  <c r="A540" i="1"/>
  <c r="B540" i="1"/>
  <c r="A541" i="1"/>
  <c r="B541" i="1"/>
  <c r="A542" i="1"/>
  <c r="B542" i="1"/>
  <c r="A543" i="1"/>
  <c r="B543" i="1"/>
  <c r="A544" i="1"/>
  <c r="B544" i="1"/>
  <c r="A545" i="1"/>
  <c r="B545" i="1"/>
  <c r="A546" i="1"/>
  <c r="B546" i="1"/>
  <c r="A547" i="1"/>
  <c r="B547" i="1"/>
  <c r="A548" i="1"/>
  <c r="B548" i="1"/>
  <c r="A549" i="1"/>
  <c r="B549" i="1"/>
  <c r="A550" i="1"/>
  <c r="B550" i="1"/>
  <c r="A551" i="1"/>
  <c r="B551" i="1"/>
  <c r="A552" i="1"/>
  <c r="B552" i="1"/>
  <c r="A553" i="1"/>
  <c r="B553" i="1"/>
  <c r="A554" i="1"/>
  <c r="B554" i="1"/>
  <c r="A555" i="1"/>
  <c r="B555" i="1"/>
  <c r="A556" i="1"/>
  <c r="B556" i="1"/>
  <c r="A557" i="1"/>
  <c r="B557" i="1"/>
  <c r="A558" i="1"/>
  <c r="B558" i="1"/>
  <c r="A559" i="1"/>
  <c r="B559" i="1"/>
  <c r="A560" i="1"/>
  <c r="B560" i="1"/>
  <c r="F11" i="3"/>
  <c r="F10" i="3"/>
  <c r="F13" i="3"/>
  <c r="F12" i="3"/>
  <c r="F9" i="3"/>
  <c r="F8" i="3"/>
  <c r="F7" i="3"/>
  <c r="F6" i="3"/>
  <c r="F5" i="3"/>
  <c r="F4" i="3"/>
  <c r="F3" i="3"/>
  <c r="F2" i="3"/>
  <c r="AG966" i="1"/>
  <c r="AG351" i="1"/>
  <c r="AH351" i="1" s="1"/>
  <c r="AJ351" i="1" s="1"/>
  <c r="AG352" i="1"/>
  <c r="AH352" i="1" s="1"/>
  <c r="AJ352" i="1" s="1"/>
  <c r="AG353" i="1"/>
  <c r="AH353" i="1" s="1"/>
  <c r="AJ353" i="1" s="1"/>
  <c r="AG354" i="1"/>
  <c r="AH354" i="1" s="1"/>
  <c r="AJ354" i="1" s="1"/>
  <c r="AG355" i="1"/>
  <c r="AH355" i="1" s="1"/>
  <c r="AJ355" i="1" s="1"/>
  <c r="AG356" i="1"/>
  <c r="AH356" i="1" s="1"/>
  <c r="AJ356" i="1" s="1"/>
  <c r="AG357" i="1"/>
  <c r="AH357" i="1" s="1"/>
  <c r="AJ357" i="1" s="1"/>
  <c r="AG358" i="1"/>
  <c r="AH358" i="1" s="1"/>
  <c r="AJ358" i="1" s="1"/>
  <c r="AG359" i="1"/>
  <c r="AH359" i="1" s="1"/>
  <c r="AJ359" i="1" s="1"/>
  <c r="AG360" i="1"/>
  <c r="AH360" i="1" s="1"/>
  <c r="AJ360" i="1" s="1"/>
  <c r="AG361" i="1"/>
  <c r="AG362" i="1"/>
  <c r="AG363" i="1"/>
  <c r="AG364" i="1"/>
  <c r="AG365" i="1"/>
  <c r="AG366" i="1"/>
  <c r="AG367" i="1"/>
  <c r="AG368" i="1"/>
  <c r="AG369" i="1"/>
  <c r="AG370" i="1"/>
  <c r="AG371" i="1"/>
  <c r="AG372" i="1"/>
  <c r="AG373" i="1"/>
  <c r="AG374" i="1"/>
  <c r="AG375" i="1"/>
  <c r="AG376" i="1"/>
  <c r="AG377" i="1"/>
  <c r="AG378" i="1"/>
  <c r="AG379" i="1"/>
  <c r="AG380" i="1"/>
  <c r="AG381" i="1"/>
  <c r="AG382" i="1"/>
  <c r="AG383" i="1"/>
  <c r="AG384" i="1"/>
  <c r="AG385" i="1"/>
  <c r="AG386" i="1"/>
  <c r="AG387" i="1"/>
  <c r="AG388" i="1"/>
  <c r="AG389" i="1"/>
  <c r="AG390" i="1"/>
  <c r="AG391" i="1"/>
  <c r="AG392" i="1"/>
  <c r="AG393" i="1"/>
  <c r="AG394" i="1"/>
  <c r="AG395" i="1"/>
  <c r="AG396" i="1"/>
  <c r="AG397" i="1"/>
  <c r="AG398" i="1"/>
  <c r="AG399" i="1"/>
  <c r="AG400" i="1"/>
  <c r="AG401" i="1"/>
  <c r="AG402" i="1"/>
  <c r="AG403" i="1"/>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G786" i="1"/>
  <c r="AG787" i="1"/>
  <c r="AG788" i="1"/>
  <c r="AG789" i="1"/>
  <c r="AG790" i="1"/>
  <c r="AG791" i="1"/>
  <c r="AG792" i="1"/>
  <c r="AG793" i="1"/>
  <c r="AG794" i="1"/>
  <c r="AG795" i="1"/>
  <c r="AG796" i="1"/>
  <c r="AG797" i="1"/>
  <c r="AG798" i="1"/>
  <c r="AG799" i="1"/>
  <c r="AG800" i="1"/>
  <c r="AG801" i="1"/>
  <c r="AG802" i="1"/>
  <c r="AG803" i="1"/>
  <c r="AG804" i="1"/>
  <c r="AG805" i="1"/>
  <c r="AG806" i="1"/>
  <c r="AG807" i="1"/>
  <c r="AG808" i="1"/>
  <c r="AG809" i="1"/>
  <c r="AG810" i="1"/>
  <c r="AG811" i="1"/>
  <c r="AG812" i="1"/>
  <c r="AG813" i="1"/>
  <c r="AG814" i="1"/>
  <c r="AG815" i="1"/>
  <c r="AG816" i="1"/>
  <c r="AG817" i="1"/>
  <c r="AG818" i="1"/>
  <c r="AG819" i="1"/>
  <c r="AG820" i="1"/>
  <c r="AG821" i="1"/>
  <c r="AG822" i="1"/>
  <c r="AG823" i="1"/>
  <c r="AG824" i="1"/>
  <c r="AG825" i="1"/>
  <c r="AG826" i="1"/>
  <c r="AG827" i="1"/>
  <c r="AG828" i="1"/>
  <c r="AG829" i="1"/>
  <c r="AG830" i="1"/>
  <c r="AG831" i="1"/>
  <c r="AG832" i="1"/>
  <c r="AG833" i="1"/>
  <c r="AG834" i="1"/>
  <c r="AG835" i="1"/>
  <c r="AG836" i="1"/>
  <c r="AG837" i="1"/>
  <c r="AG838" i="1"/>
  <c r="AG839" i="1"/>
  <c r="AG840" i="1"/>
  <c r="AG841" i="1"/>
  <c r="AG842" i="1"/>
  <c r="AG843" i="1"/>
  <c r="AG844" i="1"/>
  <c r="AG845" i="1"/>
  <c r="AG846" i="1"/>
  <c r="AG847" i="1"/>
  <c r="AG848" i="1"/>
  <c r="AG849" i="1"/>
  <c r="AG850" i="1"/>
  <c r="AG851" i="1"/>
  <c r="AG852" i="1"/>
  <c r="AG853" i="1"/>
  <c r="AG854" i="1"/>
  <c r="AG855" i="1"/>
  <c r="AG856" i="1"/>
  <c r="AG857" i="1"/>
  <c r="AG858" i="1"/>
  <c r="AG859" i="1"/>
  <c r="AG860" i="1"/>
  <c r="AG861" i="1"/>
  <c r="AG862" i="1"/>
  <c r="AG863" i="1"/>
  <c r="AG864" i="1"/>
  <c r="AG865" i="1"/>
  <c r="AG866" i="1"/>
  <c r="AG867" i="1"/>
  <c r="AG868" i="1"/>
  <c r="AG869" i="1"/>
  <c r="AG870" i="1"/>
  <c r="AG871" i="1"/>
  <c r="AG872" i="1"/>
  <c r="AG873" i="1"/>
  <c r="AG874" i="1"/>
  <c r="AG875" i="1"/>
  <c r="AG876" i="1"/>
  <c r="AG877" i="1"/>
  <c r="AG878" i="1"/>
  <c r="AG879" i="1"/>
  <c r="AG880" i="1"/>
  <c r="AG881" i="1"/>
  <c r="AG882" i="1"/>
  <c r="AG883" i="1"/>
  <c r="AG884" i="1"/>
  <c r="AG885" i="1"/>
  <c r="AG886" i="1"/>
  <c r="AG887" i="1"/>
  <c r="AG888" i="1"/>
  <c r="AG889" i="1"/>
  <c r="AG890" i="1"/>
  <c r="AG891" i="1"/>
  <c r="AG892" i="1"/>
  <c r="AG893" i="1"/>
  <c r="AG894" i="1"/>
  <c r="AG895" i="1"/>
  <c r="AG896" i="1"/>
  <c r="AG897" i="1"/>
  <c r="AG898" i="1"/>
  <c r="AG899" i="1"/>
  <c r="AG900" i="1"/>
  <c r="AG901" i="1"/>
  <c r="AG902" i="1"/>
  <c r="AG903" i="1"/>
  <c r="AG904" i="1"/>
  <c r="AG905" i="1"/>
  <c r="AG906" i="1"/>
  <c r="AG907" i="1"/>
  <c r="AG908" i="1"/>
  <c r="AG909" i="1"/>
  <c r="AG910" i="1"/>
  <c r="AG911" i="1"/>
  <c r="AG912" i="1"/>
  <c r="AG913" i="1"/>
  <c r="AG914" i="1"/>
  <c r="AG915" i="1"/>
  <c r="AG916" i="1"/>
  <c r="AG917" i="1"/>
  <c r="AG918" i="1"/>
  <c r="AG919" i="1"/>
  <c r="AG920" i="1"/>
  <c r="AG921" i="1"/>
  <c r="AG922" i="1"/>
  <c r="AG923" i="1"/>
  <c r="AG924" i="1"/>
  <c r="AG925" i="1"/>
  <c r="AG926" i="1"/>
  <c r="AG927" i="1"/>
  <c r="AG928" i="1"/>
  <c r="AG929" i="1"/>
  <c r="AG930" i="1"/>
  <c r="AG931" i="1"/>
  <c r="AG932" i="1"/>
  <c r="AG933" i="1"/>
  <c r="AG934" i="1"/>
  <c r="AG935" i="1"/>
  <c r="AG936" i="1"/>
  <c r="AG937" i="1"/>
  <c r="AG938" i="1"/>
  <c r="AG939" i="1"/>
  <c r="AG940" i="1"/>
  <c r="AG941" i="1"/>
  <c r="AG942" i="1"/>
  <c r="AG943" i="1"/>
  <c r="AG944" i="1"/>
  <c r="AG945" i="1"/>
  <c r="AG946" i="1"/>
  <c r="AG947" i="1"/>
  <c r="AG948" i="1"/>
  <c r="AG949" i="1"/>
  <c r="AG950" i="1"/>
  <c r="AG951" i="1"/>
  <c r="AG952" i="1"/>
  <c r="AG953" i="1"/>
  <c r="AG954" i="1"/>
  <c r="AG955" i="1"/>
  <c r="AG956" i="1"/>
  <c r="AG957" i="1"/>
  <c r="AG958" i="1"/>
  <c r="AG959" i="1"/>
  <c r="AG960" i="1"/>
  <c r="AG961" i="1"/>
  <c r="AG962" i="1"/>
  <c r="AG963" i="1"/>
  <c r="AG964" i="1"/>
  <c r="AG965" i="1"/>
  <c r="AT3" i="1"/>
  <c r="AT4" i="1" s="1"/>
  <c r="AT5" i="1" s="1"/>
  <c r="AT6" i="1" s="1"/>
  <c r="AT7" i="1" s="1"/>
  <c r="AT8" i="1" s="1"/>
  <c r="AT9" i="1" s="1"/>
  <c r="AT10" i="1" s="1"/>
  <c r="AT11" i="1" s="1"/>
  <c r="AT12" i="1" s="1"/>
  <c r="AT13" i="1" s="1"/>
  <c r="AT14" i="1" s="1"/>
  <c r="AT15" i="1" s="1"/>
  <c r="AT16" i="1" s="1"/>
  <c r="AT17" i="1" s="1"/>
  <c r="AT18" i="1" s="1"/>
  <c r="AT19" i="1" s="1"/>
  <c r="AT20" i="1" s="1"/>
  <c r="AT21" i="1" s="1"/>
  <c r="AT22" i="1" s="1"/>
  <c r="AT23" i="1" s="1"/>
  <c r="AT24" i="1" s="1"/>
  <c r="AT25" i="1" s="1"/>
  <c r="AT26" i="1" s="1"/>
  <c r="AT27" i="1" s="1"/>
  <c r="AT28" i="1" s="1"/>
  <c r="AT29" i="1" s="1"/>
  <c r="AT30" i="1" s="1"/>
  <c r="AT31" i="1" s="1"/>
  <c r="AT32" i="1" s="1"/>
  <c r="AT33" i="1" s="1"/>
  <c r="AT34" i="1" s="1"/>
  <c r="AT35" i="1" s="1"/>
  <c r="AT36" i="1" s="1"/>
  <c r="AT37" i="1" s="1"/>
  <c r="AT38" i="1" s="1"/>
  <c r="AT39" i="1" s="1"/>
  <c r="AT40" i="1" s="1"/>
  <c r="AT41" i="1" s="1"/>
  <c r="AT42" i="1" s="1"/>
  <c r="AT43" i="1" s="1"/>
  <c r="AT44" i="1" s="1"/>
  <c r="AT45" i="1" s="1"/>
  <c r="AT46" i="1" s="1"/>
  <c r="AT47" i="1" s="1"/>
  <c r="AM32" i="1"/>
  <c r="AN32" i="1"/>
  <c r="AO32" i="1"/>
  <c r="AP32" i="1"/>
  <c r="AQ32" i="1"/>
  <c r="AR32" i="1"/>
  <c r="AS32" i="1"/>
  <c r="AM33" i="1"/>
  <c r="AN33" i="1"/>
  <c r="AO33" i="1"/>
  <c r="AP33" i="1"/>
  <c r="AQ33" i="1"/>
  <c r="AR33" i="1"/>
  <c r="AS33" i="1"/>
  <c r="AM34" i="1"/>
  <c r="AN34" i="1"/>
  <c r="AO34" i="1"/>
  <c r="AP34" i="1"/>
  <c r="AQ34" i="1"/>
  <c r="AR34" i="1"/>
  <c r="AS34" i="1"/>
  <c r="AM35" i="1"/>
  <c r="AN35" i="1"/>
  <c r="AO35" i="1"/>
  <c r="AP35" i="1"/>
  <c r="AQ35" i="1"/>
  <c r="AR35" i="1"/>
  <c r="AS35" i="1"/>
  <c r="AM36" i="1"/>
  <c r="AN36" i="1"/>
  <c r="AO36" i="1"/>
  <c r="AP36" i="1"/>
  <c r="AQ36" i="1"/>
  <c r="AR36" i="1"/>
  <c r="AS36" i="1"/>
  <c r="AM37" i="1"/>
  <c r="AN37" i="1"/>
  <c r="AO37" i="1"/>
  <c r="AP37" i="1"/>
  <c r="AQ37" i="1"/>
  <c r="AR37" i="1"/>
  <c r="AS37" i="1"/>
  <c r="AM38" i="1"/>
  <c r="AN38" i="1"/>
  <c r="AO38" i="1"/>
  <c r="AP38" i="1"/>
  <c r="AQ38" i="1"/>
  <c r="AR38" i="1"/>
  <c r="AS38" i="1"/>
  <c r="AM39" i="1"/>
  <c r="AN39" i="1"/>
  <c r="AO39" i="1"/>
  <c r="AP39" i="1"/>
  <c r="AQ39" i="1"/>
  <c r="AR39" i="1"/>
  <c r="AS39" i="1"/>
  <c r="AM40" i="1"/>
  <c r="AN40" i="1"/>
  <c r="AO40" i="1"/>
  <c r="AP40" i="1"/>
  <c r="AQ40" i="1"/>
  <c r="AR40" i="1"/>
  <c r="AS40" i="1"/>
  <c r="AM41" i="1"/>
  <c r="AN41" i="1"/>
  <c r="AO41" i="1"/>
  <c r="AP41" i="1"/>
  <c r="AQ41" i="1"/>
  <c r="AR41" i="1"/>
  <c r="AS41" i="1"/>
  <c r="AM42" i="1"/>
  <c r="AN42" i="1"/>
  <c r="AO42" i="1"/>
  <c r="AP42" i="1"/>
  <c r="AQ42" i="1"/>
  <c r="AR42" i="1"/>
  <c r="AS42" i="1"/>
  <c r="AM43" i="1"/>
  <c r="AN43" i="1"/>
  <c r="AO43" i="1"/>
  <c r="AP43" i="1"/>
  <c r="AQ43" i="1"/>
  <c r="AR43" i="1"/>
  <c r="AS43" i="1"/>
  <c r="AM44" i="1"/>
  <c r="AN44" i="1"/>
  <c r="AO44" i="1"/>
  <c r="AP44" i="1"/>
  <c r="AQ44" i="1"/>
  <c r="AR44" i="1"/>
  <c r="AS44" i="1"/>
  <c r="AM45" i="1"/>
  <c r="AN45" i="1"/>
  <c r="AO45" i="1"/>
  <c r="AP45" i="1"/>
  <c r="AQ45" i="1"/>
  <c r="AR45" i="1"/>
  <c r="AS45" i="1"/>
  <c r="AM46" i="1"/>
  <c r="AN46" i="1"/>
  <c r="AO46" i="1"/>
  <c r="AP46" i="1"/>
  <c r="AQ46" i="1"/>
  <c r="AR46" i="1"/>
  <c r="AS46" i="1"/>
  <c r="AM51" i="1"/>
  <c r="AN51" i="1"/>
  <c r="AO51" i="1"/>
  <c r="AP51" i="1"/>
  <c r="AQ51" i="1"/>
  <c r="AR51" i="1"/>
  <c r="AS51" i="1"/>
  <c r="AM52" i="1"/>
  <c r="AN52" i="1"/>
  <c r="AO52" i="1"/>
  <c r="AP52" i="1"/>
  <c r="AQ52" i="1"/>
  <c r="AR52" i="1"/>
  <c r="AS52" i="1"/>
  <c r="AM53" i="1"/>
  <c r="AN53" i="1"/>
  <c r="AO53" i="1"/>
  <c r="AP53" i="1"/>
  <c r="AQ53" i="1"/>
  <c r="AR53" i="1"/>
  <c r="AS53" i="1"/>
  <c r="AM54" i="1"/>
  <c r="AN54" i="1"/>
  <c r="AO54" i="1"/>
  <c r="AP54" i="1"/>
  <c r="AQ54" i="1"/>
  <c r="AR54" i="1"/>
  <c r="AS54" i="1"/>
  <c r="AM55" i="1"/>
  <c r="AN55" i="1"/>
  <c r="AO55" i="1"/>
  <c r="AP55" i="1"/>
  <c r="AQ55" i="1"/>
  <c r="AR55" i="1"/>
  <c r="AS55" i="1"/>
  <c r="AM56" i="1"/>
  <c r="AN56" i="1"/>
  <c r="AO56" i="1"/>
  <c r="AP56" i="1"/>
  <c r="AQ56" i="1"/>
  <c r="AR56" i="1"/>
  <c r="AS56" i="1"/>
  <c r="AM57" i="1"/>
  <c r="AN57" i="1"/>
  <c r="AO57" i="1"/>
  <c r="AP57" i="1"/>
  <c r="AQ57" i="1"/>
  <c r="AR57" i="1"/>
  <c r="AS57" i="1"/>
  <c r="AM58" i="1"/>
  <c r="AN58" i="1"/>
  <c r="AO58" i="1"/>
  <c r="AP58" i="1"/>
  <c r="AQ58" i="1"/>
  <c r="AR58" i="1"/>
  <c r="AS58" i="1"/>
  <c r="AM59" i="1"/>
  <c r="AN59" i="1"/>
  <c r="AO59" i="1"/>
  <c r="AP59" i="1"/>
  <c r="AQ59" i="1"/>
  <c r="AR59" i="1"/>
  <c r="AS59" i="1"/>
  <c r="AM60" i="1"/>
  <c r="AN60" i="1"/>
  <c r="AO60" i="1"/>
  <c r="AP60" i="1"/>
  <c r="AQ60" i="1"/>
  <c r="AR60" i="1"/>
  <c r="AS60" i="1"/>
  <c r="AM61" i="1"/>
  <c r="AN61" i="1"/>
  <c r="AO61" i="1"/>
  <c r="AP61" i="1"/>
  <c r="AQ61" i="1"/>
  <c r="AR61" i="1"/>
  <c r="AS61" i="1"/>
  <c r="AM62" i="1"/>
  <c r="AN62" i="1"/>
  <c r="AO62" i="1"/>
  <c r="AP62" i="1"/>
  <c r="AQ62" i="1"/>
  <c r="AR62" i="1"/>
  <c r="AS62" i="1"/>
  <c r="AM63" i="1"/>
  <c r="AN63" i="1"/>
  <c r="AO63" i="1"/>
  <c r="AP63" i="1"/>
  <c r="AQ63" i="1"/>
  <c r="AR63" i="1"/>
  <c r="AS63" i="1"/>
  <c r="AM64" i="1"/>
  <c r="AN64" i="1"/>
  <c r="AO64" i="1"/>
  <c r="AP64" i="1"/>
  <c r="AQ64" i="1"/>
  <c r="AR64" i="1"/>
  <c r="AS64" i="1"/>
  <c r="AM65" i="1"/>
  <c r="AN65" i="1"/>
  <c r="AO65" i="1"/>
  <c r="AP65" i="1"/>
  <c r="AQ65" i="1"/>
  <c r="AR65" i="1"/>
  <c r="AS65" i="1"/>
  <c r="AM66" i="1"/>
  <c r="AN66" i="1"/>
  <c r="AO66" i="1"/>
  <c r="AP66" i="1"/>
  <c r="AQ66" i="1"/>
  <c r="AR66" i="1"/>
  <c r="AS66" i="1"/>
  <c r="AM67" i="1"/>
  <c r="AN67" i="1"/>
  <c r="AO67" i="1"/>
  <c r="AP67" i="1"/>
  <c r="AQ67" i="1"/>
  <c r="AR67" i="1"/>
  <c r="AS67" i="1"/>
  <c r="AM68" i="1"/>
  <c r="AN68" i="1"/>
  <c r="AO68" i="1"/>
  <c r="AP68" i="1"/>
  <c r="AQ68" i="1"/>
  <c r="AR68" i="1"/>
  <c r="AS68" i="1"/>
  <c r="AM69" i="1"/>
  <c r="AN69" i="1"/>
  <c r="AO69" i="1"/>
  <c r="AP69" i="1"/>
  <c r="AQ69" i="1"/>
  <c r="AR69" i="1"/>
  <c r="AS69" i="1"/>
  <c r="AM70" i="1"/>
  <c r="AN70" i="1"/>
  <c r="AO70" i="1"/>
  <c r="AP70" i="1"/>
  <c r="AQ70" i="1"/>
  <c r="AR70" i="1"/>
  <c r="AS70" i="1"/>
  <c r="AM71" i="1"/>
  <c r="AN71" i="1"/>
  <c r="AO71" i="1"/>
  <c r="AP71" i="1"/>
  <c r="AQ71" i="1"/>
  <c r="AR71" i="1"/>
  <c r="AS71" i="1"/>
  <c r="AM72" i="1"/>
  <c r="AN72" i="1"/>
  <c r="AO72" i="1"/>
  <c r="AP72" i="1"/>
  <c r="AQ72" i="1"/>
  <c r="AR72" i="1"/>
  <c r="AS72" i="1"/>
  <c r="AM73" i="1"/>
  <c r="AN73" i="1"/>
  <c r="AO73" i="1"/>
  <c r="AP73" i="1"/>
  <c r="AQ73" i="1"/>
  <c r="AR73" i="1"/>
  <c r="AS73" i="1"/>
  <c r="AM74" i="1"/>
  <c r="AN74" i="1"/>
  <c r="AO74" i="1"/>
  <c r="AP74" i="1"/>
  <c r="AQ74" i="1"/>
  <c r="AR74" i="1"/>
  <c r="AS74" i="1"/>
  <c r="AM75" i="1"/>
  <c r="AN75" i="1"/>
  <c r="AO75" i="1"/>
  <c r="AP75" i="1"/>
  <c r="AQ75" i="1"/>
  <c r="AR75" i="1"/>
  <c r="AS75" i="1"/>
  <c r="AM76" i="1"/>
  <c r="AN76" i="1"/>
  <c r="AO76" i="1"/>
  <c r="AP76" i="1"/>
  <c r="AQ76" i="1"/>
  <c r="AR76" i="1"/>
  <c r="AS76" i="1"/>
  <c r="AM77" i="1"/>
  <c r="AN77" i="1"/>
  <c r="AO77" i="1"/>
  <c r="AP77" i="1"/>
  <c r="AQ77" i="1"/>
  <c r="AR77" i="1"/>
  <c r="AS77" i="1"/>
  <c r="AM78" i="1"/>
  <c r="AN78" i="1"/>
  <c r="AO78" i="1"/>
  <c r="AP78" i="1"/>
  <c r="AQ78" i="1"/>
  <c r="AR78" i="1"/>
  <c r="AS78" i="1"/>
  <c r="AM79" i="1"/>
  <c r="AN79" i="1"/>
  <c r="AO79" i="1"/>
  <c r="AP79" i="1"/>
  <c r="AQ79" i="1"/>
  <c r="AR79" i="1"/>
  <c r="AS79" i="1"/>
  <c r="AM80" i="1"/>
  <c r="AN80" i="1"/>
  <c r="AO80" i="1"/>
  <c r="AP80" i="1"/>
  <c r="AQ80" i="1"/>
  <c r="AR80" i="1"/>
  <c r="AS80" i="1"/>
  <c r="AM81" i="1"/>
  <c r="AN81" i="1"/>
  <c r="AO81" i="1"/>
  <c r="AP81" i="1"/>
  <c r="AQ81" i="1"/>
  <c r="AR81" i="1"/>
  <c r="AS81" i="1"/>
  <c r="AM82" i="1"/>
  <c r="AN82" i="1"/>
  <c r="AO82" i="1"/>
  <c r="AP82" i="1"/>
  <c r="AQ82" i="1"/>
  <c r="AR82" i="1"/>
  <c r="AS82" i="1"/>
  <c r="AM83" i="1"/>
  <c r="AN83" i="1"/>
  <c r="AO83" i="1"/>
  <c r="AP83" i="1"/>
  <c r="AQ83" i="1"/>
  <c r="AR83" i="1"/>
  <c r="AS83" i="1"/>
  <c r="AM84" i="1"/>
  <c r="AN84" i="1"/>
  <c r="AO84" i="1"/>
  <c r="AP84" i="1"/>
  <c r="AQ84" i="1"/>
  <c r="AR84" i="1"/>
  <c r="AS84" i="1"/>
  <c r="AM85" i="1"/>
  <c r="AN85" i="1"/>
  <c r="AO85" i="1"/>
  <c r="AP85" i="1"/>
  <c r="AQ85" i="1"/>
  <c r="AR85" i="1"/>
  <c r="AS85" i="1"/>
  <c r="AM86" i="1"/>
  <c r="AN86" i="1"/>
  <c r="AO86" i="1"/>
  <c r="AP86" i="1"/>
  <c r="AQ86" i="1"/>
  <c r="AR86" i="1"/>
  <c r="AS86" i="1"/>
  <c r="AM87" i="1"/>
  <c r="AN87" i="1"/>
  <c r="AO87" i="1"/>
  <c r="AP87" i="1"/>
  <c r="AQ87" i="1"/>
  <c r="AR87" i="1"/>
  <c r="AS87" i="1"/>
  <c r="AM88" i="1"/>
  <c r="AN88" i="1"/>
  <c r="AO88" i="1"/>
  <c r="AP88" i="1"/>
  <c r="AQ88" i="1"/>
  <c r="AR88" i="1"/>
  <c r="AS88" i="1"/>
  <c r="AM89" i="1"/>
  <c r="AN89" i="1"/>
  <c r="AO89" i="1"/>
  <c r="AP89" i="1"/>
  <c r="AQ89" i="1"/>
  <c r="AR89" i="1"/>
  <c r="AS89" i="1"/>
  <c r="AM90" i="1"/>
  <c r="AN90" i="1"/>
  <c r="AO90" i="1"/>
  <c r="AP90" i="1"/>
  <c r="AQ90" i="1"/>
  <c r="AR90" i="1"/>
  <c r="AS90" i="1"/>
  <c r="AM91" i="1"/>
  <c r="AN91" i="1"/>
  <c r="AO91" i="1"/>
  <c r="AP91" i="1"/>
  <c r="AQ91" i="1"/>
  <c r="AR91" i="1"/>
  <c r="AS91" i="1"/>
  <c r="AM92" i="1"/>
  <c r="AN92" i="1"/>
  <c r="AO92" i="1"/>
  <c r="AP92" i="1"/>
  <c r="AQ92" i="1"/>
  <c r="AR92" i="1"/>
  <c r="AS92" i="1"/>
  <c r="AM93" i="1"/>
  <c r="AN93" i="1"/>
  <c r="AO93" i="1"/>
  <c r="AP93" i="1"/>
  <c r="AQ93" i="1"/>
  <c r="AR93" i="1"/>
  <c r="AS93" i="1"/>
  <c r="AM94" i="1"/>
  <c r="AN94" i="1"/>
  <c r="AO94" i="1"/>
  <c r="AP94" i="1"/>
  <c r="AQ94" i="1"/>
  <c r="AR94" i="1"/>
  <c r="AS94" i="1"/>
  <c r="AM95" i="1"/>
  <c r="AN95" i="1"/>
  <c r="AO95" i="1"/>
  <c r="AP95" i="1"/>
  <c r="AQ95" i="1"/>
  <c r="AR95" i="1"/>
  <c r="AS95" i="1"/>
  <c r="AM96" i="1"/>
  <c r="AN96" i="1"/>
  <c r="AO96" i="1"/>
  <c r="AP96" i="1"/>
  <c r="AQ96" i="1"/>
  <c r="AR96" i="1"/>
  <c r="AS96" i="1"/>
  <c r="AM97" i="1"/>
  <c r="AN97" i="1"/>
  <c r="AO97" i="1"/>
  <c r="AP97" i="1"/>
  <c r="AQ97" i="1"/>
  <c r="AR97" i="1"/>
  <c r="AS97" i="1"/>
  <c r="AM98" i="1"/>
  <c r="AN98" i="1"/>
  <c r="AO98" i="1"/>
  <c r="AP98" i="1"/>
  <c r="AQ98" i="1"/>
  <c r="AR98" i="1"/>
  <c r="AS98" i="1"/>
  <c r="AM99" i="1"/>
  <c r="AN99" i="1"/>
  <c r="AO99" i="1"/>
  <c r="AP99" i="1"/>
  <c r="AQ99" i="1"/>
  <c r="AR99" i="1"/>
  <c r="AS99" i="1"/>
  <c r="AM100" i="1"/>
  <c r="AN100" i="1"/>
  <c r="AO100" i="1"/>
  <c r="AP100" i="1"/>
  <c r="AQ100" i="1"/>
  <c r="AR100" i="1"/>
  <c r="AS100" i="1"/>
  <c r="AM101" i="1"/>
  <c r="AN101" i="1"/>
  <c r="AO101" i="1"/>
  <c r="AP101" i="1"/>
  <c r="AQ101" i="1"/>
  <c r="AR101" i="1"/>
  <c r="AS101" i="1"/>
  <c r="AM102" i="1"/>
  <c r="AN102" i="1"/>
  <c r="AO102" i="1"/>
  <c r="AP102" i="1"/>
  <c r="AQ102" i="1"/>
  <c r="AR102" i="1"/>
  <c r="AS102" i="1"/>
  <c r="AM103" i="1"/>
  <c r="AN103" i="1"/>
  <c r="AO103" i="1"/>
  <c r="AP103" i="1"/>
  <c r="AQ103" i="1"/>
  <c r="AR103" i="1"/>
  <c r="AS103" i="1"/>
  <c r="AM104" i="1"/>
  <c r="AN104" i="1"/>
  <c r="AO104" i="1"/>
  <c r="AP104" i="1"/>
  <c r="AQ104" i="1"/>
  <c r="AR104" i="1"/>
  <c r="AS104" i="1"/>
  <c r="AM105" i="1"/>
  <c r="AN105" i="1"/>
  <c r="AO105" i="1"/>
  <c r="AP105" i="1"/>
  <c r="AQ105" i="1"/>
  <c r="AR105" i="1"/>
  <c r="AS105" i="1"/>
  <c r="AM106" i="1"/>
  <c r="AN106" i="1"/>
  <c r="AO106" i="1"/>
  <c r="AP106" i="1"/>
  <c r="AQ106" i="1"/>
  <c r="AR106" i="1"/>
  <c r="AS106" i="1"/>
  <c r="AM107" i="1"/>
  <c r="AN107" i="1"/>
  <c r="AO107" i="1"/>
  <c r="AP107" i="1"/>
  <c r="AQ107" i="1"/>
  <c r="AR107" i="1"/>
  <c r="AS107" i="1"/>
  <c r="AM108" i="1"/>
  <c r="AN108" i="1"/>
  <c r="AO108" i="1"/>
  <c r="AP108" i="1"/>
  <c r="AQ108" i="1"/>
  <c r="AR108" i="1"/>
  <c r="AS108" i="1"/>
  <c r="AM109" i="1"/>
  <c r="AN109" i="1"/>
  <c r="AO109" i="1"/>
  <c r="AP109" i="1"/>
  <c r="AQ109" i="1"/>
  <c r="AR109" i="1"/>
  <c r="AS109" i="1"/>
  <c r="AM110" i="1"/>
  <c r="AN110" i="1"/>
  <c r="AO110" i="1"/>
  <c r="AP110" i="1"/>
  <c r="AQ110" i="1"/>
  <c r="AR110" i="1"/>
  <c r="AS110" i="1"/>
  <c r="AM111" i="1"/>
  <c r="AN111" i="1"/>
  <c r="AO111" i="1"/>
  <c r="AP111" i="1"/>
  <c r="AQ111" i="1"/>
  <c r="AR111" i="1"/>
  <c r="AS111" i="1"/>
  <c r="AM112" i="1"/>
  <c r="AN112" i="1"/>
  <c r="AO112" i="1"/>
  <c r="AP112" i="1"/>
  <c r="AQ112" i="1"/>
  <c r="AR112" i="1"/>
  <c r="AS112" i="1"/>
  <c r="AM113" i="1"/>
  <c r="AN113" i="1"/>
  <c r="AO113" i="1"/>
  <c r="AP113" i="1"/>
  <c r="AQ113" i="1"/>
  <c r="AR113" i="1"/>
  <c r="AS113" i="1"/>
  <c r="AM114" i="1"/>
  <c r="AN114" i="1"/>
  <c r="AO114" i="1"/>
  <c r="AP114" i="1"/>
  <c r="AQ114" i="1"/>
  <c r="AR114" i="1"/>
  <c r="AS114" i="1"/>
  <c r="AM115" i="1"/>
  <c r="AN115" i="1"/>
  <c r="AO115" i="1"/>
  <c r="AP115" i="1"/>
  <c r="AQ115" i="1"/>
  <c r="AR115" i="1"/>
  <c r="AS115" i="1"/>
  <c r="AM116" i="1"/>
  <c r="AN116" i="1"/>
  <c r="AO116" i="1"/>
  <c r="AP116" i="1"/>
  <c r="AQ116" i="1"/>
  <c r="AR116" i="1"/>
  <c r="AS116" i="1"/>
  <c r="AM117" i="1"/>
  <c r="AN117" i="1"/>
  <c r="AO117" i="1"/>
  <c r="AP117" i="1"/>
  <c r="AQ117" i="1"/>
  <c r="AR117" i="1"/>
  <c r="AS117" i="1"/>
  <c r="AM118" i="1"/>
  <c r="AN118" i="1"/>
  <c r="AO118" i="1"/>
  <c r="AP118" i="1"/>
  <c r="AQ118" i="1"/>
  <c r="AR118" i="1"/>
  <c r="AS118" i="1"/>
  <c r="AM119" i="1"/>
  <c r="AN119" i="1"/>
  <c r="AO119" i="1"/>
  <c r="AP119" i="1"/>
  <c r="AQ119" i="1"/>
  <c r="AR119" i="1"/>
  <c r="AS119" i="1"/>
  <c r="AM120" i="1"/>
  <c r="AN120" i="1"/>
  <c r="AO120" i="1"/>
  <c r="AP120" i="1"/>
  <c r="AQ120" i="1"/>
  <c r="AR120" i="1"/>
  <c r="AS120" i="1"/>
  <c r="AM121" i="1"/>
  <c r="AN121" i="1"/>
  <c r="AO121" i="1"/>
  <c r="AP121" i="1"/>
  <c r="AQ121" i="1"/>
  <c r="AR121" i="1"/>
  <c r="AS121" i="1"/>
  <c r="AM122" i="1"/>
  <c r="AN122" i="1"/>
  <c r="AO122" i="1"/>
  <c r="AP122" i="1"/>
  <c r="AQ122" i="1"/>
  <c r="AR122" i="1"/>
  <c r="AS122" i="1"/>
  <c r="AM123" i="1"/>
  <c r="AN123" i="1"/>
  <c r="AO123" i="1"/>
  <c r="AP123" i="1"/>
  <c r="AQ123" i="1"/>
  <c r="AR123" i="1"/>
  <c r="AS123" i="1"/>
  <c r="AM124" i="1"/>
  <c r="AN124" i="1"/>
  <c r="AO124" i="1"/>
  <c r="AP124" i="1"/>
  <c r="AQ124" i="1"/>
  <c r="AR124" i="1"/>
  <c r="AS124" i="1"/>
  <c r="AM125" i="1"/>
  <c r="AN125" i="1"/>
  <c r="AO125" i="1"/>
  <c r="AP125" i="1"/>
  <c r="AQ125" i="1"/>
  <c r="AR125" i="1"/>
  <c r="AS125" i="1"/>
  <c r="AM126" i="1"/>
  <c r="AN126" i="1"/>
  <c r="AO126" i="1"/>
  <c r="AP126" i="1"/>
  <c r="AQ126" i="1"/>
  <c r="AR126" i="1"/>
  <c r="AS126" i="1"/>
  <c r="AM127" i="1"/>
  <c r="AN127" i="1"/>
  <c r="AO127" i="1"/>
  <c r="AP127" i="1"/>
  <c r="AQ127" i="1"/>
  <c r="AR127" i="1"/>
  <c r="AS127" i="1"/>
  <c r="AM128" i="1"/>
  <c r="AN128" i="1"/>
  <c r="AO128" i="1"/>
  <c r="AP128" i="1"/>
  <c r="AQ128" i="1"/>
  <c r="AR128" i="1"/>
  <c r="AS128" i="1"/>
  <c r="AM129" i="1"/>
  <c r="AN129" i="1"/>
  <c r="AO129" i="1"/>
  <c r="AP129" i="1"/>
  <c r="AQ129" i="1"/>
  <c r="AR129" i="1"/>
  <c r="AS129" i="1"/>
  <c r="AM130" i="1"/>
  <c r="AN130" i="1"/>
  <c r="AO130" i="1"/>
  <c r="AP130" i="1"/>
  <c r="AQ130" i="1"/>
  <c r="AR130" i="1"/>
  <c r="AS130" i="1"/>
  <c r="AM131" i="1"/>
  <c r="AN131" i="1"/>
  <c r="AO131" i="1"/>
  <c r="AP131" i="1"/>
  <c r="AQ131" i="1"/>
  <c r="AR131" i="1"/>
  <c r="AS131" i="1"/>
  <c r="AM132" i="1"/>
  <c r="AN132" i="1"/>
  <c r="AO132" i="1"/>
  <c r="AP132" i="1"/>
  <c r="AQ132" i="1"/>
  <c r="AR132" i="1"/>
  <c r="AS132" i="1"/>
  <c r="AM133" i="1"/>
  <c r="AN133" i="1"/>
  <c r="AO133" i="1"/>
  <c r="AP133" i="1"/>
  <c r="AQ133" i="1"/>
  <c r="AR133" i="1"/>
  <c r="AS133" i="1"/>
  <c r="AM134" i="1"/>
  <c r="AN134" i="1"/>
  <c r="AO134" i="1"/>
  <c r="AP134" i="1"/>
  <c r="AQ134" i="1"/>
  <c r="AR134" i="1"/>
  <c r="AS134" i="1"/>
  <c r="AM135" i="1"/>
  <c r="AN135" i="1"/>
  <c r="AO135" i="1"/>
  <c r="AP135" i="1"/>
  <c r="AQ135" i="1"/>
  <c r="AR135" i="1"/>
  <c r="AS135" i="1"/>
  <c r="AM136" i="1"/>
  <c r="AN136" i="1"/>
  <c r="AO136" i="1"/>
  <c r="AP136" i="1"/>
  <c r="AQ136" i="1"/>
  <c r="AR136" i="1"/>
  <c r="AS136" i="1"/>
  <c r="AM137" i="1"/>
  <c r="AN137" i="1"/>
  <c r="AO137" i="1"/>
  <c r="AP137" i="1"/>
  <c r="AQ137" i="1"/>
  <c r="AR137" i="1"/>
  <c r="AS137" i="1"/>
  <c r="AM138" i="1"/>
  <c r="AN138" i="1"/>
  <c r="AO138" i="1"/>
  <c r="AP138" i="1"/>
  <c r="AQ138" i="1"/>
  <c r="AR138" i="1"/>
  <c r="AS138" i="1"/>
  <c r="AM139" i="1"/>
  <c r="AN139" i="1"/>
  <c r="AO139" i="1"/>
  <c r="AP139" i="1"/>
  <c r="AQ139" i="1"/>
  <c r="AR139" i="1"/>
  <c r="AS139" i="1"/>
  <c r="AM140" i="1"/>
  <c r="AN140" i="1"/>
  <c r="AO140" i="1"/>
  <c r="AP140" i="1"/>
  <c r="AQ140" i="1"/>
  <c r="AR140" i="1"/>
  <c r="AS140" i="1"/>
  <c r="AM141" i="1"/>
  <c r="AN141" i="1"/>
  <c r="AO141" i="1"/>
  <c r="AP141" i="1"/>
  <c r="AQ141" i="1"/>
  <c r="AR141" i="1"/>
  <c r="AS141" i="1"/>
  <c r="AM142" i="1"/>
  <c r="AN142" i="1"/>
  <c r="AO142" i="1"/>
  <c r="AP142" i="1"/>
  <c r="AQ142" i="1"/>
  <c r="AR142" i="1"/>
  <c r="AS142" i="1"/>
  <c r="AM143" i="1"/>
  <c r="AN143" i="1"/>
  <c r="AO143" i="1"/>
  <c r="AP143" i="1"/>
  <c r="AQ143" i="1"/>
  <c r="AR143" i="1"/>
  <c r="AS143" i="1"/>
  <c r="AM144" i="1"/>
  <c r="AN144" i="1"/>
  <c r="AO144" i="1"/>
  <c r="AP144" i="1"/>
  <c r="AQ144" i="1"/>
  <c r="AR144" i="1"/>
  <c r="AS144" i="1"/>
  <c r="AM145" i="1"/>
  <c r="AN145" i="1"/>
  <c r="AO145" i="1"/>
  <c r="AP145" i="1"/>
  <c r="AQ145" i="1"/>
  <c r="AR145" i="1"/>
  <c r="AS145" i="1"/>
  <c r="AM146" i="1"/>
  <c r="AN146" i="1"/>
  <c r="AO146" i="1"/>
  <c r="AP146" i="1"/>
  <c r="AQ146" i="1"/>
  <c r="AR146" i="1"/>
  <c r="AS146" i="1"/>
  <c r="AM147" i="1"/>
  <c r="AN147" i="1"/>
  <c r="AO147" i="1"/>
  <c r="AP147" i="1"/>
  <c r="AQ147" i="1"/>
  <c r="AR147" i="1"/>
  <c r="AS147" i="1"/>
  <c r="AM148" i="1"/>
  <c r="AN148" i="1"/>
  <c r="AO148" i="1"/>
  <c r="AP148" i="1"/>
  <c r="AQ148" i="1"/>
  <c r="AR148" i="1"/>
  <c r="AS148" i="1"/>
  <c r="AM149" i="1"/>
  <c r="AN149" i="1"/>
  <c r="AO149" i="1"/>
  <c r="AP149" i="1"/>
  <c r="AQ149" i="1"/>
  <c r="AR149" i="1"/>
  <c r="AS149" i="1"/>
  <c r="AM150" i="1"/>
  <c r="AN150" i="1"/>
  <c r="AO150" i="1"/>
  <c r="AP150" i="1"/>
  <c r="AQ150" i="1"/>
  <c r="AR150" i="1"/>
  <c r="AS150" i="1"/>
  <c r="AM151" i="1"/>
  <c r="AN151" i="1"/>
  <c r="AO151" i="1"/>
  <c r="AP151" i="1"/>
  <c r="AQ151" i="1"/>
  <c r="AR151" i="1"/>
  <c r="AS151" i="1"/>
  <c r="AM152" i="1"/>
  <c r="AN152" i="1"/>
  <c r="AO152" i="1"/>
  <c r="AP152" i="1"/>
  <c r="AQ152" i="1"/>
  <c r="AR152" i="1"/>
  <c r="AS152" i="1"/>
  <c r="AM153" i="1"/>
  <c r="AN153" i="1"/>
  <c r="AO153" i="1"/>
  <c r="AP153" i="1"/>
  <c r="AQ153" i="1"/>
  <c r="AR153" i="1"/>
  <c r="AS153" i="1"/>
  <c r="AM154" i="1"/>
  <c r="AN154" i="1"/>
  <c r="AO154" i="1"/>
  <c r="AP154" i="1"/>
  <c r="AQ154" i="1"/>
  <c r="AR154" i="1"/>
  <c r="AS154" i="1"/>
  <c r="AM155" i="1"/>
  <c r="AN155" i="1"/>
  <c r="AO155" i="1"/>
  <c r="AP155" i="1"/>
  <c r="AQ155" i="1"/>
  <c r="AR155" i="1"/>
  <c r="AS155" i="1"/>
  <c r="AM156" i="1"/>
  <c r="AN156" i="1"/>
  <c r="AO156" i="1"/>
  <c r="AP156" i="1"/>
  <c r="AQ156" i="1"/>
  <c r="AR156" i="1"/>
  <c r="AS156" i="1"/>
  <c r="AM157" i="1"/>
  <c r="AN157" i="1"/>
  <c r="AO157" i="1"/>
  <c r="AP157" i="1"/>
  <c r="AQ157" i="1"/>
  <c r="AR157" i="1"/>
  <c r="AS157" i="1"/>
  <c r="AM158" i="1"/>
  <c r="AN158" i="1"/>
  <c r="AO158" i="1"/>
  <c r="AP158" i="1"/>
  <c r="AQ158" i="1"/>
  <c r="AR158" i="1"/>
  <c r="AS158" i="1"/>
  <c r="AM159" i="1"/>
  <c r="AN159" i="1"/>
  <c r="AO159" i="1"/>
  <c r="AP159" i="1"/>
  <c r="AQ159" i="1"/>
  <c r="AR159" i="1"/>
  <c r="AS159" i="1"/>
  <c r="AM160" i="1"/>
  <c r="AN160" i="1"/>
  <c r="AO160" i="1"/>
  <c r="AP160" i="1"/>
  <c r="AQ160" i="1"/>
  <c r="AR160" i="1"/>
  <c r="AS160" i="1"/>
  <c r="AM161" i="1"/>
  <c r="AN161" i="1"/>
  <c r="AO161" i="1"/>
  <c r="AP161" i="1"/>
  <c r="AQ161" i="1"/>
  <c r="AR161" i="1"/>
  <c r="AS161" i="1"/>
  <c r="AM162" i="1"/>
  <c r="AN162" i="1"/>
  <c r="AO162" i="1"/>
  <c r="AP162" i="1"/>
  <c r="AQ162" i="1"/>
  <c r="AR162" i="1"/>
  <c r="AS162" i="1"/>
  <c r="AM163" i="1"/>
  <c r="AN163" i="1"/>
  <c r="AO163" i="1"/>
  <c r="AP163" i="1"/>
  <c r="AQ163" i="1"/>
  <c r="AR163" i="1"/>
  <c r="AS163" i="1"/>
  <c r="AM164" i="1"/>
  <c r="AN164" i="1"/>
  <c r="AO164" i="1"/>
  <c r="AP164" i="1"/>
  <c r="AQ164" i="1"/>
  <c r="AR164" i="1"/>
  <c r="AS164" i="1"/>
  <c r="AM165" i="1"/>
  <c r="AN165" i="1"/>
  <c r="AO165" i="1"/>
  <c r="AP165" i="1"/>
  <c r="AQ165" i="1"/>
  <c r="AR165" i="1"/>
  <c r="AS165" i="1"/>
  <c r="AM166" i="1"/>
  <c r="AN166" i="1"/>
  <c r="AO166" i="1"/>
  <c r="AP166" i="1"/>
  <c r="AQ166" i="1"/>
  <c r="AR166" i="1"/>
  <c r="AS166" i="1"/>
  <c r="AM167" i="1"/>
  <c r="AN167" i="1"/>
  <c r="AO167" i="1"/>
  <c r="AP167" i="1"/>
  <c r="AQ167" i="1"/>
  <c r="AR167" i="1"/>
  <c r="AS167" i="1"/>
  <c r="AM168" i="1"/>
  <c r="AN168" i="1"/>
  <c r="AO168" i="1"/>
  <c r="AP168" i="1"/>
  <c r="AQ168" i="1"/>
  <c r="AR168" i="1"/>
  <c r="AS168" i="1"/>
  <c r="AM169" i="1"/>
  <c r="AN169" i="1"/>
  <c r="AO169" i="1"/>
  <c r="AP169" i="1"/>
  <c r="AQ169" i="1"/>
  <c r="AR169" i="1"/>
  <c r="AS169" i="1"/>
  <c r="AM170" i="1"/>
  <c r="AN170" i="1"/>
  <c r="AO170" i="1"/>
  <c r="AP170" i="1"/>
  <c r="AQ170" i="1"/>
  <c r="AR170" i="1"/>
  <c r="AS170" i="1"/>
  <c r="AM171" i="1"/>
  <c r="AN171" i="1"/>
  <c r="AO171" i="1"/>
  <c r="AP171" i="1"/>
  <c r="AQ171" i="1"/>
  <c r="AR171" i="1"/>
  <c r="AS171" i="1"/>
  <c r="AM172" i="1"/>
  <c r="AN172" i="1"/>
  <c r="AO172" i="1"/>
  <c r="AP172" i="1"/>
  <c r="AQ172" i="1"/>
  <c r="AR172" i="1"/>
  <c r="AS172" i="1"/>
  <c r="AM173" i="1"/>
  <c r="AN173" i="1"/>
  <c r="AO173" i="1"/>
  <c r="AP173" i="1"/>
  <c r="AQ173" i="1"/>
  <c r="AR173" i="1"/>
  <c r="AS173" i="1"/>
  <c r="AM174" i="1"/>
  <c r="AN174" i="1"/>
  <c r="AO174" i="1"/>
  <c r="AP174" i="1"/>
  <c r="AQ174" i="1"/>
  <c r="AR174" i="1"/>
  <c r="AS174" i="1"/>
  <c r="AM175" i="1"/>
  <c r="AN175" i="1"/>
  <c r="AO175" i="1"/>
  <c r="AP175" i="1"/>
  <c r="AQ175" i="1"/>
  <c r="AR175" i="1"/>
  <c r="AS175" i="1"/>
  <c r="AM176" i="1"/>
  <c r="AN176" i="1"/>
  <c r="AO176" i="1"/>
  <c r="AP176" i="1"/>
  <c r="AQ176" i="1"/>
  <c r="AR176" i="1"/>
  <c r="AS176" i="1"/>
  <c r="AM177" i="1"/>
  <c r="AN177" i="1"/>
  <c r="AO177" i="1"/>
  <c r="AP177" i="1"/>
  <c r="AQ177" i="1"/>
  <c r="AR177" i="1"/>
  <c r="AS177" i="1"/>
  <c r="AM178" i="1"/>
  <c r="AN178" i="1"/>
  <c r="AO178" i="1"/>
  <c r="AP178" i="1"/>
  <c r="AQ178" i="1"/>
  <c r="AR178" i="1"/>
  <c r="AS178" i="1"/>
  <c r="AM179" i="1"/>
  <c r="AN179" i="1"/>
  <c r="AO179" i="1"/>
  <c r="AP179" i="1"/>
  <c r="AQ179" i="1"/>
  <c r="AR179" i="1"/>
  <c r="AS179" i="1"/>
  <c r="AM180" i="1"/>
  <c r="AN180" i="1"/>
  <c r="AO180" i="1"/>
  <c r="AP180" i="1"/>
  <c r="AQ180" i="1"/>
  <c r="AR180" i="1"/>
  <c r="AS180" i="1"/>
  <c r="AM181" i="1"/>
  <c r="AN181" i="1"/>
  <c r="AO181" i="1"/>
  <c r="AP181" i="1"/>
  <c r="AQ181" i="1"/>
  <c r="AR181" i="1"/>
  <c r="AS181" i="1"/>
  <c r="AM182" i="1"/>
  <c r="AN182" i="1"/>
  <c r="AO182" i="1"/>
  <c r="AP182" i="1"/>
  <c r="AQ182" i="1"/>
  <c r="AR182" i="1"/>
  <c r="AS182" i="1"/>
  <c r="AM183" i="1"/>
  <c r="AN183" i="1"/>
  <c r="AO183" i="1"/>
  <c r="AP183" i="1"/>
  <c r="AQ183" i="1"/>
  <c r="AR183" i="1"/>
  <c r="AS183" i="1"/>
  <c r="AM184" i="1"/>
  <c r="AN184" i="1"/>
  <c r="AO184" i="1"/>
  <c r="AP184" i="1"/>
  <c r="AQ184" i="1"/>
  <c r="AR184" i="1"/>
  <c r="AS184" i="1"/>
  <c r="AM185" i="1"/>
  <c r="AN185" i="1"/>
  <c r="AO185" i="1"/>
  <c r="AP185" i="1"/>
  <c r="AQ185" i="1"/>
  <c r="AR185" i="1"/>
  <c r="AS185" i="1"/>
  <c r="AM186" i="1"/>
  <c r="AN186" i="1"/>
  <c r="AO186" i="1"/>
  <c r="AP186" i="1"/>
  <c r="AQ186" i="1"/>
  <c r="AR186" i="1"/>
  <c r="AS186" i="1"/>
  <c r="AM187" i="1"/>
  <c r="AN187" i="1"/>
  <c r="AO187" i="1"/>
  <c r="AP187" i="1"/>
  <c r="AQ187" i="1"/>
  <c r="AR187" i="1"/>
  <c r="AS187" i="1"/>
  <c r="AM188" i="1"/>
  <c r="AN188" i="1"/>
  <c r="AO188" i="1"/>
  <c r="AP188" i="1"/>
  <c r="AQ188" i="1"/>
  <c r="AR188" i="1"/>
  <c r="AS188" i="1"/>
  <c r="AM189" i="1"/>
  <c r="AN189" i="1"/>
  <c r="AO189" i="1"/>
  <c r="AP189" i="1"/>
  <c r="AQ189" i="1"/>
  <c r="AR189" i="1"/>
  <c r="AS189" i="1"/>
  <c r="AM190" i="1"/>
  <c r="AN190" i="1"/>
  <c r="AO190" i="1"/>
  <c r="AP190" i="1"/>
  <c r="AQ190" i="1"/>
  <c r="AR190" i="1"/>
  <c r="AS190" i="1"/>
  <c r="AM191" i="1"/>
  <c r="AN191" i="1"/>
  <c r="AO191" i="1"/>
  <c r="AP191" i="1"/>
  <c r="AQ191" i="1"/>
  <c r="AR191" i="1"/>
  <c r="AS191" i="1"/>
  <c r="AM192" i="1"/>
  <c r="AN192" i="1"/>
  <c r="AO192" i="1"/>
  <c r="AP192" i="1"/>
  <c r="AQ192" i="1"/>
  <c r="AR192" i="1"/>
  <c r="AS192" i="1"/>
  <c r="AM193" i="1"/>
  <c r="AN193" i="1"/>
  <c r="AO193" i="1"/>
  <c r="AP193" i="1"/>
  <c r="AQ193" i="1"/>
  <c r="AR193" i="1"/>
  <c r="AS193" i="1"/>
  <c r="AM194" i="1"/>
  <c r="AN194" i="1"/>
  <c r="AO194" i="1"/>
  <c r="AP194" i="1"/>
  <c r="AQ194" i="1"/>
  <c r="AR194" i="1"/>
  <c r="AS194" i="1"/>
  <c r="AM195" i="1"/>
  <c r="AN195" i="1"/>
  <c r="AO195" i="1"/>
  <c r="AP195" i="1"/>
  <c r="AQ195" i="1"/>
  <c r="AR195" i="1"/>
  <c r="AS195" i="1"/>
  <c r="AM196" i="1"/>
  <c r="AN196" i="1"/>
  <c r="AO196" i="1"/>
  <c r="AP196" i="1"/>
  <c r="AQ196" i="1"/>
  <c r="AR196" i="1"/>
  <c r="AS196" i="1"/>
  <c r="AM197" i="1"/>
  <c r="AN197" i="1"/>
  <c r="AO197" i="1"/>
  <c r="AP197" i="1"/>
  <c r="AQ197" i="1"/>
  <c r="AR197" i="1"/>
  <c r="AS197" i="1"/>
  <c r="AM198" i="1"/>
  <c r="AN198" i="1"/>
  <c r="AO198" i="1"/>
  <c r="AP198" i="1"/>
  <c r="AQ198" i="1"/>
  <c r="AR198" i="1"/>
  <c r="AS198" i="1"/>
  <c r="AM199" i="1"/>
  <c r="AN199" i="1"/>
  <c r="AO199" i="1"/>
  <c r="AP199" i="1"/>
  <c r="AQ199" i="1"/>
  <c r="AR199" i="1"/>
  <c r="AS199" i="1"/>
  <c r="AM200" i="1"/>
  <c r="AN200" i="1"/>
  <c r="AO200" i="1"/>
  <c r="AP200" i="1"/>
  <c r="AQ200" i="1"/>
  <c r="AR200" i="1"/>
  <c r="AS200" i="1"/>
  <c r="AM201" i="1"/>
  <c r="AN201" i="1"/>
  <c r="AO201" i="1"/>
  <c r="AP201" i="1"/>
  <c r="AQ201" i="1"/>
  <c r="AR201" i="1"/>
  <c r="AS201" i="1"/>
  <c r="AM202" i="1"/>
  <c r="AN202" i="1"/>
  <c r="AO202" i="1"/>
  <c r="AP202" i="1"/>
  <c r="AQ202" i="1"/>
  <c r="AR202" i="1"/>
  <c r="AS202" i="1"/>
  <c r="AM203" i="1"/>
  <c r="AN203" i="1"/>
  <c r="AO203" i="1"/>
  <c r="AP203" i="1"/>
  <c r="AQ203" i="1"/>
  <c r="AR203" i="1"/>
  <c r="AS203" i="1"/>
  <c r="AM204" i="1"/>
  <c r="AN204" i="1"/>
  <c r="AO204" i="1"/>
  <c r="AP204" i="1"/>
  <c r="AQ204" i="1"/>
  <c r="AR204" i="1"/>
  <c r="AS204" i="1"/>
  <c r="AM205" i="1"/>
  <c r="AN205" i="1"/>
  <c r="AO205" i="1"/>
  <c r="AP205" i="1"/>
  <c r="AQ205" i="1"/>
  <c r="AR205" i="1"/>
  <c r="AS205" i="1"/>
  <c r="AM206" i="1"/>
  <c r="AN206" i="1"/>
  <c r="AO206" i="1"/>
  <c r="AP206" i="1"/>
  <c r="AQ206" i="1"/>
  <c r="AR206" i="1"/>
  <c r="AS206" i="1"/>
  <c r="AM207" i="1"/>
  <c r="AN207" i="1"/>
  <c r="AO207" i="1"/>
  <c r="AP207" i="1"/>
  <c r="AQ207" i="1"/>
  <c r="AR207" i="1"/>
  <c r="AS207" i="1"/>
  <c r="AM208" i="1"/>
  <c r="AN208" i="1"/>
  <c r="AO208" i="1"/>
  <c r="AP208" i="1"/>
  <c r="AQ208" i="1"/>
  <c r="AR208" i="1"/>
  <c r="AS208" i="1"/>
  <c r="AM209" i="1"/>
  <c r="AN209" i="1"/>
  <c r="AO209" i="1"/>
  <c r="AP209" i="1"/>
  <c r="AQ209" i="1"/>
  <c r="AR209" i="1"/>
  <c r="AS209" i="1"/>
  <c r="AM210" i="1"/>
  <c r="AN210" i="1"/>
  <c r="AO210" i="1"/>
  <c r="AP210" i="1"/>
  <c r="AQ210" i="1"/>
  <c r="AR210" i="1"/>
  <c r="AS210" i="1"/>
  <c r="AM211" i="1"/>
  <c r="AN211" i="1"/>
  <c r="AO211" i="1"/>
  <c r="AP211" i="1"/>
  <c r="AQ211" i="1"/>
  <c r="AR211" i="1"/>
  <c r="AS211" i="1"/>
  <c r="AM212" i="1"/>
  <c r="AN212" i="1"/>
  <c r="AO212" i="1"/>
  <c r="AP212" i="1"/>
  <c r="AQ212" i="1"/>
  <c r="AR212" i="1"/>
  <c r="AS212" i="1"/>
  <c r="AM213" i="1"/>
  <c r="AN213" i="1"/>
  <c r="AO213" i="1"/>
  <c r="AP213" i="1"/>
  <c r="AQ213" i="1"/>
  <c r="AR213" i="1"/>
  <c r="AS213" i="1"/>
  <c r="AM214" i="1"/>
  <c r="AN214" i="1"/>
  <c r="AO214" i="1"/>
  <c r="AP214" i="1"/>
  <c r="AQ214" i="1"/>
  <c r="AR214" i="1"/>
  <c r="AS214" i="1"/>
  <c r="AM215" i="1"/>
  <c r="AN215" i="1"/>
  <c r="AO215" i="1"/>
  <c r="AP215" i="1"/>
  <c r="AQ215" i="1"/>
  <c r="AR215" i="1"/>
  <c r="AS215" i="1"/>
  <c r="AM216" i="1"/>
  <c r="AN216" i="1"/>
  <c r="AO216" i="1"/>
  <c r="AP216" i="1"/>
  <c r="AQ216" i="1"/>
  <c r="AR216" i="1"/>
  <c r="AS216" i="1"/>
  <c r="AM217" i="1"/>
  <c r="AN217" i="1"/>
  <c r="AO217" i="1"/>
  <c r="AP217" i="1"/>
  <c r="AQ217" i="1"/>
  <c r="AR217" i="1"/>
  <c r="AS217" i="1"/>
  <c r="AM218" i="1"/>
  <c r="AN218" i="1"/>
  <c r="AO218" i="1"/>
  <c r="AP218" i="1"/>
  <c r="AQ218" i="1"/>
  <c r="AR218" i="1"/>
  <c r="AS218" i="1"/>
  <c r="AM219" i="1"/>
  <c r="AN219" i="1"/>
  <c r="AO219" i="1"/>
  <c r="AP219" i="1"/>
  <c r="AQ219" i="1"/>
  <c r="AR219" i="1"/>
  <c r="AS219" i="1"/>
  <c r="AM220" i="1"/>
  <c r="AN220" i="1"/>
  <c r="AO220" i="1"/>
  <c r="AP220" i="1"/>
  <c r="AQ220" i="1"/>
  <c r="AR220" i="1"/>
  <c r="AS220" i="1"/>
  <c r="AM221" i="1"/>
  <c r="AN221" i="1"/>
  <c r="AO221" i="1"/>
  <c r="AP221" i="1"/>
  <c r="AQ221" i="1"/>
  <c r="AR221" i="1"/>
  <c r="AS221" i="1"/>
  <c r="AM222" i="1"/>
  <c r="AN222" i="1"/>
  <c r="AO222" i="1"/>
  <c r="AP222" i="1"/>
  <c r="AQ222" i="1"/>
  <c r="AR222" i="1"/>
  <c r="AS222" i="1"/>
  <c r="AM223" i="1"/>
  <c r="AN223" i="1"/>
  <c r="AO223" i="1"/>
  <c r="AP223" i="1"/>
  <c r="AQ223" i="1"/>
  <c r="AR223" i="1"/>
  <c r="AS223" i="1"/>
  <c r="AM224" i="1"/>
  <c r="AN224" i="1"/>
  <c r="AO224" i="1"/>
  <c r="AP224" i="1"/>
  <c r="AQ224" i="1"/>
  <c r="AR224" i="1"/>
  <c r="AS224" i="1"/>
  <c r="AM225" i="1"/>
  <c r="AN225" i="1"/>
  <c r="AO225" i="1"/>
  <c r="AP225" i="1"/>
  <c r="AQ225" i="1"/>
  <c r="AR225" i="1"/>
  <c r="AS225" i="1"/>
  <c r="AM226" i="1"/>
  <c r="AN226" i="1"/>
  <c r="AO226" i="1"/>
  <c r="AP226" i="1"/>
  <c r="AQ226" i="1"/>
  <c r="AR226" i="1"/>
  <c r="AS226" i="1"/>
  <c r="AM227" i="1"/>
  <c r="AN227" i="1"/>
  <c r="AO227" i="1"/>
  <c r="AP227" i="1"/>
  <c r="AQ227" i="1"/>
  <c r="AR227" i="1"/>
  <c r="AS227" i="1"/>
  <c r="AM228" i="1"/>
  <c r="AN228" i="1"/>
  <c r="AO228" i="1"/>
  <c r="AP228" i="1"/>
  <c r="AQ228" i="1"/>
  <c r="AR228" i="1"/>
  <c r="AS228" i="1"/>
  <c r="AM229" i="1"/>
  <c r="AN229" i="1"/>
  <c r="AO229" i="1"/>
  <c r="AP229" i="1"/>
  <c r="AQ229" i="1"/>
  <c r="AR229" i="1"/>
  <c r="AS229" i="1"/>
  <c r="AM230" i="1"/>
  <c r="AN230" i="1"/>
  <c r="AO230" i="1"/>
  <c r="AP230" i="1"/>
  <c r="AQ230" i="1"/>
  <c r="AR230" i="1"/>
  <c r="AS230" i="1"/>
  <c r="AM231" i="1"/>
  <c r="AN231" i="1"/>
  <c r="AO231" i="1"/>
  <c r="AP231" i="1"/>
  <c r="AQ231" i="1"/>
  <c r="AR231" i="1"/>
  <c r="AS231" i="1"/>
  <c r="AM232" i="1"/>
  <c r="AN232" i="1"/>
  <c r="AO232" i="1"/>
  <c r="AP232" i="1"/>
  <c r="AQ232" i="1"/>
  <c r="AR232" i="1"/>
  <c r="AS232" i="1"/>
  <c r="AM233" i="1"/>
  <c r="AN233" i="1"/>
  <c r="AO233" i="1"/>
  <c r="AP233" i="1"/>
  <c r="AQ233" i="1"/>
  <c r="AR233" i="1"/>
  <c r="AS233" i="1"/>
  <c r="AM234" i="1"/>
  <c r="AN234" i="1"/>
  <c r="AO234" i="1"/>
  <c r="AP234" i="1"/>
  <c r="AQ234" i="1"/>
  <c r="AR234" i="1"/>
  <c r="AS234" i="1"/>
  <c r="AM235" i="1"/>
  <c r="AN235" i="1"/>
  <c r="AO235" i="1"/>
  <c r="AP235" i="1"/>
  <c r="AQ235" i="1"/>
  <c r="AR235" i="1"/>
  <c r="AS235" i="1"/>
  <c r="AM236" i="1"/>
  <c r="AN236" i="1"/>
  <c r="AO236" i="1"/>
  <c r="AP236" i="1"/>
  <c r="AQ236" i="1"/>
  <c r="AR236" i="1"/>
  <c r="AS236" i="1"/>
  <c r="AM237" i="1"/>
  <c r="AN237" i="1"/>
  <c r="AO237" i="1"/>
  <c r="AP237" i="1"/>
  <c r="AQ237" i="1"/>
  <c r="AR237" i="1"/>
  <c r="AS237" i="1"/>
  <c r="AM238" i="1"/>
  <c r="AN238" i="1"/>
  <c r="AO238" i="1"/>
  <c r="AP238" i="1"/>
  <c r="AQ238" i="1"/>
  <c r="AR238" i="1"/>
  <c r="AS238" i="1"/>
  <c r="AM239" i="1"/>
  <c r="AN239" i="1"/>
  <c r="AO239" i="1"/>
  <c r="AP239" i="1"/>
  <c r="AQ239" i="1"/>
  <c r="AR239" i="1"/>
  <c r="AS239" i="1"/>
  <c r="AM240" i="1"/>
  <c r="AN240" i="1"/>
  <c r="AO240" i="1"/>
  <c r="AP240" i="1"/>
  <c r="AQ240" i="1"/>
  <c r="AR240" i="1"/>
  <c r="AS240" i="1"/>
  <c r="AM241" i="1"/>
  <c r="AN241" i="1"/>
  <c r="AO241" i="1"/>
  <c r="AP241" i="1"/>
  <c r="AQ241" i="1"/>
  <c r="AR241" i="1"/>
  <c r="AS241" i="1"/>
  <c r="AM242" i="1"/>
  <c r="AN242" i="1"/>
  <c r="AO242" i="1"/>
  <c r="AP242" i="1"/>
  <c r="AQ242" i="1"/>
  <c r="AR242" i="1"/>
  <c r="AS242" i="1"/>
  <c r="AM243" i="1"/>
  <c r="AN243" i="1"/>
  <c r="AO243" i="1"/>
  <c r="AP243" i="1"/>
  <c r="AQ243" i="1"/>
  <c r="AR243" i="1"/>
  <c r="AS243" i="1"/>
  <c r="AM244" i="1"/>
  <c r="AN244" i="1"/>
  <c r="AO244" i="1"/>
  <c r="AP244" i="1"/>
  <c r="AQ244" i="1"/>
  <c r="AR244" i="1"/>
  <c r="AS244" i="1"/>
  <c r="AM245" i="1"/>
  <c r="AN245" i="1"/>
  <c r="AO245" i="1"/>
  <c r="AP245" i="1"/>
  <c r="AQ245" i="1"/>
  <c r="AR245" i="1"/>
  <c r="AS245" i="1"/>
  <c r="AM246" i="1"/>
  <c r="AN246" i="1"/>
  <c r="AO246" i="1"/>
  <c r="AP246" i="1"/>
  <c r="AQ246" i="1"/>
  <c r="AR246" i="1"/>
  <c r="AS246" i="1"/>
  <c r="AM247" i="1"/>
  <c r="AN247" i="1"/>
  <c r="AO247" i="1"/>
  <c r="AP247" i="1"/>
  <c r="AQ247" i="1"/>
  <c r="AR247" i="1"/>
  <c r="AS247" i="1"/>
  <c r="AM248" i="1"/>
  <c r="AN248" i="1"/>
  <c r="AO248" i="1"/>
  <c r="AP248" i="1"/>
  <c r="AQ248" i="1"/>
  <c r="AR248" i="1"/>
  <c r="AS248" i="1"/>
  <c r="AM249" i="1"/>
  <c r="AN249" i="1"/>
  <c r="AO249" i="1"/>
  <c r="AP249" i="1"/>
  <c r="AQ249" i="1"/>
  <c r="AR249" i="1"/>
  <c r="AS249" i="1"/>
  <c r="AM250" i="1"/>
  <c r="AN250" i="1"/>
  <c r="AO250" i="1"/>
  <c r="AP250" i="1"/>
  <c r="AQ250" i="1"/>
  <c r="AR250" i="1"/>
  <c r="AS250" i="1"/>
  <c r="AM251" i="1"/>
  <c r="AN251" i="1"/>
  <c r="AO251" i="1"/>
  <c r="AP251" i="1"/>
  <c r="AQ251" i="1"/>
  <c r="AR251" i="1"/>
  <c r="AS251" i="1"/>
  <c r="AM252" i="1"/>
  <c r="AN252" i="1"/>
  <c r="AO252" i="1"/>
  <c r="AP252" i="1"/>
  <c r="AQ252" i="1"/>
  <c r="AR252" i="1"/>
  <c r="AS252" i="1"/>
  <c r="AM253" i="1"/>
  <c r="AN253" i="1"/>
  <c r="AO253" i="1"/>
  <c r="AP253" i="1"/>
  <c r="AQ253" i="1"/>
  <c r="AR253" i="1"/>
  <c r="AS253" i="1"/>
  <c r="AM254" i="1"/>
  <c r="AN254" i="1"/>
  <c r="AO254" i="1"/>
  <c r="AP254" i="1"/>
  <c r="AQ254" i="1"/>
  <c r="AR254" i="1"/>
  <c r="AS254" i="1"/>
  <c r="AM255" i="1"/>
  <c r="AN255" i="1"/>
  <c r="AO255" i="1"/>
  <c r="AP255" i="1"/>
  <c r="AQ255" i="1"/>
  <c r="AR255" i="1"/>
  <c r="AS255" i="1"/>
  <c r="AM256" i="1"/>
  <c r="AN256" i="1"/>
  <c r="AO256" i="1"/>
  <c r="AP256" i="1"/>
  <c r="AQ256" i="1"/>
  <c r="AR256" i="1"/>
  <c r="AS256" i="1"/>
  <c r="AM257" i="1"/>
  <c r="AN257" i="1"/>
  <c r="AO257" i="1"/>
  <c r="AP257" i="1"/>
  <c r="AQ257" i="1"/>
  <c r="AR257" i="1"/>
  <c r="AS257" i="1"/>
  <c r="AM258" i="1"/>
  <c r="AN258" i="1"/>
  <c r="AO258" i="1"/>
  <c r="AP258" i="1"/>
  <c r="AQ258" i="1"/>
  <c r="AR258" i="1"/>
  <c r="AS258" i="1"/>
  <c r="AM259" i="1"/>
  <c r="AN259" i="1"/>
  <c r="AO259" i="1"/>
  <c r="AP259" i="1"/>
  <c r="AQ259" i="1"/>
  <c r="AR259" i="1"/>
  <c r="AS259" i="1"/>
  <c r="AM260" i="1"/>
  <c r="AN260" i="1"/>
  <c r="AO260" i="1"/>
  <c r="AP260" i="1"/>
  <c r="AQ260" i="1"/>
  <c r="AR260" i="1"/>
  <c r="AS260" i="1"/>
  <c r="AM261" i="1"/>
  <c r="AN261" i="1"/>
  <c r="AO261" i="1"/>
  <c r="AP261" i="1"/>
  <c r="AQ261" i="1"/>
  <c r="AR261" i="1"/>
  <c r="AS261" i="1"/>
  <c r="AM262" i="1"/>
  <c r="AN262" i="1"/>
  <c r="AO262" i="1"/>
  <c r="AP262" i="1"/>
  <c r="AQ262" i="1"/>
  <c r="AR262" i="1"/>
  <c r="AS262" i="1"/>
  <c r="AM263" i="1"/>
  <c r="AN263" i="1"/>
  <c r="AO263" i="1"/>
  <c r="AP263" i="1"/>
  <c r="AQ263" i="1"/>
  <c r="AR263" i="1"/>
  <c r="AS263" i="1"/>
  <c r="AM264" i="1"/>
  <c r="AN264" i="1"/>
  <c r="AO264" i="1"/>
  <c r="AP264" i="1"/>
  <c r="AQ264" i="1"/>
  <c r="AR264" i="1"/>
  <c r="AS264" i="1"/>
  <c r="AM265" i="1"/>
  <c r="AN265" i="1"/>
  <c r="AO265" i="1"/>
  <c r="AP265" i="1"/>
  <c r="AQ265" i="1"/>
  <c r="AR265" i="1"/>
  <c r="AS265" i="1"/>
  <c r="AM266" i="1"/>
  <c r="AN266" i="1"/>
  <c r="AO266" i="1"/>
  <c r="AP266" i="1"/>
  <c r="AQ266" i="1"/>
  <c r="AR266" i="1"/>
  <c r="AS266" i="1"/>
  <c r="AM267" i="1"/>
  <c r="AN267" i="1"/>
  <c r="AO267" i="1"/>
  <c r="AP267" i="1"/>
  <c r="AQ267" i="1"/>
  <c r="AR267" i="1"/>
  <c r="AS267" i="1"/>
  <c r="AM268" i="1"/>
  <c r="AN268" i="1"/>
  <c r="AO268" i="1"/>
  <c r="AP268" i="1"/>
  <c r="AQ268" i="1"/>
  <c r="AR268" i="1"/>
  <c r="AS268" i="1"/>
  <c r="AM269" i="1"/>
  <c r="AN269" i="1"/>
  <c r="AO269" i="1"/>
  <c r="AP269" i="1"/>
  <c r="AQ269" i="1"/>
  <c r="AR269" i="1"/>
  <c r="AS269" i="1"/>
  <c r="AM270" i="1"/>
  <c r="AN270" i="1"/>
  <c r="AO270" i="1"/>
  <c r="AP270" i="1"/>
  <c r="AQ270" i="1"/>
  <c r="AR270" i="1"/>
  <c r="AS270" i="1"/>
  <c r="AM271" i="1"/>
  <c r="AN271" i="1"/>
  <c r="AO271" i="1"/>
  <c r="AP271" i="1"/>
  <c r="AQ271" i="1"/>
  <c r="AR271" i="1"/>
  <c r="AS271" i="1"/>
  <c r="AM272" i="1"/>
  <c r="AN272" i="1"/>
  <c r="AO272" i="1"/>
  <c r="AP272" i="1"/>
  <c r="AQ272" i="1"/>
  <c r="AR272" i="1"/>
  <c r="AS272" i="1"/>
  <c r="AM273" i="1"/>
  <c r="AN273" i="1"/>
  <c r="AO273" i="1"/>
  <c r="AP273" i="1"/>
  <c r="AQ273" i="1"/>
  <c r="AR273" i="1"/>
  <c r="AS273" i="1"/>
  <c r="AM274" i="1"/>
  <c r="AN274" i="1"/>
  <c r="AO274" i="1"/>
  <c r="AP274" i="1"/>
  <c r="AQ274" i="1"/>
  <c r="AR274" i="1"/>
  <c r="AS274" i="1"/>
  <c r="AM275" i="1"/>
  <c r="AN275" i="1"/>
  <c r="AO275" i="1"/>
  <c r="AP275" i="1"/>
  <c r="AQ275" i="1"/>
  <c r="AR275" i="1"/>
  <c r="AS275" i="1"/>
  <c r="AM276" i="1"/>
  <c r="AN276" i="1"/>
  <c r="AO276" i="1"/>
  <c r="AP276" i="1"/>
  <c r="AQ276" i="1"/>
  <c r="AR276" i="1"/>
  <c r="AS276" i="1"/>
  <c r="AM277" i="1"/>
  <c r="AN277" i="1"/>
  <c r="AO277" i="1"/>
  <c r="AP277" i="1"/>
  <c r="AQ277" i="1"/>
  <c r="AR277" i="1"/>
  <c r="AS277" i="1"/>
  <c r="AM278" i="1"/>
  <c r="AN278" i="1"/>
  <c r="AO278" i="1"/>
  <c r="AP278" i="1"/>
  <c r="AQ278" i="1"/>
  <c r="AR278" i="1"/>
  <c r="AS278" i="1"/>
  <c r="AM279" i="1"/>
  <c r="AN279" i="1"/>
  <c r="AO279" i="1"/>
  <c r="AP279" i="1"/>
  <c r="AQ279" i="1"/>
  <c r="AR279" i="1"/>
  <c r="AS279" i="1"/>
  <c r="AM280" i="1"/>
  <c r="AN280" i="1"/>
  <c r="AO280" i="1"/>
  <c r="AP280" i="1"/>
  <c r="AQ280" i="1"/>
  <c r="AR280" i="1"/>
  <c r="AS280" i="1"/>
  <c r="AM281" i="1"/>
  <c r="AN281" i="1"/>
  <c r="AO281" i="1"/>
  <c r="AP281" i="1"/>
  <c r="AQ281" i="1"/>
  <c r="AR281" i="1"/>
  <c r="AS281" i="1"/>
  <c r="AM282" i="1"/>
  <c r="AN282" i="1"/>
  <c r="AO282" i="1"/>
  <c r="AP282" i="1"/>
  <c r="AQ282" i="1"/>
  <c r="AR282" i="1"/>
  <c r="AS282" i="1"/>
  <c r="AM283" i="1"/>
  <c r="AN283" i="1"/>
  <c r="AO283" i="1"/>
  <c r="AP283" i="1"/>
  <c r="AQ283" i="1"/>
  <c r="AR283" i="1"/>
  <c r="AS283" i="1"/>
  <c r="AM284" i="1"/>
  <c r="AN284" i="1"/>
  <c r="AO284" i="1"/>
  <c r="AP284" i="1"/>
  <c r="AQ284" i="1"/>
  <c r="AR284" i="1"/>
  <c r="AS284" i="1"/>
  <c r="AM285" i="1"/>
  <c r="AN285" i="1"/>
  <c r="AO285" i="1"/>
  <c r="AP285" i="1"/>
  <c r="AQ285" i="1"/>
  <c r="AR285" i="1"/>
  <c r="AS285" i="1"/>
  <c r="AM286" i="1"/>
  <c r="AN286" i="1"/>
  <c r="AO286" i="1"/>
  <c r="AP286" i="1"/>
  <c r="AQ286" i="1"/>
  <c r="AR286" i="1"/>
  <c r="AS286" i="1"/>
  <c r="AM287" i="1"/>
  <c r="AN287" i="1"/>
  <c r="AO287" i="1"/>
  <c r="AP287" i="1"/>
  <c r="AQ287" i="1"/>
  <c r="AR287" i="1"/>
  <c r="AS287" i="1"/>
  <c r="AM288" i="1"/>
  <c r="AN288" i="1"/>
  <c r="AO288" i="1"/>
  <c r="AP288" i="1"/>
  <c r="AQ288" i="1"/>
  <c r="AR288" i="1"/>
  <c r="AS288" i="1"/>
  <c r="AM289" i="1"/>
  <c r="AN289" i="1"/>
  <c r="AO289" i="1"/>
  <c r="AP289" i="1"/>
  <c r="AQ289" i="1"/>
  <c r="AR289" i="1"/>
  <c r="AS289" i="1"/>
  <c r="AM290" i="1"/>
  <c r="AN290" i="1"/>
  <c r="AO290" i="1"/>
  <c r="AP290" i="1"/>
  <c r="AQ290" i="1"/>
  <c r="AR290" i="1"/>
  <c r="AS290" i="1"/>
  <c r="AM291" i="1"/>
  <c r="AN291" i="1"/>
  <c r="AO291" i="1"/>
  <c r="AP291" i="1"/>
  <c r="AQ291" i="1"/>
  <c r="AR291" i="1"/>
  <c r="AS291" i="1"/>
  <c r="AM292" i="1"/>
  <c r="AN292" i="1"/>
  <c r="AO292" i="1"/>
  <c r="AP292" i="1"/>
  <c r="AQ292" i="1"/>
  <c r="AR292" i="1"/>
  <c r="AS292" i="1"/>
  <c r="AM293" i="1"/>
  <c r="AN293" i="1"/>
  <c r="AO293" i="1"/>
  <c r="AP293" i="1"/>
  <c r="AQ293" i="1"/>
  <c r="AR293" i="1"/>
  <c r="AS293" i="1"/>
  <c r="AM294" i="1"/>
  <c r="AN294" i="1"/>
  <c r="AO294" i="1"/>
  <c r="AP294" i="1"/>
  <c r="AQ294" i="1"/>
  <c r="AR294" i="1"/>
  <c r="AS294" i="1"/>
  <c r="AM295" i="1"/>
  <c r="AN295" i="1"/>
  <c r="AO295" i="1"/>
  <c r="AP295" i="1"/>
  <c r="AQ295" i="1"/>
  <c r="AR295" i="1"/>
  <c r="AS295" i="1"/>
  <c r="AM296" i="1"/>
  <c r="AN296" i="1"/>
  <c r="AO296" i="1"/>
  <c r="AP296" i="1"/>
  <c r="AQ296" i="1"/>
  <c r="AR296" i="1"/>
  <c r="AS296" i="1"/>
  <c r="AM297" i="1"/>
  <c r="AN297" i="1"/>
  <c r="AO297" i="1"/>
  <c r="AP297" i="1"/>
  <c r="AQ297" i="1"/>
  <c r="AR297" i="1"/>
  <c r="AS297" i="1"/>
  <c r="AM298" i="1"/>
  <c r="AN298" i="1"/>
  <c r="AO298" i="1"/>
  <c r="AP298" i="1"/>
  <c r="AQ298" i="1"/>
  <c r="AR298" i="1"/>
  <c r="AS298" i="1"/>
  <c r="AM299" i="1"/>
  <c r="AN299" i="1"/>
  <c r="AO299" i="1"/>
  <c r="AP299" i="1"/>
  <c r="AQ299" i="1"/>
  <c r="AR299" i="1"/>
  <c r="AS299" i="1"/>
  <c r="AM300" i="1"/>
  <c r="AN300" i="1"/>
  <c r="AO300" i="1"/>
  <c r="AP300" i="1"/>
  <c r="AQ300" i="1"/>
  <c r="AR300" i="1"/>
  <c r="AS300" i="1"/>
  <c r="AM301" i="1"/>
  <c r="AN301" i="1"/>
  <c r="AO301" i="1"/>
  <c r="AP301" i="1"/>
  <c r="AQ301" i="1"/>
  <c r="AR301" i="1"/>
  <c r="AS301" i="1"/>
  <c r="AM302" i="1"/>
  <c r="AN302" i="1"/>
  <c r="AO302" i="1"/>
  <c r="AP302" i="1"/>
  <c r="AQ302" i="1"/>
  <c r="AR302" i="1"/>
  <c r="AS302" i="1"/>
  <c r="AM303" i="1"/>
  <c r="AN303" i="1"/>
  <c r="AO303" i="1"/>
  <c r="AP303" i="1"/>
  <c r="AQ303" i="1"/>
  <c r="AR303" i="1"/>
  <c r="AS303" i="1"/>
  <c r="AM304" i="1"/>
  <c r="AN304" i="1"/>
  <c r="AO304" i="1"/>
  <c r="AP304" i="1"/>
  <c r="AQ304" i="1"/>
  <c r="AR304" i="1"/>
  <c r="AS304" i="1"/>
  <c r="AM305" i="1"/>
  <c r="AN305" i="1"/>
  <c r="AO305" i="1"/>
  <c r="AP305" i="1"/>
  <c r="AQ305" i="1"/>
  <c r="AR305" i="1"/>
  <c r="AS305" i="1"/>
  <c r="AM306" i="1"/>
  <c r="AN306" i="1"/>
  <c r="AO306" i="1"/>
  <c r="AP306" i="1"/>
  <c r="AQ306" i="1"/>
  <c r="AR306" i="1"/>
  <c r="AS306" i="1"/>
  <c r="AM307" i="1"/>
  <c r="AN307" i="1"/>
  <c r="AO307" i="1"/>
  <c r="AP307" i="1"/>
  <c r="AQ307" i="1"/>
  <c r="AR307" i="1"/>
  <c r="AS307" i="1"/>
  <c r="AM308" i="1"/>
  <c r="AN308" i="1"/>
  <c r="AO308" i="1"/>
  <c r="AP308" i="1"/>
  <c r="AQ308" i="1"/>
  <c r="AR308" i="1"/>
  <c r="AS308" i="1"/>
  <c r="AM309" i="1"/>
  <c r="AN309" i="1"/>
  <c r="AO309" i="1"/>
  <c r="AP309" i="1"/>
  <c r="AQ309" i="1"/>
  <c r="AR309" i="1"/>
  <c r="AS309" i="1"/>
  <c r="AM310" i="1"/>
  <c r="AN310" i="1"/>
  <c r="AO310" i="1"/>
  <c r="AP310" i="1"/>
  <c r="AQ310" i="1"/>
  <c r="AR310" i="1"/>
  <c r="AS310" i="1"/>
  <c r="AM311" i="1"/>
  <c r="AN311" i="1"/>
  <c r="AO311" i="1"/>
  <c r="AP311" i="1"/>
  <c r="AQ311" i="1"/>
  <c r="AR311" i="1"/>
  <c r="AS311" i="1"/>
  <c r="AM312" i="1"/>
  <c r="AN312" i="1"/>
  <c r="AO312" i="1"/>
  <c r="AP312" i="1"/>
  <c r="AQ312" i="1"/>
  <c r="AR312" i="1"/>
  <c r="AS312" i="1"/>
  <c r="AM313" i="1"/>
  <c r="AN313" i="1"/>
  <c r="AO313" i="1"/>
  <c r="AP313" i="1"/>
  <c r="AQ313" i="1"/>
  <c r="AR313" i="1"/>
  <c r="AS313" i="1"/>
  <c r="AM314" i="1"/>
  <c r="AN314" i="1"/>
  <c r="AO314" i="1"/>
  <c r="AP314" i="1"/>
  <c r="AQ314" i="1"/>
  <c r="AR314" i="1"/>
  <c r="AS314" i="1"/>
  <c r="AM315" i="1"/>
  <c r="AN315" i="1"/>
  <c r="AO315" i="1"/>
  <c r="AP315" i="1"/>
  <c r="AQ315" i="1"/>
  <c r="AR315" i="1"/>
  <c r="AS315" i="1"/>
  <c r="AM316" i="1"/>
  <c r="AN316" i="1"/>
  <c r="AO316" i="1"/>
  <c r="AP316" i="1"/>
  <c r="AQ316" i="1"/>
  <c r="AR316" i="1"/>
  <c r="AS316" i="1"/>
  <c r="AM317" i="1"/>
  <c r="AN317" i="1"/>
  <c r="AO317" i="1"/>
  <c r="AP317" i="1"/>
  <c r="AQ317" i="1"/>
  <c r="AR317" i="1"/>
  <c r="AS317" i="1"/>
  <c r="AM318" i="1"/>
  <c r="AN318" i="1"/>
  <c r="AO318" i="1"/>
  <c r="AP318" i="1"/>
  <c r="AQ318" i="1"/>
  <c r="AR318" i="1"/>
  <c r="AS318" i="1"/>
  <c r="AM319" i="1"/>
  <c r="AN319" i="1"/>
  <c r="AO319" i="1"/>
  <c r="AP319" i="1"/>
  <c r="AQ319" i="1"/>
  <c r="AR319" i="1"/>
  <c r="AS319" i="1"/>
  <c r="AM320" i="1"/>
  <c r="AN320" i="1"/>
  <c r="AO320" i="1"/>
  <c r="AP320" i="1"/>
  <c r="AQ320" i="1"/>
  <c r="AR320" i="1"/>
  <c r="AS320" i="1"/>
  <c r="AM321" i="1"/>
  <c r="AN321" i="1"/>
  <c r="AO321" i="1"/>
  <c r="AP321" i="1"/>
  <c r="AQ321" i="1"/>
  <c r="AR321" i="1"/>
  <c r="AS321" i="1"/>
  <c r="AM322" i="1"/>
  <c r="AN322" i="1"/>
  <c r="AO322" i="1"/>
  <c r="AP322" i="1"/>
  <c r="AQ322" i="1"/>
  <c r="AR322" i="1"/>
  <c r="AS322" i="1"/>
  <c r="AM323" i="1"/>
  <c r="AN323" i="1"/>
  <c r="AO323" i="1"/>
  <c r="AP323" i="1"/>
  <c r="AQ323" i="1"/>
  <c r="AR323" i="1"/>
  <c r="AS323" i="1"/>
  <c r="AM324" i="1"/>
  <c r="AN324" i="1"/>
  <c r="AO324" i="1"/>
  <c r="AP324" i="1"/>
  <c r="AQ324" i="1"/>
  <c r="AR324" i="1"/>
  <c r="AS324" i="1"/>
  <c r="AM325" i="1"/>
  <c r="AN325" i="1"/>
  <c r="AO325" i="1"/>
  <c r="AP325" i="1"/>
  <c r="AQ325" i="1"/>
  <c r="AR325" i="1"/>
  <c r="AS325" i="1"/>
  <c r="AM326" i="1"/>
  <c r="AN326" i="1"/>
  <c r="AO326" i="1"/>
  <c r="AP326" i="1"/>
  <c r="AQ326" i="1"/>
  <c r="AR326" i="1"/>
  <c r="AS326" i="1"/>
  <c r="AM327" i="1"/>
  <c r="AN327" i="1"/>
  <c r="AO327" i="1"/>
  <c r="AP327" i="1"/>
  <c r="AQ327" i="1"/>
  <c r="AR327" i="1"/>
  <c r="AS327" i="1"/>
  <c r="AM328" i="1"/>
  <c r="AN328" i="1"/>
  <c r="AO328" i="1"/>
  <c r="AP328" i="1"/>
  <c r="AQ328" i="1"/>
  <c r="AR328" i="1"/>
  <c r="AS328" i="1"/>
  <c r="AM329" i="1"/>
  <c r="AN329" i="1"/>
  <c r="AO329" i="1"/>
  <c r="AP329" i="1"/>
  <c r="AQ329" i="1"/>
  <c r="AR329" i="1"/>
  <c r="AS329" i="1"/>
  <c r="AM330" i="1"/>
  <c r="AN330" i="1"/>
  <c r="AO330" i="1"/>
  <c r="AP330" i="1"/>
  <c r="AQ330" i="1"/>
  <c r="AR330" i="1"/>
  <c r="AS330" i="1"/>
  <c r="AM331" i="1"/>
  <c r="AN331" i="1"/>
  <c r="AO331" i="1"/>
  <c r="AP331" i="1"/>
  <c r="AQ331" i="1"/>
  <c r="AR331" i="1"/>
  <c r="AS331" i="1"/>
  <c r="AM332" i="1"/>
  <c r="AN332" i="1"/>
  <c r="AO332" i="1"/>
  <c r="AP332" i="1"/>
  <c r="AQ332" i="1"/>
  <c r="AR332" i="1"/>
  <c r="AS332" i="1"/>
  <c r="AM333" i="1"/>
  <c r="AN333" i="1"/>
  <c r="AO333" i="1"/>
  <c r="AP333" i="1"/>
  <c r="AQ333" i="1"/>
  <c r="AR333" i="1"/>
  <c r="AS333" i="1"/>
  <c r="AM334" i="1"/>
  <c r="AN334" i="1"/>
  <c r="AO334" i="1"/>
  <c r="AP334" i="1"/>
  <c r="AQ334" i="1"/>
  <c r="AR334" i="1"/>
  <c r="AS334" i="1"/>
  <c r="AM335" i="1"/>
  <c r="AN335" i="1"/>
  <c r="AO335" i="1"/>
  <c r="AP335" i="1"/>
  <c r="AQ335" i="1"/>
  <c r="AR335" i="1"/>
  <c r="AS335" i="1"/>
  <c r="AM336" i="1"/>
  <c r="AN336" i="1"/>
  <c r="AO336" i="1"/>
  <c r="AP336" i="1"/>
  <c r="AQ336" i="1"/>
  <c r="AR336" i="1"/>
  <c r="AS336" i="1"/>
  <c r="AM337" i="1"/>
  <c r="AN337" i="1"/>
  <c r="AO337" i="1"/>
  <c r="AP337" i="1"/>
  <c r="AQ337" i="1"/>
  <c r="AR337" i="1"/>
  <c r="AS337" i="1"/>
  <c r="AM338" i="1"/>
  <c r="AN338" i="1"/>
  <c r="AO338" i="1"/>
  <c r="AP338" i="1"/>
  <c r="AQ338" i="1"/>
  <c r="AR338" i="1"/>
  <c r="AS338" i="1"/>
  <c r="AM339" i="1"/>
  <c r="AN339" i="1"/>
  <c r="AO339" i="1"/>
  <c r="AP339" i="1"/>
  <c r="AQ339" i="1"/>
  <c r="AR339" i="1"/>
  <c r="AS339" i="1"/>
  <c r="AM340" i="1"/>
  <c r="AN340" i="1"/>
  <c r="AO340" i="1"/>
  <c r="AP340" i="1"/>
  <c r="AQ340" i="1"/>
  <c r="AR340" i="1"/>
  <c r="AS340" i="1"/>
  <c r="AM341" i="1"/>
  <c r="AN341" i="1"/>
  <c r="AO341" i="1"/>
  <c r="AP341" i="1"/>
  <c r="AQ341" i="1"/>
  <c r="AR341" i="1"/>
  <c r="AS341" i="1"/>
  <c r="AM342" i="1"/>
  <c r="AN342" i="1"/>
  <c r="AO342" i="1"/>
  <c r="AP342" i="1"/>
  <c r="AQ342" i="1"/>
  <c r="AR342" i="1"/>
  <c r="AS342" i="1"/>
  <c r="AM343" i="1"/>
  <c r="AN343" i="1"/>
  <c r="AO343" i="1"/>
  <c r="AP343" i="1"/>
  <c r="AQ343" i="1"/>
  <c r="AR343" i="1"/>
  <c r="AS343" i="1"/>
  <c r="AM344" i="1"/>
  <c r="AN344" i="1"/>
  <c r="AO344" i="1"/>
  <c r="AP344" i="1"/>
  <c r="AQ344" i="1"/>
  <c r="AR344" i="1"/>
  <c r="AS344" i="1"/>
  <c r="AM345" i="1"/>
  <c r="AN345" i="1"/>
  <c r="AO345" i="1"/>
  <c r="AP345" i="1"/>
  <c r="AQ345" i="1"/>
  <c r="AR345" i="1"/>
  <c r="AS345" i="1"/>
  <c r="AM346" i="1"/>
  <c r="AN346" i="1"/>
  <c r="AO346" i="1"/>
  <c r="AP346" i="1"/>
  <c r="AQ346" i="1"/>
  <c r="AR346" i="1"/>
  <c r="AS346" i="1"/>
  <c r="AM347" i="1"/>
  <c r="AN347" i="1"/>
  <c r="AO347" i="1"/>
  <c r="AP347" i="1"/>
  <c r="AQ347" i="1"/>
  <c r="AR347" i="1"/>
  <c r="AS347" i="1"/>
  <c r="AM348" i="1"/>
  <c r="AN348" i="1"/>
  <c r="AO348" i="1"/>
  <c r="AP348" i="1"/>
  <c r="AQ348" i="1"/>
  <c r="AR348" i="1"/>
  <c r="AS348" i="1"/>
  <c r="AM349" i="1"/>
  <c r="AN349" i="1"/>
  <c r="AG350" i="1" s="1"/>
  <c r="AH350" i="1" s="1"/>
  <c r="AJ350" i="1" s="1"/>
  <c r="AO349" i="1"/>
  <c r="AP349" i="1"/>
  <c r="AQ349" i="1"/>
  <c r="AR349" i="1"/>
  <c r="AS349" i="1"/>
  <c r="AM350" i="1"/>
  <c r="AN350" i="1"/>
  <c r="AO350" i="1"/>
  <c r="AP350" i="1"/>
  <c r="AQ350" i="1"/>
  <c r="AR350" i="1"/>
  <c r="AS350" i="1"/>
  <c r="AM351" i="1"/>
  <c r="AN351" i="1"/>
  <c r="AO351" i="1"/>
  <c r="AP351" i="1"/>
  <c r="AQ351" i="1"/>
  <c r="AR351" i="1"/>
  <c r="AS351" i="1"/>
  <c r="AM352" i="1"/>
  <c r="AN352" i="1"/>
  <c r="AO352" i="1"/>
  <c r="AP352" i="1"/>
  <c r="AQ352" i="1"/>
  <c r="AR352" i="1"/>
  <c r="AS352" i="1"/>
  <c r="AM353" i="1"/>
  <c r="AN353" i="1"/>
  <c r="AO353" i="1"/>
  <c r="AP353" i="1"/>
  <c r="AQ353" i="1"/>
  <c r="AR353" i="1"/>
  <c r="AS353" i="1"/>
  <c r="AM354" i="1"/>
  <c r="AN354" i="1"/>
  <c r="AO354" i="1"/>
  <c r="AP354" i="1"/>
  <c r="AQ354" i="1"/>
  <c r="AR354" i="1"/>
  <c r="AS354" i="1"/>
  <c r="AM355" i="1"/>
  <c r="AN355" i="1"/>
  <c r="AO355" i="1"/>
  <c r="AP355" i="1"/>
  <c r="AQ355" i="1"/>
  <c r="AR355" i="1"/>
  <c r="AS355" i="1"/>
  <c r="AM356" i="1"/>
  <c r="AN356" i="1"/>
  <c r="AO356" i="1"/>
  <c r="AP356" i="1"/>
  <c r="AQ356" i="1"/>
  <c r="AR356" i="1"/>
  <c r="AS356" i="1"/>
  <c r="AM357" i="1"/>
  <c r="AN357" i="1"/>
  <c r="AO357" i="1"/>
  <c r="AP357" i="1"/>
  <c r="AQ357" i="1"/>
  <c r="AR357" i="1"/>
  <c r="AS357" i="1"/>
  <c r="AM358" i="1"/>
  <c r="AN358" i="1"/>
  <c r="AO358" i="1"/>
  <c r="AP358" i="1"/>
  <c r="AQ358" i="1"/>
  <c r="AR358" i="1"/>
  <c r="AS358" i="1"/>
  <c r="AM359" i="1"/>
  <c r="AN359" i="1"/>
  <c r="AO359" i="1"/>
  <c r="AP359" i="1"/>
  <c r="AQ359" i="1"/>
  <c r="AR359" i="1"/>
  <c r="AS359" i="1"/>
  <c r="AM360" i="1"/>
  <c r="AN360" i="1"/>
  <c r="AO360" i="1"/>
  <c r="AP360" i="1"/>
  <c r="AQ360" i="1"/>
  <c r="AR360" i="1"/>
  <c r="AS360" i="1"/>
  <c r="AM361" i="1"/>
  <c r="AN361" i="1"/>
  <c r="AO361" i="1"/>
  <c r="AP361" i="1"/>
  <c r="AQ361" i="1"/>
  <c r="AR361" i="1"/>
  <c r="AS361" i="1"/>
  <c r="AM362" i="1"/>
  <c r="AN362" i="1"/>
  <c r="AO362" i="1"/>
  <c r="AP362" i="1"/>
  <c r="AQ362" i="1"/>
  <c r="AR362" i="1"/>
  <c r="AS362" i="1"/>
  <c r="AM363" i="1"/>
  <c r="AN363" i="1"/>
  <c r="AO363" i="1"/>
  <c r="AP363" i="1"/>
  <c r="AQ363" i="1"/>
  <c r="AR363" i="1"/>
  <c r="AS363" i="1"/>
  <c r="AM364" i="1"/>
  <c r="AN364" i="1"/>
  <c r="AO364" i="1"/>
  <c r="AP364" i="1"/>
  <c r="AQ364" i="1"/>
  <c r="AR364" i="1"/>
  <c r="AS364" i="1"/>
  <c r="AM365" i="1"/>
  <c r="AN365" i="1"/>
  <c r="AO365" i="1"/>
  <c r="AP365" i="1"/>
  <c r="AQ365" i="1"/>
  <c r="AR365" i="1"/>
  <c r="AS365" i="1"/>
  <c r="AM366" i="1"/>
  <c r="AN366" i="1"/>
  <c r="AO366" i="1"/>
  <c r="AP366" i="1"/>
  <c r="AQ366" i="1"/>
  <c r="AR366" i="1"/>
  <c r="AS366" i="1"/>
  <c r="AM367" i="1"/>
  <c r="AN367" i="1"/>
  <c r="AO367" i="1"/>
  <c r="AP367" i="1"/>
  <c r="AQ367" i="1"/>
  <c r="AR367" i="1"/>
  <c r="AS367" i="1"/>
  <c r="AM368" i="1"/>
  <c r="AN368" i="1"/>
  <c r="AO368" i="1"/>
  <c r="AP368" i="1"/>
  <c r="AQ368" i="1"/>
  <c r="AR368" i="1"/>
  <c r="AS368" i="1"/>
  <c r="AM369" i="1"/>
  <c r="AN369" i="1"/>
  <c r="AO369" i="1"/>
  <c r="AP369" i="1"/>
  <c r="AQ369" i="1"/>
  <c r="AR369" i="1"/>
  <c r="AS369" i="1"/>
  <c r="AM370" i="1"/>
  <c r="AN370" i="1"/>
  <c r="AO370" i="1"/>
  <c r="AP370" i="1"/>
  <c r="AQ370" i="1"/>
  <c r="AR370" i="1"/>
  <c r="AS370" i="1"/>
  <c r="AM371" i="1"/>
  <c r="AN371" i="1"/>
  <c r="AO371" i="1"/>
  <c r="AP371" i="1"/>
  <c r="AQ371" i="1"/>
  <c r="AR371" i="1"/>
  <c r="AS371" i="1"/>
  <c r="AM372" i="1"/>
  <c r="AN372" i="1"/>
  <c r="AO372" i="1"/>
  <c r="AP372" i="1"/>
  <c r="AQ372" i="1"/>
  <c r="AR372" i="1"/>
  <c r="AS372" i="1"/>
  <c r="AM373" i="1"/>
  <c r="AN373" i="1"/>
  <c r="AO373" i="1"/>
  <c r="AP373" i="1"/>
  <c r="AQ373" i="1"/>
  <c r="AR373" i="1"/>
  <c r="AS373" i="1"/>
  <c r="AM374" i="1"/>
  <c r="AN374" i="1"/>
  <c r="AO374" i="1"/>
  <c r="AP374" i="1"/>
  <c r="AQ374" i="1"/>
  <c r="AR374" i="1"/>
  <c r="AS374" i="1"/>
  <c r="AM375" i="1"/>
  <c r="AN375" i="1"/>
  <c r="AO375" i="1"/>
  <c r="AP375" i="1"/>
  <c r="AQ375" i="1"/>
  <c r="AR375" i="1"/>
  <c r="AS375" i="1"/>
  <c r="AM376" i="1"/>
  <c r="AN376" i="1"/>
  <c r="AO376" i="1"/>
  <c r="AP376" i="1"/>
  <c r="AQ376" i="1"/>
  <c r="AR376" i="1"/>
  <c r="AS376" i="1"/>
  <c r="AM377" i="1"/>
  <c r="AN377" i="1"/>
  <c r="AO377" i="1"/>
  <c r="AP377" i="1"/>
  <c r="AQ377" i="1"/>
  <c r="AR377" i="1"/>
  <c r="AS377" i="1"/>
  <c r="AM378" i="1"/>
  <c r="AN378" i="1"/>
  <c r="AO378" i="1"/>
  <c r="AP378" i="1"/>
  <c r="AQ378" i="1"/>
  <c r="AR378" i="1"/>
  <c r="AS378" i="1"/>
  <c r="AM379" i="1"/>
  <c r="AN379" i="1"/>
  <c r="AO379" i="1"/>
  <c r="AP379" i="1"/>
  <c r="AQ379" i="1"/>
  <c r="AR379" i="1"/>
  <c r="AS379" i="1"/>
  <c r="AM380" i="1"/>
  <c r="AN380" i="1"/>
  <c r="AO380" i="1"/>
  <c r="AP380" i="1"/>
  <c r="AQ380" i="1"/>
  <c r="AR380" i="1"/>
  <c r="AS380" i="1"/>
  <c r="AM381" i="1"/>
  <c r="AN381" i="1"/>
  <c r="AO381" i="1"/>
  <c r="AP381" i="1"/>
  <c r="AQ381" i="1"/>
  <c r="AR381" i="1"/>
  <c r="AS381" i="1"/>
  <c r="AM382" i="1"/>
  <c r="AN382" i="1"/>
  <c r="AO382" i="1"/>
  <c r="AP382" i="1"/>
  <c r="AQ382" i="1"/>
  <c r="AR382" i="1"/>
  <c r="AS382" i="1"/>
  <c r="AM383" i="1"/>
  <c r="AN383" i="1"/>
  <c r="AO383" i="1"/>
  <c r="AP383" i="1"/>
  <c r="AQ383" i="1"/>
  <c r="AR383" i="1"/>
  <c r="AS383" i="1"/>
  <c r="AM384" i="1"/>
  <c r="AN384" i="1"/>
  <c r="AO384" i="1"/>
  <c r="AP384" i="1"/>
  <c r="AQ384" i="1"/>
  <c r="AR384" i="1"/>
  <c r="AS384" i="1"/>
  <c r="AM385" i="1"/>
  <c r="AN385" i="1"/>
  <c r="AO385" i="1"/>
  <c r="AP385" i="1"/>
  <c r="AQ385" i="1"/>
  <c r="AR385" i="1"/>
  <c r="AS385" i="1"/>
  <c r="AM386" i="1"/>
  <c r="AN386" i="1"/>
  <c r="AO386" i="1"/>
  <c r="AP386" i="1"/>
  <c r="AQ386" i="1"/>
  <c r="AR386" i="1"/>
  <c r="AS386" i="1"/>
  <c r="AM387" i="1"/>
  <c r="AN387" i="1"/>
  <c r="AO387" i="1"/>
  <c r="AP387" i="1"/>
  <c r="AQ387" i="1"/>
  <c r="AR387" i="1"/>
  <c r="AS387" i="1"/>
  <c r="AM388" i="1"/>
  <c r="AN388" i="1"/>
  <c r="AO388" i="1"/>
  <c r="AP388" i="1"/>
  <c r="AQ388" i="1"/>
  <c r="AR388" i="1"/>
  <c r="AS388" i="1"/>
  <c r="AM389" i="1"/>
  <c r="AN389" i="1"/>
  <c r="AO389" i="1"/>
  <c r="AP389" i="1"/>
  <c r="AQ389" i="1"/>
  <c r="AR389" i="1"/>
  <c r="AS389" i="1"/>
  <c r="AM390" i="1"/>
  <c r="AN390" i="1"/>
  <c r="AO390" i="1"/>
  <c r="AP390" i="1"/>
  <c r="AQ390" i="1"/>
  <c r="AR390" i="1"/>
  <c r="AS390" i="1"/>
  <c r="AM391" i="1"/>
  <c r="AN391" i="1"/>
  <c r="AO391" i="1"/>
  <c r="AP391" i="1"/>
  <c r="AQ391" i="1"/>
  <c r="AR391" i="1"/>
  <c r="AS391" i="1"/>
  <c r="AM392" i="1"/>
  <c r="AN392" i="1"/>
  <c r="AO392" i="1"/>
  <c r="AP392" i="1"/>
  <c r="AQ392" i="1"/>
  <c r="AR392" i="1"/>
  <c r="AS392" i="1"/>
  <c r="AM393" i="1"/>
  <c r="AN393" i="1"/>
  <c r="AO393" i="1"/>
  <c r="AP393" i="1"/>
  <c r="AQ393" i="1"/>
  <c r="AR393" i="1"/>
  <c r="AS393" i="1"/>
  <c r="AM394" i="1"/>
  <c r="AN394" i="1"/>
  <c r="AO394" i="1"/>
  <c r="AP394" i="1"/>
  <c r="AQ394" i="1"/>
  <c r="AR394" i="1"/>
  <c r="AS394" i="1"/>
  <c r="AM395" i="1"/>
  <c r="AN395" i="1"/>
  <c r="AO395" i="1"/>
  <c r="AP395" i="1"/>
  <c r="AQ395" i="1"/>
  <c r="AR395" i="1"/>
  <c r="AS395" i="1"/>
  <c r="AM396" i="1"/>
  <c r="AN396" i="1"/>
  <c r="AO396" i="1"/>
  <c r="AP396" i="1"/>
  <c r="AQ396" i="1"/>
  <c r="AR396" i="1"/>
  <c r="AS396" i="1"/>
  <c r="AM397" i="1"/>
  <c r="AN397" i="1"/>
  <c r="AO397" i="1"/>
  <c r="AP397" i="1"/>
  <c r="AQ397" i="1"/>
  <c r="AR397" i="1"/>
  <c r="AS397" i="1"/>
  <c r="AM398" i="1"/>
  <c r="AN398" i="1"/>
  <c r="AO398" i="1"/>
  <c r="AP398" i="1"/>
  <c r="AQ398" i="1"/>
  <c r="AR398" i="1"/>
  <c r="AS398" i="1"/>
  <c r="AM399" i="1"/>
  <c r="AN399" i="1"/>
  <c r="AO399" i="1"/>
  <c r="AP399" i="1"/>
  <c r="AQ399" i="1"/>
  <c r="AR399" i="1"/>
  <c r="AS399" i="1"/>
  <c r="AM400" i="1"/>
  <c r="AN400" i="1"/>
  <c r="AO400" i="1"/>
  <c r="AP400" i="1"/>
  <c r="AQ400" i="1"/>
  <c r="AR400" i="1"/>
  <c r="AS400" i="1"/>
  <c r="AM401" i="1"/>
  <c r="AN401" i="1"/>
  <c r="AO401" i="1"/>
  <c r="AP401" i="1"/>
  <c r="AQ401" i="1"/>
  <c r="AR401" i="1"/>
  <c r="AS401" i="1"/>
  <c r="AM402" i="1"/>
  <c r="AN402" i="1"/>
  <c r="AO402" i="1"/>
  <c r="AP402" i="1"/>
  <c r="AQ402" i="1"/>
  <c r="AR402" i="1"/>
  <c r="AS402" i="1"/>
  <c r="AM403" i="1"/>
  <c r="AN403" i="1"/>
  <c r="AO403" i="1"/>
  <c r="AP403" i="1"/>
  <c r="AQ403" i="1"/>
  <c r="AR403" i="1"/>
  <c r="AS403" i="1"/>
  <c r="AM404" i="1"/>
  <c r="AN404" i="1"/>
  <c r="AO404" i="1"/>
  <c r="AP404" i="1"/>
  <c r="AQ404" i="1"/>
  <c r="AR404" i="1"/>
  <c r="AS404" i="1"/>
  <c r="AM405" i="1"/>
  <c r="AN405" i="1"/>
  <c r="AO405" i="1"/>
  <c r="AP405" i="1"/>
  <c r="AQ405" i="1"/>
  <c r="AR405" i="1"/>
  <c r="AS405" i="1"/>
  <c r="AM406" i="1"/>
  <c r="AN406" i="1"/>
  <c r="AO406" i="1"/>
  <c r="AP406" i="1"/>
  <c r="AQ406" i="1"/>
  <c r="AR406" i="1"/>
  <c r="AS406" i="1"/>
  <c r="AM407" i="1"/>
  <c r="AN407" i="1"/>
  <c r="AO407" i="1"/>
  <c r="AP407" i="1"/>
  <c r="AQ407" i="1"/>
  <c r="AR407" i="1"/>
  <c r="AS407" i="1"/>
  <c r="AM408" i="1"/>
  <c r="AN408" i="1"/>
  <c r="AO408" i="1"/>
  <c r="AP408" i="1"/>
  <c r="AQ408" i="1"/>
  <c r="AR408" i="1"/>
  <c r="AS408" i="1"/>
  <c r="AM409" i="1"/>
  <c r="AN409" i="1"/>
  <c r="AO409" i="1"/>
  <c r="AP409" i="1"/>
  <c r="AQ409" i="1"/>
  <c r="AR409" i="1"/>
  <c r="AS409" i="1"/>
  <c r="AM410" i="1"/>
  <c r="AN410" i="1"/>
  <c r="AO410" i="1"/>
  <c r="AP410" i="1"/>
  <c r="AQ410" i="1"/>
  <c r="AR410" i="1"/>
  <c r="AS410" i="1"/>
  <c r="AM411" i="1"/>
  <c r="AN411" i="1"/>
  <c r="AO411" i="1"/>
  <c r="AP411" i="1"/>
  <c r="AQ411" i="1"/>
  <c r="AR411" i="1"/>
  <c r="AS411" i="1"/>
  <c r="AM412" i="1"/>
  <c r="AN412" i="1"/>
  <c r="AO412" i="1"/>
  <c r="AP412" i="1"/>
  <c r="AQ412" i="1"/>
  <c r="AR412" i="1"/>
  <c r="AS412" i="1"/>
  <c r="AM413" i="1"/>
  <c r="AN413" i="1"/>
  <c r="AO413" i="1"/>
  <c r="AP413" i="1"/>
  <c r="AQ413" i="1"/>
  <c r="AR413" i="1"/>
  <c r="AS413" i="1"/>
  <c r="AM414" i="1"/>
  <c r="AN414" i="1"/>
  <c r="AO414" i="1"/>
  <c r="AP414" i="1"/>
  <c r="AQ414" i="1"/>
  <c r="AR414" i="1"/>
  <c r="AS414" i="1"/>
  <c r="AM415" i="1"/>
  <c r="AN415" i="1"/>
  <c r="AO415" i="1"/>
  <c r="AP415" i="1"/>
  <c r="AQ415" i="1"/>
  <c r="AR415" i="1"/>
  <c r="AS415" i="1"/>
  <c r="AM416" i="1"/>
  <c r="AN416" i="1"/>
  <c r="AO416" i="1"/>
  <c r="AP416" i="1"/>
  <c r="AQ416" i="1"/>
  <c r="AR416" i="1"/>
  <c r="AS416" i="1"/>
  <c r="AM417" i="1"/>
  <c r="AN417" i="1"/>
  <c r="AO417" i="1"/>
  <c r="AP417" i="1"/>
  <c r="AQ417" i="1"/>
  <c r="AR417" i="1"/>
  <c r="AS417" i="1"/>
  <c r="AM418" i="1"/>
  <c r="AN418" i="1"/>
  <c r="AO418" i="1"/>
  <c r="AP418" i="1"/>
  <c r="AQ418" i="1"/>
  <c r="AR418" i="1"/>
  <c r="AS418" i="1"/>
  <c r="AM419" i="1"/>
  <c r="AN419" i="1"/>
  <c r="AO419" i="1"/>
  <c r="AP419" i="1"/>
  <c r="AQ419" i="1"/>
  <c r="AR419" i="1"/>
  <c r="AS419" i="1"/>
  <c r="AM420" i="1"/>
  <c r="AN420" i="1"/>
  <c r="AO420" i="1"/>
  <c r="AP420" i="1"/>
  <c r="AQ420" i="1"/>
  <c r="AR420" i="1"/>
  <c r="AS420" i="1"/>
  <c r="AM421" i="1"/>
  <c r="AN421" i="1"/>
  <c r="AO421" i="1"/>
  <c r="AP421" i="1"/>
  <c r="AQ421" i="1"/>
  <c r="AR421" i="1"/>
  <c r="AS421" i="1"/>
  <c r="AM422" i="1"/>
  <c r="AN422" i="1"/>
  <c r="AO422" i="1"/>
  <c r="AP422" i="1"/>
  <c r="AQ422" i="1"/>
  <c r="AR422" i="1"/>
  <c r="AS422" i="1"/>
  <c r="AM423" i="1"/>
  <c r="AN423" i="1"/>
  <c r="AO423" i="1"/>
  <c r="AP423" i="1"/>
  <c r="AQ423" i="1"/>
  <c r="AR423" i="1"/>
  <c r="AS423" i="1"/>
  <c r="AM424" i="1"/>
  <c r="AN424" i="1"/>
  <c r="AO424" i="1"/>
  <c r="AP424" i="1"/>
  <c r="AQ424" i="1"/>
  <c r="AR424" i="1"/>
  <c r="AS424" i="1"/>
  <c r="AM425" i="1"/>
  <c r="AN425" i="1"/>
  <c r="AO425" i="1"/>
  <c r="AP425" i="1"/>
  <c r="AQ425" i="1"/>
  <c r="AR425" i="1"/>
  <c r="AS425" i="1"/>
  <c r="AM426" i="1"/>
  <c r="AN426" i="1"/>
  <c r="AO426" i="1"/>
  <c r="AP426" i="1"/>
  <c r="AQ426" i="1"/>
  <c r="AR426" i="1"/>
  <c r="AS426" i="1"/>
  <c r="AM427" i="1"/>
  <c r="AN427" i="1"/>
  <c r="AO427" i="1"/>
  <c r="AP427" i="1"/>
  <c r="AQ427" i="1"/>
  <c r="AR427" i="1"/>
  <c r="AS427" i="1"/>
  <c r="AM428" i="1"/>
  <c r="AN428" i="1"/>
  <c r="AO428" i="1"/>
  <c r="AP428" i="1"/>
  <c r="AQ428" i="1"/>
  <c r="AR428" i="1"/>
  <c r="AS428" i="1"/>
  <c r="AM429" i="1"/>
  <c r="AN429" i="1"/>
  <c r="AO429" i="1"/>
  <c r="AP429" i="1"/>
  <c r="AQ429" i="1"/>
  <c r="AR429" i="1"/>
  <c r="AS429" i="1"/>
  <c r="AM430" i="1"/>
  <c r="AN430" i="1"/>
  <c r="AO430" i="1"/>
  <c r="AP430" i="1"/>
  <c r="AQ430" i="1"/>
  <c r="AR430" i="1"/>
  <c r="AS430" i="1"/>
  <c r="AM431" i="1"/>
  <c r="AN431" i="1"/>
  <c r="AO431" i="1"/>
  <c r="AP431" i="1"/>
  <c r="AQ431" i="1"/>
  <c r="AR431" i="1"/>
  <c r="AS431" i="1"/>
  <c r="AM432" i="1"/>
  <c r="AN432" i="1"/>
  <c r="AO432" i="1"/>
  <c r="AP432" i="1"/>
  <c r="AQ432" i="1"/>
  <c r="AR432" i="1"/>
  <c r="AS432" i="1"/>
  <c r="AM433" i="1"/>
  <c r="AN433" i="1"/>
  <c r="AO433" i="1"/>
  <c r="AP433" i="1"/>
  <c r="AQ433" i="1"/>
  <c r="AR433" i="1"/>
  <c r="AS433" i="1"/>
  <c r="AM434" i="1"/>
  <c r="AN434" i="1"/>
  <c r="AO434" i="1"/>
  <c r="AP434" i="1"/>
  <c r="AQ434" i="1"/>
  <c r="AR434" i="1"/>
  <c r="AS434" i="1"/>
  <c r="AM435" i="1"/>
  <c r="AN435" i="1"/>
  <c r="AO435" i="1"/>
  <c r="AP435" i="1"/>
  <c r="AQ435" i="1"/>
  <c r="AR435" i="1"/>
  <c r="AS435" i="1"/>
  <c r="AM436" i="1"/>
  <c r="AN436" i="1"/>
  <c r="AO436" i="1"/>
  <c r="AP436" i="1"/>
  <c r="AQ436" i="1"/>
  <c r="AR436" i="1"/>
  <c r="AS436" i="1"/>
  <c r="AM437" i="1"/>
  <c r="AN437" i="1"/>
  <c r="AO437" i="1"/>
  <c r="AP437" i="1"/>
  <c r="AQ437" i="1"/>
  <c r="AR437" i="1"/>
  <c r="AS437" i="1"/>
  <c r="AM438" i="1"/>
  <c r="AN438" i="1"/>
  <c r="AO438" i="1"/>
  <c r="AP438" i="1"/>
  <c r="AQ438" i="1"/>
  <c r="AR438" i="1"/>
  <c r="AS438" i="1"/>
  <c r="AM439" i="1"/>
  <c r="AN439" i="1"/>
  <c r="AO439" i="1"/>
  <c r="AP439" i="1"/>
  <c r="AQ439" i="1"/>
  <c r="AR439" i="1"/>
  <c r="AS439" i="1"/>
  <c r="AM440" i="1"/>
  <c r="AN440" i="1"/>
  <c r="AO440" i="1"/>
  <c r="AP440" i="1"/>
  <c r="AQ440" i="1"/>
  <c r="AR440" i="1"/>
  <c r="AS440" i="1"/>
  <c r="AM441" i="1"/>
  <c r="AN441" i="1"/>
  <c r="AO441" i="1"/>
  <c r="AP441" i="1"/>
  <c r="AQ441" i="1"/>
  <c r="AR441" i="1"/>
  <c r="AS441" i="1"/>
  <c r="AM442" i="1"/>
  <c r="AN442" i="1"/>
  <c r="AO442" i="1"/>
  <c r="AP442" i="1"/>
  <c r="AQ442" i="1"/>
  <c r="AR442" i="1"/>
  <c r="AS442" i="1"/>
  <c r="AM443" i="1"/>
  <c r="AN443" i="1"/>
  <c r="AO443" i="1"/>
  <c r="AP443" i="1"/>
  <c r="AQ443" i="1"/>
  <c r="AR443" i="1"/>
  <c r="AS443" i="1"/>
  <c r="AM444" i="1"/>
  <c r="AN444" i="1"/>
  <c r="AO444" i="1"/>
  <c r="AP444" i="1"/>
  <c r="AQ444" i="1"/>
  <c r="AR444" i="1"/>
  <c r="AS444" i="1"/>
  <c r="AM445" i="1"/>
  <c r="AN445" i="1"/>
  <c r="AO445" i="1"/>
  <c r="AP445" i="1"/>
  <c r="AQ445" i="1"/>
  <c r="AR445" i="1"/>
  <c r="AS445" i="1"/>
  <c r="AM446" i="1"/>
  <c r="AN446" i="1"/>
  <c r="AO446" i="1"/>
  <c r="AP446" i="1"/>
  <c r="AQ446" i="1"/>
  <c r="AR446" i="1"/>
  <c r="AS446" i="1"/>
  <c r="AM447" i="1"/>
  <c r="AN447" i="1"/>
  <c r="AO447" i="1"/>
  <c r="AP447" i="1"/>
  <c r="AQ447" i="1"/>
  <c r="AR447" i="1"/>
  <c r="AS447" i="1"/>
  <c r="AM448" i="1"/>
  <c r="AN448" i="1"/>
  <c r="AO448" i="1"/>
  <c r="AP448" i="1"/>
  <c r="AQ448" i="1"/>
  <c r="AR448" i="1"/>
  <c r="AS448" i="1"/>
  <c r="AM449" i="1"/>
  <c r="AN449" i="1"/>
  <c r="AO449" i="1"/>
  <c r="AP449" i="1"/>
  <c r="AQ449" i="1"/>
  <c r="AR449" i="1"/>
  <c r="AS449" i="1"/>
  <c r="AM450" i="1"/>
  <c r="AN450" i="1"/>
  <c r="AO450" i="1"/>
  <c r="AP450" i="1"/>
  <c r="AQ450" i="1"/>
  <c r="AR450" i="1"/>
  <c r="AS450" i="1"/>
  <c r="AM451" i="1"/>
  <c r="AN451" i="1"/>
  <c r="AO451" i="1"/>
  <c r="AP451" i="1"/>
  <c r="AQ451" i="1"/>
  <c r="AR451" i="1"/>
  <c r="AS451" i="1"/>
  <c r="AM452" i="1"/>
  <c r="AN452" i="1"/>
  <c r="AO452" i="1"/>
  <c r="AP452" i="1"/>
  <c r="AQ452" i="1"/>
  <c r="AR452" i="1"/>
  <c r="AS452" i="1"/>
  <c r="AM453" i="1"/>
  <c r="AN453" i="1"/>
  <c r="AO453" i="1"/>
  <c r="AP453" i="1"/>
  <c r="AQ453" i="1"/>
  <c r="AR453" i="1"/>
  <c r="AS453" i="1"/>
  <c r="AM454" i="1"/>
  <c r="AN454" i="1"/>
  <c r="AO454" i="1"/>
  <c r="AP454" i="1"/>
  <c r="AQ454" i="1"/>
  <c r="AR454" i="1"/>
  <c r="AS454" i="1"/>
  <c r="AM455" i="1"/>
  <c r="AN455" i="1"/>
  <c r="AO455" i="1"/>
  <c r="AP455" i="1"/>
  <c r="AQ455" i="1"/>
  <c r="AR455" i="1"/>
  <c r="AS455" i="1"/>
  <c r="AM456" i="1"/>
  <c r="AN456" i="1"/>
  <c r="AO456" i="1"/>
  <c r="AP456" i="1"/>
  <c r="AQ456" i="1"/>
  <c r="AR456" i="1"/>
  <c r="AS456" i="1"/>
  <c r="AM457" i="1"/>
  <c r="AN457" i="1"/>
  <c r="AO457" i="1"/>
  <c r="AP457" i="1"/>
  <c r="AQ457" i="1"/>
  <c r="AR457" i="1"/>
  <c r="AS457" i="1"/>
  <c r="AM458" i="1"/>
  <c r="AN458" i="1"/>
  <c r="AO458" i="1"/>
  <c r="AP458" i="1"/>
  <c r="AQ458" i="1"/>
  <c r="AR458" i="1"/>
  <c r="AS458" i="1"/>
  <c r="AM459" i="1"/>
  <c r="AN459" i="1"/>
  <c r="AO459" i="1"/>
  <c r="AP459" i="1"/>
  <c r="AQ459" i="1"/>
  <c r="AR459" i="1"/>
  <c r="AS459" i="1"/>
  <c r="AM460" i="1"/>
  <c r="AN460" i="1"/>
  <c r="AO460" i="1"/>
  <c r="AP460" i="1"/>
  <c r="AQ460" i="1"/>
  <c r="AR460" i="1"/>
  <c r="AS460" i="1"/>
  <c r="AM461" i="1"/>
  <c r="AN461" i="1"/>
  <c r="AO461" i="1"/>
  <c r="AP461" i="1"/>
  <c r="AQ461" i="1"/>
  <c r="AR461" i="1"/>
  <c r="AS461" i="1"/>
  <c r="AM462" i="1"/>
  <c r="AN462" i="1"/>
  <c r="AO462" i="1"/>
  <c r="AP462" i="1"/>
  <c r="AQ462" i="1"/>
  <c r="AR462" i="1"/>
  <c r="AS462" i="1"/>
  <c r="AM463" i="1"/>
  <c r="AN463" i="1"/>
  <c r="AO463" i="1"/>
  <c r="AP463" i="1"/>
  <c r="AQ463" i="1"/>
  <c r="AR463" i="1"/>
  <c r="AS463" i="1"/>
  <c r="AM464" i="1"/>
  <c r="AN464" i="1"/>
  <c r="AO464" i="1"/>
  <c r="AP464" i="1"/>
  <c r="AQ464" i="1"/>
  <c r="AR464" i="1"/>
  <c r="AS464" i="1"/>
  <c r="AM465" i="1"/>
  <c r="AN465" i="1"/>
  <c r="AO465" i="1"/>
  <c r="AP465" i="1"/>
  <c r="AQ465" i="1"/>
  <c r="AR465" i="1"/>
  <c r="AS465" i="1"/>
  <c r="AM466" i="1"/>
  <c r="AN466" i="1"/>
  <c r="AO466" i="1"/>
  <c r="AP466" i="1"/>
  <c r="AQ466" i="1"/>
  <c r="AR466" i="1"/>
  <c r="AS466" i="1"/>
  <c r="AM467" i="1"/>
  <c r="AN467" i="1"/>
  <c r="AO467" i="1"/>
  <c r="AP467" i="1"/>
  <c r="AQ467" i="1"/>
  <c r="AR467" i="1"/>
  <c r="AS467" i="1"/>
  <c r="AM468" i="1"/>
  <c r="AN468" i="1"/>
  <c r="AO468" i="1"/>
  <c r="AP468" i="1"/>
  <c r="AQ468" i="1"/>
  <c r="AR468" i="1"/>
  <c r="AS468" i="1"/>
  <c r="AM469" i="1"/>
  <c r="AN469" i="1"/>
  <c r="AO469" i="1"/>
  <c r="AP469" i="1"/>
  <c r="AQ469" i="1"/>
  <c r="AR469" i="1"/>
  <c r="AS469" i="1"/>
  <c r="AM470" i="1"/>
  <c r="AN470" i="1"/>
  <c r="AO470" i="1"/>
  <c r="AP470" i="1"/>
  <c r="AQ470" i="1"/>
  <c r="AR470" i="1"/>
  <c r="AS470" i="1"/>
  <c r="AM471" i="1"/>
  <c r="AN471" i="1"/>
  <c r="AO471" i="1"/>
  <c r="AP471" i="1"/>
  <c r="AQ471" i="1"/>
  <c r="AR471" i="1"/>
  <c r="AS471" i="1"/>
  <c r="AM472" i="1"/>
  <c r="AN472" i="1"/>
  <c r="AO472" i="1"/>
  <c r="AP472" i="1"/>
  <c r="AQ472" i="1"/>
  <c r="AR472" i="1"/>
  <c r="AS472" i="1"/>
  <c r="AM473" i="1"/>
  <c r="AN473" i="1"/>
  <c r="AO473" i="1"/>
  <c r="AP473" i="1"/>
  <c r="AQ473" i="1"/>
  <c r="AR473" i="1"/>
  <c r="AS473" i="1"/>
  <c r="AM474" i="1"/>
  <c r="AN474" i="1"/>
  <c r="AO474" i="1"/>
  <c r="AP474" i="1"/>
  <c r="AQ474" i="1"/>
  <c r="AR474" i="1"/>
  <c r="AS474" i="1"/>
  <c r="AM475" i="1"/>
  <c r="AN475" i="1"/>
  <c r="AO475" i="1"/>
  <c r="AP475" i="1"/>
  <c r="AQ475" i="1"/>
  <c r="AR475" i="1"/>
  <c r="AS475" i="1"/>
  <c r="AM476" i="1"/>
  <c r="AN476" i="1"/>
  <c r="AO476" i="1"/>
  <c r="AP476" i="1"/>
  <c r="AQ476" i="1"/>
  <c r="AR476" i="1"/>
  <c r="AS476" i="1"/>
  <c r="AM477" i="1"/>
  <c r="AN477" i="1"/>
  <c r="AO477" i="1"/>
  <c r="AP477" i="1"/>
  <c r="AQ477" i="1"/>
  <c r="AR477" i="1"/>
  <c r="AS477" i="1"/>
  <c r="AM478" i="1"/>
  <c r="AN478" i="1"/>
  <c r="AO478" i="1"/>
  <c r="AP478" i="1"/>
  <c r="AQ478" i="1"/>
  <c r="AR478" i="1"/>
  <c r="AS478" i="1"/>
  <c r="AM479" i="1"/>
  <c r="AN479" i="1"/>
  <c r="AO479" i="1"/>
  <c r="AP479" i="1"/>
  <c r="AQ479" i="1"/>
  <c r="AR479" i="1"/>
  <c r="AS479" i="1"/>
  <c r="AM480" i="1"/>
  <c r="AN480" i="1"/>
  <c r="AO480" i="1"/>
  <c r="AP480" i="1"/>
  <c r="AQ480" i="1"/>
  <c r="AR480" i="1"/>
  <c r="AS480" i="1"/>
  <c r="AM481" i="1"/>
  <c r="AN481" i="1"/>
  <c r="AO481" i="1"/>
  <c r="AP481" i="1"/>
  <c r="AQ481" i="1"/>
  <c r="AR481" i="1"/>
  <c r="AS481" i="1"/>
  <c r="AM482" i="1"/>
  <c r="AN482" i="1"/>
  <c r="AO482" i="1"/>
  <c r="AP482" i="1"/>
  <c r="AQ482" i="1"/>
  <c r="AR482" i="1"/>
  <c r="AS482" i="1"/>
  <c r="AM483" i="1"/>
  <c r="AN483" i="1"/>
  <c r="AO483" i="1"/>
  <c r="AP483" i="1"/>
  <c r="AQ483" i="1"/>
  <c r="AR483" i="1"/>
  <c r="AS483" i="1"/>
  <c r="AM484" i="1"/>
  <c r="AN484" i="1"/>
  <c r="AO484" i="1"/>
  <c r="AP484" i="1"/>
  <c r="AQ484" i="1"/>
  <c r="AR484" i="1"/>
  <c r="AS484" i="1"/>
  <c r="AM485" i="1"/>
  <c r="AN485" i="1"/>
  <c r="AO485" i="1"/>
  <c r="AP485" i="1"/>
  <c r="AQ485" i="1"/>
  <c r="AR485" i="1"/>
  <c r="AS485" i="1"/>
  <c r="AM486" i="1"/>
  <c r="AN486" i="1"/>
  <c r="AO486" i="1"/>
  <c r="AP486" i="1"/>
  <c r="AQ486" i="1"/>
  <c r="AR486" i="1"/>
  <c r="AS486" i="1"/>
  <c r="AM487" i="1"/>
  <c r="AN487" i="1"/>
  <c r="AO487" i="1"/>
  <c r="AP487" i="1"/>
  <c r="AQ487" i="1"/>
  <c r="AR487" i="1"/>
  <c r="AS487" i="1"/>
  <c r="AM488" i="1"/>
  <c r="AN488" i="1"/>
  <c r="AO488" i="1"/>
  <c r="AP488" i="1"/>
  <c r="AQ488" i="1"/>
  <c r="AR488" i="1"/>
  <c r="AS488" i="1"/>
  <c r="AM489" i="1"/>
  <c r="AN489" i="1"/>
  <c r="AO489" i="1"/>
  <c r="AP489" i="1"/>
  <c r="AQ489" i="1"/>
  <c r="AR489" i="1"/>
  <c r="AS489" i="1"/>
  <c r="AM490" i="1"/>
  <c r="AN490" i="1"/>
  <c r="AO490" i="1"/>
  <c r="AP490" i="1"/>
  <c r="AQ490" i="1"/>
  <c r="AR490" i="1"/>
  <c r="AS490" i="1"/>
  <c r="AM491" i="1"/>
  <c r="AN491" i="1"/>
  <c r="AO491" i="1"/>
  <c r="AP491" i="1"/>
  <c r="AQ491" i="1"/>
  <c r="AR491" i="1"/>
  <c r="AS491" i="1"/>
  <c r="AM492" i="1"/>
  <c r="AN492" i="1"/>
  <c r="AO492" i="1"/>
  <c r="AP492" i="1"/>
  <c r="AQ492" i="1"/>
  <c r="AR492" i="1"/>
  <c r="AS492" i="1"/>
  <c r="AM493" i="1"/>
  <c r="AN493" i="1"/>
  <c r="AO493" i="1"/>
  <c r="AP493" i="1"/>
  <c r="AQ493" i="1"/>
  <c r="AR493" i="1"/>
  <c r="AS493" i="1"/>
  <c r="AM494" i="1"/>
  <c r="AN494" i="1"/>
  <c r="AO494" i="1"/>
  <c r="AP494" i="1"/>
  <c r="AQ494" i="1"/>
  <c r="AR494" i="1"/>
  <c r="AS494" i="1"/>
  <c r="AM495" i="1"/>
  <c r="AN495" i="1"/>
  <c r="AO495" i="1"/>
  <c r="AP495" i="1"/>
  <c r="AQ495" i="1"/>
  <c r="AR495" i="1"/>
  <c r="AS495" i="1"/>
  <c r="AM496" i="1"/>
  <c r="AN496" i="1"/>
  <c r="AO496" i="1"/>
  <c r="AP496" i="1"/>
  <c r="AQ496" i="1"/>
  <c r="AR496" i="1"/>
  <c r="AS496" i="1"/>
  <c r="AM497" i="1"/>
  <c r="AN497" i="1"/>
  <c r="AO497" i="1"/>
  <c r="AP497" i="1"/>
  <c r="AQ497" i="1"/>
  <c r="AR497" i="1"/>
  <c r="AS497" i="1"/>
  <c r="AM498" i="1"/>
  <c r="AN498" i="1"/>
  <c r="AO498" i="1"/>
  <c r="AP498" i="1"/>
  <c r="AQ498" i="1"/>
  <c r="AR498" i="1"/>
  <c r="AS498" i="1"/>
  <c r="AM499" i="1"/>
  <c r="AN499" i="1"/>
  <c r="AO499" i="1"/>
  <c r="AP499" i="1"/>
  <c r="AQ499" i="1"/>
  <c r="AR499" i="1"/>
  <c r="AS499" i="1"/>
  <c r="AM500" i="1"/>
  <c r="AN500" i="1"/>
  <c r="AO500" i="1"/>
  <c r="AP500" i="1"/>
  <c r="AQ500" i="1"/>
  <c r="AR500" i="1"/>
  <c r="AS500" i="1"/>
  <c r="AM501" i="1"/>
  <c r="AN501" i="1"/>
  <c r="AO501" i="1"/>
  <c r="AP501" i="1"/>
  <c r="AQ501" i="1"/>
  <c r="AR501" i="1"/>
  <c r="AS501" i="1"/>
  <c r="AM502" i="1"/>
  <c r="AN502" i="1"/>
  <c r="AO502" i="1"/>
  <c r="AP502" i="1"/>
  <c r="AQ502" i="1"/>
  <c r="AR502" i="1"/>
  <c r="AS502" i="1"/>
  <c r="AM503" i="1"/>
  <c r="AN503" i="1"/>
  <c r="AO503" i="1"/>
  <c r="AP503" i="1"/>
  <c r="AQ503" i="1"/>
  <c r="AR503" i="1"/>
  <c r="AS503" i="1"/>
  <c r="AM504" i="1"/>
  <c r="AN504" i="1"/>
  <c r="AO504" i="1"/>
  <c r="AP504" i="1"/>
  <c r="AQ504" i="1"/>
  <c r="AR504" i="1"/>
  <c r="AS504" i="1"/>
  <c r="AM505" i="1"/>
  <c r="AN505" i="1"/>
  <c r="AO505" i="1"/>
  <c r="AP505" i="1"/>
  <c r="AQ505" i="1"/>
  <c r="AR505" i="1"/>
  <c r="AS505" i="1"/>
  <c r="AM506" i="1"/>
  <c r="AN506" i="1"/>
  <c r="AO506" i="1"/>
  <c r="AP506" i="1"/>
  <c r="AQ506" i="1"/>
  <c r="AR506" i="1"/>
  <c r="AS506" i="1"/>
  <c r="AM507" i="1"/>
  <c r="AN507" i="1"/>
  <c r="AO507" i="1"/>
  <c r="AP507" i="1"/>
  <c r="AQ507" i="1"/>
  <c r="AR507" i="1"/>
  <c r="AS507" i="1"/>
  <c r="AM508" i="1"/>
  <c r="AN508" i="1"/>
  <c r="AO508" i="1"/>
  <c r="AP508" i="1"/>
  <c r="AQ508" i="1"/>
  <c r="AR508" i="1"/>
  <c r="AS508" i="1"/>
  <c r="AM509" i="1"/>
  <c r="AN509" i="1"/>
  <c r="AO509" i="1"/>
  <c r="AP509" i="1"/>
  <c r="AQ509" i="1"/>
  <c r="AR509" i="1"/>
  <c r="AS509" i="1"/>
  <c r="AM510" i="1"/>
  <c r="AN510" i="1"/>
  <c r="AO510" i="1"/>
  <c r="AP510" i="1"/>
  <c r="AQ510" i="1"/>
  <c r="AR510" i="1"/>
  <c r="AS510" i="1"/>
  <c r="AM511" i="1"/>
  <c r="AN511" i="1"/>
  <c r="AO511" i="1"/>
  <c r="AP511" i="1"/>
  <c r="AQ511" i="1"/>
  <c r="AR511" i="1"/>
  <c r="AS511" i="1"/>
  <c r="AM512" i="1"/>
  <c r="AN512" i="1"/>
  <c r="AO512" i="1"/>
  <c r="AP512" i="1"/>
  <c r="AQ512" i="1"/>
  <c r="AR512" i="1"/>
  <c r="AS512" i="1"/>
  <c r="AM513" i="1"/>
  <c r="AN513" i="1"/>
  <c r="AO513" i="1"/>
  <c r="AP513" i="1"/>
  <c r="AQ513" i="1"/>
  <c r="AR513" i="1"/>
  <c r="AS513" i="1"/>
  <c r="AM514" i="1"/>
  <c r="AN514" i="1"/>
  <c r="AO514" i="1"/>
  <c r="AP514" i="1"/>
  <c r="AQ514" i="1"/>
  <c r="AR514" i="1"/>
  <c r="AS514" i="1"/>
  <c r="AM515" i="1"/>
  <c r="AN515" i="1"/>
  <c r="AO515" i="1"/>
  <c r="AP515" i="1"/>
  <c r="AQ515" i="1"/>
  <c r="AR515" i="1"/>
  <c r="AS515" i="1"/>
  <c r="AM516" i="1"/>
  <c r="AN516" i="1"/>
  <c r="AO516" i="1"/>
  <c r="AP516" i="1"/>
  <c r="AQ516" i="1"/>
  <c r="AR516" i="1"/>
  <c r="AS516" i="1"/>
  <c r="AM517" i="1"/>
  <c r="AN517" i="1"/>
  <c r="AO517" i="1"/>
  <c r="AP517" i="1"/>
  <c r="AQ517" i="1"/>
  <c r="AR517" i="1"/>
  <c r="AS517" i="1"/>
  <c r="AM518" i="1"/>
  <c r="AN518" i="1"/>
  <c r="AO518" i="1"/>
  <c r="AP518" i="1"/>
  <c r="AQ518" i="1"/>
  <c r="AR518" i="1"/>
  <c r="AS518" i="1"/>
  <c r="AM519" i="1"/>
  <c r="AN519" i="1"/>
  <c r="AO519" i="1"/>
  <c r="AP519" i="1"/>
  <c r="AQ519" i="1"/>
  <c r="AR519" i="1"/>
  <c r="AS519" i="1"/>
  <c r="AM520" i="1"/>
  <c r="AN520" i="1"/>
  <c r="AO520" i="1"/>
  <c r="AP520" i="1"/>
  <c r="AQ520" i="1"/>
  <c r="AR520" i="1"/>
  <c r="AS520" i="1"/>
  <c r="AM521" i="1"/>
  <c r="AN521" i="1"/>
  <c r="AO521" i="1"/>
  <c r="AP521" i="1"/>
  <c r="AQ521" i="1"/>
  <c r="AR521" i="1"/>
  <c r="AS521" i="1"/>
  <c r="AM522" i="1"/>
  <c r="AN522" i="1"/>
  <c r="AO522" i="1"/>
  <c r="AP522" i="1"/>
  <c r="AQ522" i="1"/>
  <c r="AR522" i="1"/>
  <c r="AS522" i="1"/>
  <c r="AM523" i="1"/>
  <c r="AN523" i="1"/>
  <c r="AO523" i="1"/>
  <c r="AP523" i="1"/>
  <c r="AQ523" i="1"/>
  <c r="AR523" i="1"/>
  <c r="AS523" i="1"/>
  <c r="AM524" i="1"/>
  <c r="AN524" i="1"/>
  <c r="AO524" i="1"/>
  <c r="AP524" i="1"/>
  <c r="AQ524" i="1"/>
  <c r="AR524" i="1"/>
  <c r="AS524" i="1"/>
  <c r="AM525" i="1"/>
  <c r="AN525" i="1"/>
  <c r="AO525" i="1"/>
  <c r="AP525" i="1"/>
  <c r="AQ525" i="1"/>
  <c r="AR525" i="1"/>
  <c r="AS525" i="1"/>
  <c r="AM526" i="1"/>
  <c r="AN526" i="1"/>
  <c r="AO526" i="1"/>
  <c r="AP526" i="1"/>
  <c r="AQ526" i="1"/>
  <c r="AR526" i="1"/>
  <c r="AS526" i="1"/>
  <c r="AM527" i="1"/>
  <c r="AN527" i="1"/>
  <c r="AO527" i="1"/>
  <c r="AP527" i="1"/>
  <c r="AQ527" i="1"/>
  <c r="AR527" i="1"/>
  <c r="AS527" i="1"/>
  <c r="AM528" i="1"/>
  <c r="AN528" i="1"/>
  <c r="AO528" i="1"/>
  <c r="AP528" i="1"/>
  <c r="AQ528" i="1"/>
  <c r="AR528" i="1"/>
  <c r="AS528" i="1"/>
  <c r="AM529" i="1"/>
  <c r="AN529" i="1"/>
  <c r="AO529" i="1"/>
  <c r="AP529" i="1"/>
  <c r="AQ529" i="1"/>
  <c r="AR529" i="1"/>
  <c r="AS529" i="1"/>
  <c r="AM530" i="1"/>
  <c r="AN530" i="1"/>
  <c r="AO530" i="1"/>
  <c r="AP530" i="1"/>
  <c r="AQ530" i="1"/>
  <c r="AR530" i="1"/>
  <c r="AS530" i="1"/>
  <c r="AM531" i="1"/>
  <c r="AN531" i="1"/>
  <c r="AO531" i="1"/>
  <c r="AP531" i="1"/>
  <c r="AQ531" i="1"/>
  <c r="AR531" i="1"/>
  <c r="AS531" i="1"/>
  <c r="AM532" i="1"/>
  <c r="AN532" i="1"/>
  <c r="AO532" i="1"/>
  <c r="AP532" i="1"/>
  <c r="AQ532" i="1"/>
  <c r="AR532" i="1"/>
  <c r="AS532" i="1"/>
  <c r="AM533" i="1"/>
  <c r="AN533" i="1"/>
  <c r="AO533" i="1"/>
  <c r="AP533" i="1"/>
  <c r="AQ533" i="1"/>
  <c r="AR533" i="1"/>
  <c r="AS533" i="1"/>
  <c r="AM534" i="1"/>
  <c r="AN534" i="1"/>
  <c r="AO534" i="1"/>
  <c r="AP534" i="1"/>
  <c r="AQ534" i="1"/>
  <c r="AR534" i="1"/>
  <c r="AS534" i="1"/>
  <c r="AM535" i="1"/>
  <c r="AN535" i="1"/>
  <c r="AO535" i="1"/>
  <c r="AP535" i="1"/>
  <c r="AQ535" i="1"/>
  <c r="AR535" i="1"/>
  <c r="AS535" i="1"/>
  <c r="AM536" i="1"/>
  <c r="AN536" i="1"/>
  <c r="AO536" i="1"/>
  <c r="AP536" i="1"/>
  <c r="AQ536" i="1"/>
  <c r="AR536" i="1"/>
  <c r="AS536" i="1"/>
  <c r="AM537" i="1"/>
  <c r="AN537" i="1"/>
  <c r="AO537" i="1"/>
  <c r="AP537" i="1"/>
  <c r="AQ537" i="1"/>
  <c r="AR537" i="1"/>
  <c r="AS537" i="1"/>
  <c r="AM538" i="1"/>
  <c r="AN538" i="1"/>
  <c r="AO538" i="1"/>
  <c r="AP538" i="1"/>
  <c r="AQ538" i="1"/>
  <c r="AR538" i="1"/>
  <c r="AS538" i="1"/>
  <c r="AM539" i="1"/>
  <c r="AN539" i="1"/>
  <c r="AO539" i="1"/>
  <c r="AP539" i="1"/>
  <c r="AQ539" i="1"/>
  <c r="AR539" i="1"/>
  <c r="AS539" i="1"/>
  <c r="AM540" i="1"/>
  <c r="AN540" i="1"/>
  <c r="AO540" i="1"/>
  <c r="AP540" i="1"/>
  <c r="AQ540" i="1"/>
  <c r="AR540" i="1"/>
  <c r="AS540" i="1"/>
  <c r="AM541" i="1"/>
  <c r="AN541" i="1"/>
  <c r="AO541" i="1"/>
  <c r="AP541" i="1"/>
  <c r="AQ541" i="1"/>
  <c r="AR541" i="1"/>
  <c r="AS541" i="1"/>
  <c r="AM542" i="1"/>
  <c r="AN542" i="1"/>
  <c r="AO542" i="1"/>
  <c r="AP542" i="1"/>
  <c r="AQ542" i="1"/>
  <c r="AR542" i="1"/>
  <c r="AS542" i="1"/>
  <c r="AM543" i="1"/>
  <c r="AN543" i="1"/>
  <c r="AO543" i="1"/>
  <c r="AP543" i="1"/>
  <c r="AQ543" i="1"/>
  <c r="AR543" i="1"/>
  <c r="AS543" i="1"/>
  <c r="AM544" i="1"/>
  <c r="AN544" i="1"/>
  <c r="AO544" i="1"/>
  <c r="AP544" i="1"/>
  <c r="AQ544" i="1"/>
  <c r="AR544" i="1"/>
  <c r="AS544" i="1"/>
  <c r="AM545" i="1"/>
  <c r="AN545" i="1"/>
  <c r="AO545" i="1"/>
  <c r="AP545" i="1"/>
  <c r="AQ545" i="1"/>
  <c r="AR545" i="1"/>
  <c r="AS545" i="1"/>
  <c r="AM546" i="1"/>
  <c r="AN546" i="1"/>
  <c r="AO546" i="1"/>
  <c r="AP546" i="1"/>
  <c r="AQ546" i="1"/>
  <c r="AR546" i="1"/>
  <c r="AS546" i="1"/>
  <c r="AM547" i="1"/>
  <c r="AN547" i="1"/>
  <c r="AO547" i="1"/>
  <c r="AP547" i="1"/>
  <c r="AQ547" i="1"/>
  <c r="AR547" i="1"/>
  <c r="AS547" i="1"/>
  <c r="AM548" i="1"/>
  <c r="AN548" i="1"/>
  <c r="AO548" i="1"/>
  <c r="AP548" i="1"/>
  <c r="AQ548" i="1"/>
  <c r="AR548" i="1"/>
  <c r="AS548" i="1"/>
  <c r="AM549" i="1"/>
  <c r="AN549" i="1"/>
  <c r="AO549" i="1"/>
  <c r="AP549" i="1"/>
  <c r="AQ549" i="1"/>
  <c r="AR549" i="1"/>
  <c r="AS549" i="1"/>
  <c r="AM550" i="1"/>
  <c r="AN550" i="1"/>
  <c r="AO550" i="1"/>
  <c r="AP550" i="1"/>
  <c r="AQ550" i="1"/>
  <c r="AR550" i="1"/>
  <c r="AS550" i="1"/>
  <c r="AM551" i="1"/>
  <c r="AN551" i="1"/>
  <c r="AO551" i="1"/>
  <c r="AP551" i="1"/>
  <c r="AQ551" i="1"/>
  <c r="AR551" i="1"/>
  <c r="AS551" i="1"/>
  <c r="AM552" i="1"/>
  <c r="AN552" i="1"/>
  <c r="AO552" i="1"/>
  <c r="AP552" i="1"/>
  <c r="AQ552" i="1"/>
  <c r="AR552" i="1"/>
  <c r="AS552" i="1"/>
  <c r="AM553" i="1"/>
  <c r="AN553" i="1"/>
  <c r="AO553" i="1"/>
  <c r="AP553" i="1"/>
  <c r="AQ553" i="1"/>
  <c r="AR553" i="1"/>
  <c r="AS553" i="1"/>
  <c r="AM554" i="1"/>
  <c r="AN554" i="1"/>
  <c r="AO554" i="1"/>
  <c r="AP554" i="1"/>
  <c r="AQ554" i="1"/>
  <c r="AR554" i="1"/>
  <c r="AS554" i="1"/>
  <c r="AM555" i="1"/>
  <c r="AN555" i="1"/>
  <c r="AO555" i="1"/>
  <c r="AP555" i="1"/>
  <c r="AQ555" i="1"/>
  <c r="AR555" i="1"/>
  <c r="AS555" i="1"/>
  <c r="AM556" i="1"/>
  <c r="AN556" i="1"/>
  <c r="AO556" i="1"/>
  <c r="AP556" i="1"/>
  <c r="AQ556" i="1"/>
  <c r="AR556" i="1"/>
  <c r="AS556" i="1"/>
  <c r="AM557" i="1"/>
  <c r="AN557" i="1"/>
  <c r="AO557" i="1"/>
  <c r="AP557" i="1"/>
  <c r="AQ557" i="1"/>
  <c r="AR557" i="1"/>
  <c r="AS557" i="1"/>
  <c r="AM558" i="1"/>
  <c r="AN558" i="1"/>
  <c r="AO558" i="1"/>
  <c r="AP558" i="1"/>
  <c r="AQ558" i="1"/>
  <c r="AR558" i="1"/>
  <c r="AS558" i="1"/>
  <c r="AM559" i="1"/>
  <c r="AN559" i="1"/>
  <c r="AO559" i="1"/>
  <c r="AP559" i="1"/>
  <c r="AQ559" i="1"/>
  <c r="AR559" i="1"/>
  <c r="AS559" i="1"/>
  <c r="AM560" i="1"/>
  <c r="AN560" i="1"/>
  <c r="AO560" i="1"/>
  <c r="AP560" i="1"/>
  <c r="AQ560" i="1"/>
  <c r="AR560" i="1"/>
  <c r="AS560" i="1"/>
  <c r="AM561" i="1"/>
  <c r="AN561" i="1"/>
  <c r="AO561" i="1"/>
  <c r="AP561" i="1"/>
  <c r="AQ561" i="1"/>
  <c r="AR561" i="1"/>
  <c r="AS561" i="1"/>
  <c r="AM562" i="1"/>
  <c r="AN562" i="1"/>
  <c r="AO562" i="1"/>
  <c r="AP562" i="1"/>
  <c r="AQ562" i="1"/>
  <c r="AR562" i="1"/>
  <c r="AS562" i="1"/>
  <c r="AM563" i="1"/>
  <c r="AN563" i="1"/>
  <c r="AO563" i="1"/>
  <c r="AP563" i="1"/>
  <c r="AQ563" i="1"/>
  <c r="AR563" i="1"/>
  <c r="AS563" i="1"/>
  <c r="AM564" i="1"/>
  <c r="AN564" i="1"/>
  <c r="AO564" i="1"/>
  <c r="AP564" i="1"/>
  <c r="AQ564" i="1"/>
  <c r="AR564" i="1"/>
  <c r="AS564" i="1"/>
  <c r="AM565" i="1"/>
  <c r="AN565" i="1"/>
  <c r="AO565" i="1"/>
  <c r="AP565" i="1"/>
  <c r="AQ565" i="1"/>
  <c r="AR565" i="1"/>
  <c r="AS565" i="1"/>
  <c r="AM566" i="1"/>
  <c r="AN566" i="1"/>
  <c r="AO566" i="1"/>
  <c r="AP566" i="1"/>
  <c r="AQ566" i="1"/>
  <c r="AR566" i="1"/>
  <c r="AS566" i="1"/>
  <c r="AM567" i="1"/>
  <c r="AN567" i="1"/>
  <c r="AO567" i="1"/>
  <c r="AP567" i="1"/>
  <c r="AQ567" i="1"/>
  <c r="AR567" i="1"/>
  <c r="AS567" i="1"/>
  <c r="AM568" i="1"/>
  <c r="AN568" i="1"/>
  <c r="AO568" i="1"/>
  <c r="AP568" i="1"/>
  <c r="AQ568" i="1"/>
  <c r="AR568" i="1"/>
  <c r="AS568" i="1"/>
  <c r="AM569" i="1"/>
  <c r="AN569" i="1"/>
  <c r="AO569" i="1"/>
  <c r="AP569" i="1"/>
  <c r="AQ569" i="1"/>
  <c r="AR569" i="1"/>
  <c r="AS569" i="1"/>
  <c r="AM570" i="1"/>
  <c r="AN570" i="1"/>
  <c r="AO570" i="1"/>
  <c r="AP570" i="1"/>
  <c r="AQ570" i="1"/>
  <c r="AR570" i="1"/>
  <c r="AS570" i="1"/>
  <c r="AM571" i="1"/>
  <c r="AN571" i="1"/>
  <c r="AO571" i="1"/>
  <c r="AP571" i="1"/>
  <c r="AQ571" i="1"/>
  <c r="AR571" i="1"/>
  <c r="AS571" i="1"/>
  <c r="AM572" i="1"/>
  <c r="AN572" i="1"/>
  <c r="AO572" i="1"/>
  <c r="AP572" i="1"/>
  <c r="AQ572" i="1"/>
  <c r="AR572" i="1"/>
  <c r="AS572" i="1"/>
  <c r="AM573" i="1"/>
  <c r="AN573" i="1"/>
  <c r="AO573" i="1"/>
  <c r="AP573" i="1"/>
  <c r="AQ573" i="1"/>
  <c r="AR573" i="1"/>
  <c r="AS573" i="1"/>
  <c r="AM574" i="1"/>
  <c r="AN574" i="1"/>
  <c r="AO574" i="1"/>
  <c r="AP574" i="1"/>
  <c r="AQ574" i="1"/>
  <c r="AR574" i="1"/>
  <c r="AS574" i="1"/>
  <c r="AM575" i="1"/>
  <c r="AN575" i="1"/>
  <c r="AO575" i="1"/>
  <c r="AP575" i="1"/>
  <c r="AQ575" i="1"/>
  <c r="AR575" i="1"/>
  <c r="AS575" i="1"/>
  <c r="AM576" i="1"/>
  <c r="AN576" i="1"/>
  <c r="AO576" i="1"/>
  <c r="AP576" i="1"/>
  <c r="AQ576" i="1"/>
  <c r="AR576" i="1"/>
  <c r="AS576" i="1"/>
  <c r="AM577" i="1"/>
  <c r="AN577" i="1"/>
  <c r="AO577" i="1"/>
  <c r="AP577" i="1"/>
  <c r="AQ577" i="1"/>
  <c r="AR577" i="1"/>
  <c r="AS577" i="1"/>
  <c r="AM578" i="1"/>
  <c r="AN578" i="1"/>
  <c r="AO578" i="1"/>
  <c r="AP578" i="1"/>
  <c r="AQ578" i="1"/>
  <c r="AR578" i="1"/>
  <c r="AS578" i="1"/>
  <c r="AM579" i="1"/>
  <c r="AN579" i="1"/>
  <c r="AO579" i="1"/>
  <c r="AP579" i="1"/>
  <c r="AQ579" i="1"/>
  <c r="AR579" i="1"/>
  <c r="AS579" i="1"/>
  <c r="AM580" i="1"/>
  <c r="AN580" i="1"/>
  <c r="AO580" i="1"/>
  <c r="AP580" i="1"/>
  <c r="AQ580" i="1"/>
  <c r="AR580" i="1"/>
  <c r="AS580" i="1"/>
  <c r="AM581" i="1"/>
  <c r="AN581" i="1"/>
  <c r="AO581" i="1"/>
  <c r="AP581" i="1"/>
  <c r="AQ581" i="1"/>
  <c r="AR581" i="1"/>
  <c r="AS581" i="1"/>
  <c r="AM582" i="1"/>
  <c r="AN582" i="1"/>
  <c r="AO582" i="1"/>
  <c r="AP582" i="1"/>
  <c r="AQ582" i="1"/>
  <c r="AR582" i="1"/>
  <c r="AS582" i="1"/>
  <c r="AM583" i="1"/>
  <c r="AN583" i="1"/>
  <c r="AO583" i="1"/>
  <c r="AP583" i="1"/>
  <c r="AQ583" i="1"/>
  <c r="AR583" i="1"/>
  <c r="AS583" i="1"/>
  <c r="AM584" i="1"/>
  <c r="AN584" i="1"/>
  <c r="AO584" i="1"/>
  <c r="AP584" i="1"/>
  <c r="AQ584" i="1"/>
  <c r="AR584" i="1"/>
  <c r="AS584" i="1"/>
  <c r="AM585" i="1"/>
  <c r="AN585" i="1"/>
  <c r="AO585" i="1"/>
  <c r="AP585" i="1"/>
  <c r="AQ585" i="1"/>
  <c r="AR585" i="1"/>
  <c r="AS585" i="1"/>
  <c r="AM586" i="1"/>
  <c r="AN586" i="1"/>
  <c r="AO586" i="1"/>
  <c r="AP586" i="1"/>
  <c r="AQ586" i="1"/>
  <c r="AR586" i="1"/>
  <c r="AS586" i="1"/>
  <c r="AM587" i="1"/>
  <c r="AN587" i="1"/>
  <c r="AO587" i="1"/>
  <c r="AP587" i="1"/>
  <c r="AQ587" i="1"/>
  <c r="AR587" i="1"/>
  <c r="AS587" i="1"/>
  <c r="AM588" i="1"/>
  <c r="AN588" i="1"/>
  <c r="AO588" i="1"/>
  <c r="AP588" i="1"/>
  <c r="AQ588" i="1"/>
  <c r="AR588" i="1"/>
  <c r="AS588" i="1"/>
  <c r="AM589" i="1"/>
  <c r="AN589" i="1"/>
  <c r="AO589" i="1"/>
  <c r="AP589" i="1"/>
  <c r="AQ589" i="1"/>
  <c r="AR589" i="1"/>
  <c r="AS589" i="1"/>
  <c r="AM590" i="1"/>
  <c r="AN590" i="1"/>
  <c r="AO590" i="1"/>
  <c r="AP590" i="1"/>
  <c r="AQ590" i="1"/>
  <c r="AR590" i="1"/>
  <c r="AS590" i="1"/>
  <c r="AM591" i="1"/>
  <c r="AN591" i="1"/>
  <c r="AO591" i="1"/>
  <c r="AP591" i="1"/>
  <c r="AQ591" i="1"/>
  <c r="AR591" i="1"/>
  <c r="AS591" i="1"/>
  <c r="AM592" i="1"/>
  <c r="AN592" i="1"/>
  <c r="AO592" i="1"/>
  <c r="AP592" i="1"/>
  <c r="AQ592" i="1"/>
  <c r="AR592" i="1"/>
  <c r="AS592" i="1"/>
  <c r="AM593" i="1"/>
  <c r="AN593" i="1"/>
  <c r="AO593" i="1"/>
  <c r="AP593" i="1"/>
  <c r="AQ593" i="1"/>
  <c r="AR593" i="1"/>
  <c r="AS593" i="1"/>
  <c r="AM594" i="1"/>
  <c r="AN594" i="1"/>
  <c r="AO594" i="1"/>
  <c r="AP594" i="1"/>
  <c r="AQ594" i="1"/>
  <c r="AR594" i="1"/>
  <c r="AS594" i="1"/>
  <c r="AM595" i="1"/>
  <c r="AN595" i="1"/>
  <c r="AO595" i="1"/>
  <c r="AP595" i="1"/>
  <c r="AQ595" i="1"/>
  <c r="AR595" i="1"/>
  <c r="AS595" i="1"/>
  <c r="AM596" i="1"/>
  <c r="AN596" i="1"/>
  <c r="AO596" i="1"/>
  <c r="AP596" i="1"/>
  <c r="AQ596" i="1"/>
  <c r="AR596" i="1"/>
  <c r="AS596" i="1"/>
  <c r="AM597" i="1"/>
  <c r="AN597" i="1"/>
  <c r="AO597" i="1"/>
  <c r="AP597" i="1"/>
  <c r="AQ597" i="1"/>
  <c r="AR597" i="1"/>
  <c r="AS597" i="1"/>
  <c r="AM598" i="1"/>
  <c r="AN598" i="1"/>
  <c r="AO598" i="1"/>
  <c r="AP598" i="1"/>
  <c r="AQ598" i="1"/>
  <c r="AR598" i="1"/>
  <c r="AS598" i="1"/>
  <c r="AM599" i="1"/>
  <c r="AN599" i="1"/>
  <c r="AO599" i="1"/>
  <c r="AP599" i="1"/>
  <c r="AQ599" i="1"/>
  <c r="AR599" i="1"/>
  <c r="AS599" i="1"/>
  <c r="AM600" i="1"/>
  <c r="AN600" i="1"/>
  <c r="AO600" i="1"/>
  <c r="AP600" i="1"/>
  <c r="AQ600" i="1"/>
  <c r="AR600" i="1"/>
  <c r="AS600" i="1"/>
  <c r="AM601" i="1"/>
  <c r="AN601" i="1"/>
  <c r="AO601" i="1"/>
  <c r="AP601" i="1"/>
  <c r="AQ601" i="1"/>
  <c r="AR601" i="1"/>
  <c r="AS601" i="1"/>
  <c r="AM602" i="1"/>
  <c r="AN602" i="1"/>
  <c r="AO602" i="1"/>
  <c r="AP602" i="1"/>
  <c r="AQ602" i="1"/>
  <c r="AR602" i="1"/>
  <c r="AS602" i="1"/>
  <c r="AM603" i="1"/>
  <c r="AN603" i="1"/>
  <c r="AO603" i="1"/>
  <c r="AP603" i="1"/>
  <c r="AQ603" i="1"/>
  <c r="AR603" i="1"/>
  <c r="AS603" i="1"/>
  <c r="AM604" i="1"/>
  <c r="AN604" i="1"/>
  <c r="AO604" i="1"/>
  <c r="AP604" i="1"/>
  <c r="AQ604" i="1"/>
  <c r="AR604" i="1"/>
  <c r="AS604" i="1"/>
  <c r="AM605" i="1"/>
  <c r="AN605" i="1"/>
  <c r="AO605" i="1"/>
  <c r="AP605" i="1"/>
  <c r="AQ605" i="1"/>
  <c r="AR605" i="1"/>
  <c r="AS605" i="1"/>
  <c r="AM606" i="1"/>
  <c r="AN606" i="1"/>
  <c r="AO606" i="1"/>
  <c r="AP606" i="1"/>
  <c r="AQ606" i="1"/>
  <c r="AR606" i="1"/>
  <c r="AS606" i="1"/>
  <c r="AM607" i="1"/>
  <c r="AN607" i="1"/>
  <c r="AO607" i="1"/>
  <c r="AP607" i="1"/>
  <c r="AQ607" i="1"/>
  <c r="AR607" i="1"/>
  <c r="AS607" i="1"/>
  <c r="AM608" i="1"/>
  <c r="AN608" i="1"/>
  <c r="AO608" i="1"/>
  <c r="AP608" i="1"/>
  <c r="AQ608" i="1"/>
  <c r="AR608" i="1"/>
  <c r="AS608" i="1"/>
  <c r="AM609" i="1"/>
  <c r="AN609" i="1"/>
  <c r="AO609" i="1"/>
  <c r="AP609" i="1"/>
  <c r="AQ609" i="1"/>
  <c r="AR609" i="1"/>
  <c r="AS609" i="1"/>
  <c r="AM610" i="1"/>
  <c r="AN610" i="1"/>
  <c r="AO610" i="1"/>
  <c r="AP610" i="1"/>
  <c r="AQ610" i="1"/>
  <c r="AR610" i="1"/>
  <c r="AS610" i="1"/>
  <c r="AM611" i="1"/>
  <c r="AN611" i="1"/>
  <c r="AO611" i="1"/>
  <c r="AP611" i="1"/>
  <c r="AQ611" i="1"/>
  <c r="AR611" i="1"/>
  <c r="AS611" i="1"/>
  <c r="AM612" i="1"/>
  <c r="AN612" i="1"/>
  <c r="AO612" i="1"/>
  <c r="AP612" i="1"/>
  <c r="AQ612" i="1"/>
  <c r="AR612" i="1"/>
  <c r="AS612" i="1"/>
  <c r="AM613" i="1"/>
  <c r="AN613" i="1"/>
  <c r="AO613" i="1"/>
  <c r="AP613" i="1"/>
  <c r="AQ613" i="1"/>
  <c r="AR613" i="1"/>
  <c r="AS613" i="1"/>
  <c r="AM614" i="1"/>
  <c r="AN614" i="1"/>
  <c r="AO614" i="1"/>
  <c r="AP614" i="1"/>
  <c r="AQ614" i="1"/>
  <c r="AR614" i="1"/>
  <c r="AS614" i="1"/>
  <c r="AM615" i="1"/>
  <c r="AN615" i="1"/>
  <c r="AO615" i="1"/>
  <c r="AP615" i="1"/>
  <c r="AQ615" i="1"/>
  <c r="AR615" i="1"/>
  <c r="AS615" i="1"/>
  <c r="AM616" i="1"/>
  <c r="AN616" i="1"/>
  <c r="AO616" i="1"/>
  <c r="AP616" i="1"/>
  <c r="AQ616" i="1"/>
  <c r="AR616" i="1"/>
  <c r="AS616" i="1"/>
  <c r="AM617" i="1"/>
  <c r="AN617" i="1"/>
  <c r="AO617" i="1"/>
  <c r="AP617" i="1"/>
  <c r="AQ617" i="1"/>
  <c r="AR617" i="1"/>
  <c r="AS617" i="1"/>
  <c r="AM618" i="1"/>
  <c r="AN618" i="1"/>
  <c r="AO618" i="1"/>
  <c r="AP618" i="1"/>
  <c r="AQ618" i="1"/>
  <c r="AR618" i="1"/>
  <c r="AS618" i="1"/>
  <c r="AM619" i="1"/>
  <c r="AN619" i="1"/>
  <c r="AO619" i="1"/>
  <c r="AP619" i="1"/>
  <c r="AQ619" i="1"/>
  <c r="AR619" i="1"/>
  <c r="AS619" i="1"/>
  <c r="AM620" i="1"/>
  <c r="AN620" i="1"/>
  <c r="AO620" i="1"/>
  <c r="AP620" i="1"/>
  <c r="AQ620" i="1"/>
  <c r="AR620" i="1"/>
  <c r="AS620" i="1"/>
  <c r="AM621" i="1"/>
  <c r="AN621" i="1"/>
  <c r="AO621" i="1"/>
  <c r="AP621" i="1"/>
  <c r="AQ621" i="1"/>
  <c r="AR621" i="1"/>
  <c r="AS621" i="1"/>
  <c r="AM622" i="1"/>
  <c r="AN622" i="1"/>
  <c r="AO622" i="1"/>
  <c r="AP622" i="1"/>
  <c r="AQ622" i="1"/>
  <c r="AR622" i="1"/>
  <c r="AS622" i="1"/>
  <c r="AM623" i="1"/>
  <c r="AN623" i="1"/>
  <c r="AO623" i="1"/>
  <c r="AP623" i="1"/>
  <c r="AQ623" i="1"/>
  <c r="AR623" i="1"/>
  <c r="AS623" i="1"/>
  <c r="AM624" i="1"/>
  <c r="AN624" i="1"/>
  <c r="AO624" i="1"/>
  <c r="AP624" i="1"/>
  <c r="AQ624" i="1"/>
  <c r="AR624" i="1"/>
  <c r="AS624" i="1"/>
  <c r="AM625" i="1"/>
  <c r="AN625" i="1"/>
  <c r="AO625" i="1"/>
  <c r="AP625" i="1"/>
  <c r="AQ625" i="1"/>
  <c r="AR625" i="1"/>
  <c r="AS625" i="1"/>
  <c r="AM626" i="1"/>
  <c r="AN626" i="1"/>
  <c r="AO626" i="1"/>
  <c r="AP626" i="1"/>
  <c r="AQ626" i="1"/>
  <c r="AR626" i="1"/>
  <c r="AS626" i="1"/>
  <c r="AM627" i="1"/>
  <c r="AN627" i="1"/>
  <c r="AO627" i="1"/>
  <c r="AP627" i="1"/>
  <c r="AQ627" i="1"/>
  <c r="AR627" i="1"/>
  <c r="AS627" i="1"/>
  <c r="AM628" i="1"/>
  <c r="AN628" i="1"/>
  <c r="AO628" i="1"/>
  <c r="AP628" i="1"/>
  <c r="AQ628" i="1"/>
  <c r="AR628" i="1"/>
  <c r="AS628" i="1"/>
  <c r="AM629" i="1"/>
  <c r="AN629" i="1"/>
  <c r="AO629" i="1"/>
  <c r="AP629" i="1"/>
  <c r="AQ629" i="1"/>
  <c r="AR629" i="1"/>
  <c r="AS629" i="1"/>
  <c r="AM630" i="1"/>
  <c r="AN630" i="1"/>
  <c r="AO630" i="1"/>
  <c r="AP630" i="1"/>
  <c r="AQ630" i="1"/>
  <c r="AR630" i="1"/>
  <c r="AS630" i="1"/>
  <c r="AM631" i="1"/>
  <c r="AN631" i="1"/>
  <c r="AO631" i="1"/>
  <c r="AP631" i="1"/>
  <c r="AQ631" i="1"/>
  <c r="AR631" i="1"/>
  <c r="AS631" i="1"/>
  <c r="AM632" i="1"/>
  <c r="AN632" i="1"/>
  <c r="AO632" i="1"/>
  <c r="AP632" i="1"/>
  <c r="AQ632" i="1"/>
  <c r="AR632" i="1"/>
  <c r="AS632" i="1"/>
  <c r="AM633" i="1"/>
  <c r="AN633" i="1"/>
  <c r="AO633" i="1"/>
  <c r="AP633" i="1"/>
  <c r="AQ633" i="1"/>
  <c r="AR633" i="1"/>
  <c r="AS633" i="1"/>
  <c r="AM634" i="1"/>
  <c r="AN634" i="1"/>
  <c r="AO634" i="1"/>
  <c r="AP634" i="1"/>
  <c r="AQ634" i="1"/>
  <c r="AR634" i="1"/>
  <c r="AS634" i="1"/>
  <c r="AM635" i="1"/>
  <c r="AN635" i="1"/>
  <c r="AO635" i="1"/>
  <c r="AP635" i="1"/>
  <c r="AQ635" i="1"/>
  <c r="AR635" i="1"/>
  <c r="AS635" i="1"/>
  <c r="AM636" i="1"/>
  <c r="AN636" i="1"/>
  <c r="AO636" i="1"/>
  <c r="AP636" i="1"/>
  <c r="AQ636" i="1"/>
  <c r="AR636" i="1"/>
  <c r="AS636" i="1"/>
  <c r="AM637" i="1"/>
  <c r="AN637" i="1"/>
  <c r="AO637" i="1"/>
  <c r="AP637" i="1"/>
  <c r="AQ637" i="1"/>
  <c r="AR637" i="1"/>
  <c r="AS637" i="1"/>
  <c r="AM638" i="1"/>
  <c r="AN638" i="1"/>
  <c r="AO638" i="1"/>
  <c r="AP638" i="1"/>
  <c r="AQ638" i="1"/>
  <c r="AR638" i="1"/>
  <c r="AS638" i="1"/>
  <c r="AM639" i="1"/>
  <c r="AN639" i="1"/>
  <c r="AO639" i="1"/>
  <c r="AP639" i="1"/>
  <c r="AQ639" i="1"/>
  <c r="AR639" i="1"/>
  <c r="AS639" i="1"/>
  <c r="AM640" i="1"/>
  <c r="AN640" i="1"/>
  <c r="AO640" i="1"/>
  <c r="AP640" i="1"/>
  <c r="AQ640" i="1"/>
  <c r="AR640" i="1"/>
  <c r="AS640" i="1"/>
  <c r="AM641" i="1"/>
  <c r="AN641" i="1"/>
  <c r="AO641" i="1"/>
  <c r="AP641" i="1"/>
  <c r="AQ641" i="1"/>
  <c r="AR641" i="1"/>
  <c r="AS641" i="1"/>
  <c r="AM642" i="1"/>
  <c r="AN642" i="1"/>
  <c r="AO642" i="1"/>
  <c r="AP642" i="1"/>
  <c r="AQ642" i="1"/>
  <c r="AR642" i="1"/>
  <c r="AS642" i="1"/>
  <c r="AM643" i="1"/>
  <c r="AN643" i="1"/>
  <c r="AO643" i="1"/>
  <c r="AP643" i="1"/>
  <c r="AQ643" i="1"/>
  <c r="AR643" i="1"/>
  <c r="AS643" i="1"/>
  <c r="AM644" i="1"/>
  <c r="AN644" i="1"/>
  <c r="AO644" i="1"/>
  <c r="AP644" i="1"/>
  <c r="AQ644" i="1"/>
  <c r="AR644" i="1"/>
  <c r="AS644" i="1"/>
  <c r="AM645" i="1"/>
  <c r="AN645" i="1"/>
  <c r="AO645" i="1"/>
  <c r="AP645" i="1"/>
  <c r="AQ645" i="1"/>
  <c r="AR645" i="1"/>
  <c r="AS645" i="1"/>
  <c r="AM646" i="1"/>
  <c r="AN646" i="1"/>
  <c r="AO646" i="1"/>
  <c r="AP646" i="1"/>
  <c r="AQ646" i="1"/>
  <c r="AR646" i="1"/>
  <c r="AS646" i="1"/>
  <c r="AM647" i="1"/>
  <c r="AN647" i="1"/>
  <c r="AO647" i="1"/>
  <c r="AP647" i="1"/>
  <c r="AQ647" i="1"/>
  <c r="AR647" i="1"/>
  <c r="AS647" i="1"/>
  <c r="AM648" i="1"/>
  <c r="AN648" i="1"/>
  <c r="AO648" i="1"/>
  <c r="AP648" i="1"/>
  <c r="AQ648" i="1"/>
  <c r="AR648" i="1"/>
  <c r="AS648" i="1"/>
  <c r="AM649" i="1"/>
  <c r="AN649" i="1"/>
  <c r="AO649" i="1"/>
  <c r="AP649" i="1"/>
  <c r="AQ649" i="1"/>
  <c r="AR649" i="1"/>
  <c r="AS649" i="1"/>
  <c r="AM650" i="1"/>
  <c r="AN650" i="1"/>
  <c r="AO650" i="1"/>
  <c r="AP650" i="1"/>
  <c r="AQ650" i="1"/>
  <c r="AR650" i="1"/>
  <c r="AS650" i="1"/>
  <c r="AM651" i="1"/>
  <c r="AN651" i="1"/>
  <c r="AO651" i="1"/>
  <c r="AP651" i="1"/>
  <c r="AQ651" i="1"/>
  <c r="AR651" i="1"/>
  <c r="AS651" i="1"/>
  <c r="AM652" i="1"/>
  <c r="AN652" i="1"/>
  <c r="AO652" i="1"/>
  <c r="AP652" i="1"/>
  <c r="AQ652" i="1"/>
  <c r="AR652" i="1"/>
  <c r="AS652" i="1"/>
  <c r="AM653" i="1"/>
  <c r="AN653" i="1"/>
  <c r="AO653" i="1"/>
  <c r="AP653" i="1"/>
  <c r="AQ653" i="1"/>
  <c r="AR653" i="1"/>
  <c r="AS653" i="1"/>
  <c r="AM654" i="1"/>
  <c r="AN654" i="1"/>
  <c r="AO654" i="1"/>
  <c r="AP654" i="1"/>
  <c r="AQ654" i="1"/>
  <c r="AR654" i="1"/>
  <c r="AS654" i="1"/>
  <c r="AM655" i="1"/>
  <c r="AN655" i="1"/>
  <c r="AO655" i="1"/>
  <c r="AP655" i="1"/>
  <c r="AQ655" i="1"/>
  <c r="AR655" i="1"/>
  <c r="AS655" i="1"/>
  <c r="AM656" i="1"/>
  <c r="AN656" i="1"/>
  <c r="AO656" i="1"/>
  <c r="AP656" i="1"/>
  <c r="AQ656" i="1"/>
  <c r="AR656" i="1"/>
  <c r="AS656" i="1"/>
  <c r="AM657" i="1"/>
  <c r="AN657" i="1"/>
  <c r="AO657" i="1"/>
  <c r="AP657" i="1"/>
  <c r="AQ657" i="1"/>
  <c r="AR657" i="1"/>
  <c r="AS657" i="1"/>
  <c r="AM658" i="1"/>
  <c r="AN658" i="1"/>
  <c r="AO658" i="1"/>
  <c r="AP658" i="1"/>
  <c r="AQ658" i="1"/>
  <c r="AR658" i="1"/>
  <c r="AS658" i="1"/>
  <c r="AM659" i="1"/>
  <c r="AN659" i="1"/>
  <c r="AO659" i="1"/>
  <c r="AP659" i="1"/>
  <c r="AQ659" i="1"/>
  <c r="AR659" i="1"/>
  <c r="AS659" i="1"/>
  <c r="AM660" i="1"/>
  <c r="AN660" i="1"/>
  <c r="AO660" i="1"/>
  <c r="AP660" i="1"/>
  <c r="AQ660" i="1"/>
  <c r="AR660" i="1"/>
  <c r="AS660" i="1"/>
  <c r="AM661" i="1"/>
  <c r="AN661" i="1"/>
  <c r="AO661" i="1"/>
  <c r="AP661" i="1"/>
  <c r="AQ661" i="1"/>
  <c r="AR661" i="1"/>
  <c r="AS661" i="1"/>
  <c r="AM662" i="1"/>
  <c r="AN662" i="1"/>
  <c r="AO662" i="1"/>
  <c r="AP662" i="1"/>
  <c r="AQ662" i="1"/>
  <c r="AR662" i="1"/>
  <c r="AS662" i="1"/>
  <c r="AM663" i="1"/>
  <c r="AN663" i="1"/>
  <c r="AO663" i="1"/>
  <c r="AP663" i="1"/>
  <c r="AQ663" i="1"/>
  <c r="AR663" i="1"/>
  <c r="AS663" i="1"/>
  <c r="AM664" i="1"/>
  <c r="AN664" i="1"/>
  <c r="AO664" i="1"/>
  <c r="AP664" i="1"/>
  <c r="AQ664" i="1"/>
  <c r="AR664" i="1"/>
  <c r="AS664" i="1"/>
  <c r="AM665" i="1"/>
  <c r="AN665" i="1"/>
  <c r="AO665" i="1"/>
  <c r="AP665" i="1"/>
  <c r="AQ665" i="1"/>
  <c r="AR665" i="1"/>
  <c r="AS665" i="1"/>
  <c r="AM666" i="1"/>
  <c r="AN666" i="1"/>
  <c r="AO666" i="1"/>
  <c r="AP666" i="1"/>
  <c r="AQ666" i="1"/>
  <c r="AR666" i="1"/>
  <c r="AS666" i="1"/>
  <c r="AM667" i="1"/>
  <c r="AN667" i="1"/>
  <c r="AO667" i="1"/>
  <c r="AP667" i="1"/>
  <c r="AQ667" i="1"/>
  <c r="AR667" i="1"/>
  <c r="AS667" i="1"/>
  <c r="AM668" i="1"/>
  <c r="AN668" i="1"/>
  <c r="AO668" i="1"/>
  <c r="AP668" i="1"/>
  <c r="AQ668" i="1"/>
  <c r="AR668" i="1"/>
  <c r="AS668" i="1"/>
  <c r="AM669" i="1"/>
  <c r="AN669" i="1"/>
  <c r="AO669" i="1"/>
  <c r="AP669" i="1"/>
  <c r="AQ669" i="1"/>
  <c r="AR669" i="1"/>
  <c r="AS669" i="1"/>
  <c r="AM670" i="1"/>
  <c r="AN670" i="1"/>
  <c r="AO670" i="1"/>
  <c r="AP670" i="1"/>
  <c r="AQ670" i="1"/>
  <c r="AR670" i="1"/>
  <c r="AS670" i="1"/>
  <c r="AM671" i="1"/>
  <c r="AN671" i="1"/>
  <c r="AO671" i="1"/>
  <c r="AP671" i="1"/>
  <c r="AQ671" i="1"/>
  <c r="AR671" i="1"/>
  <c r="AS671" i="1"/>
  <c r="AM672" i="1"/>
  <c r="AN672" i="1"/>
  <c r="AO672" i="1"/>
  <c r="AP672" i="1"/>
  <c r="AQ672" i="1"/>
  <c r="AR672" i="1"/>
  <c r="AS672" i="1"/>
  <c r="AM673" i="1"/>
  <c r="AN673" i="1"/>
  <c r="AO673" i="1"/>
  <c r="AP673" i="1"/>
  <c r="AQ673" i="1"/>
  <c r="AR673" i="1"/>
  <c r="AS673" i="1"/>
  <c r="AM674" i="1"/>
  <c r="AN674" i="1"/>
  <c r="AO674" i="1"/>
  <c r="AP674" i="1"/>
  <c r="AQ674" i="1"/>
  <c r="AR674" i="1"/>
  <c r="AS674" i="1"/>
  <c r="AM675" i="1"/>
  <c r="AN675" i="1"/>
  <c r="AO675" i="1"/>
  <c r="AP675" i="1"/>
  <c r="AQ675" i="1"/>
  <c r="AR675" i="1"/>
  <c r="AS675" i="1"/>
  <c r="AM676" i="1"/>
  <c r="AN676" i="1"/>
  <c r="AO676" i="1"/>
  <c r="AP676" i="1"/>
  <c r="AQ676" i="1"/>
  <c r="AR676" i="1"/>
  <c r="AS676" i="1"/>
  <c r="AM677" i="1"/>
  <c r="AN677" i="1"/>
  <c r="AO677" i="1"/>
  <c r="AP677" i="1"/>
  <c r="AQ677" i="1"/>
  <c r="AR677" i="1"/>
  <c r="AS677" i="1"/>
  <c r="AM678" i="1"/>
  <c r="AN678" i="1"/>
  <c r="AO678" i="1"/>
  <c r="AP678" i="1"/>
  <c r="AQ678" i="1"/>
  <c r="AR678" i="1"/>
  <c r="AS678" i="1"/>
  <c r="AM679" i="1"/>
  <c r="AN679" i="1"/>
  <c r="AO679" i="1"/>
  <c r="AP679" i="1"/>
  <c r="AQ679" i="1"/>
  <c r="AR679" i="1"/>
  <c r="AS679" i="1"/>
  <c r="AM680" i="1"/>
  <c r="AN680" i="1"/>
  <c r="AO680" i="1"/>
  <c r="AP680" i="1"/>
  <c r="AQ680" i="1"/>
  <c r="AR680" i="1"/>
  <c r="AS680" i="1"/>
  <c r="AM681" i="1"/>
  <c r="AN681" i="1"/>
  <c r="AO681" i="1"/>
  <c r="AP681" i="1"/>
  <c r="AQ681" i="1"/>
  <c r="AR681" i="1"/>
  <c r="AS681" i="1"/>
  <c r="AM682" i="1"/>
  <c r="AN682" i="1"/>
  <c r="AO682" i="1"/>
  <c r="AP682" i="1"/>
  <c r="AQ682" i="1"/>
  <c r="AR682" i="1"/>
  <c r="AS682" i="1"/>
  <c r="AM683" i="1"/>
  <c r="AN683" i="1"/>
  <c r="AO683" i="1"/>
  <c r="AP683" i="1"/>
  <c r="AQ683" i="1"/>
  <c r="AR683" i="1"/>
  <c r="AS683" i="1"/>
  <c r="AM684" i="1"/>
  <c r="AN684" i="1"/>
  <c r="AO684" i="1"/>
  <c r="AP684" i="1"/>
  <c r="AQ684" i="1"/>
  <c r="AR684" i="1"/>
  <c r="AS684" i="1"/>
  <c r="AM685" i="1"/>
  <c r="AN685" i="1"/>
  <c r="AO685" i="1"/>
  <c r="AP685" i="1"/>
  <c r="AQ685" i="1"/>
  <c r="AR685" i="1"/>
  <c r="AS685" i="1"/>
  <c r="AM686" i="1"/>
  <c r="AN686" i="1"/>
  <c r="AO686" i="1"/>
  <c r="AP686" i="1"/>
  <c r="AQ686" i="1"/>
  <c r="AR686" i="1"/>
  <c r="AS686" i="1"/>
  <c r="AM687" i="1"/>
  <c r="AN687" i="1"/>
  <c r="AO687" i="1"/>
  <c r="AP687" i="1"/>
  <c r="AQ687" i="1"/>
  <c r="AR687" i="1"/>
  <c r="AS687" i="1"/>
  <c r="AM688" i="1"/>
  <c r="AN688" i="1"/>
  <c r="AO688" i="1"/>
  <c r="AP688" i="1"/>
  <c r="AQ688" i="1"/>
  <c r="AR688" i="1"/>
  <c r="AS688" i="1"/>
  <c r="AM689" i="1"/>
  <c r="AN689" i="1"/>
  <c r="AO689" i="1"/>
  <c r="AP689" i="1"/>
  <c r="AQ689" i="1"/>
  <c r="AR689" i="1"/>
  <c r="AS689" i="1"/>
  <c r="AM690" i="1"/>
  <c r="AN690" i="1"/>
  <c r="AO690" i="1"/>
  <c r="AP690" i="1"/>
  <c r="AQ690" i="1"/>
  <c r="AR690" i="1"/>
  <c r="AS690" i="1"/>
  <c r="AM691" i="1"/>
  <c r="AN691" i="1"/>
  <c r="AO691" i="1"/>
  <c r="AP691" i="1"/>
  <c r="AQ691" i="1"/>
  <c r="AR691" i="1"/>
  <c r="AS691" i="1"/>
  <c r="AM692" i="1"/>
  <c r="AN692" i="1"/>
  <c r="AO692" i="1"/>
  <c r="AP692" i="1"/>
  <c r="AQ692" i="1"/>
  <c r="AR692" i="1"/>
  <c r="AS692" i="1"/>
  <c r="AM693" i="1"/>
  <c r="AN693" i="1"/>
  <c r="AO693" i="1"/>
  <c r="AP693" i="1"/>
  <c r="AQ693" i="1"/>
  <c r="AR693" i="1"/>
  <c r="AS693" i="1"/>
  <c r="AM694" i="1"/>
  <c r="AN694" i="1"/>
  <c r="AO694" i="1"/>
  <c r="AP694" i="1"/>
  <c r="AQ694" i="1"/>
  <c r="AR694" i="1"/>
  <c r="AS694" i="1"/>
  <c r="AM695" i="1"/>
  <c r="AN695" i="1"/>
  <c r="AO695" i="1"/>
  <c r="AP695" i="1"/>
  <c r="AQ695" i="1"/>
  <c r="AR695" i="1"/>
  <c r="AS695" i="1"/>
  <c r="AM696" i="1"/>
  <c r="AN696" i="1"/>
  <c r="AO696" i="1"/>
  <c r="AP696" i="1"/>
  <c r="AQ696" i="1"/>
  <c r="AR696" i="1"/>
  <c r="AS696" i="1"/>
  <c r="AM697" i="1"/>
  <c r="AN697" i="1"/>
  <c r="AO697" i="1"/>
  <c r="AP697" i="1"/>
  <c r="AQ697" i="1"/>
  <c r="AR697" i="1"/>
  <c r="AS697" i="1"/>
  <c r="AM698" i="1"/>
  <c r="AN698" i="1"/>
  <c r="AO698" i="1"/>
  <c r="AP698" i="1"/>
  <c r="AQ698" i="1"/>
  <c r="AR698" i="1"/>
  <c r="AS698" i="1"/>
  <c r="AM699" i="1"/>
  <c r="AN699" i="1"/>
  <c r="AO699" i="1"/>
  <c r="AP699" i="1"/>
  <c r="AQ699" i="1"/>
  <c r="AR699" i="1"/>
  <c r="AS699" i="1"/>
  <c r="AM700" i="1"/>
  <c r="AN700" i="1"/>
  <c r="AO700" i="1"/>
  <c r="AP700" i="1"/>
  <c r="AQ700" i="1"/>
  <c r="AR700" i="1"/>
  <c r="AS700" i="1"/>
  <c r="AM701" i="1"/>
  <c r="AN701" i="1"/>
  <c r="AO701" i="1"/>
  <c r="AP701" i="1"/>
  <c r="AQ701" i="1"/>
  <c r="AR701" i="1"/>
  <c r="AS701" i="1"/>
  <c r="AM702" i="1"/>
  <c r="AN702" i="1"/>
  <c r="AO702" i="1"/>
  <c r="AP702" i="1"/>
  <c r="AQ702" i="1"/>
  <c r="AR702" i="1"/>
  <c r="AS702" i="1"/>
  <c r="AM703" i="1"/>
  <c r="AN703" i="1"/>
  <c r="AO703" i="1"/>
  <c r="AP703" i="1"/>
  <c r="AQ703" i="1"/>
  <c r="AR703" i="1"/>
  <c r="AS703" i="1"/>
  <c r="AM704" i="1"/>
  <c r="AN704" i="1"/>
  <c r="AO704" i="1"/>
  <c r="AP704" i="1"/>
  <c r="AQ704" i="1"/>
  <c r="AR704" i="1"/>
  <c r="AS704" i="1"/>
  <c r="AM705" i="1"/>
  <c r="AN705" i="1"/>
  <c r="AO705" i="1"/>
  <c r="AP705" i="1"/>
  <c r="AQ705" i="1"/>
  <c r="AR705" i="1"/>
  <c r="AS705" i="1"/>
  <c r="AM706" i="1"/>
  <c r="AN706" i="1"/>
  <c r="AO706" i="1"/>
  <c r="AP706" i="1"/>
  <c r="AQ706" i="1"/>
  <c r="AR706" i="1"/>
  <c r="AS706" i="1"/>
  <c r="AM707" i="1"/>
  <c r="AN707" i="1"/>
  <c r="AO707" i="1"/>
  <c r="AP707" i="1"/>
  <c r="AQ707" i="1"/>
  <c r="AR707" i="1"/>
  <c r="AS707" i="1"/>
  <c r="AM708" i="1"/>
  <c r="AN708" i="1"/>
  <c r="AO708" i="1"/>
  <c r="AP708" i="1"/>
  <c r="AQ708" i="1"/>
  <c r="AR708" i="1"/>
  <c r="AS708" i="1"/>
  <c r="AM709" i="1"/>
  <c r="AN709" i="1"/>
  <c r="AO709" i="1"/>
  <c r="AP709" i="1"/>
  <c r="AQ709" i="1"/>
  <c r="AR709" i="1"/>
  <c r="AS709" i="1"/>
  <c r="AM710" i="1"/>
  <c r="AN710" i="1"/>
  <c r="AO710" i="1"/>
  <c r="AP710" i="1"/>
  <c r="AQ710" i="1"/>
  <c r="AR710" i="1"/>
  <c r="AS710" i="1"/>
  <c r="AM711" i="1"/>
  <c r="AN711" i="1"/>
  <c r="AO711" i="1"/>
  <c r="AP711" i="1"/>
  <c r="AQ711" i="1"/>
  <c r="AR711" i="1"/>
  <c r="AS711" i="1"/>
  <c r="AM712" i="1"/>
  <c r="AN712" i="1"/>
  <c r="AO712" i="1"/>
  <c r="AP712" i="1"/>
  <c r="AQ712" i="1"/>
  <c r="AR712" i="1"/>
  <c r="AS712" i="1"/>
  <c r="AM713" i="1"/>
  <c r="AN713" i="1"/>
  <c r="AO713" i="1"/>
  <c r="AP713" i="1"/>
  <c r="AQ713" i="1"/>
  <c r="AR713" i="1"/>
  <c r="AS713" i="1"/>
  <c r="AM714" i="1"/>
  <c r="AN714" i="1"/>
  <c r="AO714" i="1"/>
  <c r="AP714" i="1"/>
  <c r="AQ714" i="1"/>
  <c r="AR714" i="1"/>
  <c r="AS714" i="1"/>
  <c r="AM715" i="1"/>
  <c r="AN715" i="1"/>
  <c r="AO715" i="1"/>
  <c r="AP715" i="1"/>
  <c r="AQ715" i="1"/>
  <c r="AR715" i="1"/>
  <c r="AS715" i="1"/>
  <c r="AM716" i="1"/>
  <c r="AN716" i="1"/>
  <c r="AO716" i="1"/>
  <c r="AP716" i="1"/>
  <c r="AQ716" i="1"/>
  <c r="AR716" i="1"/>
  <c r="AS716" i="1"/>
  <c r="AM717" i="1"/>
  <c r="AN717" i="1"/>
  <c r="AO717" i="1"/>
  <c r="AP717" i="1"/>
  <c r="AQ717" i="1"/>
  <c r="AR717" i="1"/>
  <c r="AS717" i="1"/>
  <c r="AM718" i="1"/>
  <c r="AN718" i="1"/>
  <c r="AO718" i="1"/>
  <c r="AP718" i="1"/>
  <c r="AQ718" i="1"/>
  <c r="AR718" i="1"/>
  <c r="AS718" i="1"/>
  <c r="AM719" i="1"/>
  <c r="AN719" i="1"/>
  <c r="AO719" i="1"/>
  <c r="AP719" i="1"/>
  <c r="AQ719" i="1"/>
  <c r="AR719" i="1"/>
  <c r="AS719" i="1"/>
  <c r="AM720" i="1"/>
  <c r="AN720" i="1"/>
  <c r="AO720" i="1"/>
  <c r="AP720" i="1"/>
  <c r="AQ720" i="1"/>
  <c r="AR720" i="1"/>
  <c r="AS720" i="1"/>
  <c r="AM721" i="1"/>
  <c r="AN721" i="1"/>
  <c r="AO721" i="1"/>
  <c r="AP721" i="1"/>
  <c r="AQ721" i="1"/>
  <c r="AR721" i="1"/>
  <c r="AS721" i="1"/>
  <c r="AM722" i="1"/>
  <c r="AN722" i="1"/>
  <c r="AO722" i="1"/>
  <c r="AP722" i="1"/>
  <c r="AQ722" i="1"/>
  <c r="AR722" i="1"/>
  <c r="AS722" i="1"/>
  <c r="AM723" i="1"/>
  <c r="AN723" i="1"/>
  <c r="AO723" i="1"/>
  <c r="AP723" i="1"/>
  <c r="AQ723" i="1"/>
  <c r="AR723" i="1"/>
  <c r="AS723" i="1"/>
  <c r="AM724" i="1"/>
  <c r="AN724" i="1"/>
  <c r="AO724" i="1"/>
  <c r="AP724" i="1"/>
  <c r="AQ724" i="1"/>
  <c r="AR724" i="1"/>
  <c r="AS724" i="1"/>
  <c r="AM725" i="1"/>
  <c r="AN725" i="1"/>
  <c r="AO725" i="1"/>
  <c r="AP725" i="1"/>
  <c r="AQ725" i="1"/>
  <c r="AR725" i="1"/>
  <c r="AS725" i="1"/>
  <c r="AM726" i="1"/>
  <c r="AN726" i="1"/>
  <c r="AO726" i="1"/>
  <c r="AP726" i="1"/>
  <c r="AQ726" i="1"/>
  <c r="AR726" i="1"/>
  <c r="AS726" i="1"/>
  <c r="AM727" i="1"/>
  <c r="AN727" i="1"/>
  <c r="AO727" i="1"/>
  <c r="AP727" i="1"/>
  <c r="AQ727" i="1"/>
  <c r="AR727" i="1"/>
  <c r="AS727" i="1"/>
  <c r="AM728" i="1"/>
  <c r="AN728" i="1"/>
  <c r="AO728" i="1"/>
  <c r="AP728" i="1"/>
  <c r="AQ728" i="1"/>
  <c r="AR728" i="1"/>
  <c r="AS728" i="1"/>
  <c r="AM729" i="1"/>
  <c r="AN729" i="1"/>
  <c r="AO729" i="1"/>
  <c r="AP729" i="1"/>
  <c r="AQ729" i="1"/>
  <c r="AR729" i="1"/>
  <c r="AS729" i="1"/>
  <c r="AM730" i="1"/>
  <c r="AN730" i="1"/>
  <c r="AO730" i="1"/>
  <c r="AP730" i="1"/>
  <c r="AQ730" i="1"/>
  <c r="AR730" i="1"/>
  <c r="AS730" i="1"/>
  <c r="AM731" i="1"/>
  <c r="AN731" i="1"/>
  <c r="AO731" i="1"/>
  <c r="AP731" i="1"/>
  <c r="AQ731" i="1"/>
  <c r="AR731" i="1"/>
  <c r="AS731" i="1"/>
  <c r="AM732" i="1"/>
  <c r="AN732" i="1"/>
  <c r="AO732" i="1"/>
  <c r="AP732" i="1"/>
  <c r="AQ732" i="1"/>
  <c r="AR732" i="1"/>
  <c r="AS732" i="1"/>
  <c r="AM733" i="1"/>
  <c r="AN733" i="1"/>
  <c r="AO733" i="1"/>
  <c r="AP733" i="1"/>
  <c r="AQ733" i="1"/>
  <c r="AR733" i="1"/>
  <c r="AS733" i="1"/>
  <c r="AM734" i="1"/>
  <c r="AN734" i="1"/>
  <c r="AO734" i="1"/>
  <c r="AP734" i="1"/>
  <c r="AQ734" i="1"/>
  <c r="AR734" i="1"/>
  <c r="AS734" i="1"/>
  <c r="AM735" i="1"/>
  <c r="AN735" i="1"/>
  <c r="AO735" i="1"/>
  <c r="AP735" i="1"/>
  <c r="AQ735" i="1"/>
  <c r="AR735" i="1"/>
  <c r="AS735" i="1"/>
  <c r="AM736" i="1"/>
  <c r="AN736" i="1"/>
  <c r="AO736" i="1"/>
  <c r="AP736" i="1"/>
  <c r="AQ736" i="1"/>
  <c r="AR736" i="1"/>
  <c r="AS736" i="1"/>
  <c r="AM737" i="1"/>
  <c r="AN737" i="1"/>
  <c r="AO737" i="1"/>
  <c r="AP737" i="1"/>
  <c r="AQ737" i="1"/>
  <c r="AR737" i="1"/>
  <c r="AS737" i="1"/>
  <c r="AM738" i="1"/>
  <c r="AN738" i="1"/>
  <c r="AO738" i="1"/>
  <c r="AP738" i="1"/>
  <c r="AQ738" i="1"/>
  <c r="AR738" i="1"/>
  <c r="AS738" i="1"/>
  <c r="AM739" i="1"/>
  <c r="AN739" i="1"/>
  <c r="AO739" i="1"/>
  <c r="AP739" i="1"/>
  <c r="AQ739" i="1"/>
  <c r="AR739" i="1"/>
  <c r="AS739" i="1"/>
  <c r="AM740" i="1"/>
  <c r="AN740" i="1"/>
  <c r="AO740" i="1"/>
  <c r="AP740" i="1"/>
  <c r="AQ740" i="1"/>
  <c r="AR740" i="1"/>
  <c r="AS740" i="1"/>
  <c r="AM741" i="1"/>
  <c r="AN741" i="1"/>
  <c r="AO741" i="1"/>
  <c r="AP741" i="1"/>
  <c r="AQ741" i="1"/>
  <c r="AR741" i="1"/>
  <c r="AS741" i="1"/>
  <c r="AM742" i="1"/>
  <c r="AN742" i="1"/>
  <c r="AO742" i="1"/>
  <c r="AP742" i="1"/>
  <c r="AQ742" i="1"/>
  <c r="AR742" i="1"/>
  <c r="AS742" i="1"/>
  <c r="AM743" i="1"/>
  <c r="AN743" i="1"/>
  <c r="AO743" i="1"/>
  <c r="AP743" i="1"/>
  <c r="AQ743" i="1"/>
  <c r="AR743" i="1"/>
  <c r="AS743" i="1"/>
  <c r="AM744" i="1"/>
  <c r="AN744" i="1"/>
  <c r="AO744" i="1"/>
  <c r="AP744" i="1"/>
  <c r="AQ744" i="1"/>
  <c r="AR744" i="1"/>
  <c r="AS744" i="1"/>
  <c r="AM745" i="1"/>
  <c r="AN745" i="1"/>
  <c r="AO745" i="1"/>
  <c r="AP745" i="1"/>
  <c r="AQ745" i="1"/>
  <c r="AR745" i="1"/>
  <c r="AS745" i="1"/>
  <c r="AM746" i="1"/>
  <c r="AN746" i="1"/>
  <c r="AO746" i="1"/>
  <c r="AP746" i="1"/>
  <c r="AQ746" i="1"/>
  <c r="AR746" i="1"/>
  <c r="AS746" i="1"/>
  <c r="AM747" i="1"/>
  <c r="AN747" i="1"/>
  <c r="AO747" i="1"/>
  <c r="AP747" i="1"/>
  <c r="AQ747" i="1"/>
  <c r="AR747" i="1"/>
  <c r="AS747" i="1"/>
  <c r="AM748" i="1"/>
  <c r="AN748" i="1"/>
  <c r="AO748" i="1"/>
  <c r="AP748" i="1"/>
  <c r="AQ748" i="1"/>
  <c r="AR748" i="1"/>
  <c r="AS748" i="1"/>
  <c r="AM749" i="1"/>
  <c r="AN749" i="1"/>
  <c r="AO749" i="1"/>
  <c r="AP749" i="1"/>
  <c r="AQ749" i="1"/>
  <c r="AR749" i="1"/>
  <c r="AS749" i="1"/>
  <c r="AM750" i="1"/>
  <c r="AN750" i="1"/>
  <c r="AO750" i="1"/>
  <c r="AP750" i="1"/>
  <c r="AQ750" i="1"/>
  <c r="AR750" i="1"/>
  <c r="AS750" i="1"/>
  <c r="AM751" i="1"/>
  <c r="AN751" i="1"/>
  <c r="AO751" i="1"/>
  <c r="AP751" i="1"/>
  <c r="AQ751" i="1"/>
  <c r="AR751" i="1"/>
  <c r="AS751" i="1"/>
  <c r="AM752" i="1"/>
  <c r="AN752" i="1"/>
  <c r="AO752" i="1"/>
  <c r="AP752" i="1"/>
  <c r="AQ752" i="1"/>
  <c r="AR752" i="1"/>
  <c r="AS752" i="1"/>
  <c r="AM753" i="1"/>
  <c r="AN753" i="1"/>
  <c r="AO753" i="1"/>
  <c r="AP753" i="1"/>
  <c r="AQ753" i="1"/>
  <c r="AR753" i="1"/>
  <c r="AS753" i="1"/>
  <c r="AM754" i="1"/>
  <c r="AN754" i="1"/>
  <c r="AO754" i="1"/>
  <c r="AP754" i="1"/>
  <c r="AQ754" i="1"/>
  <c r="AR754" i="1"/>
  <c r="AS754" i="1"/>
  <c r="AM755" i="1"/>
  <c r="AN755" i="1"/>
  <c r="AO755" i="1"/>
  <c r="AP755" i="1"/>
  <c r="AQ755" i="1"/>
  <c r="AR755" i="1"/>
  <c r="AS755" i="1"/>
  <c r="AM756" i="1"/>
  <c r="AN756" i="1"/>
  <c r="AO756" i="1"/>
  <c r="AP756" i="1"/>
  <c r="AQ756" i="1"/>
  <c r="AR756" i="1"/>
  <c r="AS756" i="1"/>
  <c r="AM757" i="1"/>
  <c r="AN757" i="1"/>
  <c r="AO757" i="1"/>
  <c r="AP757" i="1"/>
  <c r="AQ757" i="1"/>
  <c r="AR757" i="1"/>
  <c r="AS757" i="1"/>
  <c r="AM758" i="1"/>
  <c r="AN758" i="1"/>
  <c r="AO758" i="1"/>
  <c r="AP758" i="1"/>
  <c r="AQ758" i="1"/>
  <c r="AR758" i="1"/>
  <c r="AS758" i="1"/>
  <c r="AM759" i="1"/>
  <c r="AN759" i="1"/>
  <c r="AO759" i="1"/>
  <c r="AP759" i="1"/>
  <c r="AQ759" i="1"/>
  <c r="AR759" i="1"/>
  <c r="AS759" i="1"/>
  <c r="AM760" i="1"/>
  <c r="AN760" i="1"/>
  <c r="AO760" i="1"/>
  <c r="AP760" i="1"/>
  <c r="AQ760" i="1"/>
  <c r="AR760" i="1"/>
  <c r="AS760" i="1"/>
  <c r="AM761" i="1"/>
  <c r="AN761" i="1"/>
  <c r="AO761" i="1"/>
  <c r="AP761" i="1"/>
  <c r="AQ761" i="1"/>
  <c r="AR761" i="1"/>
  <c r="AS761" i="1"/>
  <c r="AM762" i="1"/>
  <c r="AN762" i="1"/>
  <c r="AO762" i="1"/>
  <c r="AP762" i="1"/>
  <c r="AQ762" i="1"/>
  <c r="AR762" i="1"/>
  <c r="AS762" i="1"/>
  <c r="AM763" i="1"/>
  <c r="AN763" i="1"/>
  <c r="AO763" i="1"/>
  <c r="AP763" i="1"/>
  <c r="AQ763" i="1"/>
  <c r="AR763" i="1"/>
  <c r="AS763" i="1"/>
  <c r="AM764" i="1"/>
  <c r="AN764" i="1"/>
  <c r="AO764" i="1"/>
  <c r="AP764" i="1"/>
  <c r="AQ764" i="1"/>
  <c r="AR764" i="1"/>
  <c r="AS764" i="1"/>
  <c r="AM765" i="1"/>
  <c r="AN765" i="1"/>
  <c r="AO765" i="1"/>
  <c r="AP765" i="1"/>
  <c r="AQ765" i="1"/>
  <c r="AR765" i="1"/>
  <c r="AS765" i="1"/>
  <c r="AM766" i="1"/>
  <c r="AN766" i="1"/>
  <c r="AO766" i="1"/>
  <c r="AP766" i="1"/>
  <c r="AQ766" i="1"/>
  <c r="AR766" i="1"/>
  <c r="AS766" i="1"/>
  <c r="AM767" i="1"/>
  <c r="AN767" i="1"/>
  <c r="AO767" i="1"/>
  <c r="AP767" i="1"/>
  <c r="AQ767" i="1"/>
  <c r="AR767" i="1"/>
  <c r="AS767" i="1"/>
  <c r="AM768" i="1"/>
  <c r="AN768" i="1"/>
  <c r="AO768" i="1"/>
  <c r="AP768" i="1"/>
  <c r="AQ768" i="1"/>
  <c r="AR768" i="1"/>
  <c r="AS768" i="1"/>
  <c r="AM769" i="1"/>
  <c r="AN769" i="1"/>
  <c r="AO769" i="1"/>
  <c r="AP769" i="1"/>
  <c r="AQ769" i="1"/>
  <c r="AR769" i="1"/>
  <c r="AS769" i="1"/>
  <c r="AM770" i="1"/>
  <c r="AN770" i="1"/>
  <c r="AO770" i="1"/>
  <c r="AP770" i="1"/>
  <c r="AQ770" i="1"/>
  <c r="AR770" i="1"/>
  <c r="AS770" i="1"/>
  <c r="AM771" i="1"/>
  <c r="AN771" i="1"/>
  <c r="AO771" i="1"/>
  <c r="AP771" i="1"/>
  <c r="AQ771" i="1"/>
  <c r="AR771" i="1"/>
  <c r="AS771" i="1"/>
  <c r="AM772" i="1"/>
  <c r="AN772" i="1"/>
  <c r="AO772" i="1"/>
  <c r="AP772" i="1"/>
  <c r="AQ772" i="1"/>
  <c r="AR772" i="1"/>
  <c r="AS772" i="1"/>
  <c r="AM773" i="1"/>
  <c r="AN773" i="1"/>
  <c r="AO773" i="1"/>
  <c r="AP773" i="1"/>
  <c r="AQ773" i="1"/>
  <c r="AR773" i="1"/>
  <c r="AS773" i="1"/>
  <c r="AM774" i="1"/>
  <c r="AN774" i="1"/>
  <c r="AO774" i="1"/>
  <c r="AP774" i="1"/>
  <c r="AQ774" i="1"/>
  <c r="AR774" i="1"/>
  <c r="AS774" i="1"/>
  <c r="AM775" i="1"/>
  <c r="AN775" i="1"/>
  <c r="AO775" i="1"/>
  <c r="AP775" i="1"/>
  <c r="AQ775" i="1"/>
  <c r="AR775" i="1"/>
  <c r="AS775" i="1"/>
  <c r="AM776" i="1"/>
  <c r="AN776" i="1"/>
  <c r="AO776" i="1"/>
  <c r="AP776" i="1"/>
  <c r="AQ776" i="1"/>
  <c r="AR776" i="1"/>
  <c r="AS776" i="1"/>
  <c r="AM777" i="1"/>
  <c r="AN777" i="1"/>
  <c r="AO777" i="1"/>
  <c r="AP777" i="1"/>
  <c r="AQ777" i="1"/>
  <c r="AR777" i="1"/>
  <c r="AS777" i="1"/>
  <c r="AM778" i="1"/>
  <c r="AN778" i="1"/>
  <c r="AO778" i="1"/>
  <c r="AP778" i="1"/>
  <c r="AQ778" i="1"/>
  <c r="AR778" i="1"/>
  <c r="AS778" i="1"/>
  <c r="AM779" i="1"/>
  <c r="AN779" i="1"/>
  <c r="AO779" i="1"/>
  <c r="AP779" i="1"/>
  <c r="AQ779" i="1"/>
  <c r="AR779" i="1"/>
  <c r="AS779" i="1"/>
  <c r="AM780" i="1"/>
  <c r="AN780" i="1"/>
  <c r="AO780" i="1"/>
  <c r="AP780" i="1"/>
  <c r="AQ780" i="1"/>
  <c r="AR780" i="1"/>
  <c r="AS780" i="1"/>
  <c r="AM781" i="1"/>
  <c r="AN781" i="1"/>
  <c r="AO781" i="1"/>
  <c r="AP781" i="1"/>
  <c r="AQ781" i="1"/>
  <c r="AR781" i="1"/>
  <c r="AS781" i="1"/>
  <c r="AM782" i="1"/>
  <c r="AN782" i="1"/>
  <c r="AO782" i="1"/>
  <c r="AP782" i="1"/>
  <c r="AQ782" i="1"/>
  <c r="AR782" i="1"/>
  <c r="AS782" i="1"/>
  <c r="AM783" i="1"/>
  <c r="AN783" i="1"/>
  <c r="AO783" i="1"/>
  <c r="AP783" i="1"/>
  <c r="AQ783" i="1"/>
  <c r="AR783" i="1"/>
  <c r="AS783" i="1"/>
  <c r="AM784" i="1"/>
  <c r="AN784" i="1"/>
  <c r="AO784" i="1"/>
  <c r="AP784" i="1"/>
  <c r="AQ784" i="1"/>
  <c r="AR784" i="1"/>
  <c r="AS784" i="1"/>
  <c r="AM785" i="1"/>
  <c r="AN785" i="1"/>
  <c r="AO785" i="1"/>
  <c r="AP785" i="1"/>
  <c r="AQ785" i="1"/>
  <c r="AR785" i="1"/>
  <c r="AS785" i="1"/>
  <c r="AM786" i="1"/>
  <c r="AN786" i="1"/>
  <c r="AO786" i="1"/>
  <c r="AP786" i="1"/>
  <c r="AQ786" i="1"/>
  <c r="AR786" i="1"/>
  <c r="AS786" i="1"/>
  <c r="AM787" i="1"/>
  <c r="AN787" i="1"/>
  <c r="AO787" i="1"/>
  <c r="AP787" i="1"/>
  <c r="AQ787" i="1"/>
  <c r="AR787" i="1"/>
  <c r="AS787" i="1"/>
  <c r="AM788" i="1"/>
  <c r="AN788" i="1"/>
  <c r="AO788" i="1"/>
  <c r="AP788" i="1"/>
  <c r="AQ788" i="1"/>
  <c r="AR788" i="1"/>
  <c r="AS788" i="1"/>
  <c r="AM789" i="1"/>
  <c r="AN789" i="1"/>
  <c r="AO789" i="1"/>
  <c r="AP789" i="1"/>
  <c r="AQ789" i="1"/>
  <c r="AR789" i="1"/>
  <c r="AS789" i="1"/>
  <c r="AM790" i="1"/>
  <c r="AN790" i="1"/>
  <c r="AO790" i="1"/>
  <c r="AP790" i="1"/>
  <c r="AQ790" i="1"/>
  <c r="AR790" i="1"/>
  <c r="AS790" i="1"/>
  <c r="AM791" i="1"/>
  <c r="AN791" i="1"/>
  <c r="AO791" i="1"/>
  <c r="AP791" i="1"/>
  <c r="AQ791" i="1"/>
  <c r="AR791" i="1"/>
  <c r="AS791" i="1"/>
  <c r="AM792" i="1"/>
  <c r="AN792" i="1"/>
  <c r="AO792" i="1"/>
  <c r="AP792" i="1"/>
  <c r="AQ792" i="1"/>
  <c r="AR792" i="1"/>
  <c r="AS792" i="1"/>
  <c r="AM793" i="1"/>
  <c r="AN793" i="1"/>
  <c r="AO793" i="1"/>
  <c r="AP793" i="1"/>
  <c r="AQ793" i="1"/>
  <c r="AR793" i="1"/>
  <c r="AS793" i="1"/>
  <c r="AM794" i="1"/>
  <c r="AN794" i="1"/>
  <c r="AO794" i="1"/>
  <c r="AP794" i="1"/>
  <c r="AQ794" i="1"/>
  <c r="AR794" i="1"/>
  <c r="AS794" i="1"/>
  <c r="AM795" i="1"/>
  <c r="AN795" i="1"/>
  <c r="AO795" i="1"/>
  <c r="AP795" i="1"/>
  <c r="AQ795" i="1"/>
  <c r="AR795" i="1"/>
  <c r="AS795" i="1"/>
  <c r="AM796" i="1"/>
  <c r="AN796" i="1"/>
  <c r="AO796" i="1"/>
  <c r="AP796" i="1"/>
  <c r="AQ796" i="1"/>
  <c r="AR796" i="1"/>
  <c r="AS796" i="1"/>
  <c r="AM797" i="1"/>
  <c r="AN797" i="1"/>
  <c r="AO797" i="1"/>
  <c r="AP797" i="1"/>
  <c r="AQ797" i="1"/>
  <c r="AR797" i="1"/>
  <c r="AS797" i="1"/>
  <c r="AM798" i="1"/>
  <c r="AN798" i="1"/>
  <c r="AO798" i="1"/>
  <c r="AP798" i="1"/>
  <c r="AQ798" i="1"/>
  <c r="AR798" i="1"/>
  <c r="AS798" i="1"/>
  <c r="AM799" i="1"/>
  <c r="AN799" i="1"/>
  <c r="AO799" i="1"/>
  <c r="AP799" i="1"/>
  <c r="AQ799" i="1"/>
  <c r="AR799" i="1"/>
  <c r="AS799" i="1"/>
  <c r="AM800" i="1"/>
  <c r="AN800" i="1"/>
  <c r="AO800" i="1"/>
  <c r="AP800" i="1"/>
  <c r="AQ800" i="1"/>
  <c r="AR800" i="1"/>
  <c r="AS800" i="1"/>
  <c r="AM801" i="1"/>
  <c r="AN801" i="1"/>
  <c r="AO801" i="1"/>
  <c r="AP801" i="1"/>
  <c r="AQ801" i="1"/>
  <c r="AR801" i="1"/>
  <c r="AS801" i="1"/>
  <c r="AM802" i="1"/>
  <c r="AN802" i="1"/>
  <c r="AO802" i="1"/>
  <c r="AP802" i="1"/>
  <c r="AQ802" i="1"/>
  <c r="AR802" i="1"/>
  <c r="AS802" i="1"/>
  <c r="AM803" i="1"/>
  <c r="AN803" i="1"/>
  <c r="AO803" i="1"/>
  <c r="AP803" i="1"/>
  <c r="AQ803" i="1"/>
  <c r="AR803" i="1"/>
  <c r="AS803" i="1"/>
  <c r="AM804" i="1"/>
  <c r="AN804" i="1"/>
  <c r="AO804" i="1"/>
  <c r="AP804" i="1"/>
  <c r="AQ804" i="1"/>
  <c r="AR804" i="1"/>
  <c r="AS804" i="1"/>
  <c r="AM805" i="1"/>
  <c r="AN805" i="1"/>
  <c r="AO805" i="1"/>
  <c r="AP805" i="1"/>
  <c r="AQ805" i="1"/>
  <c r="AR805" i="1"/>
  <c r="AS805" i="1"/>
  <c r="AM806" i="1"/>
  <c r="AN806" i="1"/>
  <c r="AO806" i="1"/>
  <c r="AP806" i="1"/>
  <c r="AQ806" i="1"/>
  <c r="AR806" i="1"/>
  <c r="AS806" i="1"/>
  <c r="AM807" i="1"/>
  <c r="AN807" i="1"/>
  <c r="AO807" i="1"/>
  <c r="AP807" i="1"/>
  <c r="AQ807" i="1"/>
  <c r="AR807" i="1"/>
  <c r="AS807" i="1"/>
  <c r="AM808" i="1"/>
  <c r="AN808" i="1"/>
  <c r="AO808" i="1"/>
  <c r="AP808" i="1"/>
  <c r="AQ808" i="1"/>
  <c r="AR808" i="1"/>
  <c r="AS808" i="1"/>
  <c r="AM809" i="1"/>
  <c r="AN809" i="1"/>
  <c r="AO809" i="1"/>
  <c r="AP809" i="1"/>
  <c r="AQ809" i="1"/>
  <c r="AR809" i="1"/>
  <c r="AS809" i="1"/>
  <c r="AM810" i="1"/>
  <c r="AN810" i="1"/>
  <c r="AO810" i="1"/>
  <c r="AP810" i="1"/>
  <c r="AQ810" i="1"/>
  <c r="AR810" i="1"/>
  <c r="AS810" i="1"/>
  <c r="AM811" i="1"/>
  <c r="AN811" i="1"/>
  <c r="AO811" i="1"/>
  <c r="AP811" i="1"/>
  <c r="AQ811" i="1"/>
  <c r="AR811" i="1"/>
  <c r="AS811" i="1"/>
  <c r="AM812" i="1"/>
  <c r="AN812" i="1"/>
  <c r="AO812" i="1"/>
  <c r="AP812" i="1"/>
  <c r="AQ812" i="1"/>
  <c r="AR812" i="1"/>
  <c r="AS812" i="1"/>
  <c r="AM813" i="1"/>
  <c r="AN813" i="1"/>
  <c r="AO813" i="1"/>
  <c r="AP813" i="1"/>
  <c r="AQ813" i="1"/>
  <c r="AR813" i="1"/>
  <c r="AS813" i="1"/>
  <c r="AM814" i="1"/>
  <c r="AN814" i="1"/>
  <c r="AO814" i="1"/>
  <c r="AP814" i="1"/>
  <c r="AQ814" i="1"/>
  <c r="AR814" i="1"/>
  <c r="AS814" i="1"/>
  <c r="AM815" i="1"/>
  <c r="AN815" i="1"/>
  <c r="AO815" i="1"/>
  <c r="AP815" i="1"/>
  <c r="AQ815" i="1"/>
  <c r="AR815" i="1"/>
  <c r="AS815" i="1"/>
  <c r="AM816" i="1"/>
  <c r="AN816" i="1"/>
  <c r="AO816" i="1"/>
  <c r="AP816" i="1"/>
  <c r="AQ816" i="1"/>
  <c r="AR816" i="1"/>
  <c r="AS816" i="1"/>
  <c r="AM817" i="1"/>
  <c r="AN817" i="1"/>
  <c r="AO817" i="1"/>
  <c r="AP817" i="1"/>
  <c r="AQ817" i="1"/>
  <c r="AR817" i="1"/>
  <c r="AS817" i="1"/>
  <c r="AM818" i="1"/>
  <c r="AN818" i="1"/>
  <c r="AO818" i="1"/>
  <c r="AP818" i="1"/>
  <c r="AQ818" i="1"/>
  <c r="AR818" i="1"/>
  <c r="AS818" i="1"/>
  <c r="AM819" i="1"/>
  <c r="AN819" i="1"/>
  <c r="AO819" i="1"/>
  <c r="AP819" i="1"/>
  <c r="AQ819" i="1"/>
  <c r="AR819" i="1"/>
  <c r="AS819" i="1"/>
  <c r="AM820" i="1"/>
  <c r="AN820" i="1"/>
  <c r="AO820" i="1"/>
  <c r="AP820" i="1"/>
  <c r="AQ820" i="1"/>
  <c r="AR820" i="1"/>
  <c r="AS820" i="1"/>
  <c r="AM821" i="1"/>
  <c r="AN821" i="1"/>
  <c r="AO821" i="1"/>
  <c r="AP821" i="1"/>
  <c r="AQ821" i="1"/>
  <c r="AR821" i="1"/>
  <c r="AS821" i="1"/>
  <c r="AM822" i="1"/>
  <c r="AN822" i="1"/>
  <c r="AO822" i="1"/>
  <c r="AP822" i="1"/>
  <c r="AQ822" i="1"/>
  <c r="AR822" i="1"/>
  <c r="AS822" i="1"/>
  <c r="AM823" i="1"/>
  <c r="AN823" i="1"/>
  <c r="AO823" i="1"/>
  <c r="AP823" i="1"/>
  <c r="AQ823" i="1"/>
  <c r="AR823" i="1"/>
  <c r="AS823" i="1"/>
  <c r="AM824" i="1"/>
  <c r="AN824" i="1"/>
  <c r="AO824" i="1"/>
  <c r="AP824" i="1"/>
  <c r="AQ824" i="1"/>
  <c r="AR824" i="1"/>
  <c r="AS824" i="1"/>
  <c r="AM825" i="1"/>
  <c r="AN825" i="1"/>
  <c r="AO825" i="1"/>
  <c r="AP825" i="1"/>
  <c r="AQ825" i="1"/>
  <c r="AR825" i="1"/>
  <c r="AS825" i="1"/>
  <c r="AM826" i="1"/>
  <c r="AN826" i="1"/>
  <c r="AO826" i="1"/>
  <c r="AP826" i="1"/>
  <c r="AQ826" i="1"/>
  <c r="AR826" i="1"/>
  <c r="AS826" i="1"/>
  <c r="AM827" i="1"/>
  <c r="AN827" i="1"/>
  <c r="AO827" i="1"/>
  <c r="AP827" i="1"/>
  <c r="AQ827" i="1"/>
  <c r="AR827" i="1"/>
  <c r="AS827" i="1"/>
  <c r="AM828" i="1"/>
  <c r="AN828" i="1"/>
  <c r="AO828" i="1"/>
  <c r="AP828" i="1"/>
  <c r="AQ828" i="1"/>
  <c r="AR828" i="1"/>
  <c r="AS828" i="1"/>
  <c r="AM829" i="1"/>
  <c r="AN829" i="1"/>
  <c r="AO829" i="1"/>
  <c r="AP829" i="1"/>
  <c r="AQ829" i="1"/>
  <c r="AR829" i="1"/>
  <c r="AS829" i="1"/>
  <c r="AM830" i="1"/>
  <c r="AN830" i="1"/>
  <c r="AO830" i="1"/>
  <c r="AP830" i="1"/>
  <c r="AQ830" i="1"/>
  <c r="AR830" i="1"/>
  <c r="AS830" i="1"/>
  <c r="AM831" i="1"/>
  <c r="AN831" i="1"/>
  <c r="AO831" i="1"/>
  <c r="AP831" i="1"/>
  <c r="AQ831" i="1"/>
  <c r="AR831" i="1"/>
  <c r="AS831" i="1"/>
  <c r="AM832" i="1"/>
  <c r="AN832" i="1"/>
  <c r="AO832" i="1"/>
  <c r="AP832" i="1"/>
  <c r="AQ832" i="1"/>
  <c r="AR832" i="1"/>
  <c r="AS832" i="1"/>
  <c r="AM833" i="1"/>
  <c r="AN833" i="1"/>
  <c r="AO833" i="1"/>
  <c r="AP833" i="1"/>
  <c r="AQ833" i="1"/>
  <c r="AR833" i="1"/>
  <c r="AS833" i="1"/>
  <c r="AM834" i="1"/>
  <c r="AN834" i="1"/>
  <c r="AO834" i="1"/>
  <c r="AP834" i="1"/>
  <c r="AQ834" i="1"/>
  <c r="AR834" i="1"/>
  <c r="AS834" i="1"/>
  <c r="AM835" i="1"/>
  <c r="AN835" i="1"/>
  <c r="AO835" i="1"/>
  <c r="AP835" i="1"/>
  <c r="AQ835" i="1"/>
  <c r="AR835" i="1"/>
  <c r="AS835" i="1"/>
  <c r="AM836" i="1"/>
  <c r="AN836" i="1"/>
  <c r="AO836" i="1"/>
  <c r="AP836" i="1"/>
  <c r="AQ836" i="1"/>
  <c r="AR836" i="1"/>
  <c r="AS836" i="1"/>
  <c r="AM837" i="1"/>
  <c r="AN837" i="1"/>
  <c r="AO837" i="1"/>
  <c r="AP837" i="1"/>
  <c r="AQ837" i="1"/>
  <c r="AR837" i="1"/>
  <c r="AS837" i="1"/>
  <c r="AM838" i="1"/>
  <c r="AN838" i="1"/>
  <c r="AO838" i="1"/>
  <c r="AP838" i="1"/>
  <c r="AQ838" i="1"/>
  <c r="AR838" i="1"/>
  <c r="AS838" i="1"/>
  <c r="AM839" i="1"/>
  <c r="AN839" i="1"/>
  <c r="AO839" i="1"/>
  <c r="AP839" i="1"/>
  <c r="AQ839" i="1"/>
  <c r="AR839" i="1"/>
  <c r="AS839" i="1"/>
  <c r="AM840" i="1"/>
  <c r="AN840" i="1"/>
  <c r="AO840" i="1"/>
  <c r="AP840" i="1"/>
  <c r="AQ840" i="1"/>
  <c r="AR840" i="1"/>
  <c r="AS840" i="1"/>
  <c r="AM841" i="1"/>
  <c r="AN841" i="1"/>
  <c r="AO841" i="1"/>
  <c r="AP841" i="1"/>
  <c r="AQ841" i="1"/>
  <c r="AR841" i="1"/>
  <c r="AS841" i="1"/>
  <c r="AM842" i="1"/>
  <c r="AN842" i="1"/>
  <c r="AO842" i="1"/>
  <c r="AP842" i="1"/>
  <c r="AQ842" i="1"/>
  <c r="AR842" i="1"/>
  <c r="AS842" i="1"/>
  <c r="AM843" i="1"/>
  <c r="AN843" i="1"/>
  <c r="AO843" i="1"/>
  <c r="AP843" i="1"/>
  <c r="AQ843" i="1"/>
  <c r="AR843" i="1"/>
  <c r="AS843" i="1"/>
  <c r="AM844" i="1"/>
  <c r="AN844" i="1"/>
  <c r="AO844" i="1"/>
  <c r="AP844" i="1"/>
  <c r="AQ844" i="1"/>
  <c r="AR844" i="1"/>
  <c r="AS844" i="1"/>
  <c r="AM845" i="1"/>
  <c r="AN845" i="1"/>
  <c r="AO845" i="1"/>
  <c r="AP845" i="1"/>
  <c r="AQ845" i="1"/>
  <c r="AR845" i="1"/>
  <c r="AS845" i="1"/>
  <c r="AM846" i="1"/>
  <c r="AN846" i="1"/>
  <c r="AO846" i="1"/>
  <c r="AP846" i="1"/>
  <c r="AQ846" i="1"/>
  <c r="AR846" i="1"/>
  <c r="AS846" i="1"/>
  <c r="AM847" i="1"/>
  <c r="AN847" i="1"/>
  <c r="AO847" i="1"/>
  <c r="AP847" i="1"/>
  <c r="AQ847" i="1"/>
  <c r="AR847" i="1"/>
  <c r="AS847" i="1"/>
  <c r="AM848" i="1"/>
  <c r="AN848" i="1"/>
  <c r="AO848" i="1"/>
  <c r="AP848" i="1"/>
  <c r="AQ848" i="1"/>
  <c r="AR848" i="1"/>
  <c r="AS848" i="1"/>
  <c r="AM849" i="1"/>
  <c r="AN849" i="1"/>
  <c r="AO849" i="1"/>
  <c r="AP849" i="1"/>
  <c r="AQ849" i="1"/>
  <c r="AR849" i="1"/>
  <c r="AS849" i="1"/>
  <c r="AM850" i="1"/>
  <c r="AN850" i="1"/>
  <c r="AO850" i="1"/>
  <c r="AP850" i="1"/>
  <c r="AQ850" i="1"/>
  <c r="AR850" i="1"/>
  <c r="AS850" i="1"/>
  <c r="AM851" i="1"/>
  <c r="AN851" i="1"/>
  <c r="AO851" i="1"/>
  <c r="AP851" i="1"/>
  <c r="AQ851" i="1"/>
  <c r="AR851" i="1"/>
  <c r="AS851" i="1"/>
  <c r="AM852" i="1"/>
  <c r="AN852" i="1"/>
  <c r="AO852" i="1"/>
  <c r="AP852" i="1"/>
  <c r="AQ852" i="1"/>
  <c r="AR852" i="1"/>
  <c r="AS852" i="1"/>
  <c r="AM853" i="1"/>
  <c r="AN853" i="1"/>
  <c r="AO853" i="1"/>
  <c r="AP853" i="1"/>
  <c r="AQ853" i="1"/>
  <c r="AR853" i="1"/>
  <c r="AS853" i="1"/>
  <c r="AM854" i="1"/>
  <c r="AN854" i="1"/>
  <c r="AO854" i="1"/>
  <c r="AP854" i="1"/>
  <c r="AQ854" i="1"/>
  <c r="AR854" i="1"/>
  <c r="AS854" i="1"/>
  <c r="AM855" i="1"/>
  <c r="AN855" i="1"/>
  <c r="AO855" i="1"/>
  <c r="AP855" i="1"/>
  <c r="AQ855" i="1"/>
  <c r="AR855" i="1"/>
  <c r="AS855" i="1"/>
  <c r="AM856" i="1"/>
  <c r="AN856" i="1"/>
  <c r="AO856" i="1"/>
  <c r="AP856" i="1"/>
  <c r="AQ856" i="1"/>
  <c r="AR856" i="1"/>
  <c r="AS856" i="1"/>
  <c r="AM857" i="1"/>
  <c r="AN857" i="1"/>
  <c r="AO857" i="1"/>
  <c r="AP857" i="1"/>
  <c r="AQ857" i="1"/>
  <c r="AR857" i="1"/>
  <c r="AS857" i="1"/>
  <c r="AM858" i="1"/>
  <c r="AN858" i="1"/>
  <c r="AO858" i="1"/>
  <c r="AP858" i="1"/>
  <c r="AQ858" i="1"/>
  <c r="AR858" i="1"/>
  <c r="AS858" i="1"/>
  <c r="AM859" i="1"/>
  <c r="AN859" i="1"/>
  <c r="AO859" i="1"/>
  <c r="AP859" i="1"/>
  <c r="AQ859" i="1"/>
  <c r="AR859" i="1"/>
  <c r="AS859" i="1"/>
  <c r="AM860" i="1"/>
  <c r="AN860" i="1"/>
  <c r="AO860" i="1"/>
  <c r="AP860" i="1"/>
  <c r="AQ860" i="1"/>
  <c r="AR860" i="1"/>
  <c r="AS860" i="1"/>
  <c r="AM861" i="1"/>
  <c r="AN861" i="1"/>
  <c r="AO861" i="1"/>
  <c r="AP861" i="1"/>
  <c r="AQ861" i="1"/>
  <c r="AR861" i="1"/>
  <c r="AS861" i="1"/>
  <c r="AM862" i="1"/>
  <c r="AN862" i="1"/>
  <c r="AO862" i="1"/>
  <c r="AP862" i="1"/>
  <c r="AQ862" i="1"/>
  <c r="AR862" i="1"/>
  <c r="AS862" i="1"/>
  <c r="AM863" i="1"/>
  <c r="AN863" i="1"/>
  <c r="AO863" i="1"/>
  <c r="AP863" i="1"/>
  <c r="AQ863" i="1"/>
  <c r="AR863" i="1"/>
  <c r="AS863" i="1"/>
  <c r="AM864" i="1"/>
  <c r="AN864" i="1"/>
  <c r="AO864" i="1"/>
  <c r="AP864" i="1"/>
  <c r="AQ864" i="1"/>
  <c r="AR864" i="1"/>
  <c r="AS864" i="1"/>
  <c r="AM865" i="1"/>
  <c r="AN865" i="1"/>
  <c r="AO865" i="1"/>
  <c r="AP865" i="1"/>
  <c r="AQ865" i="1"/>
  <c r="AR865" i="1"/>
  <c r="AS865" i="1"/>
  <c r="AM866" i="1"/>
  <c r="AN866" i="1"/>
  <c r="AO866" i="1"/>
  <c r="AP866" i="1"/>
  <c r="AQ866" i="1"/>
  <c r="AR866" i="1"/>
  <c r="AS866" i="1"/>
  <c r="AM867" i="1"/>
  <c r="AN867" i="1"/>
  <c r="AO867" i="1"/>
  <c r="AP867" i="1"/>
  <c r="AQ867" i="1"/>
  <c r="AR867" i="1"/>
  <c r="AS867" i="1"/>
  <c r="AM868" i="1"/>
  <c r="AN868" i="1"/>
  <c r="AO868" i="1"/>
  <c r="AP868" i="1"/>
  <c r="AQ868" i="1"/>
  <c r="AR868" i="1"/>
  <c r="AS868" i="1"/>
  <c r="AM869" i="1"/>
  <c r="AN869" i="1"/>
  <c r="AO869" i="1"/>
  <c r="AP869" i="1"/>
  <c r="AQ869" i="1"/>
  <c r="AR869" i="1"/>
  <c r="AS869" i="1"/>
  <c r="AM870" i="1"/>
  <c r="AN870" i="1"/>
  <c r="AO870" i="1"/>
  <c r="AP870" i="1"/>
  <c r="AQ870" i="1"/>
  <c r="AR870" i="1"/>
  <c r="AS870" i="1"/>
  <c r="AM871" i="1"/>
  <c r="AN871" i="1"/>
  <c r="AO871" i="1"/>
  <c r="AP871" i="1"/>
  <c r="AQ871" i="1"/>
  <c r="AR871" i="1"/>
  <c r="AS871" i="1"/>
  <c r="AM872" i="1"/>
  <c r="AN872" i="1"/>
  <c r="AO872" i="1"/>
  <c r="AP872" i="1"/>
  <c r="AQ872" i="1"/>
  <c r="AR872" i="1"/>
  <c r="AS872" i="1"/>
  <c r="AM873" i="1"/>
  <c r="AN873" i="1"/>
  <c r="AO873" i="1"/>
  <c r="AP873" i="1"/>
  <c r="AQ873" i="1"/>
  <c r="AR873" i="1"/>
  <c r="AS873" i="1"/>
  <c r="AM874" i="1"/>
  <c r="AN874" i="1"/>
  <c r="AO874" i="1"/>
  <c r="AP874" i="1"/>
  <c r="AQ874" i="1"/>
  <c r="AR874" i="1"/>
  <c r="AS874" i="1"/>
  <c r="AM875" i="1"/>
  <c r="AN875" i="1"/>
  <c r="AO875" i="1"/>
  <c r="AP875" i="1"/>
  <c r="AQ875" i="1"/>
  <c r="AR875" i="1"/>
  <c r="AS875" i="1"/>
  <c r="AM876" i="1"/>
  <c r="AN876" i="1"/>
  <c r="AO876" i="1"/>
  <c r="AP876" i="1"/>
  <c r="AQ876" i="1"/>
  <c r="AR876" i="1"/>
  <c r="AS876" i="1"/>
  <c r="AM877" i="1"/>
  <c r="AN877" i="1"/>
  <c r="AO877" i="1"/>
  <c r="AP877" i="1"/>
  <c r="AQ877" i="1"/>
  <c r="AR877" i="1"/>
  <c r="AS877" i="1"/>
  <c r="AM878" i="1"/>
  <c r="AN878" i="1"/>
  <c r="AO878" i="1"/>
  <c r="AP878" i="1"/>
  <c r="AQ878" i="1"/>
  <c r="AR878" i="1"/>
  <c r="AS878" i="1"/>
  <c r="AM879" i="1"/>
  <c r="AN879" i="1"/>
  <c r="AO879" i="1"/>
  <c r="AP879" i="1"/>
  <c r="AQ879" i="1"/>
  <c r="AR879" i="1"/>
  <c r="AS879" i="1"/>
  <c r="AM880" i="1"/>
  <c r="AN880" i="1"/>
  <c r="AO880" i="1"/>
  <c r="AP880" i="1"/>
  <c r="AQ880" i="1"/>
  <c r="AR880" i="1"/>
  <c r="AS880" i="1"/>
  <c r="AM881" i="1"/>
  <c r="AN881" i="1"/>
  <c r="AO881" i="1"/>
  <c r="AP881" i="1"/>
  <c r="AQ881" i="1"/>
  <c r="AR881" i="1"/>
  <c r="AS881" i="1"/>
  <c r="AM882" i="1"/>
  <c r="AN882" i="1"/>
  <c r="AO882" i="1"/>
  <c r="AP882" i="1"/>
  <c r="AQ882" i="1"/>
  <c r="AR882" i="1"/>
  <c r="AS882" i="1"/>
  <c r="AM883" i="1"/>
  <c r="AN883" i="1"/>
  <c r="AO883" i="1"/>
  <c r="AP883" i="1"/>
  <c r="AQ883" i="1"/>
  <c r="AR883" i="1"/>
  <c r="AS883" i="1"/>
  <c r="AM884" i="1"/>
  <c r="AN884" i="1"/>
  <c r="AO884" i="1"/>
  <c r="AP884" i="1"/>
  <c r="AQ884" i="1"/>
  <c r="AR884" i="1"/>
  <c r="AS884" i="1"/>
  <c r="AM885" i="1"/>
  <c r="AN885" i="1"/>
  <c r="AO885" i="1"/>
  <c r="AP885" i="1"/>
  <c r="AQ885" i="1"/>
  <c r="AR885" i="1"/>
  <c r="AS885" i="1"/>
  <c r="AM886" i="1"/>
  <c r="AN886" i="1"/>
  <c r="AO886" i="1"/>
  <c r="AP886" i="1"/>
  <c r="AQ886" i="1"/>
  <c r="AR886" i="1"/>
  <c r="AS886" i="1"/>
  <c r="AM887" i="1"/>
  <c r="AN887" i="1"/>
  <c r="AO887" i="1"/>
  <c r="AP887" i="1"/>
  <c r="AQ887" i="1"/>
  <c r="AR887" i="1"/>
  <c r="AS887" i="1"/>
  <c r="AM888" i="1"/>
  <c r="AN888" i="1"/>
  <c r="AO888" i="1"/>
  <c r="AP888" i="1"/>
  <c r="AQ888" i="1"/>
  <c r="AR888" i="1"/>
  <c r="AS888" i="1"/>
  <c r="AM889" i="1"/>
  <c r="AN889" i="1"/>
  <c r="AO889" i="1"/>
  <c r="AP889" i="1"/>
  <c r="AQ889" i="1"/>
  <c r="AR889" i="1"/>
  <c r="AS889" i="1"/>
  <c r="AM890" i="1"/>
  <c r="AN890" i="1"/>
  <c r="AO890" i="1"/>
  <c r="AP890" i="1"/>
  <c r="AQ890" i="1"/>
  <c r="AR890" i="1"/>
  <c r="AS890" i="1"/>
  <c r="AM891" i="1"/>
  <c r="AN891" i="1"/>
  <c r="AO891" i="1"/>
  <c r="AP891" i="1"/>
  <c r="AQ891" i="1"/>
  <c r="AR891" i="1"/>
  <c r="AS891" i="1"/>
  <c r="AM892" i="1"/>
  <c r="AN892" i="1"/>
  <c r="AO892" i="1"/>
  <c r="AP892" i="1"/>
  <c r="AQ892" i="1"/>
  <c r="AR892" i="1"/>
  <c r="AS892" i="1"/>
  <c r="AM893" i="1"/>
  <c r="AN893" i="1"/>
  <c r="AO893" i="1"/>
  <c r="AP893" i="1"/>
  <c r="AQ893" i="1"/>
  <c r="AR893" i="1"/>
  <c r="AS893" i="1"/>
  <c r="AM894" i="1"/>
  <c r="AN894" i="1"/>
  <c r="AO894" i="1"/>
  <c r="AP894" i="1"/>
  <c r="AQ894" i="1"/>
  <c r="AR894" i="1"/>
  <c r="AS894" i="1"/>
  <c r="AM895" i="1"/>
  <c r="AN895" i="1"/>
  <c r="AO895" i="1"/>
  <c r="AP895" i="1"/>
  <c r="AQ895" i="1"/>
  <c r="AR895" i="1"/>
  <c r="AS895" i="1"/>
  <c r="AM896" i="1"/>
  <c r="AN896" i="1"/>
  <c r="AO896" i="1"/>
  <c r="AP896" i="1"/>
  <c r="AQ896" i="1"/>
  <c r="AR896" i="1"/>
  <c r="AS896" i="1"/>
  <c r="AM897" i="1"/>
  <c r="AN897" i="1"/>
  <c r="AO897" i="1"/>
  <c r="AP897" i="1"/>
  <c r="AQ897" i="1"/>
  <c r="AR897" i="1"/>
  <c r="AS897" i="1"/>
  <c r="AM898" i="1"/>
  <c r="AN898" i="1"/>
  <c r="AO898" i="1"/>
  <c r="AP898" i="1"/>
  <c r="AQ898" i="1"/>
  <c r="AR898" i="1"/>
  <c r="AS898" i="1"/>
  <c r="AM899" i="1"/>
  <c r="AN899" i="1"/>
  <c r="AO899" i="1"/>
  <c r="AP899" i="1"/>
  <c r="AQ899" i="1"/>
  <c r="AR899" i="1"/>
  <c r="AS899" i="1"/>
  <c r="AM900" i="1"/>
  <c r="AN900" i="1"/>
  <c r="AO900" i="1"/>
  <c r="AP900" i="1"/>
  <c r="AQ900" i="1"/>
  <c r="AR900" i="1"/>
  <c r="AS900" i="1"/>
  <c r="AM901" i="1"/>
  <c r="AN901" i="1"/>
  <c r="AO901" i="1"/>
  <c r="AP901" i="1"/>
  <c r="AQ901" i="1"/>
  <c r="AR901" i="1"/>
  <c r="AS901" i="1"/>
  <c r="AM902" i="1"/>
  <c r="AN902" i="1"/>
  <c r="AO902" i="1"/>
  <c r="AP902" i="1"/>
  <c r="AQ902" i="1"/>
  <c r="AR902" i="1"/>
  <c r="AS902" i="1"/>
  <c r="AM903" i="1"/>
  <c r="AN903" i="1"/>
  <c r="AO903" i="1"/>
  <c r="AP903" i="1"/>
  <c r="AQ903" i="1"/>
  <c r="AR903" i="1"/>
  <c r="AS903" i="1"/>
  <c r="AM904" i="1"/>
  <c r="AN904" i="1"/>
  <c r="AO904" i="1"/>
  <c r="AP904" i="1"/>
  <c r="AQ904" i="1"/>
  <c r="AR904" i="1"/>
  <c r="AS904" i="1"/>
  <c r="AM905" i="1"/>
  <c r="AN905" i="1"/>
  <c r="AO905" i="1"/>
  <c r="AP905" i="1"/>
  <c r="AQ905" i="1"/>
  <c r="AR905" i="1"/>
  <c r="AS905" i="1"/>
  <c r="AM906" i="1"/>
  <c r="AN906" i="1"/>
  <c r="AO906" i="1"/>
  <c r="AP906" i="1"/>
  <c r="AQ906" i="1"/>
  <c r="AR906" i="1"/>
  <c r="AS906" i="1"/>
  <c r="AM907" i="1"/>
  <c r="AN907" i="1"/>
  <c r="AO907" i="1"/>
  <c r="AP907" i="1"/>
  <c r="AQ907" i="1"/>
  <c r="AR907" i="1"/>
  <c r="AS907" i="1"/>
  <c r="AM908" i="1"/>
  <c r="AN908" i="1"/>
  <c r="AO908" i="1"/>
  <c r="AP908" i="1"/>
  <c r="AQ908" i="1"/>
  <c r="AR908" i="1"/>
  <c r="AS908" i="1"/>
  <c r="AM909" i="1"/>
  <c r="AN909" i="1"/>
  <c r="AO909" i="1"/>
  <c r="AP909" i="1"/>
  <c r="AQ909" i="1"/>
  <c r="AR909" i="1"/>
  <c r="AS909" i="1"/>
  <c r="AM910" i="1"/>
  <c r="AN910" i="1"/>
  <c r="AO910" i="1"/>
  <c r="AP910" i="1"/>
  <c r="AQ910" i="1"/>
  <c r="AR910" i="1"/>
  <c r="AS910" i="1"/>
  <c r="AM911" i="1"/>
  <c r="AN911" i="1"/>
  <c r="AO911" i="1"/>
  <c r="AP911" i="1"/>
  <c r="AQ911" i="1"/>
  <c r="AR911" i="1"/>
  <c r="AS911" i="1"/>
  <c r="AM912" i="1"/>
  <c r="AN912" i="1"/>
  <c r="AO912" i="1"/>
  <c r="AP912" i="1"/>
  <c r="AQ912" i="1"/>
  <c r="AR912" i="1"/>
  <c r="AS912" i="1"/>
  <c r="AM913" i="1"/>
  <c r="AN913" i="1"/>
  <c r="AO913" i="1"/>
  <c r="AP913" i="1"/>
  <c r="AQ913" i="1"/>
  <c r="AR913" i="1"/>
  <c r="AS913" i="1"/>
  <c r="AM914" i="1"/>
  <c r="AN914" i="1"/>
  <c r="AO914" i="1"/>
  <c r="AP914" i="1"/>
  <c r="AQ914" i="1"/>
  <c r="AR914" i="1"/>
  <c r="AS914" i="1"/>
  <c r="AM915" i="1"/>
  <c r="AN915" i="1"/>
  <c r="AO915" i="1"/>
  <c r="AP915" i="1"/>
  <c r="AQ915" i="1"/>
  <c r="AR915" i="1"/>
  <c r="AS915" i="1"/>
  <c r="AM916" i="1"/>
  <c r="AN916" i="1"/>
  <c r="AO916" i="1"/>
  <c r="AP916" i="1"/>
  <c r="AQ916" i="1"/>
  <c r="AR916" i="1"/>
  <c r="AS916" i="1"/>
  <c r="AM917" i="1"/>
  <c r="AN917" i="1"/>
  <c r="AO917" i="1"/>
  <c r="AP917" i="1"/>
  <c r="AQ917" i="1"/>
  <c r="AR917" i="1"/>
  <c r="AS917" i="1"/>
  <c r="AM918" i="1"/>
  <c r="AN918" i="1"/>
  <c r="AO918" i="1"/>
  <c r="AP918" i="1"/>
  <c r="AQ918" i="1"/>
  <c r="AR918" i="1"/>
  <c r="AS918" i="1"/>
  <c r="AM919" i="1"/>
  <c r="AN919" i="1"/>
  <c r="AO919" i="1"/>
  <c r="AP919" i="1"/>
  <c r="AQ919" i="1"/>
  <c r="AR919" i="1"/>
  <c r="AS919" i="1"/>
  <c r="AM920" i="1"/>
  <c r="AN920" i="1"/>
  <c r="AO920" i="1"/>
  <c r="AP920" i="1"/>
  <c r="AQ920" i="1"/>
  <c r="AR920" i="1"/>
  <c r="AS920" i="1"/>
  <c r="AM921" i="1"/>
  <c r="AN921" i="1"/>
  <c r="AO921" i="1"/>
  <c r="AP921" i="1"/>
  <c r="AQ921" i="1"/>
  <c r="AR921" i="1"/>
  <c r="AS921" i="1"/>
  <c r="AM922" i="1"/>
  <c r="AN922" i="1"/>
  <c r="AO922" i="1"/>
  <c r="AP922" i="1"/>
  <c r="AQ922" i="1"/>
  <c r="AR922" i="1"/>
  <c r="AS922" i="1"/>
  <c r="AM923" i="1"/>
  <c r="AN923" i="1"/>
  <c r="AO923" i="1"/>
  <c r="AP923" i="1"/>
  <c r="AQ923" i="1"/>
  <c r="AR923" i="1"/>
  <c r="AS923" i="1"/>
  <c r="AM924" i="1"/>
  <c r="AN924" i="1"/>
  <c r="AO924" i="1"/>
  <c r="AP924" i="1"/>
  <c r="AQ924" i="1"/>
  <c r="AR924" i="1"/>
  <c r="AS924" i="1"/>
  <c r="AM925" i="1"/>
  <c r="AN925" i="1"/>
  <c r="AO925" i="1"/>
  <c r="AP925" i="1"/>
  <c r="AQ925" i="1"/>
  <c r="AR925" i="1"/>
  <c r="AS925" i="1"/>
  <c r="AM926" i="1"/>
  <c r="AN926" i="1"/>
  <c r="AO926" i="1"/>
  <c r="AP926" i="1"/>
  <c r="AQ926" i="1"/>
  <c r="AR926" i="1"/>
  <c r="AS926" i="1"/>
  <c r="AM927" i="1"/>
  <c r="AN927" i="1"/>
  <c r="AO927" i="1"/>
  <c r="AP927" i="1"/>
  <c r="AQ927" i="1"/>
  <c r="AR927" i="1"/>
  <c r="AS927" i="1"/>
  <c r="AM928" i="1"/>
  <c r="AN928" i="1"/>
  <c r="AO928" i="1"/>
  <c r="AP928" i="1"/>
  <c r="AQ928" i="1"/>
  <c r="AR928" i="1"/>
  <c r="AS928" i="1"/>
  <c r="AM929" i="1"/>
  <c r="AN929" i="1"/>
  <c r="AO929" i="1"/>
  <c r="AP929" i="1"/>
  <c r="AQ929" i="1"/>
  <c r="AR929" i="1"/>
  <c r="AS929" i="1"/>
  <c r="AM930" i="1"/>
  <c r="AN930" i="1"/>
  <c r="AO930" i="1"/>
  <c r="AP930" i="1"/>
  <c r="AQ930" i="1"/>
  <c r="AR930" i="1"/>
  <c r="AS930" i="1"/>
  <c r="AM931" i="1"/>
  <c r="AN931" i="1"/>
  <c r="AO931" i="1"/>
  <c r="AP931" i="1"/>
  <c r="AQ931" i="1"/>
  <c r="AR931" i="1"/>
  <c r="AS931" i="1"/>
  <c r="AM932" i="1"/>
  <c r="AN932" i="1"/>
  <c r="AO932" i="1"/>
  <c r="AP932" i="1"/>
  <c r="AQ932" i="1"/>
  <c r="AR932" i="1"/>
  <c r="AS932" i="1"/>
  <c r="AM933" i="1"/>
  <c r="AN933" i="1"/>
  <c r="AO933" i="1"/>
  <c r="AP933" i="1"/>
  <c r="AQ933" i="1"/>
  <c r="AR933" i="1"/>
  <c r="AS933" i="1"/>
  <c r="AM934" i="1"/>
  <c r="AN934" i="1"/>
  <c r="AO934" i="1"/>
  <c r="AP934" i="1"/>
  <c r="AQ934" i="1"/>
  <c r="AR934" i="1"/>
  <c r="AS934" i="1"/>
  <c r="AM935" i="1"/>
  <c r="AN935" i="1"/>
  <c r="AO935" i="1"/>
  <c r="AP935" i="1"/>
  <c r="AQ935" i="1"/>
  <c r="AR935" i="1"/>
  <c r="AS935" i="1"/>
  <c r="AM936" i="1"/>
  <c r="AN936" i="1"/>
  <c r="AO936" i="1"/>
  <c r="AP936" i="1"/>
  <c r="AQ936" i="1"/>
  <c r="AR936" i="1"/>
  <c r="AS936" i="1"/>
  <c r="AM937" i="1"/>
  <c r="AN937" i="1"/>
  <c r="AO937" i="1"/>
  <c r="AP937" i="1"/>
  <c r="AQ937" i="1"/>
  <c r="AR937" i="1"/>
  <c r="AS937" i="1"/>
  <c r="AM938" i="1"/>
  <c r="AN938" i="1"/>
  <c r="AO938" i="1"/>
  <c r="AP938" i="1"/>
  <c r="AQ938" i="1"/>
  <c r="AR938" i="1"/>
  <c r="AS938" i="1"/>
  <c r="AM939" i="1"/>
  <c r="AN939" i="1"/>
  <c r="AO939" i="1"/>
  <c r="AP939" i="1"/>
  <c r="AQ939" i="1"/>
  <c r="AR939" i="1"/>
  <c r="AS939" i="1"/>
  <c r="AM940" i="1"/>
  <c r="AN940" i="1"/>
  <c r="AO940" i="1"/>
  <c r="AP940" i="1"/>
  <c r="AQ940" i="1"/>
  <c r="AR940" i="1"/>
  <c r="AS940" i="1"/>
  <c r="AM941" i="1"/>
  <c r="AN941" i="1"/>
  <c r="AO941" i="1"/>
  <c r="AP941" i="1"/>
  <c r="AQ941" i="1"/>
  <c r="AR941" i="1"/>
  <c r="AS941" i="1"/>
  <c r="AM942" i="1"/>
  <c r="AN942" i="1"/>
  <c r="AO942" i="1"/>
  <c r="AP942" i="1"/>
  <c r="AQ942" i="1"/>
  <c r="AR942" i="1"/>
  <c r="AS942" i="1"/>
  <c r="AM943" i="1"/>
  <c r="AN943" i="1"/>
  <c r="AO943" i="1"/>
  <c r="AP943" i="1"/>
  <c r="AQ943" i="1"/>
  <c r="AR943" i="1"/>
  <c r="AS943" i="1"/>
  <c r="AM944" i="1"/>
  <c r="AN944" i="1"/>
  <c r="AO944" i="1"/>
  <c r="AP944" i="1"/>
  <c r="AQ944" i="1"/>
  <c r="AR944" i="1"/>
  <c r="AS944" i="1"/>
  <c r="AM945" i="1"/>
  <c r="AN945" i="1"/>
  <c r="AO945" i="1"/>
  <c r="AP945" i="1"/>
  <c r="AQ945" i="1"/>
  <c r="AR945" i="1"/>
  <c r="AS945" i="1"/>
  <c r="AM946" i="1"/>
  <c r="AN946" i="1"/>
  <c r="AO946" i="1"/>
  <c r="AP946" i="1"/>
  <c r="AQ946" i="1"/>
  <c r="AR946" i="1"/>
  <c r="AS946" i="1"/>
  <c r="AM947" i="1"/>
  <c r="AN947" i="1"/>
  <c r="AO947" i="1"/>
  <c r="AP947" i="1"/>
  <c r="AQ947" i="1"/>
  <c r="AR947" i="1"/>
  <c r="AS947" i="1"/>
  <c r="AM948" i="1"/>
  <c r="AN948" i="1"/>
  <c r="AO948" i="1"/>
  <c r="AP948" i="1"/>
  <c r="AQ948" i="1"/>
  <c r="AR948" i="1"/>
  <c r="AS948" i="1"/>
  <c r="AM949" i="1"/>
  <c r="AN949" i="1"/>
  <c r="AO949" i="1"/>
  <c r="AP949" i="1"/>
  <c r="AQ949" i="1"/>
  <c r="AR949" i="1"/>
  <c r="AS949" i="1"/>
  <c r="AM950" i="1"/>
  <c r="AN950" i="1"/>
  <c r="AO950" i="1"/>
  <c r="AP950" i="1"/>
  <c r="AQ950" i="1"/>
  <c r="AR950" i="1"/>
  <c r="AS950" i="1"/>
  <c r="AM951" i="1"/>
  <c r="AN951" i="1"/>
  <c r="AO951" i="1"/>
  <c r="AP951" i="1"/>
  <c r="AQ951" i="1"/>
  <c r="AR951" i="1"/>
  <c r="AS951" i="1"/>
  <c r="AM952" i="1"/>
  <c r="AN952" i="1"/>
  <c r="AO952" i="1"/>
  <c r="AP952" i="1"/>
  <c r="AQ952" i="1"/>
  <c r="AR952" i="1"/>
  <c r="AS952" i="1"/>
  <c r="AM953" i="1"/>
  <c r="AN953" i="1"/>
  <c r="AO953" i="1"/>
  <c r="AP953" i="1"/>
  <c r="AQ953" i="1"/>
  <c r="AR953" i="1"/>
  <c r="AS953" i="1"/>
  <c r="AM954" i="1"/>
  <c r="AN954" i="1"/>
  <c r="AO954" i="1"/>
  <c r="AP954" i="1"/>
  <c r="AQ954" i="1"/>
  <c r="AR954" i="1"/>
  <c r="AS954" i="1"/>
  <c r="AM955" i="1"/>
  <c r="AN955" i="1"/>
  <c r="AO955" i="1"/>
  <c r="AP955" i="1"/>
  <c r="AQ955" i="1"/>
  <c r="AR955" i="1"/>
  <c r="AS955" i="1"/>
  <c r="AM956" i="1"/>
  <c r="AN956" i="1"/>
  <c r="AO956" i="1"/>
  <c r="AP956" i="1"/>
  <c r="AQ956" i="1"/>
  <c r="AR956" i="1"/>
  <c r="AS956" i="1"/>
  <c r="AM957" i="1"/>
  <c r="AN957" i="1"/>
  <c r="AO957" i="1"/>
  <c r="AP957" i="1"/>
  <c r="AQ957" i="1"/>
  <c r="AR957" i="1"/>
  <c r="AS957" i="1"/>
  <c r="AM958" i="1"/>
  <c r="AN958" i="1"/>
  <c r="AO958" i="1"/>
  <c r="AP958" i="1"/>
  <c r="AQ958" i="1"/>
  <c r="AR958" i="1"/>
  <c r="AS958" i="1"/>
  <c r="AM959" i="1"/>
  <c r="AN959" i="1"/>
  <c r="AO959" i="1"/>
  <c r="AP959" i="1"/>
  <c r="AQ959" i="1"/>
  <c r="AR959" i="1"/>
  <c r="AS959" i="1"/>
  <c r="AM960" i="1"/>
  <c r="AN960" i="1"/>
  <c r="AO960" i="1"/>
  <c r="AP960" i="1"/>
  <c r="AQ960" i="1"/>
  <c r="AR960" i="1"/>
  <c r="AS960" i="1"/>
  <c r="AM961" i="1"/>
  <c r="AN961" i="1"/>
  <c r="AO961" i="1"/>
  <c r="AP961" i="1"/>
  <c r="AQ961" i="1"/>
  <c r="AR961" i="1"/>
  <c r="AS961" i="1"/>
  <c r="AM962" i="1"/>
  <c r="AN962" i="1"/>
  <c r="AO962" i="1"/>
  <c r="AP962" i="1"/>
  <c r="AQ962" i="1"/>
  <c r="AR962" i="1"/>
  <c r="AS962" i="1"/>
  <c r="AM963" i="1"/>
  <c r="AN963" i="1"/>
  <c r="AO963" i="1"/>
  <c r="AP963" i="1"/>
  <c r="AQ963" i="1"/>
  <c r="AR963" i="1"/>
  <c r="AS963" i="1"/>
  <c r="AM964" i="1"/>
  <c r="AN964" i="1"/>
  <c r="AO964" i="1"/>
  <c r="AP964" i="1"/>
  <c r="AQ964" i="1"/>
  <c r="AR964" i="1"/>
  <c r="AS964" i="1"/>
  <c r="AM965" i="1"/>
  <c r="AN965" i="1"/>
  <c r="AO965" i="1"/>
  <c r="AP965" i="1"/>
  <c r="AQ965" i="1"/>
  <c r="AR965" i="1"/>
  <c r="AS965" i="1"/>
  <c r="AM966" i="1"/>
  <c r="AN966" i="1"/>
  <c r="AO966" i="1"/>
  <c r="AP966" i="1"/>
  <c r="AQ966" i="1"/>
  <c r="AR966" i="1"/>
  <c r="AS966" i="1"/>
  <c r="AM2" i="1"/>
  <c r="AN2" i="1"/>
  <c r="AO2" i="1"/>
  <c r="AP2" i="1"/>
  <c r="AQ2" i="1"/>
  <c r="AR2" i="1"/>
  <c r="AS2" i="1"/>
  <c r="AM3" i="1"/>
  <c r="AN3" i="1"/>
  <c r="AO3" i="1"/>
  <c r="AP3" i="1"/>
  <c r="AQ3" i="1"/>
  <c r="AR3" i="1"/>
  <c r="AS3" i="1"/>
  <c r="AM967" i="1"/>
  <c r="AM968" i="1"/>
  <c r="AG22" i="1"/>
  <c r="AH22" i="1" s="1"/>
  <c r="AC360" i="1"/>
  <c r="AC361" i="1"/>
  <c r="AC362" i="1"/>
  <c r="AC363" i="1"/>
  <c r="AC364" i="1"/>
  <c r="AC365" i="1"/>
  <c r="AC366" i="1"/>
  <c r="AC367" i="1"/>
  <c r="AC368" i="1"/>
  <c r="AC369" i="1"/>
  <c r="AC370" i="1"/>
  <c r="AC371" i="1"/>
  <c r="AC372" i="1"/>
  <c r="AC373" i="1"/>
  <c r="AC374" i="1"/>
  <c r="AC375" i="1"/>
  <c r="AC376" i="1"/>
  <c r="AC377" i="1"/>
  <c r="AC378" i="1"/>
  <c r="AC379" i="1"/>
  <c r="AC380" i="1"/>
  <c r="AC381" i="1"/>
  <c r="AC382" i="1"/>
  <c r="AC383" i="1"/>
  <c r="AC384" i="1"/>
  <c r="AC385" i="1"/>
  <c r="AC386" i="1"/>
  <c r="AC387" i="1"/>
  <c r="AC388" i="1"/>
  <c r="AC389" i="1"/>
  <c r="AC390" i="1"/>
  <c r="AC391" i="1"/>
  <c r="AC392" i="1"/>
  <c r="AC393" i="1"/>
  <c r="AC394" i="1"/>
  <c r="AC395" i="1"/>
  <c r="AC396" i="1"/>
  <c r="AC397" i="1"/>
  <c r="AC398" i="1"/>
  <c r="AC399" i="1"/>
  <c r="AC400" i="1"/>
  <c r="AC401" i="1"/>
  <c r="AC402" i="1"/>
  <c r="AC403" i="1"/>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C786" i="1"/>
  <c r="AC787" i="1"/>
  <c r="AC788" i="1"/>
  <c r="AC789" i="1"/>
  <c r="AC790" i="1"/>
  <c r="AC791" i="1"/>
  <c r="AC792" i="1"/>
  <c r="AC793" i="1"/>
  <c r="AC794" i="1"/>
  <c r="AC795" i="1"/>
  <c r="AC796" i="1"/>
  <c r="AC797" i="1"/>
  <c r="AC798" i="1"/>
  <c r="AC799" i="1"/>
  <c r="AC800" i="1"/>
  <c r="AC801" i="1"/>
  <c r="AC802" i="1"/>
  <c r="AC803" i="1"/>
  <c r="AC804" i="1"/>
  <c r="AC805" i="1"/>
  <c r="AC806" i="1"/>
  <c r="AC807" i="1"/>
  <c r="AC808" i="1"/>
  <c r="AC809" i="1"/>
  <c r="AC810" i="1"/>
  <c r="AC811" i="1"/>
  <c r="AC812" i="1"/>
  <c r="AC813" i="1"/>
  <c r="AC814" i="1"/>
  <c r="AC815" i="1"/>
  <c r="AC816" i="1"/>
  <c r="AC817" i="1"/>
  <c r="AC818" i="1"/>
  <c r="AC819" i="1"/>
  <c r="AC820" i="1"/>
  <c r="AC821" i="1"/>
  <c r="AC822" i="1"/>
  <c r="AC823" i="1"/>
  <c r="AC824" i="1"/>
  <c r="AC825" i="1"/>
  <c r="AC826" i="1"/>
  <c r="AC827" i="1"/>
  <c r="AC828" i="1"/>
  <c r="AC829" i="1"/>
  <c r="AC830" i="1"/>
  <c r="AC831" i="1"/>
  <c r="AC832" i="1"/>
  <c r="AC833" i="1"/>
  <c r="AC834" i="1"/>
  <c r="AC835" i="1"/>
  <c r="AC836" i="1"/>
  <c r="AC837" i="1"/>
  <c r="AC838" i="1"/>
  <c r="AC839" i="1"/>
  <c r="AC840" i="1"/>
  <c r="AC841" i="1"/>
  <c r="AC842" i="1"/>
  <c r="AC843" i="1"/>
  <c r="AC844" i="1"/>
  <c r="AC845" i="1"/>
  <c r="AC846" i="1"/>
  <c r="AC847" i="1"/>
  <c r="AC848" i="1"/>
  <c r="AC849" i="1"/>
  <c r="AC850" i="1"/>
  <c r="AC851" i="1"/>
  <c r="AC852" i="1"/>
  <c r="AC853" i="1"/>
  <c r="AC854" i="1"/>
  <c r="AC855" i="1"/>
  <c r="AC856" i="1"/>
  <c r="AC857" i="1"/>
  <c r="AC858" i="1"/>
  <c r="AC859" i="1"/>
  <c r="AC860" i="1"/>
  <c r="AC861" i="1"/>
  <c r="AC862" i="1"/>
  <c r="AC863" i="1"/>
  <c r="AC864" i="1"/>
  <c r="AC865" i="1"/>
  <c r="AC866" i="1"/>
  <c r="AC867" i="1"/>
  <c r="AC868" i="1"/>
  <c r="AC869" i="1"/>
  <c r="AC870" i="1"/>
  <c r="AC871" i="1"/>
  <c r="AC872" i="1"/>
  <c r="AC873" i="1"/>
  <c r="AC874" i="1"/>
  <c r="AC875" i="1"/>
  <c r="AC876" i="1"/>
  <c r="AC877" i="1"/>
  <c r="AC878" i="1"/>
  <c r="AC879" i="1"/>
  <c r="AC880" i="1"/>
  <c r="AC881" i="1"/>
  <c r="AC882" i="1"/>
  <c r="AC883" i="1"/>
  <c r="AC884" i="1"/>
  <c r="AC885" i="1"/>
  <c r="AC886" i="1"/>
  <c r="AC887" i="1"/>
  <c r="AC888" i="1"/>
  <c r="AC889" i="1"/>
  <c r="AC890" i="1"/>
  <c r="AC891" i="1"/>
  <c r="AC892" i="1"/>
  <c r="AC893" i="1"/>
  <c r="AC894" i="1"/>
  <c r="AC895" i="1"/>
  <c r="AC896" i="1"/>
  <c r="AC897" i="1"/>
  <c r="AC898" i="1"/>
  <c r="AC899" i="1"/>
  <c r="AC900" i="1"/>
  <c r="AC901" i="1"/>
  <c r="AC902" i="1"/>
  <c r="AC903" i="1"/>
  <c r="AC904" i="1"/>
  <c r="AC905" i="1"/>
  <c r="AC906" i="1"/>
  <c r="AC907" i="1"/>
  <c r="AC908" i="1"/>
  <c r="AC909" i="1"/>
  <c r="AC910" i="1"/>
  <c r="AC911" i="1"/>
  <c r="AC912" i="1"/>
  <c r="AC913" i="1"/>
  <c r="AC914" i="1"/>
  <c r="AC915" i="1"/>
  <c r="AC916" i="1"/>
  <c r="AC917" i="1"/>
  <c r="AC918" i="1"/>
  <c r="AC919" i="1"/>
  <c r="AC920" i="1"/>
  <c r="AC921" i="1"/>
  <c r="AC922" i="1"/>
  <c r="AC923" i="1"/>
  <c r="AC924" i="1"/>
  <c r="AC925" i="1"/>
  <c r="AC926" i="1"/>
  <c r="AC927" i="1"/>
  <c r="AC928" i="1"/>
  <c r="AC929" i="1"/>
  <c r="AC930" i="1"/>
  <c r="AC931" i="1"/>
  <c r="AC932" i="1"/>
  <c r="AC933" i="1"/>
  <c r="AC934" i="1"/>
  <c r="AC935" i="1"/>
  <c r="AC936" i="1"/>
  <c r="AC937" i="1"/>
  <c r="AC938" i="1"/>
  <c r="AC939" i="1"/>
  <c r="AC940" i="1"/>
  <c r="AC941" i="1"/>
  <c r="AC942" i="1"/>
  <c r="AC943" i="1"/>
  <c r="AC944" i="1"/>
  <c r="AC945" i="1"/>
  <c r="AC946" i="1"/>
  <c r="AC947" i="1"/>
  <c r="AC948" i="1"/>
  <c r="AC949" i="1"/>
  <c r="AC950" i="1"/>
  <c r="AC951" i="1"/>
  <c r="AC952" i="1"/>
  <c r="AC953" i="1"/>
  <c r="AC954" i="1"/>
  <c r="AC955" i="1"/>
  <c r="AC956" i="1"/>
  <c r="AC957" i="1"/>
  <c r="AC958" i="1"/>
  <c r="AC959" i="1"/>
  <c r="AC960" i="1"/>
  <c r="AC961" i="1"/>
  <c r="AC962" i="1"/>
  <c r="AC963" i="1"/>
  <c r="AC964" i="1"/>
  <c r="AC965" i="1"/>
  <c r="AC966" i="1"/>
  <c r="Z361" i="1"/>
  <c r="Z362" i="1"/>
  <c r="Z363" i="1"/>
  <c r="Z364" i="1"/>
  <c r="Z365" i="1"/>
  <c r="Z366" i="1"/>
  <c r="Z367" i="1"/>
  <c r="Z368" i="1"/>
  <c r="Z369" i="1"/>
  <c r="Z370" i="1"/>
  <c r="Z371" i="1"/>
  <c r="Z372" i="1"/>
  <c r="Z373" i="1"/>
  <c r="Z374" i="1"/>
  <c r="Z375" i="1"/>
  <c r="Z376" i="1"/>
  <c r="Z377" i="1"/>
  <c r="Z378" i="1"/>
  <c r="Z379" i="1"/>
  <c r="Z380" i="1"/>
  <c r="Z381" i="1"/>
  <c r="Z382" i="1"/>
  <c r="Z383" i="1"/>
  <c r="Z384" i="1"/>
  <c r="Z385" i="1"/>
  <c r="Z386" i="1"/>
  <c r="Z387" i="1"/>
  <c r="Z388" i="1"/>
  <c r="Z389" i="1"/>
  <c r="Z390" i="1"/>
  <c r="Z391" i="1"/>
  <c r="Z392" i="1"/>
  <c r="Z393" i="1"/>
  <c r="Z394" i="1"/>
  <c r="Z395" i="1"/>
  <c r="Z396" i="1"/>
  <c r="Z397" i="1"/>
  <c r="Z398" i="1"/>
  <c r="Z399" i="1"/>
  <c r="Z400" i="1"/>
  <c r="Z401" i="1"/>
  <c r="Z402" i="1"/>
  <c r="Z403" i="1"/>
  <c r="Z404" i="1"/>
  <c r="Z405" i="1"/>
  <c r="Z406" i="1"/>
  <c r="Z407" i="1"/>
  <c r="Z408" i="1"/>
  <c r="Z409" i="1"/>
  <c r="Z410" i="1"/>
  <c r="Z411" i="1"/>
  <c r="Z412" i="1"/>
  <c r="Z413" i="1"/>
  <c r="Z414" i="1"/>
  <c r="Z415" i="1"/>
  <c r="Z416" i="1"/>
  <c r="Z417" i="1"/>
  <c r="Z418" i="1"/>
  <c r="Z419" i="1"/>
  <c r="Z420" i="1"/>
  <c r="Z421" i="1"/>
  <c r="Z422" i="1"/>
  <c r="Z423" i="1"/>
  <c r="Z424" i="1"/>
  <c r="Z425" i="1"/>
  <c r="Z426" i="1"/>
  <c r="Z427" i="1"/>
  <c r="Z428" i="1"/>
  <c r="Z429" i="1"/>
  <c r="Z430" i="1"/>
  <c r="Z431" i="1"/>
  <c r="Z432" i="1"/>
  <c r="Z433" i="1"/>
  <c r="Z434" i="1"/>
  <c r="Z435" i="1"/>
  <c r="Z436" i="1"/>
  <c r="Z437" i="1"/>
  <c r="Z438" i="1"/>
  <c r="Z439" i="1"/>
  <c r="Z440" i="1"/>
  <c r="Z441" i="1"/>
  <c r="Z442" i="1"/>
  <c r="Z443" i="1"/>
  <c r="Z444" i="1"/>
  <c r="Z445" i="1"/>
  <c r="Z446" i="1"/>
  <c r="Z447" i="1"/>
  <c r="Z448" i="1"/>
  <c r="Z449" i="1"/>
  <c r="Z450" i="1"/>
  <c r="Z451" i="1"/>
  <c r="Z452" i="1"/>
  <c r="Z453" i="1"/>
  <c r="Z454" i="1"/>
  <c r="Z455" i="1"/>
  <c r="Z456" i="1"/>
  <c r="Z457" i="1"/>
  <c r="Z458" i="1"/>
  <c r="Z459" i="1"/>
  <c r="Z460" i="1"/>
  <c r="Z461" i="1"/>
  <c r="Z462" i="1"/>
  <c r="Z463" i="1"/>
  <c r="Z464" i="1"/>
  <c r="Z465" i="1"/>
  <c r="Z466" i="1"/>
  <c r="Z467" i="1"/>
  <c r="Z468" i="1"/>
  <c r="Z469" i="1"/>
  <c r="Z470" i="1"/>
  <c r="Z471" i="1"/>
  <c r="Z472" i="1"/>
  <c r="Z473" i="1"/>
  <c r="Z474" i="1"/>
  <c r="Z475" i="1"/>
  <c r="Z476" i="1"/>
  <c r="Z477" i="1"/>
  <c r="Z478" i="1"/>
  <c r="Z479" i="1"/>
  <c r="Z480" i="1"/>
  <c r="Z481" i="1"/>
  <c r="Z482" i="1"/>
  <c r="Z483" i="1"/>
  <c r="Z484" i="1"/>
  <c r="Z485" i="1"/>
  <c r="Z486" i="1"/>
  <c r="Z487" i="1"/>
  <c r="Z488" i="1"/>
  <c r="Z489" i="1"/>
  <c r="Z490" i="1"/>
  <c r="Z491" i="1"/>
  <c r="Z492" i="1"/>
  <c r="Z493" i="1"/>
  <c r="Z494" i="1"/>
  <c r="Z495" i="1"/>
  <c r="Z496" i="1"/>
  <c r="Z497" i="1"/>
  <c r="Z498" i="1"/>
  <c r="Z499" i="1"/>
  <c r="Z500" i="1"/>
  <c r="Z501" i="1"/>
  <c r="Z502" i="1"/>
  <c r="Z503" i="1"/>
  <c r="Z504" i="1"/>
  <c r="Z505" i="1"/>
  <c r="Z506" i="1"/>
  <c r="Z507" i="1"/>
  <c r="Z508" i="1"/>
  <c r="Z509" i="1"/>
  <c r="Z510" i="1"/>
  <c r="Z511" i="1"/>
  <c r="Z512" i="1"/>
  <c r="Z513" i="1"/>
  <c r="Z514" i="1"/>
  <c r="Z515" i="1"/>
  <c r="Z516" i="1"/>
  <c r="Z517" i="1"/>
  <c r="Z518" i="1"/>
  <c r="Z519" i="1"/>
  <c r="Z520" i="1"/>
  <c r="Z521" i="1"/>
  <c r="Z522" i="1"/>
  <c r="Z523" i="1"/>
  <c r="Z524" i="1"/>
  <c r="Z525" i="1"/>
  <c r="Z526" i="1"/>
  <c r="Z527" i="1"/>
  <c r="Z528" i="1"/>
  <c r="Z529" i="1"/>
  <c r="Z530" i="1"/>
  <c r="Z531" i="1"/>
  <c r="Z532" i="1"/>
  <c r="Z533" i="1"/>
  <c r="Z534" i="1"/>
  <c r="Z535" i="1"/>
  <c r="Z536" i="1"/>
  <c r="Z537" i="1"/>
  <c r="Z538" i="1"/>
  <c r="Z539" i="1"/>
  <c r="Z540" i="1"/>
  <c r="Z541" i="1"/>
  <c r="Z542" i="1"/>
  <c r="Z543" i="1"/>
  <c r="Z544" i="1"/>
  <c r="Z545" i="1"/>
  <c r="Z546" i="1"/>
  <c r="Z547" i="1"/>
  <c r="Z548" i="1"/>
  <c r="Z549" i="1"/>
  <c r="Z550" i="1"/>
  <c r="Z551" i="1"/>
  <c r="Z552" i="1"/>
  <c r="Z553" i="1"/>
  <c r="Z554" i="1"/>
  <c r="Z555" i="1"/>
  <c r="Z556" i="1"/>
  <c r="Z557" i="1"/>
  <c r="Z558" i="1"/>
  <c r="Z559" i="1"/>
  <c r="Z560" i="1"/>
  <c r="Z561" i="1"/>
  <c r="Z562" i="1"/>
  <c r="Z563" i="1"/>
  <c r="Z564" i="1"/>
  <c r="Z565" i="1"/>
  <c r="Z566" i="1"/>
  <c r="Z567" i="1"/>
  <c r="Z568" i="1"/>
  <c r="Z569" i="1"/>
  <c r="Z570" i="1"/>
  <c r="Z571" i="1"/>
  <c r="Z572" i="1"/>
  <c r="Z573" i="1"/>
  <c r="Z574" i="1"/>
  <c r="Z575" i="1"/>
  <c r="Z576" i="1"/>
  <c r="Z577" i="1"/>
  <c r="Z578" i="1"/>
  <c r="Z579" i="1"/>
  <c r="Z580" i="1"/>
  <c r="Z581" i="1"/>
  <c r="Z582" i="1"/>
  <c r="Z583" i="1"/>
  <c r="Z584" i="1"/>
  <c r="Z585" i="1"/>
  <c r="Z586" i="1"/>
  <c r="Z587" i="1"/>
  <c r="Z588" i="1"/>
  <c r="Z589" i="1"/>
  <c r="Z590" i="1"/>
  <c r="Z591" i="1"/>
  <c r="Z592" i="1"/>
  <c r="Z593" i="1"/>
  <c r="Z594" i="1"/>
  <c r="Z595" i="1"/>
  <c r="Z596" i="1"/>
  <c r="Z597" i="1"/>
  <c r="Z598" i="1"/>
  <c r="Z599" i="1"/>
  <c r="Z600" i="1"/>
  <c r="Z601" i="1"/>
  <c r="Z602" i="1"/>
  <c r="Z603" i="1"/>
  <c r="Z604" i="1"/>
  <c r="Z605" i="1"/>
  <c r="Z606" i="1"/>
  <c r="Z607" i="1"/>
  <c r="Z608" i="1"/>
  <c r="Z609" i="1"/>
  <c r="Z610" i="1"/>
  <c r="Z611" i="1"/>
  <c r="Z612" i="1"/>
  <c r="Z613" i="1"/>
  <c r="Z614" i="1"/>
  <c r="Z615" i="1"/>
  <c r="Z616" i="1"/>
  <c r="Z617" i="1"/>
  <c r="Z618" i="1"/>
  <c r="Z619" i="1"/>
  <c r="Z620" i="1"/>
  <c r="Z621" i="1"/>
  <c r="Z622" i="1"/>
  <c r="Z623" i="1"/>
  <c r="Z624" i="1"/>
  <c r="Z625" i="1"/>
  <c r="Z626" i="1"/>
  <c r="Z627" i="1"/>
  <c r="Z628" i="1"/>
  <c r="Z629" i="1"/>
  <c r="Z630" i="1"/>
  <c r="Z631" i="1"/>
  <c r="Z632" i="1"/>
  <c r="Z633" i="1"/>
  <c r="Z634" i="1"/>
  <c r="Z635" i="1"/>
  <c r="Z636" i="1"/>
  <c r="Z637" i="1"/>
  <c r="Z638" i="1"/>
  <c r="Z639" i="1"/>
  <c r="Z640" i="1"/>
  <c r="Z641" i="1"/>
  <c r="Z642" i="1"/>
  <c r="Z643" i="1"/>
  <c r="Z644" i="1"/>
  <c r="Z645" i="1"/>
  <c r="Z646" i="1"/>
  <c r="Z647" i="1"/>
  <c r="Z648" i="1"/>
  <c r="Z649" i="1"/>
  <c r="Z650" i="1"/>
  <c r="Z651" i="1"/>
  <c r="Z652" i="1"/>
  <c r="Z653" i="1"/>
  <c r="Z654" i="1"/>
  <c r="Z655" i="1"/>
  <c r="Z656" i="1"/>
  <c r="Z657" i="1"/>
  <c r="Z658" i="1"/>
  <c r="Z659" i="1"/>
  <c r="Z660" i="1"/>
  <c r="Z661" i="1"/>
  <c r="Z662" i="1"/>
  <c r="Z663" i="1"/>
  <c r="Z664" i="1"/>
  <c r="Z665" i="1"/>
  <c r="Z666" i="1"/>
  <c r="Z667" i="1"/>
  <c r="Z668" i="1"/>
  <c r="Z669" i="1"/>
  <c r="Z670" i="1"/>
  <c r="Z671" i="1"/>
  <c r="Z672" i="1"/>
  <c r="Z673" i="1"/>
  <c r="Z674" i="1"/>
  <c r="Z675" i="1"/>
  <c r="Z676" i="1"/>
  <c r="Z677" i="1"/>
  <c r="Z678" i="1"/>
  <c r="Z679" i="1"/>
  <c r="Z680" i="1"/>
  <c r="Z681" i="1"/>
  <c r="Z682" i="1"/>
  <c r="Z683" i="1"/>
  <c r="Z684" i="1"/>
  <c r="Z685" i="1"/>
  <c r="Z686" i="1"/>
  <c r="Z687" i="1"/>
  <c r="Z688" i="1"/>
  <c r="Z689" i="1"/>
  <c r="Z690" i="1"/>
  <c r="Z691" i="1"/>
  <c r="Z692" i="1"/>
  <c r="Z693" i="1"/>
  <c r="Z694" i="1"/>
  <c r="Z695" i="1"/>
  <c r="Z696" i="1"/>
  <c r="Z697" i="1"/>
  <c r="Z698" i="1"/>
  <c r="Z699" i="1"/>
  <c r="Z700" i="1"/>
  <c r="Z701" i="1"/>
  <c r="Z702" i="1"/>
  <c r="Z703" i="1"/>
  <c r="Z704" i="1"/>
  <c r="Z705" i="1"/>
  <c r="Z706" i="1"/>
  <c r="Z707" i="1"/>
  <c r="Z708" i="1"/>
  <c r="Z709" i="1"/>
  <c r="Z710" i="1"/>
  <c r="Z711" i="1"/>
  <c r="Z712" i="1"/>
  <c r="Z713" i="1"/>
  <c r="Z714" i="1"/>
  <c r="Z715" i="1"/>
  <c r="Z716" i="1"/>
  <c r="Z717" i="1"/>
  <c r="Z718" i="1"/>
  <c r="Z719" i="1"/>
  <c r="Z720" i="1"/>
  <c r="Z721" i="1"/>
  <c r="Z722" i="1"/>
  <c r="Z723" i="1"/>
  <c r="Z724" i="1"/>
  <c r="Z725" i="1"/>
  <c r="Z726" i="1"/>
  <c r="Z727" i="1"/>
  <c r="Z728" i="1"/>
  <c r="Z729" i="1"/>
  <c r="Z730" i="1"/>
  <c r="Z731" i="1"/>
  <c r="Z732" i="1"/>
  <c r="Z733" i="1"/>
  <c r="Z734" i="1"/>
  <c r="Z735" i="1"/>
  <c r="Z736" i="1"/>
  <c r="Z737" i="1"/>
  <c r="Z738" i="1"/>
  <c r="Z739" i="1"/>
  <c r="Z740" i="1"/>
  <c r="Z741" i="1"/>
  <c r="Z742" i="1"/>
  <c r="Z743"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AG18" i="1" l="1"/>
  <c r="AH18" i="1" s="1"/>
  <c r="AG4" i="1"/>
  <c r="AH4" i="1" s="1"/>
  <c r="AG7" i="1"/>
  <c r="AH7" i="1" s="1"/>
  <c r="AG34" i="1"/>
  <c r="AH34" i="1" s="1"/>
  <c r="AG43" i="1"/>
  <c r="AH43" i="1" s="1"/>
  <c r="AG5" i="1"/>
  <c r="AH5" i="1" s="1"/>
  <c r="AG35" i="1"/>
  <c r="AH35" i="1" s="1"/>
  <c r="AG26" i="1"/>
  <c r="AH26" i="1" s="1"/>
  <c r="AG19" i="1"/>
  <c r="AH19" i="1" s="1"/>
  <c r="AG8" i="1"/>
  <c r="AH8" i="1" s="1"/>
  <c r="AG21" i="1"/>
  <c r="AH21" i="1" s="1"/>
  <c r="AG30" i="1"/>
  <c r="AH30" i="1" s="1"/>
  <c r="AG17" i="1"/>
  <c r="AH17" i="1" s="1"/>
  <c r="AG38" i="1"/>
  <c r="AH38" i="1" s="1"/>
  <c r="AG29" i="1"/>
  <c r="AH29" i="1" s="1"/>
  <c r="AG20" i="1"/>
  <c r="AH20" i="1" s="1"/>
  <c r="AG16" i="1"/>
  <c r="AH16" i="1" s="1"/>
  <c r="AG41" i="1"/>
  <c r="AH41" i="1" s="1"/>
  <c r="AG33" i="1"/>
  <c r="AH33" i="1" s="1"/>
  <c r="AG45" i="1"/>
  <c r="AH45" i="1" s="1"/>
  <c r="AG44" i="1"/>
  <c r="AH44" i="1" s="1"/>
  <c r="AG37" i="1"/>
  <c r="AH37" i="1" s="1"/>
  <c r="AT48" i="1"/>
  <c r="AG47" i="1"/>
  <c r="AH47" i="1" s="1"/>
  <c r="AJ47" i="1" s="1"/>
  <c r="AG46" i="1"/>
  <c r="AH46" i="1" s="1"/>
  <c r="AG27" i="1"/>
  <c r="AH27" i="1" s="1"/>
  <c r="AG25" i="1"/>
  <c r="AH25" i="1" s="1"/>
  <c r="AG3" i="1"/>
  <c r="AH3" i="1" s="1"/>
  <c r="AG11" i="1"/>
  <c r="AH11" i="1" s="1"/>
  <c r="AG12" i="1"/>
  <c r="AH12" i="1" s="1"/>
  <c r="AG28" i="1"/>
  <c r="AH28" i="1" s="1"/>
  <c r="AG42" i="1"/>
  <c r="AH42" i="1" s="1"/>
  <c r="AG36" i="1"/>
  <c r="AH36" i="1" s="1"/>
  <c r="AG13" i="1"/>
  <c r="AH13" i="1" s="1"/>
  <c r="H28" i="13"/>
  <c r="N28" i="13" s="1"/>
  <c r="N27" i="13" s="1"/>
  <c r="B6" i="4"/>
  <c r="B6" i="7" s="1"/>
  <c r="B3" i="7"/>
  <c r="AG10" i="1"/>
  <c r="AH10" i="1" s="1"/>
  <c r="AG9" i="1"/>
  <c r="AH9" i="1" s="1"/>
  <c r="AG40" i="1"/>
  <c r="AH40" i="1" s="1"/>
  <c r="AG32" i="1"/>
  <c r="AH32" i="1" s="1"/>
  <c r="AG24" i="1"/>
  <c r="AH24" i="1" s="1"/>
  <c r="AG39" i="1"/>
  <c r="AH39" i="1" s="1"/>
  <c r="AG31" i="1"/>
  <c r="AH31" i="1" s="1"/>
  <c r="AG23" i="1"/>
  <c r="AH23" i="1" s="1"/>
  <c r="AG15" i="1"/>
  <c r="AH15" i="1" s="1"/>
  <c r="AG14" i="1"/>
  <c r="AH14" i="1" s="1"/>
  <c r="AG6" i="1"/>
  <c r="AH6" i="1" s="1"/>
  <c r="B5" i="4"/>
  <c r="B5" i="7" s="1"/>
  <c r="A11" i="7" s="1"/>
  <c r="B4" i="4"/>
  <c r="B4" i="7" s="1"/>
  <c r="C7" i="5"/>
  <c r="H33" i="5"/>
  <c r="C8" i="5"/>
  <c r="H31" i="5"/>
  <c r="H32" i="5"/>
  <c r="AT49" i="1" l="1"/>
  <c r="AG48" i="1"/>
  <c r="AH48" i="1" s="1"/>
  <c r="AJ48" i="1" s="1"/>
  <c r="A12" i="7"/>
  <c r="I31" i="5"/>
  <c r="M11" i="7"/>
  <c r="N11" i="7"/>
  <c r="O11" i="7"/>
  <c r="P11" i="7"/>
  <c r="Q11" i="7"/>
  <c r="R11" i="7"/>
  <c r="I32" i="5"/>
  <c r="F11" i="7"/>
  <c r="AT50" i="1" l="1"/>
  <c r="AG49" i="1"/>
  <c r="AH49" i="1" s="1"/>
  <c r="AJ49" i="1" s="1"/>
  <c r="F12" i="7"/>
  <c r="P12" i="7"/>
  <c r="O12" i="7"/>
  <c r="N12" i="7"/>
  <c r="M12" i="7"/>
  <c r="Q12" i="7"/>
  <c r="R12" i="7"/>
  <c r="G11" i="7"/>
  <c r="A13" i="7"/>
  <c r="G12" i="7" l="1"/>
  <c r="AT51" i="1"/>
  <c r="AG50" i="1"/>
  <c r="AH50" i="1" s="1"/>
  <c r="AJ50" i="1" s="1"/>
  <c r="F13" i="7"/>
  <c r="R13" i="7"/>
  <c r="Q13" i="7"/>
  <c r="P13" i="7"/>
  <c r="O13" i="7"/>
  <c r="N13" i="7"/>
  <c r="M13" i="7"/>
  <c r="A14" i="7"/>
  <c r="G13" i="7" l="1"/>
  <c r="AT52" i="1"/>
  <c r="AG51" i="1"/>
  <c r="AH51" i="1" s="1"/>
  <c r="F14" i="7"/>
  <c r="R14" i="7"/>
  <c r="Q14" i="7"/>
  <c r="P14" i="7"/>
  <c r="M14" i="7"/>
  <c r="O14" i="7"/>
  <c r="N14" i="7"/>
  <c r="A15" i="7"/>
  <c r="G14" i="7" l="1"/>
  <c r="AT53" i="1"/>
  <c r="AG52" i="1"/>
  <c r="AH52" i="1" s="1"/>
  <c r="F15" i="7"/>
  <c r="N15" i="7"/>
  <c r="M15" i="7"/>
  <c r="R15" i="7"/>
  <c r="Q15" i="7"/>
  <c r="P15" i="7"/>
  <c r="O15" i="7"/>
  <c r="A16" i="7"/>
  <c r="AT54" i="1" l="1"/>
  <c r="AG53" i="1"/>
  <c r="AH53" i="1" s="1"/>
  <c r="F16" i="7"/>
  <c r="P16" i="7"/>
  <c r="O16" i="7"/>
  <c r="N16" i="7"/>
  <c r="M16" i="7"/>
  <c r="Q16" i="7"/>
  <c r="R16" i="7"/>
  <c r="G15" i="7"/>
  <c r="A17" i="7"/>
  <c r="AT55" i="1" l="1"/>
  <c r="AG54" i="1"/>
  <c r="AH54" i="1" s="1"/>
  <c r="F17" i="7"/>
  <c r="R17" i="7"/>
  <c r="Q17" i="7"/>
  <c r="P17" i="7"/>
  <c r="O17" i="7"/>
  <c r="N17" i="7"/>
  <c r="M17" i="7"/>
  <c r="G16" i="7"/>
  <c r="A18" i="7"/>
  <c r="AT56" i="1" l="1"/>
  <c r="AG55" i="1"/>
  <c r="AH55" i="1" s="1"/>
  <c r="F18" i="7"/>
  <c r="R18" i="7"/>
  <c r="Q18" i="7"/>
  <c r="P18" i="7"/>
  <c r="O18" i="7"/>
  <c r="M18" i="7"/>
  <c r="N18" i="7"/>
  <c r="G17" i="7"/>
  <c r="A19" i="7"/>
  <c r="AT57" i="1" l="1"/>
  <c r="AG56" i="1"/>
  <c r="AH56" i="1" s="1"/>
  <c r="F19" i="7"/>
  <c r="N19" i="7"/>
  <c r="M19" i="7"/>
  <c r="R19" i="7"/>
  <c r="O19" i="7"/>
  <c r="Q19" i="7"/>
  <c r="P19" i="7"/>
  <c r="G18" i="7"/>
  <c r="A20" i="7"/>
  <c r="AT58" i="1" l="1"/>
  <c r="AG57" i="1"/>
  <c r="AH57" i="1" s="1"/>
  <c r="P20" i="7"/>
  <c r="O20" i="7"/>
  <c r="N20" i="7"/>
  <c r="M20" i="7"/>
  <c r="R20" i="7"/>
  <c r="Q20" i="7"/>
  <c r="F20" i="7"/>
  <c r="G19" i="7"/>
  <c r="A21" i="7"/>
  <c r="AT59" i="1" l="1"/>
  <c r="AG58" i="1"/>
  <c r="AH58" i="1" s="1"/>
  <c r="F21" i="7"/>
  <c r="R21" i="7"/>
  <c r="Q21" i="7"/>
  <c r="P21" i="7"/>
  <c r="O21" i="7"/>
  <c r="N21" i="7"/>
  <c r="M21" i="7"/>
  <c r="G20" i="7"/>
  <c r="A22" i="7"/>
  <c r="AT60" i="1" l="1"/>
  <c r="AG59" i="1"/>
  <c r="AH59" i="1" s="1"/>
  <c r="F22" i="7"/>
  <c r="R22" i="7"/>
  <c r="Q22" i="7"/>
  <c r="P22" i="7"/>
  <c r="O22" i="7"/>
  <c r="M22" i="7"/>
  <c r="N22" i="7"/>
  <c r="G21" i="7"/>
  <c r="A23" i="7"/>
  <c r="AT61" i="1" l="1"/>
  <c r="AG60" i="1"/>
  <c r="AH60" i="1" s="1"/>
  <c r="F23" i="7"/>
  <c r="N23" i="7"/>
  <c r="M23" i="7"/>
  <c r="O23" i="7"/>
  <c r="R23" i="7"/>
  <c r="Q23" i="7"/>
  <c r="P23" i="7"/>
  <c r="G22" i="7"/>
  <c r="A24" i="7"/>
  <c r="AT62" i="1" l="1"/>
  <c r="AG61" i="1"/>
  <c r="AH61" i="1" s="1"/>
  <c r="F24" i="7"/>
  <c r="P24" i="7"/>
  <c r="O24" i="7"/>
  <c r="N24" i="7"/>
  <c r="M24" i="7"/>
  <c r="Q24" i="7"/>
  <c r="R24" i="7"/>
  <c r="G23" i="7"/>
  <c r="A25" i="7"/>
  <c r="AT63" i="1" l="1"/>
  <c r="AG62" i="1"/>
  <c r="AH62" i="1" s="1"/>
  <c r="F25" i="7"/>
  <c r="R25" i="7"/>
  <c r="Q25" i="7"/>
  <c r="P25" i="7"/>
  <c r="O25" i="7"/>
  <c r="N25" i="7"/>
  <c r="M25" i="7"/>
  <c r="G24" i="7"/>
  <c r="A26" i="7"/>
  <c r="AT64" i="1" l="1"/>
  <c r="AG63" i="1"/>
  <c r="AH63" i="1" s="1"/>
  <c r="F26" i="7"/>
  <c r="R26" i="7"/>
  <c r="Q26" i="7"/>
  <c r="P26" i="7"/>
  <c r="M26" i="7"/>
  <c r="O26" i="7"/>
  <c r="N26" i="7"/>
  <c r="G25" i="7"/>
  <c r="A27" i="7"/>
  <c r="AT65" i="1" l="1"/>
  <c r="AG64" i="1"/>
  <c r="AH64" i="1" s="1"/>
  <c r="F27" i="7"/>
  <c r="N27" i="7"/>
  <c r="M27" i="7"/>
  <c r="R27" i="7"/>
  <c r="Q27" i="7"/>
  <c r="P27" i="7"/>
  <c r="O27" i="7"/>
  <c r="G26" i="7"/>
  <c r="A28" i="7"/>
  <c r="AT66" i="1" l="1"/>
  <c r="AG65" i="1"/>
  <c r="AH65" i="1" s="1"/>
  <c r="F28" i="7"/>
  <c r="P28" i="7"/>
  <c r="O28" i="7"/>
  <c r="N28" i="7"/>
  <c r="M28" i="7"/>
  <c r="Q28" i="7"/>
  <c r="R28" i="7"/>
  <c r="G27" i="7"/>
  <c r="A29" i="7"/>
  <c r="AT67" i="1" l="1"/>
  <c r="AG66" i="1"/>
  <c r="AH66" i="1" s="1"/>
  <c r="F29" i="7"/>
  <c r="R29" i="7"/>
  <c r="Q29" i="7"/>
  <c r="P29" i="7"/>
  <c r="O29" i="7"/>
  <c r="N29" i="7"/>
  <c r="M29" i="7"/>
  <c r="G28" i="7"/>
  <c r="A30" i="7"/>
  <c r="AT68" i="1" l="1"/>
  <c r="AG67" i="1"/>
  <c r="AH67" i="1" s="1"/>
  <c r="F30" i="7"/>
  <c r="R30" i="7"/>
  <c r="Q30" i="7"/>
  <c r="P30" i="7"/>
  <c r="O30" i="7"/>
  <c r="M30" i="7"/>
  <c r="N30" i="7"/>
  <c r="G29" i="7"/>
  <c r="A31" i="7"/>
  <c r="AT69" i="1" l="1"/>
  <c r="AG68" i="1"/>
  <c r="AH68" i="1" s="1"/>
  <c r="F31" i="7"/>
  <c r="N31" i="7"/>
  <c r="M31" i="7"/>
  <c r="R31" i="7"/>
  <c r="O31" i="7"/>
  <c r="Q31" i="7"/>
  <c r="P31" i="7"/>
  <c r="G30" i="7"/>
  <c r="A32" i="7"/>
  <c r="AT70" i="1" l="1"/>
  <c r="AG69" i="1"/>
  <c r="AH69" i="1" s="1"/>
  <c r="F32" i="7"/>
  <c r="P32" i="7"/>
  <c r="O32" i="7"/>
  <c r="N32" i="7"/>
  <c r="M32" i="7"/>
  <c r="Q32" i="7"/>
  <c r="R32" i="7"/>
  <c r="G31" i="7"/>
  <c r="A33" i="7"/>
  <c r="AT71" i="1" l="1"/>
  <c r="AG70" i="1"/>
  <c r="AH70" i="1" s="1"/>
  <c r="M33" i="7"/>
  <c r="F33" i="7"/>
  <c r="R33" i="7"/>
  <c r="Q33" i="7"/>
  <c r="P33" i="7"/>
  <c r="O33" i="7"/>
  <c r="N33" i="7"/>
  <c r="G32" i="7"/>
  <c r="A34" i="7"/>
  <c r="AT72" i="1" l="1"/>
  <c r="AG71" i="1"/>
  <c r="AH71" i="1" s="1"/>
  <c r="F34" i="7"/>
  <c r="R34" i="7"/>
  <c r="Q34" i="7"/>
  <c r="P34" i="7"/>
  <c r="M34" i="7"/>
  <c r="O34" i="7"/>
  <c r="N34" i="7"/>
  <c r="G33" i="7"/>
  <c r="A35" i="7"/>
  <c r="AT73" i="1" l="1"/>
  <c r="AG72" i="1"/>
  <c r="AH72" i="1" s="1"/>
  <c r="F35" i="7"/>
  <c r="N35" i="7"/>
  <c r="M35" i="7"/>
  <c r="O35" i="7"/>
  <c r="R35" i="7"/>
  <c r="Q35" i="7"/>
  <c r="P35" i="7"/>
  <c r="G34" i="7"/>
  <c r="A36" i="7"/>
  <c r="AT74" i="1" l="1"/>
  <c r="AG73" i="1"/>
  <c r="AH73" i="1" s="1"/>
  <c r="F36" i="7"/>
  <c r="P36" i="7"/>
  <c r="O36" i="7"/>
  <c r="N36" i="7"/>
  <c r="M36" i="7"/>
  <c r="Q36" i="7"/>
  <c r="R36" i="7"/>
  <c r="G35" i="7"/>
  <c r="A37" i="7"/>
  <c r="AT75" i="1" l="1"/>
  <c r="AG74" i="1"/>
  <c r="AH74" i="1" s="1"/>
  <c r="F37" i="7"/>
  <c r="R37" i="7"/>
  <c r="Q37" i="7"/>
  <c r="P37" i="7"/>
  <c r="O37" i="7"/>
  <c r="N37" i="7"/>
  <c r="M37" i="7"/>
  <c r="G36" i="7"/>
  <c r="A38" i="7"/>
  <c r="AT76" i="1" l="1"/>
  <c r="AG75" i="1"/>
  <c r="AH75" i="1" s="1"/>
  <c r="F38" i="7"/>
  <c r="R38" i="7"/>
  <c r="Q38" i="7"/>
  <c r="P38" i="7"/>
  <c r="M38" i="7"/>
  <c r="O38" i="7"/>
  <c r="N38" i="7"/>
  <c r="G37" i="7"/>
  <c r="A39" i="7"/>
  <c r="A40" i="7" s="1"/>
  <c r="A41" i="7" s="1"/>
  <c r="AT77" i="1" l="1"/>
  <c r="AG76" i="1"/>
  <c r="AH76" i="1" s="1"/>
  <c r="F39" i="7"/>
  <c r="N39" i="7"/>
  <c r="M39" i="7"/>
  <c r="R39" i="7"/>
  <c r="Q39" i="7"/>
  <c r="O39" i="7"/>
  <c r="P39" i="7"/>
  <c r="G38" i="7"/>
  <c r="AT78" i="1" l="1"/>
  <c r="AG77" i="1"/>
  <c r="AH77" i="1" s="1"/>
  <c r="AJ77" i="1" s="1"/>
  <c r="F40" i="7"/>
  <c r="P40" i="7"/>
  <c r="O40" i="7"/>
  <c r="N40" i="7"/>
  <c r="M40" i="7"/>
  <c r="R40" i="7"/>
  <c r="Q40" i="7"/>
  <c r="G39" i="7"/>
  <c r="AT79" i="1" l="1"/>
  <c r="AG78" i="1"/>
  <c r="AH78" i="1" s="1"/>
  <c r="AJ78" i="1" s="1"/>
  <c r="F41" i="7"/>
  <c r="F42" i="7" s="1"/>
  <c r="R41" i="7"/>
  <c r="R42" i="7" s="1"/>
  <c r="N43" i="13" s="1"/>
  <c r="Q41" i="7"/>
  <c r="P41" i="7"/>
  <c r="O41" i="7"/>
  <c r="N41" i="7"/>
  <c r="M41" i="7"/>
  <c r="G40" i="7"/>
  <c r="B45" i="7" l="1"/>
  <c r="B47" i="7" s="1"/>
  <c r="AT80" i="1"/>
  <c r="AG79" i="1"/>
  <c r="AH79" i="1" s="1"/>
  <c r="AJ79" i="1" s="1"/>
  <c r="F45" i="7"/>
  <c r="F47" i="7" s="1"/>
  <c r="N31" i="13"/>
  <c r="J35" i="10"/>
  <c r="N35" i="10" s="1"/>
  <c r="R45" i="7"/>
  <c r="R47" i="7" s="1"/>
  <c r="J47" i="10"/>
  <c r="G41" i="7"/>
  <c r="G42" i="7" s="1"/>
  <c r="N32" i="13" s="1"/>
  <c r="N42" i="7"/>
  <c r="N39" i="13" s="1"/>
  <c r="O42" i="7"/>
  <c r="N40" i="13" s="1"/>
  <c r="P42" i="7"/>
  <c r="N41" i="13" s="1"/>
  <c r="Q42" i="7"/>
  <c r="N42" i="13" s="1"/>
  <c r="M42" i="7"/>
  <c r="N38" i="13" s="1"/>
  <c r="AT81" i="1" l="1"/>
  <c r="AG80" i="1"/>
  <c r="AH80" i="1" s="1"/>
  <c r="AJ80" i="1" s="1"/>
  <c r="N37" i="13"/>
  <c r="N30" i="13"/>
  <c r="N47" i="10"/>
  <c r="Q45" i="7"/>
  <c r="Q47" i="7" s="1"/>
  <c r="J46" i="10"/>
  <c r="N46" i="10" s="1"/>
  <c r="P45" i="7"/>
  <c r="P47" i="7" s="1"/>
  <c r="J45" i="10"/>
  <c r="N45" i="10" s="1"/>
  <c r="O45" i="7"/>
  <c r="O47" i="7" s="1"/>
  <c r="J44" i="10"/>
  <c r="N44" i="10" s="1"/>
  <c r="N45" i="7"/>
  <c r="N47" i="7" s="1"/>
  <c r="J43" i="10"/>
  <c r="N43" i="10" s="1"/>
  <c r="M45" i="7"/>
  <c r="M47" i="7" s="1"/>
  <c r="J42" i="10"/>
  <c r="N42" i="10" s="1"/>
  <c r="G45" i="7"/>
  <c r="G47" i="7" s="1"/>
  <c r="J36" i="10"/>
  <c r="M48" i="7" l="1"/>
  <c r="I48" i="7" s="1"/>
  <c r="AT82" i="1"/>
  <c r="AG81" i="1"/>
  <c r="AH81" i="1" s="1"/>
  <c r="AJ81" i="1" s="1"/>
  <c r="L48" i="13"/>
  <c r="L51" i="13" s="1"/>
  <c r="N41" i="10"/>
  <c r="N36" i="10"/>
  <c r="N34" i="10" s="1"/>
  <c r="AT83" i="1" l="1"/>
  <c r="AG82" i="1"/>
  <c r="AH82" i="1" s="1"/>
  <c r="AJ82" i="1" s="1"/>
  <c r="L53" i="13"/>
  <c r="L52" i="13"/>
  <c r="L52" i="10"/>
  <c r="L55" i="10" s="1"/>
  <c r="L57" i="10" s="1"/>
  <c r="AT84" i="1" l="1"/>
  <c r="AG83" i="1"/>
  <c r="AH83" i="1" s="1"/>
  <c r="AJ83" i="1" s="1"/>
  <c r="L54" i="13"/>
  <c r="A54" i="13" s="1"/>
  <c r="L56" i="10"/>
  <c r="L58" i="10" s="1"/>
  <c r="A58" i="10" s="1"/>
  <c r="C33" i="5"/>
  <c r="C34" i="5"/>
  <c r="C36" i="5"/>
  <c r="H34" i="5"/>
  <c r="C35" i="5"/>
  <c r="B33" i="1"/>
  <c r="B32" i="1"/>
  <c r="A7" i="1"/>
  <c r="AI7" i="1" s="1"/>
  <c r="AJ7" i="1" s="1"/>
  <c r="A4" i="1"/>
  <c r="AI4" i="1" s="1"/>
  <c r="AJ4" i="1" s="1"/>
  <c r="AI54" i="1"/>
  <c r="AJ54" i="1" s="1"/>
  <c r="A19" i="1"/>
  <c r="AI19" i="1" s="1"/>
  <c r="AJ19" i="1" s="1"/>
  <c r="AI42" i="1"/>
  <c r="AJ42" i="1" s="1"/>
  <c r="A26" i="1"/>
  <c r="AI26" i="1" s="1"/>
  <c r="AJ26" i="1" s="1"/>
  <c r="AI37" i="1"/>
  <c r="AJ37" i="1" s="1"/>
  <c r="B31" i="1"/>
  <c r="A17" i="1"/>
  <c r="AI17" i="1" s="1"/>
  <c r="AJ17" i="1" s="1"/>
  <c r="AI64" i="1"/>
  <c r="AJ64" i="1" s="1"/>
  <c r="AI45" i="1"/>
  <c r="AJ45" i="1" s="1"/>
  <c r="A29" i="1"/>
  <c r="AI29" i="1" s="1"/>
  <c r="AJ29" i="1" s="1"/>
  <c r="A13" i="1"/>
  <c r="AI13" i="1" s="1"/>
  <c r="AJ13" i="1" s="1"/>
  <c r="AI61" i="1"/>
  <c r="AJ61" i="1" s="1"/>
  <c r="AI76" i="1"/>
  <c r="AJ76" i="1" s="1"/>
  <c r="AI41" i="1"/>
  <c r="AJ41" i="1" s="1"/>
  <c r="A25" i="1"/>
  <c r="AI25" i="1" s="1"/>
  <c r="AJ25" i="1" s="1"/>
  <c r="AI55" i="1"/>
  <c r="AJ55" i="1" s="1"/>
  <c r="AI36" i="1"/>
  <c r="AJ36" i="1" s="1"/>
  <c r="A20" i="1"/>
  <c r="AI20" i="1" s="1"/>
  <c r="AJ20" i="1" s="1"/>
  <c r="A3" i="1"/>
  <c r="AI3" i="1" s="1"/>
  <c r="AJ3" i="1" s="1"/>
  <c r="AI66" i="1"/>
  <c r="AJ66" i="1" s="1"/>
  <c r="AI75" i="1"/>
  <c r="AJ75" i="1" s="1"/>
  <c r="AI57" i="1"/>
  <c r="AJ57" i="1" s="1"/>
  <c r="AI38" i="1"/>
  <c r="AJ38" i="1" s="1"/>
  <c r="A22" i="1"/>
  <c r="AI22" i="1" s="1"/>
  <c r="AJ22" i="1" s="1"/>
  <c r="AI62" i="1"/>
  <c r="AJ62" i="1" s="1"/>
  <c r="A27" i="1"/>
  <c r="AI27" i="1" s="1"/>
  <c r="AJ27" i="1" s="1"/>
  <c r="A11" i="1"/>
  <c r="AI11" i="1" s="1"/>
  <c r="AJ11" i="1" s="1"/>
  <c r="AI69" i="1"/>
  <c r="AJ69" i="1" s="1"/>
  <c r="AI53" i="1"/>
  <c r="AJ53" i="1" s="1"/>
  <c r="AI34" i="1"/>
  <c r="AJ34" i="1" s="1"/>
  <c r="A18" i="1"/>
  <c r="AI18" i="1" s="1"/>
  <c r="AJ18" i="1" s="1"/>
  <c r="A8" i="1"/>
  <c r="AI8" i="1" s="1"/>
  <c r="AJ8" i="1" s="1"/>
  <c r="AI68" i="1"/>
  <c r="AJ68" i="1" s="1"/>
  <c r="AI52" i="1"/>
  <c r="AJ52" i="1" s="1"/>
  <c r="A33" i="1"/>
  <c r="AI33" i="1" s="1"/>
  <c r="AJ33" i="1" s="1"/>
  <c r="AI35" i="1"/>
  <c r="AJ35" i="1" s="1"/>
  <c r="A16" i="1"/>
  <c r="AI16" i="1" s="1"/>
  <c r="AJ16" i="1" s="1"/>
  <c r="AI43" i="1"/>
  <c r="AJ43" i="1" s="1"/>
  <c r="AI56" i="1"/>
  <c r="AJ56" i="1" s="1"/>
  <c r="A21" i="1"/>
  <c r="AI21" i="1" s="1"/>
  <c r="AJ21" i="1" s="1"/>
  <c r="AI72" i="1"/>
  <c r="AJ72" i="1" s="1"/>
  <c r="AI67" i="1"/>
  <c r="AJ67" i="1" s="1"/>
  <c r="A12" i="1"/>
  <c r="AI12" i="1" s="1"/>
  <c r="AJ12" i="1" s="1"/>
  <c r="A32" i="1"/>
  <c r="AI32" i="1" s="1"/>
  <c r="AJ32" i="1" s="1"/>
  <c r="AI70" i="1"/>
  <c r="AJ70" i="1" s="1"/>
  <c r="A31" i="1"/>
  <c r="AI31" i="1" s="1"/>
  <c r="AJ31" i="1" s="1"/>
  <c r="A14" i="1"/>
  <c r="AI14" i="1" s="1"/>
  <c r="AJ14" i="1" s="1"/>
  <c r="A5" i="1"/>
  <c r="AI5" i="1" s="1"/>
  <c r="AJ5" i="1" s="1"/>
  <c r="A28" i="1"/>
  <c r="AI28" i="1" s="1"/>
  <c r="AJ28" i="1" s="1"/>
  <c r="AI74" i="1"/>
  <c r="AJ74" i="1" s="1"/>
  <c r="AI46" i="1"/>
  <c r="AJ46" i="1" s="1"/>
  <c r="A6" i="1"/>
  <c r="AI6" i="1" s="1"/>
  <c r="AJ6" i="1" s="1"/>
  <c r="AI60" i="1"/>
  <c r="AJ60" i="1" s="1"/>
  <c r="AI58" i="1"/>
  <c r="AJ58" i="1" s="1"/>
  <c r="AI73" i="1"/>
  <c r="AJ73" i="1" s="1"/>
  <c r="A2" i="1"/>
  <c r="AI2" i="1" s="1"/>
  <c r="AJ2" i="1" s="1"/>
  <c r="AI71" i="1"/>
  <c r="AJ71" i="1" s="1"/>
  <c r="A15" i="1"/>
  <c r="AI15" i="1" s="1"/>
  <c r="AJ15" i="1" s="1"/>
  <c r="C32" i="5"/>
  <c r="AI63" i="1"/>
  <c r="AJ63" i="1" s="1"/>
  <c r="AI44" i="1"/>
  <c r="AJ44" i="1" s="1"/>
  <c r="AI65" i="1"/>
  <c r="AJ65" i="1" s="1"/>
  <c r="A30" i="1"/>
  <c r="AI30" i="1" s="1"/>
  <c r="AJ30" i="1" s="1"/>
  <c r="AI39" i="1"/>
  <c r="AJ39" i="1" s="1"/>
  <c r="AI40" i="1"/>
  <c r="AJ40" i="1" s="1"/>
  <c r="A24" i="1"/>
  <c r="AI24" i="1" s="1"/>
  <c r="AJ24" i="1" s="1"/>
  <c r="AI59" i="1"/>
  <c r="AJ59" i="1" s="1"/>
  <c r="C31" i="5"/>
  <c r="A23" i="1"/>
  <c r="AI23" i="1" s="1"/>
  <c r="AJ23" i="1" s="1"/>
  <c r="AI51" i="1"/>
  <c r="AJ51" i="1" s="1"/>
  <c r="A9" i="1"/>
  <c r="AI9" i="1" s="1"/>
  <c r="AJ9" i="1" s="1"/>
  <c r="A10" i="1"/>
  <c r="AI10" i="1" s="1"/>
  <c r="AJ10" i="1" s="1"/>
  <c r="AT85" i="1" l="1"/>
  <c r="AG84" i="1"/>
  <c r="AH84" i="1" s="1"/>
  <c r="AJ84" i="1" s="1"/>
  <c r="D32" i="5"/>
  <c r="D31" i="5"/>
  <c r="AT86" i="1" l="1"/>
  <c r="AG85" i="1"/>
  <c r="AH85" i="1" s="1"/>
  <c r="AJ85" i="1" s="1"/>
  <c r="AT87" i="1" l="1"/>
  <c r="AG86" i="1"/>
  <c r="AH86" i="1" s="1"/>
  <c r="AJ86" i="1" s="1"/>
  <c r="AT88" i="1" l="1"/>
  <c r="AG87" i="1"/>
  <c r="AH87" i="1" s="1"/>
  <c r="AJ87" i="1" s="1"/>
  <c r="AT89" i="1" l="1"/>
  <c r="AG88" i="1"/>
  <c r="AH88" i="1" s="1"/>
  <c r="AJ88" i="1" s="1"/>
  <c r="AT90" i="1" l="1"/>
  <c r="AG89" i="1"/>
  <c r="AH89" i="1" s="1"/>
  <c r="AJ89" i="1" s="1"/>
  <c r="AT91" i="1" l="1"/>
  <c r="AG90" i="1"/>
  <c r="AH90" i="1" s="1"/>
  <c r="AJ90" i="1" s="1"/>
  <c r="AT92" i="1" l="1"/>
  <c r="AG91" i="1"/>
  <c r="AH91" i="1" s="1"/>
  <c r="AJ91" i="1" s="1"/>
  <c r="AT93" i="1" l="1"/>
  <c r="AG92" i="1"/>
  <c r="AH92" i="1" s="1"/>
  <c r="AJ92" i="1" s="1"/>
  <c r="AT94" i="1" l="1"/>
  <c r="AG93" i="1"/>
  <c r="AH93" i="1" s="1"/>
  <c r="AJ93" i="1" s="1"/>
  <c r="AT95" i="1" l="1"/>
  <c r="AG94" i="1"/>
  <c r="AH94" i="1" s="1"/>
  <c r="AJ94" i="1" s="1"/>
  <c r="AT96" i="1" l="1"/>
  <c r="AG95" i="1"/>
  <c r="AH95" i="1" s="1"/>
  <c r="AJ95" i="1" s="1"/>
  <c r="AT97" i="1" l="1"/>
  <c r="AG96" i="1"/>
  <c r="AH96" i="1" s="1"/>
  <c r="AJ96" i="1" s="1"/>
  <c r="AT98" i="1" l="1"/>
  <c r="AG97" i="1"/>
  <c r="AH97" i="1" s="1"/>
  <c r="AJ97" i="1" s="1"/>
  <c r="AT99" i="1" l="1"/>
  <c r="AG98" i="1"/>
  <c r="AH98" i="1" s="1"/>
  <c r="AJ98" i="1" s="1"/>
  <c r="AT100" i="1" l="1"/>
  <c r="AG99" i="1"/>
  <c r="AH99" i="1" s="1"/>
  <c r="AJ99" i="1" s="1"/>
  <c r="AT101" i="1" l="1"/>
  <c r="AG100" i="1"/>
  <c r="AH100" i="1" s="1"/>
  <c r="AJ100" i="1" s="1"/>
  <c r="AT102" i="1" l="1"/>
  <c r="AG101" i="1"/>
  <c r="AH101" i="1" s="1"/>
  <c r="AJ101" i="1" s="1"/>
  <c r="AT103" i="1" l="1"/>
  <c r="AG102" i="1"/>
  <c r="AH102" i="1" s="1"/>
  <c r="AJ102" i="1" s="1"/>
  <c r="AT104" i="1" l="1"/>
  <c r="AG103" i="1"/>
  <c r="AH103" i="1" s="1"/>
  <c r="AJ103" i="1" s="1"/>
  <c r="AT105" i="1" l="1"/>
  <c r="AG104" i="1"/>
  <c r="AH104" i="1" s="1"/>
  <c r="AJ104" i="1" s="1"/>
  <c r="AT106" i="1" l="1"/>
  <c r="AG105" i="1"/>
  <c r="AH105" i="1" s="1"/>
  <c r="AJ105" i="1" s="1"/>
  <c r="AT107" i="1" l="1"/>
  <c r="AG106" i="1"/>
  <c r="AH106" i="1" s="1"/>
  <c r="AJ106" i="1" s="1"/>
  <c r="AT108" i="1" l="1"/>
  <c r="AG107" i="1"/>
  <c r="AH107" i="1" s="1"/>
  <c r="AJ107" i="1" s="1"/>
  <c r="AT109" i="1" l="1"/>
  <c r="AG108" i="1"/>
  <c r="AH108" i="1" s="1"/>
  <c r="AJ108" i="1" s="1"/>
  <c r="AT110" i="1" l="1"/>
  <c r="AG109" i="1"/>
  <c r="AH109" i="1" s="1"/>
  <c r="AJ109" i="1" s="1"/>
  <c r="AT111" i="1" l="1"/>
  <c r="AG110" i="1"/>
  <c r="AH110" i="1" s="1"/>
  <c r="AJ110" i="1" s="1"/>
  <c r="AT112" i="1" l="1"/>
  <c r="AG111" i="1"/>
  <c r="AH111" i="1" s="1"/>
  <c r="AJ111" i="1" s="1"/>
  <c r="AT113" i="1" l="1"/>
  <c r="AG112" i="1"/>
  <c r="AH112" i="1" s="1"/>
  <c r="AJ112" i="1" s="1"/>
  <c r="AT114" i="1" l="1"/>
  <c r="AG113" i="1"/>
  <c r="AH113" i="1" s="1"/>
  <c r="AJ113" i="1" s="1"/>
  <c r="AT115" i="1" l="1"/>
  <c r="AG114" i="1"/>
  <c r="AH114" i="1" s="1"/>
  <c r="AJ114" i="1" s="1"/>
  <c r="AT116" i="1" l="1"/>
  <c r="AG115" i="1"/>
  <c r="AH115" i="1" s="1"/>
  <c r="AJ115" i="1" s="1"/>
  <c r="AT117" i="1" l="1"/>
  <c r="AG116" i="1"/>
  <c r="AH116" i="1" s="1"/>
  <c r="AJ116" i="1" s="1"/>
  <c r="AT118" i="1" l="1"/>
  <c r="AG117" i="1"/>
  <c r="AH117" i="1" s="1"/>
  <c r="AJ117" i="1" s="1"/>
  <c r="AT119" i="1" l="1"/>
  <c r="AG118" i="1"/>
  <c r="AH118" i="1" s="1"/>
  <c r="AJ118" i="1" s="1"/>
  <c r="AT120" i="1" l="1"/>
  <c r="AG119" i="1"/>
  <c r="AH119" i="1" s="1"/>
  <c r="AJ119" i="1" s="1"/>
  <c r="AT121" i="1" l="1"/>
  <c r="AG120" i="1"/>
  <c r="AH120" i="1" s="1"/>
  <c r="AJ120" i="1" s="1"/>
  <c r="AT122" i="1" l="1"/>
  <c r="AG121" i="1"/>
  <c r="AH121" i="1" s="1"/>
  <c r="AJ121" i="1" s="1"/>
  <c r="AT123" i="1" l="1"/>
  <c r="AG122" i="1"/>
  <c r="AH122" i="1" s="1"/>
  <c r="AJ122" i="1" s="1"/>
  <c r="AT124" i="1" l="1"/>
  <c r="AG123" i="1"/>
  <c r="AH123" i="1" s="1"/>
  <c r="AJ123" i="1" s="1"/>
  <c r="AT125" i="1" l="1"/>
  <c r="AG124" i="1"/>
  <c r="AH124" i="1" s="1"/>
  <c r="AJ124" i="1" s="1"/>
  <c r="AT126" i="1" l="1"/>
  <c r="AG125" i="1"/>
  <c r="AH125" i="1" s="1"/>
  <c r="AJ125" i="1" s="1"/>
  <c r="AT127" i="1" l="1"/>
  <c r="AG126" i="1"/>
  <c r="AH126" i="1" s="1"/>
  <c r="AJ126" i="1" s="1"/>
  <c r="AT128" i="1" l="1"/>
  <c r="AG127" i="1"/>
  <c r="AH127" i="1" s="1"/>
  <c r="AJ127" i="1" s="1"/>
  <c r="AT129" i="1" l="1"/>
  <c r="AG128" i="1"/>
  <c r="AH128" i="1" s="1"/>
  <c r="AJ128" i="1" s="1"/>
  <c r="AT130" i="1" l="1"/>
  <c r="AG129" i="1"/>
  <c r="AH129" i="1" s="1"/>
  <c r="AJ129" i="1" s="1"/>
  <c r="AT131" i="1" l="1"/>
  <c r="AG130" i="1"/>
  <c r="AH130" i="1" s="1"/>
  <c r="AJ130" i="1" s="1"/>
  <c r="AT132" i="1" l="1"/>
  <c r="AG131" i="1"/>
  <c r="AH131" i="1" s="1"/>
  <c r="AJ131" i="1" s="1"/>
  <c r="AT133" i="1" l="1"/>
  <c r="AG132" i="1"/>
  <c r="AH132" i="1" s="1"/>
  <c r="AJ132" i="1" s="1"/>
  <c r="AT134" i="1" l="1"/>
  <c r="AG133" i="1"/>
  <c r="AH133" i="1" s="1"/>
  <c r="AJ133" i="1" s="1"/>
  <c r="AT135" i="1" l="1"/>
  <c r="AG134" i="1"/>
  <c r="AH134" i="1" s="1"/>
  <c r="AJ134" i="1" s="1"/>
  <c r="AT136" i="1" l="1"/>
  <c r="AG135" i="1"/>
  <c r="AH135" i="1" s="1"/>
  <c r="AJ135" i="1" s="1"/>
  <c r="AT137" i="1" l="1"/>
  <c r="AG136" i="1"/>
  <c r="AH136" i="1" s="1"/>
  <c r="AJ136" i="1" s="1"/>
  <c r="AT138" i="1" l="1"/>
  <c r="AG137" i="1"/>
  <c r="AH137" i="1" s="1"/>
  <c r="AJ137" i="1" s="1"/>
  <c r="AT139" i="1" l="1"/>
  <c r="AG138" i="1"/>
  <c r="AH138" i="1" s="1"/>
  <c r="AJ138" i="1" s="1"/>
  <c r="AT140" i="1" l="1"/>
  <c r="AG139" i="1"/>
  <c r="AH139" i="1" s="1"/>
  <c r="AJ139" i="1" s="1"/>
  <c r="AT141" i="1" l="1"/>
  <c r="AG140" i="1"/>
  <c r="AH140" i="1" s="1"/>
  <c r="AJ140" i="1" s="1"/>
  <c r="AT142" i="1" l="1"/>
  <c r="AG141" i="1"/>
  <c r="AH141" i="1" s="1"/>
  <c r="AJ141" i="1" s="1"/>
  <c r="AT143" i="1" l="1"/>
  <c r="AG142" i="1"/>
  <c r="AH142" i="1" s="1"/>
  <c r="AJ142" i="1" s="1"/>
  <c r="AT144" i="1" l="1"/>
  <c r="AG143" i="1"/>
  <c r="AH143" i="1" s="1"/>
  <c r="AJ143" i="1" s="1"/>
  <c r="AT145" i="1" l="1"/>
  <c r="AG144" i="1"/>
  <c r="AH144" i="1" s="1"/>
  <c r="AJ144" i="1" s="1"/>
  <c r="AT146" i="1" l="1"/>
  <c r="AG145" i="1"/>
  <c r="AH145" i="1" s="1"/>
  <c r="AJ145" i="1" s="1"/>
  <c r="AT147" i="1" l="1"/>
  <c r="AG146" i="1"/>
  <c r="AH146" i="1" s="1"/>
  <c r="AJ146" i="1" s="1"/>
  <c r="AT148" i="1" l="1"/>
  <c r="AG147" i="1"/>
  <c r="AH147" i="1" s="1"/>
  <c r="AJ147" i="1" s="1"/>
  <c r="AT149" i="1" l="1"/>
  <c r="AG148" i="1"/>
  <c r="AH148" i="1" s="1"/>
  <c r="AJ148" i="1" s="1"/>
  <c r="AT150" i="1" l="1"/>
  <c r="AG149" i="1"/>
  <c r="AH149" i="1" s="1"/>
  <c r="AJ149" i="1" s="1"/>
  <c r="AT151" i="1" l="1"/>
  <c r="AG150" i="1"/>
  <c r="AH150" i="1" s="1"/>
  <c r="AJ150" i="1" s="1"/>
  <c r="AT152" i="1" l="1"/>
  <c r="AG151" i="1"/>
  <c r="AH151" i="1" s="1"/>
  <c r="AJ151" i="1" s="1"/>
  <c r="AT153" i="1" l="1"/>
  <c r="AG152" i="1"/>
  <c r="AH152" i="1" s="1"/>
  <c r="AJ152" i="1" s="1"/>
  <c r="AT154" i="1" l="1"/>
  <c r="AG153" i="1"/>
  <c r="AH153" i="1" s="1"/>
  <c r="AJ153" i="1" s="1"/>
  <c r="AT155" i="1" l="1"/>
  <c r="AG154" i="1"/>
  <c r="AH154" i="1" s="1"/>
  <c r="AJ154" i="1" s="1"/>
  <c r="AT156" i="1" l="1"/>
  <c r="AG155" i="1"/>
  <c r="AH155" i="1" s="1"/>
  <c r="AJ155" i="1" s="1"/>
  <c r="AT157" i="1" l="1"/>
  <c r="AG156" i="1"/>
  <c r="AH156" i="1" s="1"/>
  <c r="AJ156" i="1" s="1"/>
  <c r="AT158" i="1" l="1"/>
  <c r="AG157" i="1"/>
  <c r="AH157" i="1" s="1"/>
  <c r="AJ157" i="1" s="1"/>
  <c r="AT159" i="1" l="1"/>
  <c r="AG158" i="1"/>
  <c r="AH158" i="1" s="1"/>
  <c r="AJ158" i="1" s="1"/>
  <c r="AT160" i="1" l="1"/>
  <c r="AG159" i="1"/>
  <c r="AH159" i="1" s="1"/>
  <c r="AJ159" i="1" s="1"/>
  <c r="AT161" i="1" l="1"/>
  <c r="AG160" i="1"/>
  <c r="AH160" i="1" s="1"/>
  <c r="AJ160" i="1" s="1"/>
  <c r="AT162" i="1" l="1"/>
  <c r="AG161" i="1"/>
  <c r="AH161" i="1" s="1"/>
  <c r="AJ161" i="1" s="1"/>
  <c r="AT163" i="1" l="1"/>
  <c r="AG162" i="1"/>
  <c r="AH162" i="1" s="1"/>
  <c r="AJ162" i="1" s="1"/>
  <c r="AT164" i="1" l="1"/>
  <c r="AG163" i="1"/>
  <c r="AH163" i="1" s="1"/>
  <c r="AJ163" i="1" s="1"/>
  <c r="AT165" i="1" l="1"/>
  <c r="AG164" i="1"/>
  <c r="AH164" i="1" s="1"/>
  <c r="AJ164" i="1" s="1"/>
  <c r="AT166" i="1" l="1"/>
  <c r="AG165" i="1"/>
  <c r="AH165" i="1" s="1"/>
  <c r="AJ165" i="1" s="1"/>
  <c r="AT167" i="1" l="1"/>
  <c r="AG166" i="1"/>
  <c r="AH166" i="1" s="1"/>
  <c r="AJ166" i="1" s="1"/>
  <c r="AT168" i="1" l="1"/>
  <c r="AG167" i="1"/>
  <c r="AH167" i="1" s="1"/>
  <c r="AJ167" i="1" s="1"/>
  <c r="AT169" i="1" l="1"/>
  <c r="AG168" i="1"/>
  <c r="AH168" i="1" s="1"/>
  <c r="AJ168" i="1" s="1"/>
  <c r="AT170" i="1" l="1"/>
  <c r="AG169" i="1"/>
  <c r="AH169" i="1" s="1"/>
  <c r="AJ169" i="1" s="1"/>
  <c r="AT171" i="1" l="1"/>
  <c r="AG170" i="1"/>
  <c r="AH170" i="1" s="1"/>
  <c r="AJ170" i="1" s="1"/>
  <c r="AT172" i="1" l="1"/>
  <c r="AG171" i="1"/>
  <c r="AH171" i="1" s="1"/>
  <c r="AJ171" i="1" s="1"/>
  <c r="AT173" i="1" l="1"/>
  <c r="AG172" i="1"/>
  <c r="AH172" i="1" s="1"/>
  <c r="AJ172" i="1" s="1"/>
  <c r="AT174" i="1" l="1"/>
  <c r="AG173" i="1"/>
  <c r="AH173" i="1" s="1"/>
  <c r="AJ173" i="1" s="1"/>
  <c r="AT175" i="1" l="1"/>
  <c r="AG174" i="1"/>
  <c r="AH174" i="1" s="1"/>
  <c r="AJ174" i="1" s="1"/>
  <c r="AT176" i="1" l="1"/>
  <c r="AG175" i="1"/>
  <c r="AH175" i="1" s="1"/>
  <c r="AJ175" i="1" s="1"/>
  <c r="AT177" i="1" l="1"/>
  <c r="AG176" i="1"/>
  <c r="AH176" i="1" s="1"/>
  <c r="AJ176" i="1" s="1"/>
  <c r="AT178" i="1" l="1"/>
  <c r="AG177" i="1"/>
  <c r="AH177" i="1" s="1"/>
  <c r="AJ177" i="1" s="1"/>
  <c r="AT179" i="1" l="1"/>
  <c r="AG178" i="1"/>
  <c r="AH178" i="1" s="1"/>
  <c r="AJ178" i="1" s="1"/>
  <c r="AT180" i="1" l="1"/>
  <c r="AG179" i="1"/>
  <c r="AH179" i="1" s="1"/>
  <c r="AJ179" i="1" s="1"/>
  <c r="AT181" i="1" l="1"/>
  <c r="AG180" i="1"/>
  <c r="AH180" i="1" s="1"/>
  <c r="AJ180" i="1" s="1"/>
  <c r="AT182" i="1" l="1"/>
  <c r="AG181" i="1"/>
  <c r="AH181" i="1" s="1"/>
  <c r="AJ181" i="1" s="1"/>
  <c r="AT183" i="1" l="1"/>
  <c r="AG182" i="1"/>
  <c r="AH182" i="1" s="1"/>
  <c r="AJ182" i="1" s="1"/>
  <c r="AT184" i="1" l="1"/>
  <c r="AG183" i="1"/>
  <c r="AH183" i="1" s="1"/>
  <c r="AJ183" i="1" s="1"/>
  <c r="AT185" i="1" l="1"/>
  <c r="AG184" i="1"/>
  <c r="AH184" i="1" s="1"/>
  <c r="AJ184" i="1" s="1"/>
  <c r="AT186" i="1" l="1"/>
  <c r="AG185" i="1"/>
  <c r="AH185" i="1" s="1"/>
  <c r="AJ185" i="1" s="1"/>
  <c r="AT187" i="1" l="1"/>
  <c r="AG186" i="1"/>
  <c r="AH186" i="1" s="1"/>
  <c r="AJ186" i="1" s="1"/>
  <c r="AT188" i="1" l="1"/>
  <c r="AG187" i="1"/>
  <c r="AH187" i="1" s="1"/>
  <c r="AJ187" i="1" s="1"/>
  <c r="AT189" i="1" l="1"/>
  <c r="AG188" i="1"/>
  <c r="AH188" i="1" s="1"/>
  <c r="AJ188" i="1" s="1"/>
  <c r="AG189" i="1" l="1"/>
  <c r="AH189" i="1" s="1"/>
  <c r="AJ189" i="1" s="1"/>
  <c r="AT190" i="1"/>
  <c r="AT191" i="1" l="1"/>
  <c r="AG190" i="1"/>
  <c r="AH190" i="1" s="1"/>
  <c r="AJ190" i="1" s="1"/>
  <c r="AT192" i="1" l="1"/>
  <c r="AG191" i="1"/>
  <c r="AH191" i="1" s="1"/>
  <c r="AJ191" i="1" s="1"/>
  <c r="AT193" i="1" l="1"/>
  <c r="AG192" i="1"/>
  <c r="AH192" i="1" s="1"/>
  <c r="AJ192" i="1" s="1"/>
  <c r="AT194" i="1" l="1"/>
  <c r="AG193" i="1"/>
  <c r="AH193" i="1" s="1"/>
  <c r="AJ193" i="1" s="1"/>
  <c r="AT195" i="1" l="1"/>
  <c r="AG194" i="1"/>
  <c r="AH194" i="1" s="1"/>
  <c r="AJ194" i="1" s="1"/>
  <c r="AT196" i="1" l="1"/>
  <c r="AG195" i="1"/>
  <c r="AH195" i="1" s="1"/>
  <c r="AJ195" i="1" s="1"/>
  <c r="AT197" i="1" l="1"/>
  <c r="AG196" i="1"/>
  <c r="AH196" i="1" s="1"/>
  <c r="AJ196" i="1" s="1"/>
  <c r="AT198" i="1" l="1"/>
  <c r="AG197" i="1"/>
  <c r="AH197" i="1" s="1"/>
  <c r="AJ197" i="1" s="1"/>
  <c r="AT199" i="1" l="1"/>
  <c r="AG198" i="1"/>
  <c r="AH198" i="1" s="1"/>
  <c r="AJ198" i="1" s="1"/>
  <c r="AT200" i="1" l="1"/>
  <c r="AG199" i="1"/>
  <c r="AH199" i="1" s="1"/>
  <c r="AJ199" i="1" s="1"/>
  <c r="AT201" i="1" l="1"/>
  <c r="AG200" i="1"/>
  <c r="AH200" i="1" s="1"/>
  <c r="AJ200" i="1" s="1"/>
  <c r="AT202" i="1" l="1"/>
  <c r="AG201" i="1"/>
  <c r="AH201" i="1" s="1"/>
  <c r="AJ201" i="1" s="1"/>
  <c r="AT203" i="1" l="1"/>
  <c r="AG202" i="1"/>
  <c r="AH202" i="1" s="1"/>
  <c r="AJ202" i="1" s="1"/>
  <c r="AT204" i="1" l="1"/>
  <c r="AG203" i="1"/>
  <c r="AH203" i="1" s="1"/>
  <c r="AJ203" i="1" s="1"/>
  <c r="AT205" i="1" l="1"/>
  <c r="AG204" i="1"/>
  <c r="AH204" i="1" s="1"/>
  <c r="AJ204" i="1" s="1"/>
  <c r="AT206" i="1" l="1"/>
  <c r="AG205" i="1"/>
  <c r="AH205" i="1" s="1"/>
  <c r="AJ205" i="1" s="1"/>
  <c r="AT207" i="1" l="1"/>
  <c r="AG206" i="1"/>
  <c r="AH206" i="1" s="1"/>
  <c r="AJ206" i="1" s="1"/>
  <c r="AT208" i="1" l="1"/>
  <c r="AG207" i="1"/>
  <c r="AH207" i="1" s="1"/>
  <c r="AJ207" i="1" s="1"/>
  <c r="AT209" i="1" l="1"/>
  <c r="AG208" i="1"/>
  <c r="AH208" i="1" s="1"/>
  <c r="AJ208" i="1" s="1"/>
  <c r="AT210" i="1" l="1"/>
  <c r="AG209" i="1"/>
  <c r="AH209" i="1" s="1"/>
  <c r="AJ209" i="1" s="1"/>
  <c r="AT211" i="1" l="1"/>
  <c r="AG210" i="1"/>
  <c r="AH210" i="1" s="1"/>
  <c r="AJ210" i="1" s="1"/>
  <c r="AT212" i="1" l="1"/>
  <c r="AG211" i="1"/>
  <c r="AH211" i="1" s="1"/>
  <c r="AJ211" i="1" s="1"/>
  <c r="AT213" i="1" l="1"/>
  <c r="AG212" i="1"/>
  <c r="AH212" i="1" s="1"/>
  <c r="AJ212" i="1" s="1"/>
  <c r="AT214" i="1" l="1"/>
  <c r="AG213" i="1"/>
  <c r="AH213" i="1" s="1"/>
  <c r="AJ213" i="1" s="1"/>
  <c r="AT215" i="1" l="1"/>
  <c r="AG214" i="1"/>
  <c r="AH214" i="1" s="1"/>
  <c r="AJ214" i="1" s="1"/>
  <c r="AT216" i="1" l="1"/>
  <c r="AG215" i="1"/>
  <c r="AH215" i="1" s="1"/>
  <c r="AJ215" i="1" s="1"/>
  <c r="AT217" i="1" l="1"/>
  <c r="AG216" i="1"/>
  <c r="AH216" i="1" s="1"/>
  <c r="AJ216" i="1" s="1"/>
  <c r="AT218" i="1" l="1"/>
  <c r="AG217" i="1"/>
  <c r="AH217" i="1" s="1"/>
  <c r="AJ217" i="1" s="1"/>
  <c r="AT219" i="1" l="1"/>
  <c r="AG218" i="1"/>
  <c r="AH218" i="1" s="1"/>
  <c r="AJ218" i="1" s="1"/>
  <c r="AT220" i="1" l="1"/>
  <c r="AG219" i="1"/>
  <c r="AH219" i="1" s="1"/>
  <c r="AJ219" i="1" s="1"/>
  <c r="AT221" i="1" l="1"/>
  <c r="AG220" i="1"/>
  <c r="AH220" i="1" s="1"/>
  <c r="AJ220" i="1" s="1"/>
  <c r="AT222" i="1" l="1"/>
  <c r="AG221" i="1"/>
  <c r="AH221" i="1" s="1"/>
  <c r="AJ221" i="1" s="1"/>
  <c r="AT223" i="1" l="1"/>
  <c r="AG222" i="1"/>
  <c r="AH222" i="1" s="1"/>
  <c r="AJ222" i="1" s="1"/>
  <c r="AT224" i="1" l="1"/>
  <c r="AG223" i="1"/>
  <c r="AH223" i="1" s="1"/>
  <c r="AJ223" i="1" s="1"/>
  <c r="AT225" i="1" l="1"/>
  <c r="AG224" i="1"/>
  <c r="AH224" i="1" s="1"/>
  <c r="AJ224" i="1" s="1"/>
  <c r="AT226" i="1" l="1"/>
  <c r="AG225" i="1"/>
  <c r="AH225" i="1" s="1"/>
  <c r="AJ225" i="1" s="1"/>
  <c r="AT227" i="1" l="1"/>
  <c r="AG226" i="1"/>
  <c r="AH226" i="1" s="1"/>
  <c r="AJ226" i="1" s="1"/>
  <c r="AT228" i="1" l="1"/>
  <c r="AG227" i="1"/>
  <c r="AH227" i="1" s="1"/>
  <c r="AJ227" i="1" s="1"/>
  <c r="AT229" i="1" l="1"/>
  <c r="AG228" i="1"/>
  <c r="AH228" i="1" s="1"/>
  <c r="AJ228" i="1" s="1"/>
  <c r="AT230" i="1" l="1"/>
  <c r="AG229" i="1"/>
  <c r="AH229" i="1" s="1"/>
  <c r="AJ229" i="1" s="1"/>
  <c r="AT231" i="1" l="1"/>
  <c r="AG230" i="1"/>
  <c r="AH230" i="1" s="1"/>
  <c r="AJ230" i="1" s="1"/>
  <c r="AT232" i="1" l="1"/>
  <c r="AG231" i="1"/>
  <c r="AH231" i="1" s="1"/>
  <c r="AJ231" i="1" s="1"/>
  <c r="AT233" i="1" l="1"/>
  <c r="AG232" i="1"/>
  <c r="AH232" i="1" s="1"/>
  <c r="AJ232" i="1" s="1"/>
  <c r="AT234" i="1" l="1"/>
  <c r="AG233" i="1"/>
  <c r="AH233" i="1" s="1"/>
  <c r="AJ233" i="1" s="1"/>
  <c r="AT235" i="1" l="1"/>
  <c r="AG234" i="1"/>
  <c r="AH234" i="1" s="1"/>
  <c r="AJ234" i="1" s="1"/>
  <c r="AT236" i="1" l="1"/>
  <c r="AG235" i="1"/>
  <c r="AH235" i="1" s="1"/>
  <c r="AJ235" i="1" s="1"/>
  <c r="AT237" i="1" l="1"/>
  <c r="AG236" i="1"/>
  <c r="AH236" i="1" s="1"/>
  <c r="AJ236" i="1" s="1"/>
  <c r="AT238" i="1" l="1"/>
  <c r="AG237" i="1"/>
  <c r="AH237" i="1" s="1"/>
  <c r="AJ237" i="1" s="1"/>
  <c r="AT239" i="1" l="1"/>
  <c r="AG238" i="1"/>
  <c r="AH238" i="1" s="1"/>
  <c r="AJ238" i="1" s="1"/>
  <c r="AT240" i="1" l="1"/>
  <c r="AG239" i="1"/>
  <c r="AH239" i="1" s="1"/>
  <c r="AJ239" i="1" s="1"/>
  <c r="AT241" i="1" l="1"/>
  <c r="AG240" i="1"/>
  <c r="AH240" i="1" s="1"/>
  <c r="AJ240" i="1" s="1"/>
  <c r="AT242" i="1" l="1"/>
  <c r="AG241" i="1"/>
  <c r="AH241" i="1" s="1"/>
  <c r="AJ241" i="1" s="1"/>
  <c r="AT243" i="1" l="1"/>
  <c r="AG242" i="1"/>
  <c r="AH242" i="1" s="1"/>
  <c r="AJ242" i="1" s="1"/>
  <c r="AT244" i="1" l="1"/>
  <c r="AG243" i="1"/>
  <c r="AH243" i="1" s="1"/>
  <c r="AJ243" i="1" s="1"/>
  <c r="AT245" i="1" l="1"/>
  <c r="AG244" i="1"/>
  <c r="AH244" i="1" s="1"/>
  <c r="AJ244" i="1" s="1"/>
  <c r="AT246" i="1" l="1"/>
  <c r="AG245" i="1"/>
  <c r="AH245" i="1" s="1"/>
  <c r="AJ245" i="1" s="1"/>
  <c r="AT247" i="1" l="1"/>
  <c r="AG246" i="1"/>
  <c r="AH246" i="1" s="1"/>
  <c r="AJ246" i="1" s="1"/>
  <c r="AT248" i="1" l="1"/>
  <c r="AG247" i="1"/>
  <c r="AH247" i="1" s="1"/>
  <c r="AJ247" i="1" s="1"/>
  <c r="AT249" i="1" l="1"/>
  <c r="AG248" i="1"/>
  <c r="AH248" i="1" s="1"/>
  <c r="AJ248" i="1" s="1"/>
  <c r="AT250" i="1" l="1"/>
  <c r="AG249" i="1"/>
  <c r="AH249" i="1" s="1"/>
  <c r="AJ249" i="1" s="1"/>
  <c r="AT251" i="1" l="1"/>
  <c r="AG250" i="1"/>
  <c r="AH250" i="1" s="1"/>
  <c r="AJ250" i="1" s="1"/>
  <c r="AT252" i="1" l="1"/>
  <c r="AG251" i="1"/>
  <c r="AH251" i="1" s="1"/>
  <c r="AJ251" i="1" s="1"/>
  <c r="AT253" i="1" l="1"/>
  <c r="AG252" i="1"/>
  <c r="AH252" i="1" s="1"/>
  <c r="AJ252" i="1" s="1"/>
  <c r="AT254" i="1" l="1"/>
  <c r="AG253" i="1"/>
  <c r="AH253" i="1" s="1"/>
  <c r="AJ253" i="1" s="1"/>
  <c r="AT255" i="1" l="1"/>
  <c r="AG254" i="1"/>
  <c r="AH254" i="1" s="1"/>
  <c r="AJ254" i="1" s="1"/>
  <c r="AT256" i="1" l="1"/>
  <c r="AG255" i="1"/>
  <c r="AH255" i="1" s="1"/>
  <c r="AJ255" i="1" s="1"/>
  <c r="AT257" i="1" l="1"/>
  <c r="AG256" i="1"/>
  <c r="AH256" i="1" s="1"/>
  <c r="AJ256" i="1" s="1"/>
  <c r="AT258" i="1" l="1"/>
  <c r="AG257" i="1"/>
  <c r="AH257" i="1" s="1"/>
  <c r="AJ257" i="1" s="1"/>
  <c r="AT259" i="1" l="1"/>
  <c r="AG258" i="1"/>
  <c r="AH258" i="1" s="1"/>
  <c r="AJ258" i="1" s="1"/>
  <c r="AT260" i="1" l="1"/>
  <c r="AG259" i="1"/>
  <c r="AH259" i="1" s="1"/>
  <c r="AJ259" i="1" s="1"/>
  <c r="AT261" i="1" l="1"/>
  <c r="AG260" i="1"/>
  <c r="AH260" i="1" s="1"/>
  <c r="AJ260" i="1" s="1"/>
  <c r="AT262" i="1" l="1"/>
  <c r="AG261" i="1"/>
  <c r="AH261" i="1" s="1"/>
  <c r="AJ261" i="1" s="1"/>
  <c r="AT263" i="1" l="1"/>
  <c r="AG262" i="1"/>
  <c r="AH262" i="1" s="1"/>
  <c r="AJ262" i="1" s="1"/>
  <c r="AT264" i="1" l="1"/>
  <c r="AG263" i="1"/>
  <c r="AH263" i="1" s="1"/>
  <c r="AJ263" i="1" s="1"/>
  <c r="AT265" i="1" l="1"/>
  <c r="AG264" i="1"/>
  <c r="AH264" i="1" s="1"/>
  <c r="AJ264" i="1" s="1"/>
  <c r="AT266" i="1" l="1"/>
  <c r="AG265" i="1"/>
  <c r="AH265" i="1" s="1"/>
  <c r="AJ265" i="1" s="1"/>
  <c r="AT267" i="1" l="1"/>
  <c r="AG266" i="1"/>
  <c r="AH266" i="1" s="1"/>
  <c r="AJ266" i="1" s="1"/>
  <c r="AT268" i="1" l="1"/>
  <c r="AG267" i="1"/>
  <c r="AH267" i="1" s="1"/>
  <c r="AJ267" i="1" s="1"/>
  <c r="AT269" i="1" l="1"/>
  <c r="AG268" i="1"/>
  <c r="AH268" i="1" s="1"/>
  <c r="AJ268" i="1" s="1"/>
  <c r="AT270" i="1" l="1"/>
  <c r="AG269" i="1"/>
  <c r="AH269" i="1" s="1"/>
  <c r="AJ269" i="1" s="1"/>
  <c r="AT271" i="1" l="1"/>
  <c r="AG270" i="1"/>
  <c r="AH270" i="1" s="1"/>
  <c r="AJ270" i="1" s="1"/>
  <c r="AT272" i="1" l="1"/>
  <c r="AG271" i="1"/>
  <c r="AH271" i="1" s="1"/>
  <c r="AJ271" i="1" s="1"/>
  <c r="AT273" i="1" l="1"/>
  <c r="AG272" i="1"/>
  <c r="AH272" i="1" s="1"/>
  <c r="AJ272" i="1" s="1"/>
  <c r="AT274" i="1" l="1"/>
  <c r="AG273" i="1"/>
  <c r="AH273" i="1" s="1"/>
  <c r="AJ273" i="1" s="1"/>
  <c r="AT275" i="1" l="1"/>
  <c r="AG274" i="1"/>
  <c r="AH274" i="1" s="1"/>
  <c r="AJ274" i="1" s="1"/>
  <c r="AT276" i="1" l="1"/>
  <c r="AG275" i="1"/>
  <c r="AH275" i="1" s="1"/>
  <c r="AJ275" i="1" s="1"/>
  <c r="AT277" i="1" l="1"/>
  <c r="AG276" i="1"/>
  <c r="AH276" i="1" s="1"/>
  <c r="AJ276" i="1" s="1"/>
  <c r="AT278" i="1" l="1"/>
  <c r="AG277" i="1"/>
  <c r="AH277" i="1" s="1"/>
  <c r="AJ277" i="1" s="1"/>
  <c r="AT279" i="1" l="1"/>
  <c r="AG278" i="1"/>
  <c r="AH278" i="1" s="1"/>
  <c r="AJ278" i="1" s="1"/>
  <c r="AT280" i="1" l="1"/>
  <c r="AG279" i="1"/>
  <c r="AH279" i="1" s="1"/>
  <c r="AJ279" i="1" s="1"/>
  <c r="AT281" i="1" l="1"/>
  <c r="AG280" i="1"/>
  <c r="AH280" i="1" s="1"/>
  <c r="AJ280" i="1" s="1"/>
  <c r="AT282" i="1" l="1"/>
  <c r="AG281" i="1"/>
  <c r="AH281" i="1" s="1"/>
  <c r="AJ281" i="1" s="1"/>
  <c r="AT283" i="1" l="1"/>
  <c r="AG282" i="1"/>
  <c r="AH282" i="1" s="1"/>
  <c r="AJ282" i="1" s="1"/>
  <c r="AT284" i="1" l="1"/>
  <c r="AG283" i="1"/>
  <c r="AH283" i="1" s="1"/>
  <c r="AJ283" i="1" s="1"/>
  <c r="AT285" i="1" l="1"/>
  <c r="AG284" i="1"/>
  <c r="AH284" i="1" s="1"/>
  <c r="AJ284" i="1" s="1"/>
  <c r="AT286" i="1" l="1"/>
  <c r="AG285" i="1"/>
  <c r="AH285" i="1" s="1"/>
  <c r="AJ285" i="1" s="1"/>
  <c r="AT287" i="1" l="1"/>
  <c r="AG286" i="1"/>
  <c r="AH286" i="1" s="1"/>
  <c r="AJ286" i="1" s="1"/>
  <c r="AT288" i="1" l="1"/>
  <c r="AG287" i="1"/>
  <c r="AH287" i="1" s="1"/>
  <c r="AJ287" i="1" s="1"/>
  <c r="AT289" i="1" l="1"/>
  <c r="AG288" i="1"/>
  <c r="AH288" i="1" s="1"/>
  <c r="AJ288" i="1" s="1"/>
  <c r="AT290" i="1" l="1"/>
  <c r="AG289" i="1"/>
  <c r="AH289" i="1" s="1"/>
  <c r="AJ289" i="1" s="1"/>
  <c r="AT291" i="1" l="1"/>
  <c r="AG290" i="1"/>
  <c r="AH290" i="1" s="1"/>
  <c r="AJ290" i="1" s="1"/>
  <c r="AT292" i="1" l="1"/>
  <c r="AG291" i="1"/>
  <c r="AH291" i="1" s="1"/>
  <c r="AJ291" i="1" s="1"/>
  <c r="AT293" i="1" l="1"/>
  <c r="AG292" i="1"/>
  <c r="AH292" i="1" s="1"/>
  <c r="AJ292" i="1" s="1"/>
  <c r="AT294" i="1" l="1"/>
  <c r="AG293" i="1"/>
  <c r="AH293" i="1" s="1"/>
  <c r="AJ293" i="1" s="1"/>
  <c r="AT295" i="1" l="1"/>
  <c r="AG294" i="1"/>
  <c r="AH294" i="1" s="1"/>
  <c r="AJ294" i="1" s="1"/>
  <c r="AT296" i="1" l="1"/>
  <c r="AG295" i="1"/>
  <c r="AH295" i="1" s="1"/>
  <c r="AJ295" i="1" s="1"/>
  <c r="AT297" i="1" l="1"/>
  <c r="AG296" i="1"/>
  <c r="AH296" i="1" s="1"/>
  <c r="AJ296" i="1" s="1"/>
  <c r="AT298" i="1" l="1"/>
  <c r="AG297" i="1"/>
  <c r="AH297" i="1" s="1"/>
  <c r="AJ297" i="1" s="1"/>
  <c r="AT299" i="1" l="1"/>
  <c r="AG298" i="1"/>
  <c r="AH298" i="1" s="1"/>
  <c r="AJ298" i="1" s="1"/>
  <c r="AT300" i="1" l="1"/>
  <c r="AG299" i="1"/>
  <c r="AH299" i="1" s="1"/>
  <c r="AJ299" i="1" s="1"/>
  <c r="AT301" i="1" l="1"/>
  <c r="AG300" i="1"/>
  <c r="AH300" i="1" s="1"/>
  <c r="AJ300" i="1" s="1"/>
  <c r="AT302" i="1" l="1"/>
  <c r="AG301" i="1"/>
  <c r="AH301" i="1" s="1"/>
  <c r="AJ301" i="1" s="1"/>
  <c r="AT303" i="1" l="1"/>
  <c r="AG302" i="1"/>
  <c r="AH302" i="1" s="1"/>
  <c r="AJ302" i="1" s="1"/>
  <c r="AT304" i="1" l="1"/>
  <c r="AG303" i="1"/>
  <c r="AH303" i="1" s="1"/>
  <c r="AJ303" i="1" s="1"/>
  <c r="AT305" i="1" l="1"/>
  <c r="AG304" i="1"/>
  <c r="AH304" i="1" s="1"/>
  <c r="AJ304" i="1" s="1"/>
  <c r="AT306" i="1" l="1"/>
  <c r="AG305" i="1"/>
  <c r="AH305" i="1" s="1"/>
  <c r="AJ305" i="1" s="1"/>
  <c r="AT307" i="1" l="1"/>
  <c r="AG306" i="1"/>
  <c r="AH306" i="1" s="1"/>
  <c r="AJ306" i="1" s="1"/>
  <c r="AT308" i="1" l="1"/>
  <c r="AG307" i="1"/>
  <c r="AH307" i="1" s="1"/>
  <c r="AJ307" i="1" s="1"/>
  <c r="AT309" i="1" l="1"/>
  <c r="AG308" i="1"/>
  <c r="AH308" i="1" s="1"/>
  <c r="AJ308" i="1" s="1"/>
  <c r="AT310" i="1" l="1"/>
  <c r="AG309" i="1"/>
  <c r="AH309" i="1" s="1"/>
  <c r="AJ309" i="1" s="1"/>
  <c r="AT311" i="1" l="1"/>
  <c r="AG310" i="1"/>
  <c r="AH310" i="1" s="1"/>
  <c r="AJ310" i="1" s="1"/>
  <c r="AT312" i="1" l="1"/>
  <c r="AG311" i="1"/>
  <c r="AH311" i="1" s="1"/>
  <c r="AJ311" i="1" s="1"/>
  <c r="AT313" i="1" l="1"/>
  <c r="AG312" i="1"/>
  <c r="AH312" i="1" s="1"/>
  <c r="AJ312" i="1" s="1"/>
  <c r="AT314" i="1" l="1"/>
  <c r="AG313" i="1"/>
  <c r="AH313" i="1" s="1"/>
  <c r="AJ313" i="1" s="1"/>
  <c r="AT315" i="1" l="1"/>
  <c r="AG314" i="1"/>
  <c r="AH314" i="1" s="1"/>
  <c r="AJ314" i="1" s="1"/>
  <c r="AT316" i="1" l="1"/>
  <c r="AG315" i="1"/>
  <c r="AH315" i="1" s="1"/>
  <c r="AJ315" i="1" s="1"/>
  <c r="AT317" i="1" l="1"/>
  <c r="AG316" i="1"/>
  <c r="AH316" i="1" s="1"/>
  <c r="AJ316" i="1" s="1"/>
  <c r="AT318" i="1" l="1"/>
  <c r="AG317" i="1"/>
  <c r="AH317" i="1" s="1"/>
  <c r="AJ317" i="1" s="1"/>
  <c r="AT319" i="1" l="1"/>
  <c r="AG318" i="1"/>
  <c r="AH318" i="1" s="1"/>
  <c r="AJ318" i="1" s="1"/>
  <c r="AT320" i="1" l="1"/>
  <c r="AG319" i="1"/>
  <c r="AH319" i="1" s="1"/>
  <c r="AJ319" i="1" s="1"/>
  <c r="AT321" i="1" l="1"/>
  <c r="AG320" i="1"/>
  <c r="AH320" i="1" s="1"/>
  <c r="AJ320" i="1" s="1"/>
  <c r="AT322" i="1" l="1"/>
  <c r="AG321" i="1"/>
  <c r="AH321" i="1" s="1"/>
  <c r="AJ321" i="1" s="1"/>
  <c r="AT323" i="1" l="1"/>
  <c r="AG322" i="1"/>
  <c r="AH322" i="1" s="1"/>
  <c r="AJ322" i="1" s="1"/>
  <c r="AT324" i="1" l="1"/>
  <c r="AG323" i="1"/>
  <c r="AH323" i="1" s="1"/>
  <c r="AJ323" i="1" s="1"/>
  <c r="AT325" i="1" l="1"/>
  <c r="AG324" i="1"/>
  <c r="AH324" i="1" s="1"/>
  <c r="AJ324" i="1" s="1"/>
  <c r="AT326" i="1" l="1"/>
  <c r="AG325" i="1"/>
  <c r="AH325" i="1" s="1"/>
  <c r="AJ325" i="1" s="1"/>
  <c r="AT327" i="1" l="1"/>
  <c r="AG326" i="1"/>
  <c r="AH326" i="1" s="1"/>
  <c r="AJ326" i="1" s="1"/>
  <c r="AT328" i="1" l="1"/>
  <c r="AG327" i="1"/>
  <c r="AH327" i="1" s="1"/>
  <c r="AJ327" i="1" s="1"/>
  <c r="AT329" i="1" l="1"/>
  <c r="AG328" i="1"/>
  <c r="AH328" i="1" s="1"/>
  <c r="AJ328" i="1" s="1"/>
  <c r="AT330" i="1" l="1"/>
  <c r="AG329" i="1"/>
  <c r="AH329" i="1" s="1"/>
  <c r="AJ329" i="1" s="1"/>
  <c r="AT331" i="1" l="1"/>
  <c r="AG330" i="1"/>
  <c r="AH330" i="1" s="1"/>
  <c r="AJ330" i="1" s="1"/>
  <c r="AT332" i="1" l="1"/>
  <c r="AG331" i="1"/>
  <c r="AH331" i="1" s="1"/>
  <c r="AJ331" i="1" s="1"/>
  <c r="AT333" i="1" l="1"/>
  <c r="AG332" i="1"/>
  <c r="AH332" i="1" s="1"/>
  <c r="AJ332" i="1" s="1"/>
  <c r="AT334" i="1" l="1"/>
  <c r="AG333" i="1"/>
  <c r="AH333" i="1" s="1"/>
  <c r="AJ333" i="1" s="1"/>
  <c r="AT335" i="1" l="1"/>
  <c r="AG334" i="1"/>
  <c r="AH334" i="1" s="1"/>
  <c r="AJ334" i="1" s="1"/>
  <c r="AT336" i="1" l="1"/>
  <c r="AG335" i="1"/>
  <c r="AH335" i="1" s="1"/>
  <c r="AJ335" i="1" s="1"/>
  <c r="AT337" i="1" l="1"/>
  <c r="AG336" i="1"/>
  <c r="AH336" i="1" s="1"/>
  <c r="AJ336" i="1" s="1"/>
  <c r="AT338" i="1" l="1"/>
  <c r="AG337" i="1"/>
  <c r="AH337" i="1" s="1"/>
  <c r="AJ337" i="1" s="1"/>
  <c r="AT339" i="1" l="1"/>
  <c r="AG338" i="1"/>
  <c r="AH338" i="1" s="1"/>
  <c r="AJ338" i="1" s="1"/>
  <c r="AT340" i="1" l="1"/>
  <c r="AG339" i="1"/>
  <c r="AH339" i="1" s="1"/>
  <c r="AJ339" i="1" s="1"/>
  <c r="AT341" i="1" l="1"/>
  <c r="AG340" i="1"/>
  <c r="AH340" i="1" s="1"/>
  <c r="AJ340" i="1" s="1"/>
  <c r="AT342" i="1" l="1"/>
  <c r="AG341" i="1"/>
  <c r="AH341" i="1" s="1"/>
  <c r="AJ341" i="1" s="1"/>
  <c r="AT343" i="1" l="1"/>
  <c r="AG342" i="1"/>
  <c r="AH342" i="1" s="1"/>
  <c r="AJ342" i="1" s="1"/>
  <c r="AT344" i="1" l="1"/>
  <c r="AG343" i="1"/>
  <c r="AH343" i="1" s="1"/>
  <c r="AJ343" i="1" s="1"/>
  <c r="AT345" i="1" l="1"/>
  <c r="AG344" i="1"/>
  <c r="AH344" i="1" s="1"/>
  <c r="AJ344" i="1" s="1"/>
  <c r="AT346" i="1" l="1"/>
  <c r="AG345" i="1"/>
  <c r="AH345" i="1" s="1"/>
  <c r="AJ345" i="1" s="1"/>
  <c r="AT347" i="1" l="1"/>
  <c r="AG346" i="1"/>
  <c r="AH346" i="1" s="1"/>
  <c r="AJ346" i="1" s="1"/>
  <c r="AT348" i="1" l="1"/>
  <c r="AG347" i="1"/>
  <c r="AH347" i="1" s="1"/>
  <c r="AJ347" i="1" s="1"/>
  <c r="AT349" i="1" l="1"/>
  <c r="AG348" i="1"/>
  <c r="AH348" i="1" s="1"/>
  <c r="AJ348" i="1" s="1"/>
  <c r="AT350" i="1" l="1"/>
  <c r="AT351" i="1" s="1"/>
  <c r="AT352" i="1" s="1"/>
  <c r="AT353" i="1" s="1"/>
  <c r="AT354" i="1" s="1"/>
  <c r="AT355" i="1" s="1"/>
  <c r="AT356" i="1" s="1"/>
  <c r="AT357" i="1" s="1"/>
  <c r="AT358" i="1" s="1"/>
  <c r="AT359" i="1" s="1"/>
  <c r="AG349" i="1"/>
  <c r="AH349" i="1" s="1"/>
  <c r="AJ349" i="1" s="1"/>
</calcChain>
</file>

<file path=xl/sharedStrings.xml><?xml version="1.0" encoding="utf-8"?>
<sst xmlns="http://schemas.openxmlformats.org/spreadsheetml/2006/main" count="3008" uniqueCount="724">
  <si>
    <t>Date</t>
  </si>
  <si>
    <t>DoNumber</t>
  </si>
  <si>
    <t>CustomerCode</t>
  </si>
  <si>
    <t>ProductCode</t>
  </si>
  <si>
    <t>SumOfQuantity</t>
  </si>
  <si>
    <t>SumOfWeight</t>
  </si>
  <si>
    <t>SumOfVolumn</t>
  </si>
  <si>
    <t>RouteID</t>
  </si>
  <si>
    <t>CustomerName</t>
  </si>
  <si>
    <t>CustomerAddress</t>
  </si>
  <si>
    <t>AMPHURE</t>
  </si>
  <si>
    <t>PROVINCE</t>
  </si>
  <si>
    <t>ActualWgt</t>
  </si>
  <si>
    <t>ShipBy</t>
  </si>
  <si>
    <t>ShippingMarkNo</t>
  </si>
  <si>
    <t>RouteLineNumber</t>
  </si>
  <si>
    <t>PalletID</t>
  </si>
  <si>
    <t>SoldToSubCode</t>
  </si>
  <si>
    <t>ReqDate</t>
  </si>
  <si>
    <t>TUNumber</t>
  </si>
  <si>
    <t>ServiceType</t>
  </si>
  <si>
    <t>กรุงเทพฯ</t>
  </si>
  <si>
    <t>Est Delivery</t>
  </si>
  <si>
    <t>Act Delivery</t>
  </si>
  <si>
    <t>On-Time Delivery</t>
  </si>
  <si>
    <t>Est POD Return</t>
  </si>
  <si>
    <t>Act POD Return</t>
  </si>
  <si>
    <t>On-Time POD Return</t>
  </si>
  <si>
    <t>Missed Delivery</t>
  </si>
  <si>
    <t>Remark</t>
  </si>
  <si>
    <t xml:space="preserve"> Size</t>
  </si>
  <si>
    <t>Charge Rate</t>
  </si>
  <si>
    <t>Charge</t>
  </si>
  <si>
    <t>Adjustment</t>
  </si>
  <si>
    <t>Actual Charge</t>
  </si>
  <si>
    <t>KPI ADJ. 1</t>
  </si>
  <si>
    <t>KPI ADJ. 2</t>
  </si>
  <si>
    <t>WAREHOUSE MANAGEMENT</t>
  </si>
  <si>
    <t>Flexile and Scalable supporting, Managing with CARE</t>
  </si>
  <si>
    <t>Effective Date:</t>
  </si>
  <si>
    <t>SERVICE</t>
  </si>
  <si>
    <t>UNIT RATE</t>
  </si>
  <si>
    <t>CHARGE RATE</t>
  </si>
  <si>
    <t>MINIMUM CHARGE/UNIT/MONTH</t>
  </si>
  <si>
    <r>
      <t>STORAGE SERVICE</t>
    </r>
    <r>
      <rPr>
        <b/>
        <vertAlign val="superscript"/>
        <sz val="9"/>
        <color indexed="8"/>
        <rFont val="Tahoma"/>
        <family val="2"/>
      </rPr>
      <t>1</t>
    </r>
  </si>
  <si>
    <t>(Maximum Location Size: 100 x 100 x 100 CM.)</t>
  </si>
  <si>
    <t>THB/ Location/ Month</t>
  </si>
  <si>
    <t>Locations/ Month</t>
  </si>
  <si>
    <t>Pallet rental</t>
  </si>
  <si>
    <t>THB/ Pallet/ Day</t>
  </si>
  <si>
    <t>PACK SERVICE</t>
  </si>
  <si>
    <t>PICKING</t>
  </si>
  <si>
    <t>THB/ Pcs.</t>
  </si>
  <si>
    <t>PACKING</t>
  </si>
  <si>
    <t>THB/ Box</t>
  </si>
  <si>
    <t>VALUE ADDED SERVICE</t>
  </si>
  <si>
    <t>Labelling charge</t>
  </si>
  <si>
    <t>THB/ Labelling</t>
  </si>
  <si>
    <t>Label matterial charge</t>
  </si>
  <si>
    <t>THB/ Label</t>
  </si>
  <si>
    <t>Special wrap/Protection wrap</t>
  </si>
  <si>
    <t>THB/ Unit</t>
  </si>
  <si>
    <t>FULL TRUCK LOAD DELIVERY</t>
  </si>
  <si>
    <t>THB/TRIP</t>
  </si>
  <si>
    <t>SCG-L RDC RANG SIT TO SCG HEAD OFFICE</t>
  </si>
  <si>
    <t>CONSOLIDATION DELIVERY SERVICE</t>
  </si>
  <si>
    <t>THB/BOX, KILOGRAM OF GROSS WEIGHT OR DIMENSIONAL WEIGHT</t>
  </si>
  <si>
    <t>PACKAGE SIZE</t>
  </si>
  <si>
    <t>S</t>
  </si>
  <si>
    <t>M</t>
  </si>
  <si>
    <t>M+</t>
  </si>
  <si>
    <t>L</t>
  </si>
  <si>
    <t>L+</t>
  </si>
  <si>
    <t>XL</t>
  </si>
  <si>
    <t>OVERSIZE &amp;</t>
  </si>
  <si>
    <t>PACKAGE MATERIAL CHARGE (THB/ BOX)</t>
  </si>
  <si>
    <t>OVERWEIGHT</t>
  </si>
  <si>
    <t>70 CM.</t>
  </si>
  <si>
    <t>80 CM.</t>
  </si>
  <si>
    <t>110 CM.</t>
  </si>
  <si>
    <t>140 CM.</t>
  </si>
  <si>
    <t>160 CM.</t>
  </si>
  <si>
    <t>190 CM.</t>
  </si>
  <si>
    <t>MAXIMUM GROSS WEIGHT (KG)</t>
  </si>
  <si>
    <t>5 KG.</t>
  </si>
  <si>
    <t>10 KG.</t>
  </si>
  <si>
    <t>20 KG.</t>
  </si>
  <si>
    <t>30 KG.</t>
  </si>
  <si>
    <t>40 KG.</t>
  </si>
  <si>
    <t>50 KG.</t>
  </si>
  <si>
    <t>&gt;51 KG.</t>
  </si>
  <si>
    <t>THB/ BOX</t>
  </si>
  <si>
    <t>THB/ KG.</t>
  </si>
  <si>
    <t>Bangkok</t>
  </si>
  <si>
    <t>นนทบุรี</t>
  </si>
  <si>
    <t>Nonthaburi</t>
  </si>
  <si>
    <t>ปทุมธานี</t>
  </si>
  <si>
    <t>Pathum thani</t>
  </si>
  <si>
    <t>สมุทรปราการ</t>
  </si>
  <si>
    <t>Samutprakan</t>
  </si>
  <si>
    <t>นครปฐม</t>
  </si>
  <si>
    <t>Nakhon pathom</t>
  </si>
  <si>
    <t>สมุทรสาคร</t>
  </si>
  <si>
    <t>Samut sakhon</t>
  </si>
  <si>
    <t>ชัยนาท</t>
  </si>
  <si>
    <t>Chai nat</t>
  </si>
  <si>
    <t>พระนครศรีอยุธยา</t>
  </si>
  <si>
    <t>Ayutthaya</t>
  </si>
  <si>
    <t>ลพบุรี</t>
  </si>
  <si>
    <t>Lopburi</t>
  </si>
  <si>
    <t>สระบุรี</t>
  </si>
  <si>
    <t>Saraburi</t>
  </si>
  <si>
    <t>สิงห์บุรี</t>
  </si>
  <si>
    <t>Singburi</t>
  </si>
  <si>
    <t>อ่างทอง</t>
  </si>
  <si>
    <t>Angthong</t>
  </si>
  <si>
    <t>กาญจนบุรี</t>
  </si>
  <si>
    <t>Kanchanaburi</t>
  </si>
  <si>
    <t>ประจวบคีรีขันธ์</t>
  </si>
  <si>
    <t>Prachuap khiri khan</t>
  </si>
  <si>
    <t>เพชรบุรี</t>
  </si>
  <si>
    <t>Phetchaburi</t>
  </si>
  <si>
    <t>ราชบุรี</t>
  </si>
  <si>
    <t>Rachaburi</t>
  </si>
  <si>
    <t>สมุทรสงคราม</t>
  </si>
  <si>
    <t>Samut songkhram</t>
  </si>
  <si>
    <t>สุพรรณบุรี</t>
  </si>
  <si>
    <t>Suphanburi</t>
  </si>
  <si>
    <t>จันทบุรี</t>
  </si>
  <si>
    <t>Chanthaburi</t>
  </si>
  <si>
    <t>ฉะเชิงเทรา</t>
  </si>
  <si>
    <t>Chachoengsao</t>
  </si>
  <si>
    <t>ชลบุรี</t>
  </si>
  <si>
    <t>Chon buri</t>
  </si>
  <si>
    <t>ตราด</t>
  </si>
  <si>
    <t>Trat</t>
  </si>
  <si>
    <t>นครนายก</t>
  </si>
  <si>
    <t>Nakhon nayok</t>
  </si>
  <si>
    <t>ปราจีนบุรี</t>
  </si>
  <si>
    <t>Prachinburi</t>
  </si>
  <si>
    <t>ระยอง</t>
  </si>
  <si>
    <t>Rayong</t>
  </si>
  <si>
    <t>สระแก้ว</t>
  </si>
  <si>
    <t>Sra kaeo</t>
  </si>
  <si>
    <t>กระบี่</t>
  </si>
  <si>
    <t>Krabi</t>
  </si>
  <si>
    <t>ชุมพร</t>
  </si>
  <si>
    <t>Chum phon</t>
  </si>
  <si>
    <t>นครศรีธรรมราช</t>
  </si>
  <si>
    <t>Nakhon si thammarat</t>
  </si>
  <si>
    <t>พังงา</t>
  </si>
  <si>
    <t>Phangnga</t>
  </si>
  <si>
    <t>ภูเก็ต</t>
  </si>
  <si>
    <t>Phuket</t>
  </si>
  <si>
    <t>ระนอง</t>
  </si>
  <si>
    <t>Ranong</t>
  </si>
  <si>
    <t>สุราษฎร์ธานี</t>
  </si>
  <si>
    <t>Surat thani</t>
  </si>
  <si>
    <t>ตรัง</t>
  </si>
  <si>
    <t>Trang</t>
  </si>
  <si>
    <t>นราธิวาส</t>
  </si>
  <si>
    <t>Narathiwat</t>
  </si>
  <si>
    <t>ปัตตานี</t>
  </si>
  <si>
    <t>Pattani</t>
  </si>
  <si>
    <t>พัทลุง</t>
  </si>
  <si>
    <t>Phatthalung</t>
  </si>
  <si>
    <t>ยะลา</t>
  </si>
  <si>
    <t>Yala</t>
  </si>
  <si>
    <t>สงขลา</t>
  </si>
  <si>
    <t>Songkhla</t>
  </si>
  <si>
    <t>สตูล</t>
  </si>
  <si>
    <t>Satun</t>
  </si>
  <si>
    <t>เชียงราย</t>
  </si>
  <si>
    <t>Chiang rai</t>
  </si>
  <si>
    <t>เชียงใหม่</t>
  </si>
  <si>
    <t>Chiang mai</t>
  </si>
  <si>
    <t>น่าน</t>
  </si>
  <si>
    <t>Nan</t>
  </si>
  <si>
    <t>พะเยา</t>
  </si>
  <si>
    <t>Phayao</t>
  </si>
  <si>
    <t>แพร่</t>
  </si>
  <si>
    <t>Phrae</t>
  </si>
  <si>
    <t>แม่ฮ่องสอน</t>
  </si>
  <si>
    <t>Mae hong son</t>
  </si>
  <si>
    <t>ลำปาง</t>
  </si>
  <si>
    <t>Lampang</t>
  </si>
  <si>
    <t>ลำพูน</t>
  </si>
  <si>
    <t>Lamphun</t>
  </si>
  <si>
    <t>อุตรดิตถ์</t>
  </si>
  <si>
    <t>Uttaradit</t>
  </si>
  <si>
    <t>กำแพงเพชร</t>
  </si>
  <si>
    <t>Kamphaeng phet</t>
  </si>
  <si>
    <t>ตาก</t>
  </si>
  <si>
    <t>Tak</t>
  </si>
  <si>
    <t>นครสวรรค์</t>
  </si>
  <si>
    <t>Nakhon sawan</t>
  </si>
  <si>
    <t>พิจิตร</t>
  </si>
  <si>
    <t>phichit</t>
  </si>
  <si>
    <t>พิษณุโลก</t>
  </si>
  <si>
    <t>Phitsanulok</t>
  </si>
  <si>
    <t>เพชรบูรณ์</t>
  </si>
  <si>
    <t>Phetchabun</t>
  </si>
  <si>
    <t>สุโขทัย</t>
  </si>
  <si>
    <t>Sukhothai</t>
  </si>
  <si>
    <t>อุทัยธานี</t>
  </si>
  <si>
    <t>Uthaithani</t>
  </si>
  <si>
    <t>กาฬสินธุ์</t>
  </si>
  <si>
    <t>Kalasin</t>
  </si>
  <si>
    <t>ขอนแก่น</t>
  </si>
  <si>
    <t>Khon kean</t>
  </si>
  <si>
    <t>นครพนม</t>
  </si>
  <si>
    <t>Nakhon phanom</t>
  </si>
  <si>
    <t>มหาสารคาม</t>
  </si>
  <si>
    <t>Mahasarakham</t>
  </si>
  <si>
    <t>มุกดาหาร</t>
  </si>
  <si>
    <t>Mukdahan</t>
  </si>
  <si>
    <t>ร้อยเอ็ด</t>
  </si>
  <si>
    <t>Roi et</t>
  </si>
  <si>
    <t>เลย</t>
  </si>
  <si>
    <t>Loei</t>
  </si>
  <si>
    <t>สกลนคร</t>
  </si>
  <si>
    <t>Sakonnakhon</t>
  </si>
  <si>
    <t>หนองคาย</t>
  </si>
  <si>
    <t>Nongkhai</t>
  </si>
  <si>
    <t>หนองบัวลำภู</t>
  </si>
  <si>
    <t>Nongbualamphu</t>
  </si>
  <si>
    <t>อุดรธานี</t>
  </si>
  <si>
    <t>Udonthani</t>
  </si>
  <si>
    <t>ชัยภูมิ</t>
  </si>
  <si>
    <t>Chai yaphum</t>
  </si>
  <si>
    <t>นครราชสีมา</t>
  </si>
  <si>
    <t>Nakhon ratchasima</t>
  </si>
  <si>
    <t>บุรีรัมย์</t>
  </si>
  <si>
    <t>Buri ram</t>
  </si>
  <si>
    <t>ยโสธร</t>
  </si>
  <si>
    <t>Yasothon</t>
  </si>
  <si>
    <t>สุรินทร์</t>
  </si>
  <si>
    <t>Surin</t>
  </si>
  <si>
    <t>อำนาจเจริญ</t>
  </si>
  <si>
    <t>Amnatcharoen</t>
  </si>
  <si>
    <t>อุบลราชธานี</t>
  </si>
  <si>
    <t>Uboratchathani</t>
  </si>
  <si>
    <t>บึงกาฬ</t>
  </si>
  <si>
    <t>Bueng Kan</t>
  </si>
  <si>
    <t>ศรีสะเกษ</t>
  </si>
  <si>
    <t>Srisaket</t>
  </si>
  <si>
    <t>Returned delivery is subject to charge at normal rate</t>
  </si>
  <si>
    <t>Footnotes:</t>
  </si>
  <si>
    <t>Used storage location will be calculated at  the maximum of used location per month that will be charged  the minimum as following this quotation</t>
  </si>
  <si>
    <t>Remark:</t>
  </si>
  <si>
    <t>1.</t>
  </si>
  <si>
    <t>The above rates exclude taxes, duties &amp; all other incidental expenses.</t>
  </si>
  <si>
    <t>2.</t>
  </si>
  <si>
    <t>Rates applicable to standard cargo only, but excluding DG cargo.</t>
  </si>
  <si>
    <t>3.</t>
  </si>
  <si>
    <t xml:space="preserve">Volumetric weight is computed at 1 CBM=500 KG. </t>
  </si>
  <si>
    <t>4.</t>
  </si>
  <si>
    <t>The maximum cargo/location capacity: 1 (Length）* 1（Width）*1 Height）m with a weight limitation of 500 KG./location. The Out of Gauge cargo) will be imposed surcharge accordingly. Please call us for verification prior to acceptance of order.</t>
  </si>
  <si>
    <t>5.</t>
  </si>
  <si>
    <t>We accepted the number of SKU consolidation 2 SKUs per locations.</t>
  </si>
  <si>
    <t>6.</t>
  </si>
  <si>
    <t>The order must be submitted 1 day before shipment collection/ picking &amp; packing and shipment will be delivered within 08.00 AM.-05.00 PM. next working day(include Saturdays)</t>
  </si>
  <si>
    <t>7.</t>
  </si>
  <si>
    <t>Delivery rate will be changed according to the average of oil price on the previous month;</t>
  </si>
  <si>
    <t>7.1 Charge rate reference to the range of oil price rate at 29.01-30.00 Thai baht,</t>
  </si>
  <si>
    <t>7.2 In case the range of oil price changed +/-1 Thai baht; rates will be changed +/-2% from offered rates,</t>
  </si>
  <si>
    <t>7.3 Oil price rate reference to the retail oil price rate of PTT (PTT Public Company Limited) UltraForce Diesel  in Bangkok and Vicinity.</t>
  </si>
  <si>
    <t>8.</t>
  </si>
  <si>
    <t>The oversize or overweight load shipments, charge rate will be charged by either the declared weight(Gross weight) or the volumetric weight of the shipments whichever is the higher and the volumetric weight will be calculated in accordance the volumetric conversion equation.</t>
  </si>
  <si>
    <t>9.</t>
  </si>
  <si>
    <t>The volumetric weight calculation;</t>
  </si>
  <si>
    <t>9.1 Measure the length*width*height of the consignment in centimeters,</t>
  </si>
  <si>
    <t>9.2 Calculate the volume and divide it by 2000 to get the dimensional weight in kilograms.(Note: Round off fractions to the next whole number),</t>
  </si>
  <si>
    <t>Volumetric weight(KG)</t>
  </si>
  <si>
    <t>width*length*height(cm)</t>
  </si>
  <si>
    <t>10.</t>
  </si>
  <si>
    <t>Consolidation transportation service rate will be charged at a minimum charge of 120 baht per shipment.</t>
  </si>
  <si>
    <t>11.</t>
  </si>
  <si>
    <t>All Prices quoted are valid for 15 days from the date of stated on the quotation  and  need  to  be  confirmed  in  writing. </t>
  </si>
  <si>
    <t>12.</t>
  </si>
  <si>
    <t>This the table of service is subject to confirmation.</t>
  </si>
  <si>
    <t>Material</t>
  </si>
  <si>
    <t>Size</t>
  </si>
  <si>
    <t>OVS&amp;OVW</t>
  </si>
  <si>
    <t>Running</t>
  </si>
  <si>
    <t>Missed delivery cause</t>
  </si>
  <si>
    <t>Root cause </t>
  </si>
  <si>
    <t>Month</t>
  </si>
  <si>
    <t>Oil Price Range Ref.</t>
  </si>
  <si>
    <t>Oil Price Range</t>
  </si>
  <si>
    <t>% Adjustment</t>
  </si>
  <si>
    <t>Delayed order placing/ confirmation</t>
  </si>
  <si>
    <t>Delivery Order</t>
  </si>
  <si>
    <t>25.01-26.00</t>
  </si>
  <si>
    <t>Delivery order error</t>
  </si>
  <si>
    <t>26.01-27.00</t>
  </si>
  <si>
    <t>The shop is closed.</t>
  </si>
  <si>
    <t>Destination</t>
  </si>
  <si>
    <t>28.01-29.00</t>
  </si>
  <si>
    <t>Missed KPIs inbound on time place of receipt</t>
  </si>
  <si>
    <t>KPIs</t>
  </si>
  <si>
    <t>29.01-30.00</t>
  </si>
  <si>
    <t>Missed KPIs inbound on time SCGL CDC</t>
  </si>
  <si>
    <t>31.01-32.00</t>
  </si>
  <si>
    <t>Missed KPIs inbound on time HUBs</t>
  </si>
  <si>
    <t>32.01-33.00</t>
  </si>
  <si>
    <t>Missed KPIs outbound on time place of receipt</t>
  </si>
  <si>
    <t>33.01-34.00</t>
  </si>
  <si>
    <t>Missed KPIs outbound on time SCGL CDC</t>
  </si>
  <si>
    <t>Missed KPIs outbound on time HUBs</t>
  </si>
  <si>
    <t>Inappropriate optimize delivery route</t>
  </si>
  <si>
    <t>Planning</t>
  </si>
  <si>
    <t>Damaged</t>
  </si>
  <si>
    <t>Product</t>
  </si>
  <si>
    <t xml:space="preserve">
Lost</t>
  </si>
  <si>
    <t>Accident</t>
  </si>
  <si>
    <t>Truck</t>
  </si>
  <si>
    <t>Insufficient truck supply</t>
  </si>
  <si>
    <t>Date No.</t>
  </si>
  <si>
    <t>Date Text</t>
  </si>
  <si>
    <t>SUN</t>
  </si>
  <si>
    <t>MON</t>
  </si>
  <si>
    <t>TUE</t>
  </si>
  <si>
    <t>WED</t>
  </si>
  <si>
    <t>THU</t>
  </si>
  <si>
    <t>FRI</t>
  </si>
  <si>
    <t>SAT</t>
  </si>
  <si>
    <t>(All)</t>
  </si>
  <si>
    <t>Grand Total</t>
  </si>
  <si>
    <t>DateText</t>
  </si>
  <si>
    <t>Count of SumOfQuantity</t>
  </si>
  <si>
    <t>Data</t>
  </si>
  <si>
    <t>Count of SumOfWeight</t>
  </si>
  <si>
    <t>Count of SumOfVolumn</t>
  </si>
  <si>
    <t>Max of Charge Rate</t>
  </si>
  <si>
    <t>Sum of Actual Charge</t>
  </si>
  <si>
    <t>DELIVERY CHARGE SUMMARY</t>
  </si>
  <si>
    <t>TODAY</t>
  </si>
  <si>
    <t>MONTH</t>
  </si>
  <si>
    <t>START DATE</t>
  </si>
  <si>
    <t>END DATE</t>
  </si>
  <si>
    <t>FROM</t>
  </si>
  <si>
    <t>TO</t>
  </si>
  <si>
    <t>SUM TOTAL</t>
  </si>
  <si>
    <t>ORDER DATE</t>
  </si>
  <si>
    <t>Sum of SumOfQuantity</t>
  </si>
  <si>
    <t>DELIVERY STATUS TRACKING</t>
  </si>
  <si>
    <t>Reference order number</t>
  </si>
  <si>
    <t>Ship to code</t>
  </si>
  <si>
    <t>Plan delivery date</t>
  </si>
  <si>
    <t>Actual delivery date</t>
  </si>
  <si>
    <t>DAILY STATUS</t>
  </si>
  <si>
    <t>MONTHLY STATUS</t>
  </si>
  <si>
    <t>ON TIME DELIVERY</t>
  </si>
  <si>
    <t>MISSED DELIVERY</t>
  </si>
  <si>
    <t>PROCESSING</t>
  </si>
  <si>
    <t>NO. OF DN</t>
  </si>
  <si>
    <t>VOLUME (SHIP UNIT)</t>
  </si>
  <si>
    <t>VOLUME (KG.)</t>
  </si>
  <si>
    <t>ZABZ904900001</t>
  </si>
  <si>
    <t>ZABZ904900002</t>
  </si>
  <si>
    <t>ZABZ904900003</t>
  </si>
  <si>
    <t>ZABZ904900004</t>
  </si>
  <si>
    <t>ZABZ904900005</t>
  </si>
  <si>
    <t>ZABZ904900006</t>
  </si>
  <si>
    <t>ZABZ904900007</t>
  </si>
  <si>
    <t>Refresh all pivot table</t>
  </si>
  <si>
    <t>DATE</t>
  </si>
  <si>
    <t>STORAGE SERVICE</t>
  </si>
  <si>
    <t>LABELLING</t>
  </si>
  <si>
    <t>LABEL MATTERIAL</t>
  </si>
  <si>
    <t>WRAP</t>
  </si>
  <si>
    <t>REMOVE SERVICE</t>
  </si>
  <si>
    <t>END</t>
  </si>
  <si>
    <t>PALLET SERVICE</t>
  </si>
  <si>
    <t>PACKAGE MATERIAL CHARGE</t>
  </si>
  <si>
    <t>VOLUME</t>
  </si>
  <si>
    <t>TOTAL CHARGE</t>
  </si>
  <si>
    <t>MIN CHARGE</t>
  </si>
  <si>
    <t>SERVICE CHARGE</t>
  </si>
  <si>
    <t>LENGTH</t>
  </si>
  <si>
    <t>WIDTH</t>
  </si>
  <si>
    <t>HEIGHT</t>
  </si>
  <si>
    <t>(CM)</t>
  </si>
  <si>
    <t>Dimensional</t>
  </si>
  <si>
    <t>MAXIMUM SIZE (L+W+H : CM)</t>
  </si>
  <si>
    <t>(L+W+H)</t>
  </si>
  <si>
    <t>Gross Weight (KG)</t>
  </si>
  <si>
    <t>Check D</t>
  </si>
  <si>
    <t>Check W</t>
  </si>
  <si>
    <t>Package Size</t>
  </si>
  <si>
    <t>MAT CODE</t>
  </si>
  <si>
    <t>SIZE</t>
  </si>
  <si>
    <t>L+W+H</t>
  </si>
  <si>
    <t>WEIGHT</t>
  </si>
  <si>
    <t>CHECK</t>
  </si>
  <si>
    <t>WAREHOUSE MANAGEMENT SERVICE CHARGE</t>
  </si>
  <si>
    <t>January</t>
  </si>
  <si>
    <t>มกราคม</t>
  </si>
  <si>
    <t>February</t>
  </si>
  <si>
    <t>กุมภาพันธ์</t>
  </si>
  <si>
    <t>บริษัท เอสซีจี โลจิสติกส์ แมเนจเม้นท์ จํากัด</t>
  </si>
  <si>
    <t>March</t>
  </si>
  <si>
    <t>มีนาคม</t>
  </si>
  <si>
    <t>เลขที่ 1 ถนนปูนซิเมนต์ไทย เขตบางซื่อ แขวงบางซื่อ</t>
  </si>
  <si>
    <t>April</t>
  </si>
  <si>
    <t>เมษายน</t>
  </si>
  <si>
    <t>กรุงเทพฯ 10800  ประเทศไทย</t>
  </si>
  <si>
    <t>May</t>
  </si>
  <si>
    <t>พฤษภาคม</t>
  </si>
  <si>
    <t>www.scglogistics.co.th</t>
  </si>
  <si>
    <t>June</t>
  </si>
  <si>
    <t>มิถุนายน</t>
  </si>
  <si>
    <t>http://blog.scglogistics.co.th/</t>
  </si>
  <si>
    <t>July</t>
  </si>
  <si>
    <t>กรกฎาคม</t>
  </si>
  <si>
    <t>วันที่</t>
  </si>
  <si>
    <t>August</t>
  </si>
  <si>
    <t>สิงหาคม</t>
  </si>
  <si>
    <t>September</t>
  </si>
  <si>
    <t>กันยายน</t>
  </si>
  <si>
    <t>ใบสรุปรายละเอียดการให้บริการขนส่ง/ บริการอื่น</t>
  </si>
  <si>
    <t>October</t>
  </si>
  <si>
    <t>ตุลาคม</t>
  </si>
  <si>
    <t>SERVICE CHARGE SUMMARY DOCUMENT</t>
  </si>
  <si>
    <t>November</t>
  </si>
  <si>
    <t>พฤศจิกายน</t>
  </si>
  <si>
    <t>รหัสลูกค้า/ Customer Code</t>
  </si>
  <si>
    <t>3043853</t>
  </si>
  <si>
    <t>Mat. Freight</t>
  </si>
  <si>
    <t>Z9031</t>
  </si>
  <si>
    <t>December</t>
  </si>
  <si>
    <t>ธันวาคม</t>
  </si>
  <si>
    <t>ชื่อ และที่อยู่ลูกค้า/ Customer Name and Address</t>
  </si>
  <si>
    <t>ใบเสนอราคาเลขที่</t>
  </si>
  <si>
    <t>เงื่อนไขการชำระเงิน</t>
  </si>
  <si>
    <t>วันที่ครบกำหนด</t>
  </si>
  <si>
    <t>ต้นทางในการรับสินค้า</t>
  </si>
  <si>
    <t>สถานที่ส่งสินค้า</t>
  </si>
  <si>
    <t>(Quotation No.)</t>
  </si>
  <si>
    <t>(Term of Payment)</t>
  </si>
  <si>
    <t>(Due Date)</t>
  </si>
  <si>
    <t>(Place of Origin)</t>
  </si>
  <si>
    <t>(Ship To)</t>
  </si>
  <si>
    <t>AU.020/2018</t>
  </si>
  <si>
    <t>ลำดับที่</t>
  </si>
  <si>
    <t>รายการ</t>
  </si>
  <si>
    <t>ราคาต่อหน่วย</t>
  </si>
  <si>
    <t>จำนวน</t>
  </si>
  <si>
    <t>จำนวนเงิน</t>
  </si>
  <si>
    <t>(Item)</t>
  </si>
  <si>
    <t>(Description)</t>
  </si>
  <si>
    <t>(Unit Price)</t>
  </si>
  <si>
    <t>(Quantity)</t>
  </si>
  <si>
    <t>(Amount)</t>
  </si>
  <si>
    <t>EPSON SPARE PART (IDC)</t>
  </si>
  <si>
    <t>หมายเหตุ/ Remark</t>
  </si>
  <si>
    <t>รวมทั้งสิ้น/ Sub Total</t>
  </si>
  <si>
    <t>VAT</t>
  </si>
  <si>
    <t>ส่วนลด/ Discount</t>
  </si>
  <si>
    <t>คงเหลือ/ Balance</t>
  </si>
  <si>
    <t>ภาษีมูลค่าเพิ่ม/ Vat</t>
  </si>
  <si>
    <t>ภาษีหัก ณ ที่จ่าย/ WHT</t>
  </si>
  <si>
    <t>-แปดแสนหกหมื่นสามพันห้าสิบเก้าบาทสี่สิบสี่สตางค์-</t>
  </si>
  <si>
    <t>ยอดชำระเงิน/ Total</t>
  </si>
  <si>
    <t>ผู้ออกเอกสาร/ ISSUE BY</t>
  </si>
  <si>
    <t>ผู้มีอำนาจลงนาม/ AUTHORIZED SIGNATURE</t>
  </si>
  <si>
    <t>วันที่ DATE</t>
  </si>
  <si>
    <t>EM27122018</t>
  </si>
  <si>
    <t>4. You agree that we may charge interest on invoices that did not be paid on stated in 1 and 3 above at the rate of 15% above the result for the Bank of Thailand base rate until full and final payment of the relevant invoice (including the reasonable and proper expenses of invoice that did not be paid on stated in 1 and 3)</t>
  </si>
  <si>
    <t>3. As a matter of course all import duties, export duties, value added taxes on goods and all other charges, which not set up in our service charges table shall be payable to us these amounts in full within 7 days of us notifying you (or a different payment term agreed upon with SCG-L).</t>
  </si>
  <si>
    <t>2. You waive all your rights to challenge our invoices if you do not contest our invoice in writing within 7 days from the date of the invoice.</t>
  </si>
  <si>
    <t>1. You agree to pay our charges (including applicable surcharges) for the carriage of the shipment between the locations specified on the consignment note/contract of carriage, or for the performance by us of other services, and any value added taxes within 30 days from the date of our invoice (or a difference payment term agreed upon with SCG-L) without withholding, deduction, counterclaim or set off</t>
  </si>
  <si>
    <t>PAYMENT</t>
  </si>
  <si>
    <t>GRAND TOTAL</t>
  </si>
  <si>
    <t>WHT</t>
  </si>
  <si>
    <t>BALANCE</t>
  </si>
  <si>
    <t>CLAIM</t>
  </si>
  <si>
    <t xml:space="preserve"> </t>
  </si>
  <si>
    <t>DISCOUNT</t>
  </si>
  <si>
    <t>SUB TOTAL</t>
  </si>
  <si>
    <t>Re-Put Away</t>
  </si>
  <si>
    <t>5. OTHER CHARGE</t>
  </si>
  <si>
    <t>Size XL (W+L+D: 190 CM.)</t>
  </si>
  <si>
    <t>Size L+ ((W+L+D: 160 CM.)</t>
  </si>
  <si>
    <t>Size L (W+L+D: 140 CM.)</t>
  </si>
  <si>
    <t>Size M+ (W+L+D: 110 CM.)</t>
  </si>
  <si>
    <t>Size M (W+L+D: 80 CM.)</t>
  </si>
  <si>
    <t>Size S (W+L+D: 70 CM.)</t>
  </si>
  <si>
    <t>4. PACKAGE MATERIAL CHARGE</t>
  </si>
  <si>
    <t>3. VALUE ADDED SERVICE</t>
  </si>
  <si>
    <t>Packing Charge</t>
  </si>
  <si>
    <t>Picking Charge</t>
  </si>
  <si>
    <t>2. PACK SERVICE</t>
  </si>
  <si>
    <t>Pallet Rntal</t>
  </si>
  <si>
    <t>1. STORAGE SERVICE</t>
  </si>
  <si>
    <t>(SERVICE CHARGES)</t>
  </si>
  <si>
    <t>(MIN. CHARGE)</t>
  </si>
  <si>
    <t>(NO. OF UNIT)</t>
  </si>
  <si>
    <t>(CHARGE RATE)</t>
  </si>
  <si>
    <t>(UNIT RATE)</t>
  </si>
  <si>
    <t>(DESCRIPTION)</t>
  </si>
  <si>
    <t>ค่าบริการ</t>
  </si>
  <si>
    <t>ขั้นต่ำ</t>
  </si>
  <si>
    <t>อัตราค่าบริการ</t>
  </si>
  <si>
    <t>อัตรา ต่อหน่วย</t>
  </si>
  <si>
    <t>DC RANG SIT</t>
  </si>
  <si>
    <t>AU.015/2018</t>
  </si>
  <si>
    <t>1 ถนนปูนซิเมนต์ไทย แขวงบางซื่อ เขตบางซื่อ กรุงเทพมหานคร 10800</t>
  </si>
  <si>
    <t>PickedUnit Charge</t>
  </si>
  <si>
    <t>UOM2</t>
  </si>
  <si>
    <t>PCS2</t>
  </si>
  <si>
    <t>UomTN</t>
  </si>
  <si>
    <t>PerPCS</t>
  </si>
  <si>
    <t>PickedUnit</t>
  </si>
  <si>
    <t>PickedQty</t>
  </si>
  <si>
    <t>SKUName</t>
  </si>
  <si>
    <t>SKUCode</t>
  </si>
  <si>
    <t>ShipTo_Name</t>
  </si>
  <si>
    <t>ShipTo_Id</t>
  </si>
  <si>
    <t>DocType</t>
  </si>
  <si>
    <t>TypName</t>
  </si>
  <si>
    <t>TypCode</t>
  </si>
  <si>
    <t>DocNo</t>
  </si>
  <si>
    <t>PickDate</t>
  </si>
  <si>
    <t>ajd</t>
  </si>
  <si>
    <t>PackDate</t>
  </si>
  <si>
    <t>Qty Pack</t>
  </si>
  <si>
    <t>Package size</t>
  </si>
  <si>
    <t>1. NEXT DAY NATIONWIDE DELIVERY</t>
  </si>
  <si>
    <t>2.FULL TRUCK LOAD DELIVERY</t>
  </si>
  <si>
    <t>3.EXPRESS DELIVERY SERVICE</t>
  </si>
  <si>
    <t>4.OTHER SERVICE CHARGE</t>
  </si>
  <si>
    <t>THB/ MONTH</t>
  </si>
  <si>
    <t>Min. Charge</t>
  </si>
  <si>
    <t>BOX</t>
  </si>
  <si>
    <t>(TYPE M)</t>
  </si>
  <si>
    <t>(TYPE F)</t>
  </si>
  <si>
    <t>(TYPE S)</t>
  </si>
  <si>
    <t>OTHER</t>
  </si>
  <si>
    <t>Other</t>
  </si>
  <si>
    <t>Type M (Max.0.27 cubic meter/ Location)</t>
  </si>
  <si>
    <t>Storage Charge(1 cubic meter/ Location)</t>
  </si>
  <si>
    <t>Type F (Max.1.3 cubic meter/ Location)</t>
  </si>
  <si>
    <t>Type S (Max.1.3 cubic meter/ Location)</t>
  </si>
  <si>
    <t>Collecting</t>
  </si>
  <si>
    <t>Delivery</t>
  </si>
  <si>
    <t>บริษัท เอสซีจี ซิเมนต์ จำกัด</t>
  </si>
  <si>
    <t>WH057</t>
  </si>
  <si>
    <t>Z9051</t>
  </si>
  <si>
    <t>บริษัท เอสซีจี ซิเมนต์ จำกัด (สำนักงานใหญ่)</t>
  </si>
  <si>
    <t>POSM02</t>
  </si>
  <si>
    <t>POSM01</t>
  </si>
  <si>
    <t>ZABZ90490001</t>
  </si>
  <si>
    <t>ZABZ90490002</t>
  </si>
  <si>
    <t>ZABZ90490003</t>
  </si>
  <si>
    <t>ZABZ90490004</t>
  </si>
  <si>
    <t>ZABZ90490005</t>
  </si>
  <si>
    <t>ZABZ90490006</t>
  </si>
  <si>
    <t>ZABZ90490007</t>
  </si>
  <si>
    <t>ZABZ90510001</t>
  </si>
  <si>
    <t>ZABZ90510002</t>
  </si>
  <si>
    <t>ZABZ90510003</t>
  </si>
  <si>
    <t>ZABZ90510004</t>
  </si>
  <si>
    <t>ZABZ90510005</t>
  </si>
  <si>
    <t>ZABZ90510006</t>
  </si>
  <si>
    <t>ZABZ90510007</t>
  </si>
  <si>
    <t>ZABZ90480001</t>
  </si>
  <si>
    <t>ZABZ90480002</t>
  </si>
  <si>
    <t>ZABZ90480003</t>
  </si>
  <si>
    <t>ZABZ90480004</t>
  </si>
  <si>
    <t>ZABZ90480005</t>
  </si>
  <si>
    <t>ZABZ90480006</t>
  </si>
  <si>
    <t>ZABZ90480007</t>
  </si>
  <si>
    <t>ZABZ90520001</t>
  </si>
  <si>
    <t>ZABZ90520002</t>
  </si>
  <si>
    <t>ZABZ90520003</t>
  </si>
  <si>
    <t>ZABZ90520004</t>
  </si>
  <si>
    <t>ZABZ90520005</t>
  </si>
  <si>
    <t>ZABZ90520006</t>
  </si>
  <si>
    <t>ZABZ90520007</t>
  </si>
  <si>
    <t>เลขที่ 1 ถ.ปูนซิเมนต์ไทย แขวงบางซื่อ เขตบางซื่อ กรุงเทพฯ 10800</t>
  </si>
  <si>
    <t>เขตบางซื่อ</t>
  </si>
  <si>
    <t>SCG</t>
  </si>
  <si>
    <t>N</t>
  </si>
  <si>
    <t>อ.เมือง</t>
  </si>
  <si>
    <t>บริษัท เอสซีจี ซิเมนต์-ผลิตภัณฑ์ก่อสร้าง จำกัด (สำนักงานภาคเหนือ)</t>
  </si>
  <si>
    <t>เลขที่ 139 ม.2 ถ.เชียงใหม่-ลำปาง ต.หนองป่าครั่ง อ.เมือง จ.เชียงใหม่ 50000</t>
  </si>
  <si>
    <t>POSM03</t>
  </si>
  <si>
    <t>บริษัท เอสซีจี ซิเมนต์-ผลิตภัณฑ์ก่อสร้าง จำกัด (สำนักงานภาคอีสาน)</t>
  </si>
  <si>
    <t>เลขที่ 1274/1 ถ.มิตรภาพ ต.ในเมือง อ.เมือง จ.นครราชสีมา 30000</t>
  </si>
  <si>
    <t>ใบสรุปรายละเอียดการให้บริการขนส่ง/ บริการอื่น/ประจำเดือน มีนาคม 2563</t>
  </si>
  <si>
    <t>2002-0017</t>
  </si>
  <si>
    <t>SHM2003027253</t>
  </si>
  <si>
    <t>SHG2003022501</t>
  </si>
  <si>
    <t>SHM2003027254</t>
  </si>
  <si>
    <t>2003-0003</t>
  </si>
  <si>
    <t>SHM2003057846</t>
  </si>
  <si>
    <t>SHG2003052580</t>
  </si>
  <si>
    <t>2003-0007</t>
  </si>
  <si>
    <t>SHM2003098011</t>
  </si>
  <si>
    <t>SHG2003092634</t>
  </si>
  <si>
    <t>2003-0011</t>
  </si>
  <si>
    <t>SHM2003108187</t>
  </si>
  <si>
    <t>SHG2003102695</t>
  </si>
  <si>
    <t>SHM2003108188</t>
  </si>
  <si>
    <t>SHM2003108191</t>
  </si>
  <si>
    <t>2003-0015</t>
  </si>
  <si>
    <t>CU-3000757</t>
  </si>
  <si>
    <t>คุณศิชาโรจน์</t>
  </si>
  <si>
    <t>397 ม.2 ต.สว่างแดนดิน อ.สว่างแดนดิน ติดกับคูโบต้าสว่างแดนดิน จ.สกลนคร 47110</t>
  </si>
  <si>
    <t>สว่างแดนดิน</t>
  </si>
  <si>
    <t>SHM2003138959</t>
  </si>
  <si>
    <t>SHG2003132898</t>
  </si>
  <si>
    <t>2003-0018</t>
  </si>
  <si>
    <t>SHM2003169124</t>
  </si>
  <si>
    <t>SHG2003162933</t>
  </si>
  <si>
    <t>SHM2003169125</t>
  </si>
  <si>
    <t>SHM2003169126</t>
  </si>
  <si>
    <t>SHM2003169127</t>
  </si>
  <si>
    <t>SHM2003169128</t>
  </si>
  <si>
    <t>SHM2003169129</t>
  </si>
  <si>
    <t>SHM2003169130</t>
  </si>
  <si>
    <t>SHM2003169131</t>
  </si>
  <si>
    <t>SHM2003169132</t>
  </si>
  <si>
    <t>SHM2003169133</t>
  </si>
  <si>
    <t>2003-0020</t>
  </si>
  <si>
    <t>CU-3000346</t>
  </si>
  <si>
    <t>บริษัท พยัคฆ์ค้าสากล จำกัด</t>
  </si>
  <si>
    <t>145 หมู่9 ถ.พหลโยธิน ต.สันทราย อ.เมืองเชียงราย จ.เชียงราย</t>
  </si>
  <si>
    <t>เมืองเชียงราย</t>
  </si>
  <si>
    <t>SHM2003179378</t>
  </si>
  <si>
    <t>SHG2003173031</t>
  </si>
  <si>
    <t>SHM2003179379</t>
  </si>
  <si>
    <t>2003-0021</t>
  </si>
  <si>
    <t>SHM2003179382</t>
  </si>
  <si>
    <t>SHM2003179383</t>
  </si>
  <si>
    <t>2003-0019</t>
  </si>
  <si>
    <t>CU-3000354</t>
  </si>
  <si>
    <t>บจก เอ็มอาร์อินเตอร์ทรานสปอร์ต</t>
  </si>
  <si>
    <t>804 ม.8 ต.เวียงพางคำ อ.แม่สาย จ. เชียงราย 57130</t>
  </si>
  <si>
    <t>แม่สาย</t>
  </si>
  <si>
    <t>SHM2003179387</t>
  </si>
  <si>
    <t>SHM2003179388</t>
  </si>
  <si>
    <t>SHM2003179389</t>
  </si>
  <si>
    <t>SHM2003179390</t>
  </si>
  <si>
    <t>บริษัท เอสซีจี ซิเมนต์ไทย จำกัด</t>
  </si>
  <si>
    <t>Cemen (121)</t>
  </si>
  <si>
    <t>TBPL18-0022</t>
  </si>
  <si>
    <t>เสื้อโปโล ปูนเสือ สีขาว Size M</t>
  </si>
  <si>
    <t>PC</t>
  </si>
  <si>
    <t>PACK</t>
  </si>
  <si>
    <t>TBPL18-0024</t>
  </si>
  <si>
    <t>เสื้อโปโล ปูนเสือ สีขาว Size XL</t>
  </si>
  <si>
    <t>TBSH18-0007</t>
  </si>
  <si>
    <t>เสื้อยืดแขนยาว ปูนเสือเชื่อถือได้ Size L</t>
  </si>
  <si>
    <t>TCSH19-0011</t>
  </si>
  <si>
    <t>เสื้อช่าง แขนยาว เสือซีเมนต์ Size L</t>
  </si>
  <si>
    <t>TBBG18-0010</t>
  </si>
  <si>
    <t>กระเป๋าคาดเอว ปูนเสือ</t>
  </si>
  <si>
    <t>TBSH18-0006</t>
  </si>
  <si>
    <t>เสื้อยืดแขนยาว ปูนเสือเชื่อถือได้ Size M</t>
  </si>
  <si>
    <t>TCSH19-0012</t>
  </si>
  <si>
    <t>เสื้อช่าง แขนยาว เสือซีเมนต์ Size XL</t>
  </si>
  <si>
    <t>2003-0001</t>
  </si>
  <si>
    <t>รับสินค้าเองที่คลัง</t>
  </si>
  <si>
    <t>SBUB18-0043</t>
  </si>
  <si>
    <t>ร่มพับ สีแดง ปูนเอสซีจี 2018</t>
  </si>
  <si>
    <t>SHFB18-0038</t>
  </si>
  <si>
    <t>ถุงผ้า ปูนไฮ บริด</t>
  </si>
  <si>
    <t>SHPI18-0049</t>
  </si>
  <si>
    <t>หมอน ถุงปูนไฮ บริด</t>
  </si>
  <si>
    <t>SHSH18-0007</t>
  </si>
  <si>
    <t>เสื้อยืดแขนยาว ถุงปูนไฮ บริด Size M</t>
  </si>
  <si>
    <t>2003-0004</t>
  </si>
  <si>
    <t>TBPL18-0025</t>
  </si>
  <si>
    <t>เสื้อโปโล ปูนเสือ สีขาว Size XXL</t>
  </si>
  <si>
    <t>TBPL18-0023</t>
  </si>
  <si>
    <t>เสื้อโปโล ปูนเสือ สีขาว Size L</t>
  </si>
  <si>
    <t>TDSH18-0046</t>
  </si>
  <si>
    <t>เสื้อยืดแขนยาว เสือ เดคอร์ ปอร์ตแลนด์ Size L</t>
  </si>
  <si>
    <t>TDSH18-0047</t>
  </si>
  <si>
    <t>เสื้อยืดแขนยาว เสือ เดคอร์ ปอร์ตแลนด์ Size XL</t>
  </si>
  <si>
    <t>TDSH18-0048</t>
  </si>
  <si>
    <t>เสื้อยืดแขนยาว เสือ เดคอร์ ปอร์ตแลนด์ Size XXL</t>
  </si>
  <si>
    <t>2003-0005</t>
  </si>
  <si>
    <t>SBFR19-0013</t>
  </si>
  <si>
    <t>กรอบอะครีลิกพร้อมโปสเตอร์ทดสอบก้อนปูน 1 ชุด มึ 3 ชิ้น (ขนาด A2)</t>
  </si>
  <si>
    <t>2003-0008</t>
  </si>
  <si>
    <t>TBPE18-0016</t>
  </si>
  <si>
    <t>ปากกา ปูนเสือ</t>
  </si>
  <si>
    <t>1+Q21:T21</t>
  </si>
  <si>
    <t>TBSH19-0014</t>
  </si>
  <si>
    <t>เสื้อยืดแขนสั้น ปูนเสือ Size L</t>
  </si>
  <si>
    <t>TMSH19-0030</t>
  </si>
  <si>
    <t>เสื้อแขนยาว เสือ มอร์ตาร์ ฉาบอิฐมวลเบา โฉมใหม่ (ฟ้า)</t>
  </si>
  <si>
    <t>TBSH19-0013</t>
  </si>
  <si>
    <t>เสื้อยืดแขนสั้น ปูนเสือ Size M</t>
  </si>
  <si>
    <t>TMSH19-0029</t>
  </si>
  <si>
    <t>เสื้อแขนยาว เสือ มอร์ตาร์ ฉาบทั่วไป โฉมใหม่ (เขียว)</t>
  </si>
  <si>
    <t>2003-0013</t>
  </si>
  <si>
    <t>MCGF18-0044</t>
  </si>
  <si>
    <t>ลูกกอล์ฟ</t>
  </si>
  <si>
    <t>SBSH18-0004</t>
  </si>
  <si>
    <t>เสื้อยืดแขนยาว ปูนงานโครงสร้าง สีเทาแขนแดง (กวินทร์) Size M</t>
  </si>
  <si>
    <t>2003-0014</t>
  </si>
  <si>
    <t>MCBK18-0046</t>
  </si>
  <si>
    <t>หนังสือเพียงพ่อก็พอเพียง</t>
  </si>
  <si>
    <t>2003-0009</t>
  </si>
  <si>
    <t>DC0000018</t>
  </si>
  <si>
    <t>2003-0002</t>
  </si>
  <si>
    <t>2003-0016</t>
  </si>
  <si>
    <t>TDSB18-0110</t>
  </si>
  <si>
    <t>กล่องใส่แผ่นตัวอย่าง</t>
  </si>
  <si>
    <t>DC0000020</t>
  </si>
  <si>
    <t>TCSH20-0007</t>
  </si>
  <si>
    <t>เสื้อช่างแขนยาว เสือ ซีเมนต์ Size M</t>
  </si>
  <si>
    <t>ELSH18-0026</t>
  </si>
  <si>
    <t>เสื้อยืดแขนสั้น ถุงปูนเสือ ไอเทค สีครีมแขนเขียว (ลาว) Size L</t>
  </si>
  <si>
    <t>ELSH18-0025</t>
  </si>
  <si>
    <t>เสื้อยืดแขนสั้น ถุงปูนเสือ ไอเทค สีครีมแขนเขียว (ลาว) Size M</t>
  </si>
  <si>
    <t>DC0000019</t>
  </si>
  <si>
    <t>TASH18-0199</t>
  </si>
  <si>
    <t>เสื้อยืดแขนยาว เสือ กาวซีเมนต์ Size 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</si>
</sst>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43" formatCode="_-* #,##0.00_-;\-* #,##0.00_-;_-* &quot;-&quot;??_-;_-@_-"/>
    <numFmt numFmtId="187" formatCode="[$-1070000]d/m/yy;@"/>
    <numFmt numFmtId="188" formatCode="[$-409]mmmm\ d\,\ yyyy;@"/>
    <numFmt numFmtId="189" formatCode="#,##0.00_ ;\-#,##0.00\ "/>
    <numFmt numFmtId="190" formatCode="[$THB]\ #,##0.00"/>
    <numFmt numFmtId="191" formatCode="[$-107041E]d\ mmmm\ yyyy;@"/>
    <numFmt numFmtId="192" formatCode="_-* #,##0_-;\-* #,##0_-;_-* &quot;-&quot;??_-;_-@_-"/>
  </numFmts>
  <fonts count="49" x14ac:knownFonts="1">
    <font>
      <sz val="10"/>
      <name val="MS Sans Serif"/>
      <family val="2"/>
    </font>
    <font>
      <sz val="10"/>
      <name val="MS Sans Serif"/>
      <family val="2"/>
    </font>
    <font>
      <b/>
      <sz val="9"/>
      <name val="Arial"/>
      <family val="2"/>
    </font>
    <font>
      <sz val="9"/>
      <name val="Arial"/>
      <family val="2"/>
    </font>
    <font>
      <b/>
      <vertAlign val="superscript"/>
      <sz val="9"/>
      <color indexed="8"/>
      <name val="Tahoma"/>
      <family val="2"/>
    </font>
    <font>
      <b/>
      <sz val="10"/>
      <name val="Arial"/>
      <family val="2"/>
    </font>
    <font>
      <sz val="10"/>
      <name val="Arial"/>
      <family val="2"/>
    </font>
    <font>
      <b/>
      <sz val="12"/>
      <name val="Arial"/>
      <family val="2"/>
    </font>
    <font>
      <sz val="12"/>
      <name val="Arial"/>
      <family val="2"/>
    </font>
    <font>
      <b/>
      <sz val="8"/>
      <name val="Arial"/>
      <family val="2"/>
    </font>
    <font>
      <sz val="8"/>
      <name val="Arial"/>
      <family val="2"/>
    </font>
    <font>
      <b/>
      <sz val="11"/>
      <name val="Arial"/>
      <family val="2"/>
    </font>
    <font>
      <i/>
      <sz val="11"/>
      <color rgb="FF7F7F7F"/>
      <name val="Tahoma"/>
      <family val="2"/>
      <charset val="222"/>
      <scheme val="minor"/>
    </font>
    <font>
      <b/>
      <sz val="11"/>
      <color theme="3"/>
      <name val="Tahoma"/>
      <family val="2"/>
      <charset val="222"/>
      <scheme val="minor"/>
    </font>
    <font>
      <b/>
      <sz val="16"/>
      <color rgb="FF44546A"/>
      <name val="Tahoma"/>
      <family val="2"/>
      <charset val="222"/>
    </font>
    <font>
      <sz val="9"/>
      <color rgb="FF000000"/>
      <name val="Tahoma"/>
      <family val="2"/>
      <charset val="222"/>
    </font>
    <font>
      <i/>
      <sz val="9"/>
      <color rgb="FF7F7F7F"/>
      <name val="Tahoma"/>
      <family val="2"/>
      <charset val="222"/>
    </font>
    <font>
      <b/>
      <sz val="9"/>
      <color rgb="FF000000"/>
      <name val="Tahoma"/>
      <family val="2"/>
    </font>
    <font>
      <sz val="9"/>
      <color rgb="FF000000"/>
      <name val="Tahoma"/>
      <family val="2"/>
    </font>
    <font>
      <sz val="9"/>
      <color theme="1"/>
      <name val="Tahoma"/>
      <family val="2"/>
      <charset val="222"/>
      <scheme val="minor"/>
    </font>
    <font>
      <b/>
      <sz val="10"/>
      <color rgb="FF000000"/>
      <name val="Tahoma"/>
      <family val="2"/>
    </font>
    <font>
      <vertAlign val="superscript"/>
      <sz val="9"/>
      <color rgb="FF000000"/>
      <name val="Tahoma"/>
      <family val="2"/>
      <charset val="222"/>
    </font>
    <font>
      <b/>
      <sz val="9"/>
      <color rgb="FF000000"/>
      <name val="Arial"/>
      <family val="2"/>
    </font>
    <font>
      <sz val="9"/>
      <color rgb="FF000000"/>
      <name val="Arial"/>
      <family val="2"/>
    </font>
    <font>
      <u/>
      <sz val="9"/>
      <color rgb="FF000000"/>
      <name val="Arial"/>
      <family val="2"/>
    </font>
    <font>
      <b/>
      <u/>
      <sz val="9"/>
      <color rgb="FF000000"/>
      <name val="Arial"/>
      <family val="2"/>
    </font>
    <font>
      <sz val="10"/>
      <color theme="1"/>
      <name val="Arial"/>
      <family val="2"/>
    </font>
    <font>
      <i/>
      <sz val="10"/>
      <color theme="0" tint="-0.249977111117893"/>
      <name val="Arial"/>
      <family val="2"/>
    </font>
    <font>
      <sz val="11"/>
      <name val="Arial"/>
      <family val="2"/>
    </font>
    <font>
      <b/>
      <sz val="14"/>
      <name val="Arial"/>
      <family val="2"/>
    </font>
    <font>
      <sz val="11"/>
      <color rgb="FF9C6500"/>
      <name val="Tahoma"/>
      <family val="2"/>
      <charset val="222"/>
      <scheme val="minor"/>
    </font>
    <font>
      <sz val="14"/>
      <color theme="1"/>
      <name val="Angsana New"/>
      <family val="1"/>
    </font>
    <font>
      <b/>
      <sz val="14"/>
      <color theme="1"/>
      <name val="Angsana New"/>
      <family val="1"/>
    </font>
    <font>
      <sz val="14"/>
      <color rgb="FF9C6500"/>
      <name val="Angsana New"/>
      <family val="1"/>
    </font>
    <font>
      <b/>
      <sz val="16"/>
      <color theme="1"/>
      <name val="Angsana New"/>
      <family val="1"/>
    </font>
    <font>
      <sz val="14"/>
      <color theme="0"/>
      <name val="Angsana New"/>
      <family val="1"/>
    </font>
    <font>
      <i/>
      <sz val="14"/>
      <color theme="1"/>
      <name val="Angsana New"/>
      <family val="1"/>
    </font>
    <font>
      <sz val="11"/>
      <color theme="1"/>
      <name val="Tahoma"/>
      <family val="2"/>
      <charset val="222"/>
      <scheme val="minor"/>
    </font>
    <font>
      <sz val="10"/>
      <color theme="1"/>
      <name val="Tahoma"/>
      <family val="2"/>
      <charset val="222"/>
      <scheme val="minor"/>
    </font>
    <font>
      <b/>
      <sz val="10"/>
      <color theme="1"/>
      <name val="Tahoma"/>
      <family val="2"/>
      <charset val="222"/>
      <scheme val="minor"/>
    </font>
    <font>
      <b/>
      <sz val="10"/>
      <color theme="1"/>
      <name val="Tahoma"/>
      <family val="2"/>
      <scheme val="minor"/>
    </font>
    <font>
      <sz val="10"/>
      <color rgb="FF0070C0"/>
      <name val="Tahoma"/>
      <family val="2"/>
      <charset val="222"/>
      <scheme val="minor"/>
    </font>
    <font>
      <sz val="9"/>
      <color theme="1"/>
      <name val="Tahoma"/>
      <family val="2"/>
      <scheme val="minor"/>
    </font>
    <font>
      <sz val="10"/>
      <color theme="1"/>
      <name val="Tahoma"/>
      <family val="2"/>
      <scheme val="minor"/>
    </font>
    <font>
      <sz val="9"/>
      <name val="Tahoma"/>
      <family val="2"/>
      <scheme val="minor"/>
    </font>
    <font>
      <i/>
      <sz val="10"/>
      <color rgb="FF7F7F7F"/>
      <name val="Tahoma"/>
      <family val="2"/>
      <charset val="222"/>
      <scheme val="minor"/>
    </font>
    <font>
      <b/>
      <sz val="10"/>
      <color theme="0"/>
      <name val="MS Sans Serif"/>
      <family val="2"/>
    </font>
    <font>
      <sz val="10"/>
      <color theme="1" tint="0.249977111117893"/>
      <name val="Tahoma"/>
      <family val="2"/>
      <charset val="222"/>
      <scheme val="minor"/>
    </font>
    <font>
      <sz val="9"/>
      <color theme="1"/>
      <name val="Arial"/>
      <family val="2"/>
    </font>
  </fonts>
  <fills count="20">
    <fill>
      <patternFill patternType="none"/>
    </fill>
    <fill>
      <patternFill patternType="gray125"/>
    </fill>
    <fill>
      <patternFill patternType="solid">
        <fgColor rgb="FFFFFFCC"/>
      </patternFill>
    </fill>
    <fill>
      <patternFill patternType="solid">
        <fgColor theme="8" tint="0.79998168889431442"/>
        <bgColor indexed="64"/>
      </patternFill>
    </fill>
    <fill>
      <patternFill patternType="solid">
        <fgColor rgb="FF9BC2E6"/>
        <bgColor rgb="FF000000"/>
      </patternFill>
    </fill>
    <fill>
      <patternFill patternType="solid">
        <fgColor rgb="FFDDEBF7"/>
        <bgColor rgb="FF000000"/>
      </patternFill>
    </fill>
    <fill>
      <patternFill patternType="solid">
        <fgColor rgb="FFF2F2F2"/>
        <bgColor rgb="FF000000"/>
      </patternFill>
    </fill>
    <fill>
      <patternFill patternType="solid">
        <fgColor theme="4" tint="0.79998168889431442"/>
        <bgColor indexed="64"/>
      </patternFill>
    </fill>
    <fill>
      <patternFill patternType="solid">
        <fgColor rgb="FFD9D9D9"/>
        <bgColor rgb="FF000000"/>
      </patternFill>
    </fill>
    <fill>
      <patternFill patternType="solid">
        <fgColor theme="7"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FFFF66"/>
        <bgColor indexed="64"/>
      </patternFill>
    </fill>
    <fill>
      <patternFill patternType="solid">
        <fgColor rgb="FFFFEB9C"/>
      </patternFill>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4"/>
        <bgColor theme="4"/>
      </patternFill>
    </fill>
    <fill>
      <patternFill patternType="solid">
        <fgColor theme="0"/>
        <bgColor indexed="64"/>
      </patternFill>
    </fill>
  </fills>
  <borders count="47">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diagonal/>
    </border>
    <border>
      <left/>
      <right style="thin">
        <color indexed="64"/>
      </right>
      <top style="hair">
        <color indexed="64"/>
      </top>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hair">
        <color indexed="64"/>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style="hair">
        <color theme="4" tint="0.59996337778862885"/>
      </left>
      <right style="thin">
        <color rgb="FFB2B2B2"/>
      </right>
      <top style="hair">
        <color theme="4" tint="0.59996337778862885"/>
      </top>
      <bottom style="hair">
        <color theme="4" tint="0.59996337778862885"/>
      </bottom>
      <diagonal/>
    </border>
    <border>
      <left style="thin">
        <color rgb="FFB2B2B2"/>
      </left>
      <right style="hair">
        <color theme="4" tint="0.59996337778862885"/>
      </right>
      <top style="hair">
        <color theme="4" tint="0.59996337778862885"/>
      </top>
      <bottom style="hair">
        <color theme="4" tint="0.59996337778862885"/>
      </bottom>
      <diagonal/>
    </border>
    <border>
      <left style="thin">
        <color theme="4" tint="0.59996337778862885"/>
      </left>
      <right/>
      <top style="thin">
        <color theme="4" tint="0.59996337778862885"/>
      </top>
      <bottom/>
      <diagonal/>
    </border>
    <border>
      <left/>
      <right/>
      <top style="thin">
        <color theme="4" tint="0.59996337778862885"/>
      </top>
      <bottom/>
      <diagonal/>
    </border>
    <border>
      <left/>
      <right style="thin">
        <color theme="4" tint="0.59996337778862885"/>
      </right>
      <top style="thin">
        <color theme="4" tint="0.59996337778862885"/>
      </top>
      <bottom/>
      <diagonal/>
    </border>
    <border>
      <left style="thin">
        <color theme="4" tint="0.59996337778862885"/>
      </left>
      <right/>
      <top/>
      <bottom/>
      <diagonal/>
    </border>
    <border>
      <left/>
      <right style="thin">
        <color theme="4" tint="0.59996337778862885"/>
      </right>
      <top/>
      <bottom/>
      <diagonal/>
    </border>
    <border>
      <left style="thin">
        <color theme="4" tint="0.59996337778862885"/>
      </left>
      <right/>
      <top/>
      <bottom style="thin">
        <color theme="4" tint="0.59996337778862885"/>
      </bottom>
      <diagonal/>
    </border>
    <border>
      <left/>
      <right/>
      <top/>
      <bottom style="thin">
        <color theme="4" tint="0.59996337778862885"/>
      </bottom>
      <diagonal/>
    </border>
    <border>
      <left/>
      <right style="thin">
        <color theme="4" tint="0.59996337778862885"/>
      </right>
      <top/>
      <bottom style="thin">
        <color theme="4" tint="0.59996337778862885"/>
      </bottom>
      <diagonal/>
    </border>
    <border>
      <left style="hair">
        <color theme="8" tint="0.59996337778862885"/>
      </left>
      <right/>
      <top style="hair">
        <color theme="8" tint="0.59996337778862885"/>
      </top>
      <bottom style="hair">
        <color theme="8" tint="0.59996337778862885"/>
      </bottom>
      <diagonal/>
    </border>
    <border>
      <left/>
      <right/>
      <top style="hair">
        <color theme="8" tint="0.59996337778862885"/>
      </top>
      <bottom style="hair">
        <color theme="8" tint="0.59996337778862885"/>
      </bottom>
      <diagonal/>
    </border>
    <border>
      <left/>
      <right style="hair">
        <color theme="8" tint="0.59996337778862885"/>
      </right>
      <top style="hair">
        <color theme="8" tint="0.59996337778862885"/>
      </top>
      <bottom style="hair">
        <color theme="8" tint="0.59996337778862885"/>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right/>
      <top style="medium">
        <color theme="4" tint="-0.249977111117893"/>
      </top>
      <bottom/>
      <diagonal/>
    </border>
    <border>
      <left style="thin">
        <color indexed="64"/>
      </left>
      <right style="thin">
        <color indexed="64"/>
      </right>
      <top/>
      <bottom style="hair">
        <color indexed="64"/>
      </bottom>
      <diagonal/>
    </border>
  </borders>
  <cellStyleXfs count="11">
    <xf numFmtId="0" fontId="0" fillId="0" borderId="0"/>
    <xf numFmtId="43" fontId="1" fillId="0" borderId="0" applyFont="0" applyFill="0" applyBorder="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9" fillId="0" borderId="0"/>
    <xf numFmtId="0" fontId="1" fillId="2" borderId="28" applyNumberFormat="0" applyFont="0" applyAlignment="0" applyProtection="0"/>
    <xf numFmtId="9" fontId="1" fillId="0" borderId="0" applyFont="0" applyFill="0" applyBorder="0" applyAlignment="0" applyProtection="0"/>
    <xf numFmtId="0" fontId="30" fillId="13" borderId="0" applyNumberFormat="0" applyBorder="0" applyAlignment="0" applyProtection="0"/>
    <xf numFmtId="0" fontId="37" fillId="0" borderId="0"/>
    <xf numFmtId="9" fontId="37" fillId="0" borderId="0" applyFont="0" applyFill="0" applyBorder="0" applyAlignment="0" applyProtection="0"/>
    <xf numFmtId="43" fontId="37" fillId="0" borderId="0" applyFont="0" applyFill="0" applyBorder="0" applyAlignment="0" applyProtection="0"/>
  </cellStyleXfs>
  <cellXfs count="514">
    <xf numFmtId="0" fontId="0" fillId="0" borderId="0" xfId="0"/>
    <xf numFmtId="0" fontId="2" fillId="0" borderId="0" xfId="0" applyFont="1" applyAlignment="1">
      <alignment horizontal="center"/>
    </xf>
    <xf numFmtId="187" fontId="3" fillId="0" borderId="0" xfId="0" applyNumberFormat="1" applyFont="1"/>
    <xf numFmtId="0" fontId="3" fillId="0" borderId="0" xfId="0" applyFont="1"/>
    <xf numFmtId="0" fontId="15" fillId="0" borderId="0" xfId="0" applyFont="1" applyFill="1" applyBorder="1"/>
    <xf numFmtId="0" fontId="16" fillId="0" borderId="0" xfId="2" applyFont="1" applyFill="1" applyBorder="1"/>
    <xf numFmtId="2" fontId="15" fillId="0" borderId="4" xfId="0" applyNumberFormat="1" applyFont="1" applyFill="1" applyBorder="1" applyAlignment="1"/>
    <xf numFmtId="189" fontId="15" fillId="0" borderId="4" xfId="1" applyNumberFormat="1" applyFont="1" applyFill="1" applyBorder="1" applyAlignment="1"/>
    <xf numFmtId="189" fontId="15" fillId="0" borderId="5" xfId="1" applyNumberFormat="1" applyFont="1" applyFill="1" applyBorder="1" applyAlignment="1"/>
    <xf numFmtId="2" fontId="15" fillId="0" borderId="6" xfId="0" applyNumberFormat="1" applyFont="1" applyFill="1" applyBorder="1" applyAlignment="1">
      <alignment horizontal="center"/>
    </xf>
    <xf numFmtId="2" fontId="15" fillId="0" borderId="11" xfId="0" applyNumberFormat="1" applyFont="1" applyFill="1" applyBorder="1" applyAlignment="1">
      <alignment horizontal="center"/>
    </xf>
    <xf numFmtId="189" fontId="15" fillId="0" borderId="1" xfId="1" applyNumberFormat="1" applyFont="1" applyFill="1" applyBorder="1" applyAlignment="1">
      <alignment horizontal="center"/>
    </xf>
    <xf numFmtId="189" fontId="15" fillId="0" borderId="12" xfId="1" applyNumberFormat="1" applyFont="1" applyFill="1" applyBorder="1" applyAlignment="1">
      <alignment horizontal="center"/>
    </xf>
    <xf numFmtId="2" fontId="15" fillId="0" borderId="7" xfId="0" applyNumberFormat="1" applyFont="1" applyFill="1" applyBorder="1" applyAlignment="1"/>
    <xf numFmtId="2" fontId="15" fillId="0" borderId="1" xfId="0" applyNumberFormat="1" applyFont="1" applyFill="1" applyBorder="1" applyAlignment="1"/>
    <xf numFmtId="0" fontId="17" fillId="0" borderId="17" xfId="0" applyFont="1" applyFill="1" applyBorder="1" applyAlignment="1">
      <alignment horizontal="left"/>
    </xf>
    <xf numFmtId="0" fontId="17" fillId="0" borderId="18" xfId="0" applyFont="1" applyFill="1" applyBorder="1" applyAlignment="1">
      <alignment horizontal="left"/>
    </xf>
    <xf numFmtId="0" fontId="17" fillId="0" borderId="20" xfId="0" applyFont="1" applyFill="1" applyBorder="1" applyAlignment="1">
      <alignment horizontal="left"/>
    </xf>
    <xf numFmtId="0" fontId="17" fillId="0" borderId="21" xfId="0" applyFont="1" applyFill="1" applyBorder="1" applyAlignment="1">
      <alignment horizontal="left"/>
    </xf>
    <xf numFmtId="0" fontId="17" fillId="0" borderId="22" xfId="0" applyFont="1" applyFill="1" applyBorder="1" applyAlignment="1">
      <alignment horizontal="left"/>
    </xf>
    <xf numFmtId="0" fontId="17" fillId="0" borderId="23" xfId="0" applyFont="1" applyFill="1" applyBorder="1" applyAlignment="1">
      <alignment horizontal="left"/>
    </xf>
    <xf numFmtId="2" fontId="15" fillId="0" borderId="25" xfId="0" applyNumberFormat="1" applyFont="1" applyFill="1" applyBorder="1" applyAlignment="1"/>
    <xf numFmtId="0" fontId="15" fillId="0" borderId="25" xfId="0" applyFont="1" applyFill="1" applyBorder="1" applyAlignment="1">
      <alignment horizontal="center"/>
    </xf>
    <xf numFmtId="0" fontId="15" fillId="0" borderId="26" xfId="0" applyFont="1" applyFill="1" applyBorder="1" applyAlignment="1">
      <alignment horizontal="center"/>
    </xf>
    <xf numFmtId="0" fontId="17" fillId="5" borderId="13" xfId="0" applyFont="1" applyFill="1" applyBorder="1" applyAlignment="1">
      <alignment horizontal="center"/>
    </xf>
    <xf numFmtId="0" fontId="17" fillId="5" borderId="2" xfId="0" applyFont="1" applyFill="1" applyBorder="1" applyAlignment="1">
      <alignment horizontal="center"/>
    </xf>
    <xf numFmtId="0" fontId="17" fillId="5" borderId="14" xfId="0" applyFont="1" applyFill="1" applyBorder="1" applyAlignment="1">
      <alignment horizontal="center"/>
    </xf>
    <xf numFmtId="0" fontId="17" fillId="5" borderId="15" xfId="0" applyFont="1" applyFill="1" applyBorder="1" applyAlignment="1">
      <alignment horizontal="center"/>
    </xf>
    <xf numFmtId="0" fontId="15" fillId="0" borderId="13" xfId="0" applyFont="1" applyFill="1" applyBorder="1" applyAlignment="1">
      <alignment horizontal="center"/>
    </xf>
    <xf numFmtId="43" fontId="15" fillId="0" borderId="13" xfId="1" applyFont="1" applyFill="1" applyBorder="1"/>
    <xf numFmtId="43" fontId="15" fillId="0" borderId="0" xfId="0" applyNumberFormat="1" applyFont="1" applyFill="1" applyBorder="1"/>
    <xf numFmtId="0" fontId="17" fillId="0" borderId="0" xfId="0" applyFont="1" applyFill="1" applyBorder="1"/>
    <xf numFmtId="0" fontId="21" fillId="0" borderId="0" xfId="0" applyFont="1" applyFill="1" applyBorder="1"/>
    <xf numFmtId="0" fontId="15" fillId="0" borderId="0" xfId="0" applyFont="1" applyFill="1" applyBorder="1" applyAlignment="1">
      <alignment horizontal="left" vertical="top" wrapText="1"/>
    </xf>
    <xf numFmtId="49" fontId="15" fillId="0" borderId="0" xfId="0" applyNumberFormat="1" applyFont="1" applyFill="1" applyBorder="1" applyAlignment="1">
      <alignment horizontal="right"/>
    </xf>
    <xf numFmtId="0" fontId="22" fillId="6" borderId="6" xfId="4" applyFont="1" applyFill="1" applyBorder="1" applyProtection="1">
      <protection hidden="1"/>
    </xf>
    <xf numFmtId="0" fontId="22" fillId="6" borderId="0" xfId="4" applyFont="1" applyFill="1" applyBorder="1" applyProtection="1">
      <protection hidden="1"/>
    </xf>
    <xf numFmtId="0" fontId="23" fillId="6" borderId="0" xfId="4" applyFont="1" applyFill="1" applyBorder="1" applyProtection="1">
      <protection hidden="1"/>
    </xf>
    <xf numFmtId="0" fontId="23" fillId="6" borderId="8" xfId="4" applyFont="1" applyFill="1" applyBorder="1" applyProtection="1">
      <protection hidden="1"/>
    </xf>
    <xf numFmtId="0" fontId="22" fillId="6" borderId="9" xfId="4" applyFont="1" applyFill="1" applyBorder="1" applyAlignment="1" applyProtection="1">
      <alignment horizontal="left"/>
      <protection hidden="1"/>
    </xf>
    <xf numFmtId="0" fontId="23" fillId="6" borderId="10" xfId="4" applyFont="1" applyFill="1" applyBorder="1" applyProtection="1">
      <protection hidden="1"/>
    </xf>
    <xf numFmtId="0" fontId="24" fillId="6" borderId="9" xfId="4" applyFont="1" applyFill="1" applyBorder="1" applyAlignment="1" applyProtection="1">
      <protection hidden="1"/>
    </xf>
    <xf numFmtId="0" fontId="23" fillId="6" borderId="9" xfId="4" applyFont="1" applyFill="1" applyBorder="1" applyAlignment="1" applyProtection="1">
      <protection hidden="1"/>
    </xf>
    <xf numFmtId="0" fontId="23" fillId="6" borderId="9" xfId="4" applyFont="1" applyFill="1" applyBorder="1" applyProtection="1">
      <protection hidden="1"/>
    </xf>
    <xf numFmtId="0" fontId="23" fillId="6" borderId="11" xfId="4" applyFont="1" applyFill="1" applyBorder="1" applyProtection="1">
      <protection hidden="1"/>
    </xf>
    <xf numFmtId="0" fontId="23" fillId="6" borderId="12" xfId="4" applyFont="1" applyFill="1" applyBorder="1" applyProtection="1">
      <protection hidden="1"/>
    </xf>
    <xf numFmtId="0" fontId="5" fillId="7" borderId="0" xfId="0" applyFont="1" applyFill="1" applyAlignment="1">
      <alignment horizontal="right"/>
    </xf>
    <xf numFmtId="0" fontId="6" fillId="0" borderId="0" xfId="0" applyFont="1"/>
    <xf numFmtId="43" fontId="6" fillId="0" borderId="0" xfId="0" applyNumberFormat="1" applyFont="1"/>
    <xf numFmtId="0" fontId="15" fillId="0" borderId="0" xfId="0" applyFont="1" applyFill="1" applyBorder="1" applyAlignment="1">
      <alignment horizontal="left"/>
    </xf>
    <xf numFmtId="0" fontId="5" fillId="7" borderId="0" xfId="0" applyFont="1" applyFill="1" applyAlignment="1">
      <alignment horizontal="left"/>
    </xf>
    <xf numFmtId="1" fontId="26" fillId="0" borderId="0" xfId="4" applyNumberFormat="1" applyFont="1" applyFill="1" applyBorder="1" applyAlignment="1" applyProtection="1">
      <alignment horizontal="left"/>
      <protection hidden="1"/>
    </xf>
    <xf numFmtId="43" fontId="15" fillId="0" borderId="0" xfId="0" applyNumberFormat="1" applyFont="1" applyFill="1" applyBorder="1" applyAlignment="1">
      <alignment horizontal="left"/>
    </xf>
    <xf numFmtId="0" fontId="3" fillId="0" borderId="0" xfId="0" applyFont="1" applyAlignment="1">
      <alignment horizontal="center"/>
    </xf>
    <xf numFmtId="0" fontId="2" fillId="8" borderId="0" xfId="0" applyFont="1" applyFill="1" applyBorder="1" applyAlignment="1">
      <alignment horizontal="center"/>
    </xf>
    <xf numFmtId="0" fontId="2" fillId="0" borderId="0" xfId="0" applyFont="1" applyFill="1" applyBorder="1" applyAlignment="1">
      <alignment horizontal="center"/>
    </xf>
    <xf numFmtId="0" fontId="3" fillId="0" borderId="0" xfId="0" applyFont="1" applyFill="1" applyBorder="1"/>
    <xf numFmtId="9" fontId="3" fillId="0" borderId="0" xfId="6" applyFont="1" applyFill="1" applyBorder="1"/>
    <xf numFmtId="9" fontId="3" fillId="0" borderId="0" xfId="0" applyNumberFormat="1" applyFont="1" applyFill="1" applyBorder="1"/>
    <xf numFmtId="0" fontId="3" fillId="0" borderId="0" xfId="0" applyFont="1" applyFill="1" applyBorder="1" applyAlignment="1"/>
    <xf numFmtId="0" fontId="3" fillId="0" borderId="0" xfId="0" applyFont="1" applyFill="1" applyBorder="1" applyAlignment="1">
      <alignment horizontal="center"/>
    </xf>
    <xf numFmtId="9" fontId="3" fillId="0" borderId="0" xfId="6" applyFont="1"/>
    <xf numFmtId="0" fontId="0" fillId="0" borderId="0" xfId="0" applyNumberFormat="1"/>
    <xf numFmtId="0" fontId="0" fillId="0" borderId="0" xfId="0" pivotButton="1"/>
    <xf numFmtId="4" fontId="0" fillId="0" borderId="0" xfId="0" applyNumberFormat="1"/>
    <xf numFmtId="0" fontId="7" fillId="0" borderId="0" xfId="0" applyFont="1" applyProtection="1">
      <protection hidden="1"/>
    </xf>
    <xf numFmtId="0" fontId="8" fillId="0" borderId="0" xfId="0" applyFont="1" applyProtection="1">
      <protection hidden="1"/>
    </xf>
    <xf numFmtId="0" fontId="6" fillId="0" borderId="0" xfId="0" applyFont="1" applyProtection="1">
      <protection hidden="1"/>
    </xf>
    <xf numFmtId="14" fontId="6" fillId="0" borderId="0" xfId="0" applyNumberFormat="1" applyFont="1" applyProtection="1">
      <protection hidden="1"/>
    </xf>
    <xf numFmtId="0" fontId="5" fillId="3" borderId="13" xfId="0" applyFont="1" applyFill="1" applyBorder="1" applyAlignment="1" applyProtection="1">
      <alignment horizontal="center"/>
      <protection hidden="1"/>
    </xf>
    <xf numFmtId="14" fontId="6" fillId="0" borderId="13" xfId="0" applyNumberFormat="1" applyFont="1" applyBorder="1" applyProtection="1">
      <protection hidden="1"/>
    </xf>
    <xf numFmtId="190" fontId="6" fillId="0" borderId="13" xfId="0" applyNumberFormat="1" applyFont="1" applyBorder="1" applyProtection="1">
      <protection hidden="1"/>
    </xf>
    <xf numFmtId="0" fontId="9" fillId="0" borderId="0" xfId="0" applyFont="1" applyAlignment="1" applyProtection="1">
      <alignment vertical="center"/>
      <protection hidden="1"/>
    </xf>
    <xf numFmtId="0" fontId="10" fillId="0" borderId="0" xfId="0" applyFont="1" applyAlignment="1" applyProtection="1">
      <alignment vertical="center"/>
      <protection hidden="1"/>
    </xf>
    <xf numFmtId="0" fontId="9" fillId="0" borderId="31" xfId="0" applyFont="1" applyBorder="1" applyAlignment="1" applyProtection="1">
      <alignment vertical="center"/>
      <protection hidden="1"/>
    </xf>
    <xf numFmtId="0" fontId="10" fillId="0" borderId="32" xfId="0" applyFont="1" applyBorder="1" applyAlignment="1" applyProtection="1">
      <alignment vertical="center"/>
      <protection hidden="1"/>
    </xf>
    <xf numFmtId="0" fontId="10" fillId="0" borderId="33" xfId="0" applyFont="1" applyBorder="1" applyAlignment="1" applyProtection="1">
      <alignment vertical="center"/>
      <protection hidden="1"/>
    </xf>
    <xf numFmtId="0" fontId="9" fillId="0" borderId="34" xfId="0" applyFont="1" applyBorder="1" applyAlignment="1" applyProtection="1">
      <alignment vertical="center"/>
      <protection hidden="1"/>
    </xf>
    <xf numFmtId="0" fontId="9" fillId="0" borderId="0" xfId="0" applyFont="1" applyBorder="1" applyAlignment="1" applyProtection="1">
      <alignment vertical="center"/>
      <protection hidden="1"/>
    </xf>
    <xf numFmtId="0" fontId="9" fillId="0" borderId="35" xfId="0" applyFont="1" applyBorder="1" applyAlignment="1" applyProtection="1">
      <alignment vertical="center"/>
      <protection hidden="1"/>
    </xf>
    <xf numFmtId="0" fontId="10" fillId="0" borderId="34" xfId="0" applyFont="1" applyBorder="1" applyAlignment="1" applyProtection="1">
      <alignment vertical="center"/>
      <protection locked="0"/>
    </xf>
    <xf numFmtId="0" fontId="10" fillId="0" borderId="36" xfId="0" applyFont="1" applyBorder="1" applyAlignment="1" applyProtection="1">
      <alignment vertical="center"/>
      <protection hidden="1"/>
    </xf>
    <xf numFmtId="0" fontId="10" fillId="0" borderId="37" xfId="0" applyFont="1" applyBorder="1" applyAlignment="1" applyProtection="1">
      <alignment vertical="center"/>
      <protection hidden="1"/>
    </xf>
    <xf numFmtId="0" fontId="10" fillId="0" borderId="38" xfId="0" applyFont="1" applyBorder="1" applyAlignment="1" applyProtection="1">
      <alignment vertical="center"/>
      <protection hidden="1"/>
    </xf>
    <xf numFmtId="0" fontId="10" fillId="0" borderId="0" xfId="0" applyFont="1" applyBorder="1" applyAlignment="1" applyProtection="1">
      <alignment vertical="center"/>
      <protection hidden="1"/>
    </xf>
    <xf numFmtId="3" fontId="10" fillId="9" borderId="0" xfId="0" applyNumberFormat="1" applyFont="1" applyFill="1" applyAlignment="1" applyProtection="1">
      <alignment vertical="center"/>
      <protection hidden="1"/>
    </xf>
    <xf numFmtId="9" fontId="10" fillId="10" borderId="0" xfId="6" applyFont="1" applyFill="1" applyAlignment="1" applyProtection="1">
      <alignment vertical="center"/>
      <protection hidden="1"/>
    </xf>
    <xf numFmtId="3" fontId="10" fillId="3" borderId="0" xfId="0" applyNumberFormat="1" applyFont="1" applyFill="1" applyAlignment="1" applyProtection="1">
      <alignment vertical="center"/>
      <protection hidden="1"/>
    </xf>
    <xf numFmtId="9" fontId="10" fillId="11" borderId="0" xfId="6" applyFont="1" applyFill="1" applyAlignment="1" applyProtection="1">
      <alignment vertical="center"/>
      <protection hidden="1"/>
    </xf>
    <xf numFmtId="0" fontId="6" fillId="0" borderId="0" xfId="0" applyFont="1" applyAlignment="1">
      <alignment horizontal="center"/>
    </xf>
    <xf numFmtId="0" fontId="27" fillId="0" borderId="0" xfId="0" applyFont="1"/>
    <xf numFmtId="190" fontId="0" fillId="0" borderId="0" xfId="0" applyNumberFormat="1"/>
    <xf numFmtId="14" fontId="3" fillId="0" borderId="42" xfId="0" applyNumberFormat="1" applyFont="1" applyBorder="1"/>
    <xf numFmtId="0" fontId="3" fillId="0" borderId="42" xfId="0" applyFont="1" applyBorder="1" applyAlignment="1">
      <alignment horizontal="center"/>
    </xf>
    <xf numFmtId="0" fontId="3" fillId="0" borderId="42" xfId="0" applyFont="1" applyBorder="1"/>
    <xf numFmtId="14" fontId="3" fillId="0" borderId="43" xfId="0" applyNumberFormat="1" applyFont="1" applyBorder="1"/>
    <xf numFmtId="0" fontId="3" fillId="0" borderId="43" xfId="0" applyFont="1" applyBorder="1" applyAlignment="1">
      <alignment horizontal="center"/>
    </xf>
    <xf numFmtId="0" fontId="3" fillId="0" borderId="43" xfId="0" applyFont="1" applyBorder="1"/>
    <xf numFmtId="0" fontId="3" fillId="0" borderId="44" xfId="0" applyFont="1" applyBorder="1" applyAlignment="1">
      <alignment horizontal="center"/>
    </xf>
    <xf numFmtId="0" fontId="3" fillId="0" borderId="44" xfId="0" applyFont="1" applyBorder="1"/>
    <xf numFmtId="14" fontId="2" fillId="3" borderId="15" xfId="0" applyNumberFormat="1" applyFont="1" applyFill="1" applyBorder="1"/>
    <xf numFmtId="4" fontId="3" fillId="3" borderId="15" xfId="0" applyNumberFormat="1" applyFont="1" applyFill="1" applyBorder="1" applyAlignment="1">
      <alignment horizontal="center"/>
    </xf>
    <xf numFmtId="14" fontId="2" fillId="3" borderId="13" xfId="0" applyNumberFormat="1" applyFont="1" applyFill="1" applyBorder="1"/>
    <xf numFmtId="2" fontId="3" fillId="3" borderId="13" xfId="0" applyNumberFormat="1" applyFont="1" applyFill="1" applyBorder="1" applyAlignment="1">
      <alignment horizontal="center"/>
    </xf>
    <xf numFmtId="43" fontId="3" fillId="3" borderId="13" xfId="1" applyFont="1" applyFill="1" applyBorder="1" applyAlignment="1"/>
    <xf numFmtId="0" fontId="3" fillId="3" borderId="13" xfId="0" applyFont="1" applyFill="1" applyBorder="1" applyAlignment="1">
      <alignment horizontal="center"/>
    </xf>
    <xf numFmtId="4" fontId="3" fillId="3" borderId="13" xfId="0" applyNumberFormat="1" applyFont="1" applyFill="1" applyBorder="1" applyAlignment="1">
      <alignment horizontal="right"/>
    </xf>
    <xf numFmtId="0" fontId="2" fillId="11" borderId="2" xfId="0" applyFont="1" applyFill="1" applyBorder="1" applyAlignment="1">
      <alignment horizontal="center"/>
    </xf>
    <xf numFmtId="0" fontId="2" fillId="11" borderId="13" xfId="0" applyFont="1" applyFill="1" applyBorder="1" applyAlignment="1">
      <alignment horizontal="center"/>
    </xf>
    <xf numFmtId="0" fontId="2" fillId="11" borderId="15" xfId="0" applyFont="1" applyFill="1" applyBorder="1" applyAlignment="1">
      <alignment horizontal="center"/>
    </xf>
    <xf numFmtId="0" fontId="28" fillId="0" borderId="0" xfId="0" applyFont="1" applyAlignment="1">
      <alignment horizontal="center" vertical="center"/>
    </xf>
    <xf numFmtId="0" fontId="2" fillId="11" borderId="13" xfId="0" applyFont="1" applyFill="1" applyBorder="1" applyAlignment="1">
      <alignment horizontal="center"/>
    </xf>
    <xf numFmtId="0" fontId="5" fillId="11" borderId="2" xfId="0" applyFont="1" applyFill="1" applyBorder="1" applyAlignment="1">
      <alignment horizontal="center"/>
    </xf>
    <xf numFmtId="0" fontId="5" fillId="11" borderId="14" xfId="0" applyFont="1" applyFill="1" applyBorder="1" applyAlignment="1">
      <alignment horizontal="center"/>
    </xf>
    <xf numFmtId="0" fontId="6" fillId="0" borderId="42" xfId="0" applyFont="1" applyBorder="1"/>
    <xf numFmtId="0" fontId="6" fillId="12" borderId="42" xfId="0" applyFont="1" applyFill="1" applyBorder="1" applyAlignment="1">
      <alignment horizontal="center"/>
    </xf>
    <xf numFmtId="0" fontId="6" fillId="0" borderId="44" xfId="0" applyFont="1" applyBorder="1"/>
    <xf numFmtId="0" fontId="6" fillId="0" borderId="13" xfId="0" applyFont="1" applyBorder="1"/>
    <xf numFmtId="0" fontId="5" fillId="0" borderId="13" xfId="0" applyFont="1" applyBorder="1" applyAlignment="1">
      <alignment horizontal="center"/>
    </xf>
    <xf numFmtId="0" fontId="28" fillId="0" borderId="0" xfId="0" applyFont="1" applyAlignment="1">
      <alignment horizontal="center"/>
    </xf>
    <xf numFmtId="0" fontId="28" fillId="0" borderId="0" xfId="0" applyFont="1"/>
    <xf numFmtId="0" fontId="7" fillId="0" borderId="0" xfId="0" applyFont="1"/>
    <xf numFmtId="0" fontId="31" fillId="0" borderId="0" xfId="0" applyFont="1" applyProtection="1">
      <protection hidden="1"/>
    </xf>
    <xf numFmtId="0" fontId="31" fillId="0" borderId="0" xfId="0" applyFont="1"/>
    <xf numFmtId="0" fontId="32" fillId="14" borderId="0" xfId="0" applyFont="1" applyFill="1"/>
    <xf numFmtId="0" fontId="33" fillId="13" borderId="0" xfId="7" applyFont="1" applyProtection="1">
      <protection locked="0"/>
    </xf>
    <xf numFmtId="191" fontId="31" fillId="0" borderId="0" xfId="0" applyNumberFormat="1" applyFont="1"/>
    <xf numFmtId="0" fontId="31" fillId="0" borderId="0" xfId="0" applyFont="1" applyAlignment="1" applyProtection="1">
      <alignment horizontal="right"/>
      <protection hidden="1"/>
    </xf>
    <xf numFmtId="191" fontId="31" fillId="0" borderId="0" xfId="0" applyNumberFormat="1" applyFont="1" applyAlignment="1" applyProtection="1">
      <alignment horizontal="center"/>
      <protection hidden="1"/>
    </xf>
    <xf numFmtId="0" fontId="32" fillId="0" borderId="6" xfId="0" applyFont="1" applyBorder="1" applyProtection="1">
      <protection hidden="1"/>
    </xf>
    <xf numFmtId="0" fontId="31" fillId="0" borderId="7" xfId="0" applyFont="1" applyBorder="1" applyProtection="1">
      <protection hidden="1"/>
    </xf>
    <xf numFmtId="0" fontId="32" fillId="0" borderId="7" xfId="0" applyFont="1" applyBorder="1" applyProtection="1">
      <protection hidden="1"/>
    </xf>
    <xf numFmtId="0" fontId="32" fillId="0" borderId="9" xfId="0" applyFont="1" applyBorder="1" applyProtection="1">
      <protection hidden="1"/>
    </xf>
    <xf numFmtId="0" fontId="32" fillId="0" borderId="0" xfId="0" applyFont="1" applyBorder="1" applyProtection="1">
      <protection hidden="1"/>
    </xf>
    <xf numFmtId="0" fontId="31" fillId="0" borderId="0" xfId="0" applyFont="1" applyBorder="1" applyProtection="1">
      <protection hidden="1"/>
    </xf>
    <xf numFmtId="0" fontId="31" fillId="0" borderId="10" xfId="0" applyFont="1" applyBorder="1" applyProtection="1">
      <protection hidden="1"/>
    </xf>
    <xf numFmtId="0" fontId="31" fillId="0" borderId="9" xfId="0" applyFont="1" applyBorder="1" applyProtection="1">
      <protection hidden="1"/>
    </xf>
    <xf numFmtId="0" fontId="31" fillId="0" borderId="11" xfId="0" applyFont="1" applyBorder="1" applyProtection="1">
      <protection hidden="1"/>
    </xf>
    <xf numFmtId="0" fontId="31" fillId="0" borderId="1" xfId="0" applyFont="1" applyBorder="1" applyProtection="1">
      <protection hidden="1"/>
    </xf>
    <xf numFmtId="0" fontId="31" fillId="0" borderId="12" xfId="0" applyFont="1" applyBorder="1" applyProtection="1">
      <protection hidden="1"/>
    </xf>
    <xf numFmtId="0" fontId="32" fillId="0" borderId="2" xfId="0" applyFont="1" applyBorder="1" applyAlignment="1" applyProtection="1">
      <alignment horizontal="center"/>
      <protection hidden="1"/>
    </xf>
    <xf numFmtId="0" fontId="31" fillId="0" borderId="15" xfId="0" applyFont="1" applyBorder="1" applyAlignment="1" applyProtection="1">
      <alignment horizontal="center"/>
      <protection hidden="1"/>
    </xf>
    <xf numFmtId="0" fontId="31" fillId="0" borderId="2" xfId="0" applyFont="1" applyBorder="1" applyAlignment="1" applyProtection="1">
      <alignment horizontal="center"/>
      <protection hidden="1"/>
    </xf>
    <xf numFmtId="0" fontId="31" fillId="0" borderId="14" xfId="0" applyFont="1" applyBorder="1" applyAlignment="1" applyProtection="1">
      <alignment horizontal="center"/>
      <protection hidden="1"/>
    </xf>
    <xf numFmtId="0" fontId="31" fillId="0" borderId="6" xfId="0" applyFont="1" applyBorder="1" applyAlignment="1" applyProtection="1">
      <alignment vertical="top"/>
      <protection hidden="1"/>
    </xf>
    <xf numFmtId="0" fontId="31" fillId="0" borderId="7" xfId="0" applyFont="1" applyBorder="1" applyAlignment="1" applyProtection="1">
      <alignment vertical="top"/>
      <protection hidden="1"/>
    </xf>
    <xf numFmtId="0" fontId="31" fillId="0" borderId="8" xfId="0" applyFont="1" applyBorder="1" applyAlignment="1" applyProtection="1">
      <alignment vertical="top"/>
      <protection hidden="1"/>
    </xf>
    <xf numFmtId="0" fontId="31" fillId="0" borderId="0" xfId="0" applyFont="1" applyAlignment="1">
      <alignment horizontal="center"/>
    </xf>
    <xf numFmtId="0" fontId="31" fillId="0" borderId="9" xfId="0" applyFont="1" applyBorder="1" applyAlignment="1" applyProtection="1">
      <alignment horizontal="left"/>
      <protection hidden="1"/>
    </xf>
    <xf numFmtId="0" fontId="31" fillId="0" borderId="0" xfId="0" applyFont="1" applyBorder="1" applyAlignment="1" applyProtection="1">
      <alignment horizontal="left"/>
      <protection hidden="1"/>
    </xf>
    <xf numFmtId="0" fontId="31" fillId="0" borderId="10" xfId="0" applyFont="1" applyBorder="1" applyAlignment="1" applyProtection="1">
      <alignment horizontal="left"/>
      <protection hidden="1"/>
    </xf>
    <xf numFmtId="9" fontId="31" fillId="2" borderId="28" xfId="5" applyNumberFormat="1" applyFont="1" applyAlignment="1" applyProtection="1">
      <alignment horizontal="center"/>
      <protection locked="0"/>
    </xf>
    <xf numFmtId="0" fontId="31" fillId="0" borderId="11" xfId="0" applyFont="1" applyBorder="1" applyAlignment="1" applyProtection="1">
      <alignment horizontal="left" vertical="top"/>
      <protection hidden="1"/>
    </xf>
    <xf numFmtId="0" fontId="31" fillId="0" borderId="1" xfId="0" applyFont="1" applyBorder="1" applyAlignment="1" applyProtection="1">
      <alignment horizontal="left" vertical="top"/>
      <protection hidden="1"/>
    </xf>
    <xf numFmtId="0" fontId="31" fillId="0" borderId="12" xfId="0" applyFont="1" applyBorder="1" applyAlignment="1" applyProtection="1">
      <alignment horizontal="left" vertical="top"/>
      <protection hidden="1"/>
    </xf>
    <xf numFmtId="0" fontId="31" fillId="0" borderId="11" xfId="0" applyFont="1" applyBorder="1" applyAlignment="1" applyProtection="1">
      <protection hidden="1"/>
    </xf>
    <xf numFmtId="0" fontId="31" fillId="0" borderId="1" xfId="0" applyFont="1" applyBorder="1" applyAlignment="1" applyProtection="1">
      <protection hidden="1"/>
    </xf>
    <xf numFmtId="0" fontId="38" fillId="0" borderId="0" xfId="8" applyFont="1"/>
    <xf numFmtId="0" fontId="38" fillId="0" borderId="0" xfId="8" applyFont="1" applyAlignment="1" applyProtection="1">
      <alignment vertical="center"/>
      <protection hidden="1"/>
    </xf>
    <xf numFmtId="0" fontId="41" fillId="0" borderId="0" xfId="8" applyFont="1" applyAlignment="1" applyProtection="1">
      <alignment vertical="center"/>
      <protection hidden="1"/>
    </xf>
    <xf numFmtId="192" fontId="38" fillId="0" borderId="0" xfId="10" applyNumberFormat="1" applyFont="1"/>
    <xf numFmtId="0" fontId="38" fillId="0" borderId="0" xfId="8" applyFont="1" applyProtection="1">
      <protection hidden="1"/>
    </xf>
    <xf numFmtId="0" fontId="38" fillId="0" borderId="0" xfId="8" applyFont="1" applyAlignment="1" applyProtection="1">
      <alignment horizontal="right"/>
      <protection hidden="1"/>
    </xf>
    <xf numFmtId="0" fontId="38" fillId="0" borderId="6" xfId="8" applyFont="1" applyBorder="1" applyProtection="1">
      <protection hidden="1"/>
    </xf>
    <xf numFmtId="0" fontId="40" fillId="0" borderId="7" xfId="8" applyFont="1" applyBorder="1" applyProtection="1">
      <protection hidden="1"/>
    </xf>
    <xf numFmtId="0" fontId="38" fillId="0" borderId="7" xfId="8" applyFont="1" applyBorder="1" applyProtection="1">
      <protection hidden="1"/>
    </xf>
    <xf numFmtId="0" fontId="38" fillId="0" borderId="8" xfId="8" applyFont="1" applyBorder="1" applyProtection="1">
      <protection hidden="1"/>
    </xf>
    <xf numFmtId="0" fontId="38" fillId="0" borderId="9" xfId="8" applyFont="1" applyBorder="1" applyProtection="1">
      <protection hidden="1"/>
    </xf>
    <xf numFmtId="0" fontId="40" fillId="0" borderId="0" xfId="8" applyFont="1" applyBorder="1" applyProtection="1">
      <protection hidden="1"/>
    </xf>
    <xf numFmtId="0" fontId="38" fillId="0" borderId="0" xfId="8" applyFont="1" applyBorder="1" applyProtection="1">
      <protection hidden="1"/>
    </xf>
    <xf numFmtId="0" fontId="38" fillId="0" borderId="10" xfId="8" applyFont="1" applyBorder="1" applyProtection="1">
      <protection hidden="1"/>
    </xf>
    <xf numFmtId="0" fontId="38" fillId="0" borderId="11" xfId="8" applyFont="1" applyBorder="1" applyProtection="1">
      <protection hidden="1"/>
    </xf>
    <xf numFmtId="0" fontId="38" fillId="0" borderId="1" xfId="8" applyFont="1" applyBorder="1" applyProtection="1">
      <protection hidden="1"/>
    </xf>
    <xf numFmtId="0" fontId="38" fillId="0" borderId="12" xfId="8" applyFont="1" applyBorder="1" applyProtection="1">
      <protection hidden="1"/>
    </xf>
    <xf numFmtId="0" fontId="38" fillId="0" borderId="6" xfId="8" applyFont="1" applyBorder="1" applyAlignment="1" applyProtection="1">
      <alignment horizontal="center"/>
      <protection hidden="1"/>
    </xf>
    <xf numFmtId="0" fontId="38" fillId="0" borderId="7" xfId="8" applyFont="1" applyBorder="1" applyAlignment="1" applyProtection="1">
      <alignment horizontal="center"/>
      <protection hidden="1"/>
    </xf>
    <xf numFmtId="0" fontId="38" fillId="0" borderId="8" xfId="8" applyFont="1" applyBorder="1" applyAlignment="1" applyProtection="1">
      <alignment horizontal="center"/>
      <protection hidden="1"/>
    </xf>
    <xf numFmtId="4" fontId="38" fillId="0" borderId="6" xfId="8" applyNumberFormat="1" applyFont="1" applyBorder="1" applyAlignment="1" applyProtection="1">
      <alignment horizontal="center"/>
      <protection hidden="1"/>
    </xf>
    <xf numFmtId="4" fontId="38" fillId="0" borderId="8" xfId="8" applyNumberFormat="1" applyFont="1" applyBorder="1" applyAlignment="1" applyProtection="1">
      <alignment horizontal="center"/>
      <protection hidden="1"/>
    </xf>
    <xf numFmtId="0" fontId="38" fillId="0" borderId="9" xfId="8" applyFont="1" applyBorder="1" applyAlignment="1" applyProtection="1">
      <alignment horizontal="center"/>
      <protection hidden="1"/>
    </xf>
    <xf numFmtId="0" fontId="38" fillId="0" borderId="0" xfId="8" applyFont="1" applyBorder="1" applyAlignment="1" applyProtection="1">
      <alignment horizontal="center"/>
      <protection hidden="1"/>
    </xf>
    <xf numFmtId="0" fontId="38" fillId="0" borderId="10" xfId="8" applyFont="1" applyBorder="1" applyAlignment="1" applyProtection="1">
      <alignment horizontal="center"/>
      <protection hidden="1"/>
    </xf>
    <xf numFmtId="4" fontId="38" fillId="0" borderId="9" xfId="8" applyNumberFormat="1" applyFont="1" applyBorder="1" applyAlignment="1" applyProtection="1">
      <alignment horizontal="center"/>
      <protection hidden="1"/>
    </xf>
    <xf numFmtId="4" fontId="38" fillId="0" borderId="10" xfId="8" applyNumberFormat="1" applyFont="1" applyBorder="1" applyAlignment="1" applyProtection="1">
      <alignment horizontal="center"/>
      <protection hidden="1"/>
    </xf>
    <xf numFmtId="0" fontId="39" fillId="0" borderId="9" xfId="8" applyFont="1" applyBorder="1" applyProtection="1">
      <protection hidden="1"/>
    </xf>
    <xf numFmtId="0" fontId="39" fillId="0" borderId="0" xfId="8" applyFont="1" applyBorder="1" applyProtection="1">
      <protection hidden="1"/>
    </xf>
    <xf numFmtId="0" fontId="39" fillId="0" borderId="10" xfId="8" applyFont="1" applyBorder="1" applyProtection="1">
      <protection hidden="1"/>
    </xf>
    <xf numFmtId="4" fontId="39" fillId="0" borderId="9" xfId="8" applyNumberFormat="1" applyFont="1" applyBorder="1" applyProtection="1">
      <protection hidden="1"/>
    </xf>
    <xf numFmtId="4" fontId="39" fillId="0" borderId="10" xfId="8" applyNumberFormat="1" applyFont="1" applyBorder="1" applyProtection="1">
      <protection hidden="1"/>
    </xf>
    <xf numFmtId="4" fontId="38" fillId="0" borderId="9" xfId="8" applyNumberFormat="1" applyFont="1" applyBorder="1" applyProtection="1">
      <protection hidden="1"/>
    </xf>
    <xf numFmtId="4" fontId="38" fillId="0" borderId="10" xfId="8" applyNumberFormat="1" applyFont="1" applyBorder="1" applyProtection="1">
      <protection hidden="1"/>
    </xf>
    <xf numFmtId="0" fontId="39" fillId="0" borderId="9" xfId="8" applyFont="1" applyBorder="1" applyAlignment="1" applyProtection="1">
      <alignment horizontal="left"/>
      <protection hidden="1"/>
    </xf>
    <xf numFmtId="0" fontId="38" fillId="0" borderId="0" xfId="8" applyFont="1" applyBorder="1" applyAlignment="1" applyProtection="1">
      <alignment horizontal="right"/>
      <protection hidden="1"/>
    </xf>
    <xf numFmtId="2" fontId="38" fillId="0" borderId="9" xfId="8" applyNumberFormat="1" applyFont="1" applyBorder="1" applyAlignment="1" applyProtection="1">
      <alignment horizontal="center"/>
      <protection hidden="1"/>
    </xf>
    <xf numFmtId="0" fontId="38" fillId="0" borderId="6" xfId="8" applyFont="1" applyBorder="1" applyAlignment="1" applyProtection="1">
      <alignment vertical="center"/>
      <protection hidden="1"/>
    </xf>
    <xf numFmtId="0" fontId="38" fillId="0" borderId="7" xfId="8" applyFont="1" applyBorder="1" applyAlignment="1" applyProtection="1">
      <alignment vertical="center"/>
      <protection hidden="1"/>
    </xf>
    <xf numFmtId="0" fontId="39" fillId="0" borderId="0" xfId="8" applyFont="1" applyProtection="1">
      <protection hidden="1"/>
    </xf>
    <xf numFmtId="9" fontId="38" fillId="0" borderId="5" xfId="9" applyFont="1" applyBorder="1" applyAlignment="1" applyProtection="1">
      <alignment vertical="center"/>
      <protection locked="0"/>
    </xf>
    <xf numFmtId="14" fontId="6" fillId="2" borderId="28" xfId="5" applyNumberFormat="1" applyFont="1" applyProtection="1">
      <protection hidden="1"/>
    </xf>
    <xf numFmtId="14" fontId="38" fillId="0" borderId="0" xfId="8" applyNumberFormat="1" applyFont="1"/>
    <xf numFmtId="0" fontId="38" fillId="0" borderId="0" xfId="8" applyFont="1" applyAlignment="1">
      <alignment horizontal="center"/>
    </xf>
    <xf numFmtId="0" fontId="45" fillId="0" borderId="0" xfId="2" applyFont="1" applyAlignment="1">
      <alignment horizontal="center"/>
    </xf>
    <xf numFmtId="0" fontId="43" fillId="0" borderId="0" xfId="8" applyFont="1"/>
    <xf numFmtId="192" fontId="43" fillId="0" borderId="0" xfId="10" applyNumberFormat="1" applyFont="1"/>
    <xf numFmtId="0" fontId="44" fillId="0" borderId="0" xfId="0" applyFont="1" applyAlignment="1">
      <alignment horizontal="center"/>
    </xf>
    <xf numFmtId="187" fontId="2" fillId="3" borderId="13" xfId="0" applyNumberFormat="1" applyFont="1" applyFill="1" applyBorder="1" applyAlignment="1">
      <alignment horizontal="center"/>
    </xf>
    <xf numFmtId="0" fontId="2" fillId="3" borderId="13" xfId="0" applyFont="1" applyFill="1" applyBorder="1" applyAlignment="1">
      <alignment horizontal="center"/>
    </xf>
    <xf numFmtId="0" fontId="3" fillId="0" borderId="13" xfId="0" applyFont="1" applyBorder="1"/>
    <xf numFmtId="0" fontId="3" fillId="0" borderId="13" xfId="0" applyFont="1" applyBorder="1" applyAlignment="1">
      <alignment horizontal="center"/>
    </xf>
    <xf numFmtId="187" fontId="3" fillId="0" borderId="13" xfId="0" applyNumberFormat="1" applyFont="1" applyBorder="1"/>
    <xf numFmtId="9" fontId="3" fillId="0" borderId="13" xfId="6" applyFont="1" applyBorder="1"/>
    <xf numFmtId="0" fontId="2" fillId="17" borderId="13" xfId="0" applyFont="1" applyFill="1" applyBorder="1" applyAlignment="1">
      <alignment horizontal="center"/>
    </xf>
    <xf numFmtId="187" fontId="2" fillId="17" borderId="13" xfId="0" applyNumberFormat="1" applyFont="1" applyFill="1" applyBorder="1" applyAlignment="1">
      <alignment horizontal="center"/>
    </xf>
    <xf numFmtId="9" fontId="2" fillId="17" borderId="13" xfId="6" applyFont="1" applyFill="1" applyBorder="1" applyAlignment="1">
      <alignment horizontal="center"/>
    </xf>
    <xf numFmtId="0" fontId="40" fillId="16" borderId="13" xfId="8" applyFont="1" applyFill="1" applyBorder="1" applyAlignment="1">
      <alignment horizontal="center"/>
    </xf>
    <xf numFmtId="14" fontId="40" fillId="16" borderId="13" xfId="8" applyNumberFormat="1" applyFont="1" applyFill="1" applyBorder="1" applyAlignment="1">
      <alignment horizontal="center"/>
    </xf>
    <xf numFmtId="192" fontId="40" fillId="17" borderId="13" xfId="10" applyNumberFormat="1" applyFont="1" applyFill="1" applyBorder="1" applyAlignment="1">
      <alignment horizontal="center"/>
    </xf>
    <xf numFmtId="14" fontId="43" fillId="0" borderId="13" xfId="8" applyNumberFormat="1" applyFont="1" applyBorder="1"/>
    <xf numFmtId="0" fontId="42" fillId="0" borderId="13" xfId="0" applyFont="1" applyBorder="1" applyAlignment="1">
      <alignment horizontal="center"/>
    </xf>
    <xf numFmtId="0" fontId="43" fillId="0" borderId="13" xfId="8" applyFont="1" applyBorder="1"/>
    <xf numFmtId="192" fontId="43" fillId="0" borderId="13" xfId="10" applyNumberFormat="1" applyFont="1" applyBorder="1"/>
    <xf numFmtId="0" fontId="44" fillId="0" borderId="13" xfId="0" applyFont="1" applyBorder="1"/>
    <xf numFmtId="0" fontId="44" fillId="0" borderId="13" xfId="0" applyFont="1" applyBorder="1" applyAlignment="1">
      <alignment horizontal="center"/>
    </xf>
    <xf numFmtId="0" fontId="38" fillId="0" borderId="13" xfId="8" applyFont="1" applyBorder="1"/>
    <xf numFmtId="14" fontId="38" fillId="0" borderId="13" xfId="8" applyNumberFormat="1" applyFont="1" applyBorder="1"/>
    <xf numFmtId="2" fontId="38" fillId="0" borderId="9" xfId="8" applyNumberFormat="1" applyFont="1" applyBorder="1" applyAlignment="1" applyProtection="1">
      <alignment horizontal="center"/>
      <protection hidden="1"/>
    </xf>
    <xf numFmtId="0" fontId="38" fillId="0" borderId="10" xfId="8" applyFont="1" applyBorder="1" applyAlignment="1" applyProtection="1">
      <alignment horizontal="center"/>
      <protection hidden="1"/>
    </xf>
    <xf numFmtId="0" fontId="38" fillId="0" borderId="9" xfId="8" applyFont="1" applyBorder="1" applyAlignment="1" applyProtection="1">
      <alignment horizontal="center"/>
      <protection hidden="1"/>
    </xf>
    <xf numFmtId="0" fontId="38" fillId="0" borderId="0" xfId="8" applyFont="1" applyBorder="1" applyAlignment="1" applyProtection="1">
      <alignment horizontal="center"/>
      <protection hidden="1"/>
    </xf>
    <xf numFmtId="0" fontId="38" fillId="0" borderId="0" xfId="8" applyFont="1" applyBorder="1" applyAlignment="1" applyProtection="1">
      <alignment horizontal="right"/>
      <protection hidden="1"/>
    </xf>
    <xf numFmtId="4" fontId="38" fillId="0" borderId="9" xfId="8" applyNumberFormat="1" applyFont="1" applyBorder="1" applyAlignment="1" applyProtection="1">
      <alignment horizontal="center"/>
      <protection hidden="1"/>
    </xf>
    <xf numFmtId="4" fontId="38" fillId="0" borderId="10" xfId="8" applyNumberFormat="1" applyFont="1" applyBorder="1" applyAlignment="1" applyProtection="1">
      <alignment horizontal="center"/>
      <protection hidden="1"/>
    </xf>
    <xf numFmtId="0" fontId="39" fillId="0" borderId="9" xfId="8" applyFont="1" applyBorder="1" applyAlignment="1" applyProtection="1">
      <alignment horizontal="left"/>
      <protection hidden="1"/>
    </xf>
    <xf numFmtId="0" fontId="38" fillId="0" borderId="6" xfId="8" applyFont="1" applyBorder="1" applyAlignment="1" applyProtection="1">
      <alignment horizontal="center"/>
      <protection hidden="1"/>
    </xf>
    <xf numFmtId="0" fontId="38" fillId="0" borderId="7" xfId="8" applyFont="1" applyBorder="1" applyAlignment="1" applyProtection="1">
      <alignment horizontal="center"/>
      <protection hidden="1"/>
    </xf>
    <xf numFmtId="0" fontId="38" fillId="0" borderId="8" xfId="8" applyFont="1" applyBorder="1" applyAlignment="1" applyProtection="1">
      <alignment horizontal="center"/>
      <protection hidden="1"/>
    </xf>
    <xf numFmtId="14" fontId="44" fillId="0" borderId="13" xfId="0" applyNumberFormat="1" applyFont="1" applyBorder="1"/>
    <xf numFmtId="14" fontId="44" fillId="0" borderId="0" xfId="0" applyNumberFormat="1" applyFont="1"/>
    <xf numFmtId="0" fontId="46" fillId="18" borderId="45" xfId="0" applyFont="1" applyFill="1" applyBorder="1"/>
    <xf numFmtId="0" fontId="46" fillId="18" borderId="0" xfId="0" applyFont="1" applyFill="1" applyBorder="1" applyAlignment="1">
      <alignment horizontal="center"/>
    </xf>
    <xf numFmtId="1" fontId="38" fillId="0" borderId="13" xfId="8" applyNumberFormat="1" applyFont="1" applyBorder="1" applyAlignment="1">
      <alignment horizontal="left"/>
    </xf>
    <xf numFmtId="1" fontId="40" fillId="16" borderId="13" xfId="8" applyNumberFormat="1" applyFont="1" applyFill="1" applyBorder="1" applyAlignment="1">
      <alignment horizontal="left"/>
    </xf>
    <xf numFmtId="1" fontId="43" fillId="0" borderId="13" xfId="8" applyNumberFormat="1" applyFont="1" applyBorder="1" applyAlignment="1">
      <alignment horizontal="left"/>
    </xf>
    <xf numFmtId="1" fontId="38" fillId="0" borderId="0" xfId="8" applyNumberFormat="1" applyFont="1" applyAlignment="1">
      <alignment horizontal="left"/>
    </xf>
    <xf numFmtId="0" fontId="40" fillId="16" borderId="13" xfId="8" applyFont="1" applyFill="1" applyBorder="1" applyAlignment="1"/>
    <xf numFmtId="0" fontId="38" fillId="0" borderId="13" xfId="8" quotePrefix="1" applyFont="1" applyBorder="1" applyAlignment="1"/>
    <xf numFmtId="0" fontId="43" fillId="0" borderId="13" xfId="8" applyFont="1" applyBorder="1" applyAlignment="1"/>
    <xf numFmtId="0" fontId="38" fillId="0" borderId="13" xfId="8" applyFont="1" applyBorder="1" applyAlignment="1"/>
    <xf numFmtId="0" fontId="38" fillId="0" borderId="0" xfId="8" applyFont="1" applyAlignment="1"/>
    <xf numFmtId="0" fontId="3" fillId="19" borderId="13" xfId="0" applyFont="1" applyFill="1" applyBorder="1"/>
    <xf numFmtId="2" fontId="3" fillId="0" borderId="43" xfId="0" applyNumberFormat="1" applyFont="1" applyBorder="1" applyAlignment="1">
      <alignment horizontal="center"/>
    </xf>
    <xf numFmtId="2" fontId="3" fillId="0" borderId="42" xfId="0" applyNumberFormat="1" applyFont="1" applyBorder="1" applyAlignment="1">
      <alignment horizontal="center"/>
    </xf>
    <xf numFmtId="2" fontId="3" fillId="0" borderId="44" xfId="0" applyNumberFormat="1" applyFont="1" applyBorder="1" applyAlignment="1">
      <alignment horizontal="center"/>
    </xf>
    <xf numFmtId="0" fontId="38" fillId="0" borderId="13" xfId="8" quotePrefix="1" applyFont="1" applyBorder="1"/>
    <xf numFmtId="0" fontId="2" fillId="11" borderId="13" xfId="0" applyFont="1" applyFill="1" applyBorder="1" applyAlignment="1">
      <alignment horizontal="center"/>
    </xf>
    <xf numFmtId="2" fontId="3" fillId="0" borderId="46" xfId="0" applyNumberFormat="1" applyFont="1" applyBorder="1" applyAlignment="1">
      <alignment horizontal="center"/>
    </xf>
    <xf numFmtId="2" fontId="47" fillId="0" borderId="9" xfId="8" applyNumberFormat="1" applyFont="1" applyBorder="1" applyAlignment="1" applyProtection="1">
      <alignment horizontal="center"/>
      <protection hidden="1"/>
    </xf>
    <xf numFmtId="0" fontId="47" fillId="0" borderId="10" xfId="8" applyFont="1" applyBorder="1" applyAlignment="1" applyProtection="1">
      <alignment horizontal="center"/>
      <protection hidden="1"/>
    </xf>
    <xf numFmtId="0" fontId="47" fillId="0" borderId="0" xfId="8" applyFont="1" applyProtection="1">
      <protection hidden="1"/>
    </xf>
    <xf numFmtId="0" fontId="47" fillId="0" borderId="9" xfId="8" applyFont="1" applyBorder="1" applyAlignment="1" applyProtection="1">
      <alignment horizontal="right"/>
      <protection hidden="1"/>
    </xf>
    <xf numFmtId="0" fontId="47" fillId="0" borderId="0" xfId="8" applyFont="1" applyBorder="1" applyAlignment="1" applyProtection="1">
      <alignment horizontal="right"/>
      <protection hidden="1"/>
    </xf>
    <xf numFmtId="3" fontId="28" fillId="0" borderId="0" xfId="0" applyNumberFormat="1" applyFont="1" applyAlignment="1">
      <alignment horizontal="center"/>
    </xf>
    <xf numFmtId="3" fontId="3" fillId="0" borderId="0" xfId="0" applyNumberFormat="1" applyFont="1" applyAlignment="1">
      <alignment horizontal="center"/>
    </xf>
    <xf numFmtId="3" fontId="2" fillId="11" borderId="13" xfId="0" applyNumberFormat="1" applyFont="1" applyFill="1" applyBorder="1" applyAlignment="1">
      <alignment horizontal="center"/>
    </xf>
    <xf numFmtId="3" fontId="3" fillId="0" borderId="42" xfId="0" applyNumberFormat="1" applyFont="1" applyBorder="1" applyAlignment="1">
      <alignment horizontal="center"/>
    </xf>
    <xf numFmtId="3" fontId="3" fillId="0" borderId="43" xfId="0" applyNumberFormat="1" applyFont="1" applyBorder="1" applyAlignment="1">
      <alignment horizontal="center"/>
    </xf>
    <xf numFmtId="3" fontId="3" fillId="0" borderId="44" xfId="0" applyNumberFormat="1" applyFont="1" applyBorder="1" applyAlignment="1">
      <alignment horizontal="center"/>
    </xf>
    <xf numFmtId="3" fontId="3" fillId="3" borderId="15" xfId="0" applyNumberFormat="1" applyFont="1" applyFill="1" applyBorder="1" applyAlignment="1">
      <alignment horizontal="center"/>
    </xf>
    <xf numFmtId="3" fontId="3" fillId="3" borderId="13" xfId="1" applyNumberFormat="1" applyFont="1" applyFill="1" applyBorder="1" applyAlignment="1"/>
    <xf numFmtId="3" fontId="3" fillId="3" borderId="13" xfId="0" applyNumberFormat="1" applyFont="1" applyFill="1" applyBorder="1" applyAlignment="1">
      <alignment horizontal="center"/>
    </xf>
    <xf numFmtId="3" fontId="3" fillId="3" borderId="13" xfId="0" applyNumberFormat="1" applyFont="1" applyFill="1" applyBorder="1" applyAlignment="1">
      <alignment horizontal="right"/>
    </xf>
    <xf numFmtId="3" fontId="28" fillId="0" borderId="0" xfId="0" applyNumberFormat="1" applyFont="1" applyAlignment="1">
      <alignment horizontal="center" vertical="center"/>
    </xf>
    <xf numFmtId="0" fontId="38" fillId="14" borderId="13" xfId="8" applyFont="1" applyFill="1" applyBorder="1"/>
    <xf numFmtId="14" fontId="0" fillId="0" borderId="0" xfId="0" applyNumberFormat="1"/>
    <xf numFmtId="0" fontId="38" fillId="19" borderId="13" xfId="8" quotePrefix="1" applyFont="1" applyFill="1" applyBorder="1"/>
    <xf numFmtId="0" fontId="38" fillId="19" borderId="13" xfId="8" applyFont="1" applyFill="1" applyBorder="1"/>
    <xf numFmtId="0" fontId="48" fillId="0" borderId="13" xfId="0" applyFont="1" applyBorder="1"/>
    <xf numFmtId="14" fontId="3" fillId="0" borderId="0" xfId="0" applyNumberFormat="1" applyFont="1" applyAlignment="1" applyProtection="1">
      <alignment horizontal="left" vertical="center"/>
      <protection hidden="1"/>
    </xf>
    <xf numFmtId="1" fontId="3" fillId="0" borderId="0" xfId="0" applyNumberFormat="1" applyFont="1" applyAlignment="1" applyProtection="1">
      <alignment horizontal="left" vertical="center"/>
      <protection hidden="1"/>
    </xf>
    <xf numFmtId="14" fontId="3" fillId="12" borderId="29" xfId="5" applyNumberFormat="1" applyFont="1" applyFill="1" applyBorder="1" applyAlignment="1" applyProtection="1">
      <alignment horizontal="left" vertical="center"/>
      <protection locked="0"/>
    </xf>
    <xf numFmtId="14" fontId="3" fillId="12" borderId="30" xfId="5" applyNumberFormat="1" applyFont="1" applyFill="1" applyBorder="1" applyAlignment="1" applyProtection="1">
      <alignment horizontal="left" vertical="center"/>
      <protection locked="0"/>
    </xf>
    <xf numFmtId="0" fontId="11" fillId="0" borderId="0" xfId="0" applyFont="1" applyAlignment="1" applyProtection="1">
      <alignment horizontal="left" vertical="center"/>
      <protection hidden="1"/>
    </xf>
    <xf numFmtId="0" fontId="9" fillId="0" borderId="0" xfId="0" applyFont="1" applyBorder="1" applyAlignment="1" applyProtection="1">
      <alignment horizontal="center" vertical="center"/>
      <protection hidden="1"/>
    </xf>
    <xf numFmtId="0" fontId="10" fillId="12" borderId="39" xfId="5" applyFont="1" applyFill="1" applyBorder="1" applyAlignment="1" applyProtection="1">
      <alignment horizontal="center" vertical="center"/>
      <protection locked="0"/>
    </xf>
    <xf numFmtId="0" fontId="10" fillId="12" borderId="40" xfId="5" applyFont="1" applyFill="1" applyBorder="1" applyAlignment="1" applyProtection="1">
      <alignment horizontal="center" vertical="center"/>
      <protection locked="0"/>
    </xf>
    <xf numFmtId="0" fontId="10" fillId="12" borderId="41" xfId="5" applyFont="1" applyFill="1" applyBorder="1" applyAlignment="1" applyProtection="1">
      <alignment horizontal="center" vertical="center"/>
      <protection locked="0"/>
    </xf>
    <xf numFmtId="0" fontId="10" fillId="0" borderId="0" xfId="0" applyFont="1" applyBorder="1" applyAlignment="1" applyProtection="1">
      <alignment horizontal="center" vertical="center"/>
      <protection hidden="1"/>
    </xf>
    <xf numFmtId="14" fontId="3" fillId="0" borderId="0" xfId="0" applyNumberFormat="1" applyFont="1" applyBorder="1" applyAlignment="1" applyProtection="1">
      <alignment horizontal="center" vertical="center"/>
      <protection hidden="1"/>
    </xf>
    <xf numFmtId="14" fontId="3" fillId="0" borderId="35" xfId="0" applyNumberFormat="1" applyFont="1" applyBorder="1" applyAlignment="1" applyProtection="1">
      <alignment horizontal="center" vertical="center"/>
      <protection hidden="1"/>
    </xf>
    <xf numFmtId="0" fontId="7" fillId="0" borderId="13" xfId="0" applyFont="1" applyBorder="1" applyAlignment="1">
      <alignment horizontal="center" vertical="center"/>
    </xf>
    <xf numFmtId="0" fontId="29" fillId="0" borderId="7" xfId="0" applyFont="1" applyBorder="1" applyAlignment="1">
      <alignment horizontal="center" vertical="center"/>
    </xf>
    <xf numFmtId="0" fontId="29" fillId="0" borderId="8" xfId="0" applyFont="1" applyBorder="1" applyAlignment="1">
      <alignment horizontal="center" vertical="center"/>
    </xf>
    <xf numFmtId="0" fontId="29" fillId="0" borderId="0" xfId="0" applyFont="1" applyAlignment="1">
      <alignment horizontal="center" vertical="center"/>
    </xf>
    <xf numFmtId="0" fontId="29" fillId="0" borderId="10" xfId="0" applyFont="1" applyBorder="1" applyAlignment="1">
      <alignment horizontal="center" vertical="center"/>
    </xf>
    <xf numFmtId="0" fontId="2" fillId="11" borderId="13" xfId="0" applyFont="1" applyFill="1" applyBorder="1" applyAlignment="1">
      <alignment horizontal="center"/>
    </xf>
    <xf numFmtId="190" fontId="7" fillId="0" borderId="13" xfId="0" applyNumberFormat="1" applyFont="1" applyBorder="1" applyAlignment="1">
      <alignment horizontal="center" vertical="center"/>
    </xf>
    <xf numFmtId="0" fontId="2" fillId="11" borderId="3" xfId="0" applyFont="1" applyFill="1" applyBorder="1" applyAlignment="1">
      <alignment horizontal="center"/>
    </xf>
    <xf numFmtId="0" fontId="2" fillId="11" borderId="4" xfId="0" applyFont="1" applyFill="1" applyBorder="1" applyAlignment="1">
      <alignment horizontal="center"/>
    </xf>
    <xf numFmtId="0" fontId="2" fillId="11" borderId="5" xfId="0" applyFont="1" applyFill="1" applyBorder="1" applyAlignment="1">
      <alignment horizontal="center"/>
    </xf>
    <xf numFmtId="4" fontId="3" fillId="3" borderId="3" xfId="0" applyNumberFormat="1" applyFont="1" applyFill="1" applyBorder="1" applyAlignment="1">
      <alignment horizontal="center"/>
    </xf>
    <xf numFmtId="4" fontId="3" fillId="3" borderId="4" xfId="0" applyNumberFormat="1" applyFont="1" applyFill="1" applyBorder="1" applyAlignment="1">
      <alignment horizontal="center"/>
    </xf>
    <xf numFmtId="4" fontId="3" fillId="3" borderId="5" xfId="0" applyNumberFormat="1" applyFont="1" applyFill="1" applyBorder="1" applyAlignment="1">
      <alignment horizontal="center"/>
    </xf>
    <xf numFmtId="0" fontId="47" fillId="0" borderId="9" xfId="8" applyFont="1" applyBorder="1" applyAlignment="1" applyProtection="1">
      <alignment horizontal="right"/>
      <protection hidden="1"/>
    </xf>
    <xf numFmtId="0" fontId="47" fillId="0" borderId="0" xfId="8" applyFont="1" applyBorder="1" applyAlignment="1" applyProtection="1">
      <alignment horizontal="right"/>
      <protection hidden="1"/>
    </xf>
    <xf numFmtId="191" fontId="38" fillId="0" borderId="0" xfId="8" applyNumberFormat="1" applyFont="1" applyAlignment="1" applyProtection="1">
      <alignment horizontal="left"/>
      <protection hidden="1"/>
    </xf>
    <xf numFmtId="0" fontId="39" fillId="3" borderId="2" xfId="8" applyFont="1" applyFill="1" applyBorder="1" applyAlignment="1" applyProtection="1">
      <alignment horizontal="center" vertical="center"/>
      <protection hidden="1"/>
    </xf>
    <xf numFmtId="0" fontId="40" fillId="11" borderId="15" xfId="8" applyFont="1" applyFill="1" applyBorder="1" applyAlignment="1" applyProtection="1">
      <alignment horizontal="center"/>
      <protection hidden="1"/>
    </xf>
    <xf numFmtId="0" fontId="38" fillId="0" borderId="0" xfId="8" applyFont="1" applyAlignment="1" applyProtection="1">
      <alignment horizontal="center"/>
      <protection hidden="1"/>
    </xf>
    <xf numFmtId="0" fontId="38" fillId="0" borderId="13" xfId="8" applyFont="1" applyBorder="1" applyAlignment="1" applyProtection="1">
      <alignment horizontal="center"/>
      <protection hidden="1"/>
    </xf>
    <xf numFmtId="2" fontId="38" fillId="0" borderId="9" xfId="8" applyNumberFormat="1" applyFont="1" applyBorder="1" applyAlignment="1" applyProtection="1">
      <alignment horizontal="center"/>
      <protection hidden="1"/>
    </xf>
    <xf numFmtId="0" fontId="38" fillId="0" borderId="10" xfId="8" applyFont="1" applyBorder="1" applyAlignment="1" applyProtection="1">
      <alignment horizontal="center"/>
      <protection hidden="1"/>
    </xf>
    <xf numFmtId="4" fontId="38" fillId="0" borderId="0" xfId="10" applyNumberFormat="1" applyFont="1" applyBorder="1" applyAlignment="1" applyProtection="1">
      <alignment horizontal="right"/>
      <protection hidden="1"/>
    </xf>
    <xf numFmtId="4" fontId="38" fillId="0" borderId="10" xfId="10" applyNumberFormat="1" applyFont="1" applyBorder="1" applyAlignment="1" applyProtection="1">
      <alignment horizontal="right"/>
      <protection hidden="1"/>
    </xf>
    <xf numFmtId="0" fontId="38" fillId="0" borderId="11" xfId="8" applyFont="1" applyBorder="1" applyAlignment="1" applyProtection="1">
      <alignment horizontal="right"/>
      <protection hidden="1"/>
    </xf>
    <xf numFmtId="0" fontId="38" fillId="0" borderId="1" xfId="8" applyFont="1" applyBorder="1" applyAlignment="1" applyProtection="1">
      <alignment horizontal="right"/>
      <protection hidden="1"/>
    </xf>
    <xf numFmtId="0" fontId="38" fillId="0" borderId="11" xfId="8" applyFont="1" applyBorder="1" applyAlignment="1" applyProtection="1">
      <alignment horizontal="center"/>
      <protection hidden="1"/>
    </xf>
    <xf numFmtId="0" fontId="38" fillId="0" borderId="1" xfId="8" applyFont="1" applyBorder="1" applyAlignment="1" applyProtection="1">
      <alignment horizontal="center"/>
      <protection hidden="1"/>
    </xf>
    <xf numFmtId="0" fontId="38" fillId="0" borderId="12" xfId="8" applyFont="1" applyBorder="1" applyAlignment="1" applyProtection="1">
      <alignment horizontal="center"/>
      <protection hidden="1"/>
    </xf>
    <xf numFmtId="4" fontId="38" fillId="0" borderId="11" xfId="8" applyNumberFormat="1" applyFont="1" applyBorder="1" applyAlignment="1" applyProtection="1">
      <alignment horizontal="center"/>
      <protection hidden="1"/>
    </xf>
    <xf numFmtId="4" fontId="38" fillId="0" borderId="12" xfId="8" applyNumberFormat="1" applyFont="1" applyBorder="1" applyAlignment="1" applyProtection="1">
      <alignment horizontal="center"/>
      <protection hidden="1"/>
    </xf>
    <xf numFmtId="2" fontId="38" fillId="0" borderId="11" xfId="8" applyNumberFormat="1" applyFont="1" applyBorder="1" applyAlignment="1" applyProtection="1">
      <alignment horizontal="center"/>
      <protection hidden="1"/>
    </xf>
    <xf numFmtId="4" fontId="38" fillId="0" borderId="1" xfId="8" applyNumberFormat="1" applyFont="1" applyBorder="1" applyAlignment="1" applyProtection="1">
      <alignment horizontal="right"/>
      <protection hidden="1"/>
    </xf>
    <xf numFmtId="4" fontId="38" fillId="0" borderId="12" xfId="8" applyNumberFormat="1" applyFont="1" applyBorder="1" applyAlignment="1" applyProtection="1">
      <alignment horizontal="right"/>
      <protection hidden="1"/>
    </xf>
    <xf numFmtId="4" fontId="39" fillId="0" borderId="0" xfId="8" applyNumberFormat="1" applyFont="1" applyBorder="1" applyAlignment="1" applyProtection="1">
      <alignment horizontal="right"/>
      <protection hidden="1"/>
    </xf>
    <xf numFmtId="0" fontId="39" fillId="0" borderId="0" xfId="8" applyFont="1" applyBorder="1" applyAlignment="1" applyProtection="1">
      <alignment horizontal="right"/>
      <protection hidden="1"/>
    </xf>
    <xf numFmtId="0" fontId="39" fillId="0" borderId="10" xfId="8" applyFont="1" applyBorder="1" applyAlignment="1" applyProtection="1">
      <alignment horizontal="right"/>
      <protection hidden="1"/>
    </xf>
    <xf numFmtId="4" fontId="38" fillId="0" borderId="0" xfId="8" applyNumberFormat="1" applyFont="1" applyBorder="1" applyAlignment="1" applyProtection="1">
      <alignment horizontal="right"/>
      <protection hidden="1"/>
    </xf>
    <xf numFmtId="4" fontId="38" fillId="0" borderId="10" xfId="8" applyNumberFormat="1" applyFont="1" applyBorder="1" applyAlignment="1" applyProtection="1">
      <alignment horizontal="right"/>
      <protection hidden="1"/>
    </xf>
    <xf numFmtId="0" fontId="38" fillId="0" borderId="9" xfId="8" applyFont="1" applyBorder="1" applyAlignment="1" applyProtection="1">
      <alignment horizontal="right"/>
      <protection hidden="1"/>
    </xf>
    <xf numFmtId="0" fontId="38" fillId="0" borderId="0" xfId="8" applyFont="1" applyBorder="1" applyAlignment="1" applyProtection="1">
      <alignment horizontal="right"/>
      <protection hidden="1"/>
    </xf>
    <xf numFmtId="0" fontId="38" fillId="0" borderId="9" xfId="8" applyFont="1" applyBorder="1" applyAlignment="1" applyProtection="1">
      <alignment horizontal="center"/>
      <protection hidden="1"/>
    </xf>
    <xf numFmtId="0" fontId="38" fillId="0" borderId="0" xfId="8" applyFont="1" applyBorder="1" applyAlignment="1" applyProtection="1">
      <alignment horizontal="center"/>
      <protection hidden="1"/>
    </xf>
    <xf numFmtId="4" fontId="38" fillId="0" borderId="9" xfId="8" applyNumberFormat="1" applyFont="1" applyBorder="1" applyAlignment="1" applyProtection="1">
      <alignment horizontal="center"/>
      <protection hidden="1"/>
    </xf>
    <xf numFmtId="4" fontId="38" fillId="0" borderId="10" xfId="8" applyNumberFormat="1" applyFont="1" applyBorder="1" applyAlignment="1" applyProtection="1">
      <alignment horizontal="center"/>
      <protection hidden="1"/>
    </xf>
    <xf numFmtId="0" fontId="39" fillId="3" borderId="3" xfId="8" applyFont="1" applyFill="1" applyBorder="1" applyAlignment="1" applyProtection="1">
      <alignment horizontal="center"/>
      <protection hidden="1"/>
    </xf>
    <xf numFmtId="0" fontId="39" fillId="3" borderId="4" xfId="8" applyFont="1" applyFill="1" applyBorder="1" applyAlignment="1" applyProtection="1">
      <alignment horizontal="center"/>
      <protection hidden="1"/>
    </xf>
    <xf numFmtId="0" fontId="39" fillId="3" borderId="5" xfId="8" applyFont="1" applyFill="1" applyBorder="1" applyAlignment="1" applyProtection="1">
      <alignment horizontal="center"/>
      <protection hidden="1"/>
    </xf>
    <xf numFmtId="0" fontId="38" fillId="0" borderId="6" xfId="8" applyFont="1" applyBorder="1" applyAlignment="1" applyProtection="1">
      <alignment horizontal="left" vertical="top" wrapText="1"/>
      <protection hidden="1"/>
    </xf>
    <xf numFmtId="0" fontId="38" fillId="0" borderId="7" xfId="8" applyFont="1" applyBorder="1" applyAlignment="1" applyProtection="1">
      <alignment horizontal="left" vertical="top" wrapText="1"/>
      <protection hidden="1"/>
    </xf>
    <xf numFmtId="0" fontId="38" fillId="0" borderId="8" xfId="8" applyFont="1" applyBorder="1" applyAlignment="1" applyProtection="1">
      <alignment horizontal="left" vertical="top" wrapText="1"/>
      <protection hidden="1"/>
    </xf>
    <xf numFmtId="0" fontId="38" fillId="0" borderId="9" xfId="8" applyFont="1" applyBorder="1" applyAlignment="1" applyProtection="1">
      <alignment horizontal="left" vertical="top" wrapText="1"/>
      <protection hidden="1"/>
    </xf>
    <xf numFmtId="0" fontId="38" fillId="0" borderId="0" xfId="8" applyFont="1" applyBorder="1" applyAlignment="1" applyProtection="1">
      <alignment horizontal="left" vertical="top" wrapText="1"/>
      <protection hidden="1"/>
    </xf>
    <xf numFmtId="0" fontId="38" fillId="0" borderId="10" xfId="8" applyFont="1" applyBorder="1" applyAlignment="1" applyProtection="1">
      <alignment horizontal="left" vertical="top" wrapText="1"/>
      <protection hidden="1"/>
    </xf>
    <xf numFmtId="4" fontId="39" fillId="0" borderId="3" xfId="8" applyNumberFormat="1" applyFont="1" applyBorder="1" applyAlignment="1" applyProtection="1">
      <alignment horizontal="right" vertical="center"/>
      <protection hidden="1"/>
    </xf>
    <xf numFmtId="4" fontId="39" fillId="0" borderId="4" xfId="8" applyNumberFormat="1" applyFont="1" applyBorder="1" applyAlignment="1" applyProtection="1">
      <alignment horizontal="right" vertical="center"/>
      <protection hidden="1"/>
    </xf>
    <xf numFmtId="4" fontId="39" fillId="0" borderId="5" xfId="8" applyNumberFormat="1" applyFont="1" applyBorder="1" applyAlignment="1" applyProtection="1">
      <alignment horizontal="right" vertical="center"/>
      <protection hidden="1"/>
    </xf>
    <xf numFmtId="0" fontId="38" fillId="0" borderId="3" xfId="8" applyFont="1" applyBorder="1" applyAlignment="1" applyProtection="1">
      <alignment horizontal="right" vertical="center"/>
      <protection hidden="1"/>
    </xf>
    <xf numFmtId="0" fontId="38" fillId="0" borderId="4" xfId="8" applyFont="1" applyBorder="1" applyAlignment="1" applyProtection="1">
      <alignment horizontal="right" vertical="center"/>
      <protection hidden="1"/>
    </xf>
    <xf numFmtId="0" fontId="38" fillId="0" borderId="5" xfId="8" applyFont="1" applyBorder="1" applyAlignment="1" applyProtection="1">
      <alignment horizontal="right" vertical="center"/>
      <protection hidden="1"/>
    </xf>
    <xf numFmtId="4" fontId="38" fillId="0" borderId="3" xfId="8" applyNumberFormat="1" applyFont="1" applyBorder="1" applyAlignment="1" applyProtection="1">
      <alignment horizontal="right" vertical="center"/>
      <protection hidden="1"/>
    </xf>
    <xf numFmtId="4" fontId="38" fillId="0" borderId="4" xfId="8" applyNumberFormat="1" applyFont="1" applyBorder="1" applyAlignment="1" applyProtection="1">
      <alignment horizontal="right" vertical="center"/>
      <protection hidden="1"/>
    </xf>
    <xf numFmtId="4" fontId="38" fillId="0" borderId="5" xfId="8" applyNumberFormat="1" applyFont="1" applyBorder="1" applyAlignment="1" applyProtection="1">
      <alignment horizontal="right" vertical="center"/>
      <protection hidden="1"/>
    </xf>
    <xf numFmtId="0" fontId="39" fillId="0" borderId="3" xfId="8" applyFont="1" applyBorder="1" applyAlignment="1" applyProtection="1">
      <alignment horizontal="center" vertical="center"/>
      <protection hidden="1"/>
    </xf>
    <xf numFmtId="0" fontId="39" fillId="0" borderId="4" xfId="8" applyFont="1" applyBorder="1" applyAlignment="1" applyProtection="1">
      <alignment horizontal="center" vertical="center"/>
      <protection hidden="1"/>
    </xf>
    <xf numFmtId="0" fontId="39" fillId="0" borderId="5" xfId="8" applyFont="1" applyBorder="1" applyAlignment="1" applyProtection="1">
      <alignment horizontal="center" vertical="center"/>
      <protection hidden="1"/>
    </xf>
    <xf numFmtId="0" fontId="39" fillId="0" borderId="3" xfId="8" applyFont="1" applyBorder="1" applyAlignment="1" applyProtection="1">
      <alignment horizontal="center"/>
      <protection hidden="1"/>
    </xf>
    <xf numFmtId="0" fontId="39" fillId="0" borderId="4" xfId="8" applyFont="1" applyBorder="1" applyAlignment="1" applyProtection="1">
      <alignment horizontal="center"/>
      <protection hidden="1"/>
    </xf>
    <xf numFmtId="0" fontId="39" fillId="0" borderId="5" xfId="8" applyFont="1" applyBorder="1" applyAlignment="1" applyProtection="1">
      <alignment horizontal="center"/>
      <protection hidden="1"/>
    </xf>
    <xf numFmtId="0" fontId="38" fillId="0" borderId="6" xfId="8" applyFont="1" applyBorder="1" applyAlignment="1" applyProtection="1">
      <alignment horizontal="center"/>
      <protection hidden="1"/>
    </xf>
    <xf numFmtId="0" fontId="38" fillId="0" borderId="7" xfId="8" applyFont="1" applyBorder="1" applyAlignment="1" applyProtection="1">
      <alignment horizontal="center"/>
      <protection hidden="1"/>
    </xf>
    <xf numFmtId="0" fontId="38" fillId="0" borderId="8" xfId="8" applyFont="1" applyBorder="1" applyAlignment="1" applyProtection="1">
      <alignment horizontal="center"/>
      <protection hidden="1"/>
    </xf>
    <xf numFmtId="0" fontId="40" fillId="11" borderId="2" xfId="8" applyFont="1" applyFill="1" applyBorder="1" applyAlignment="1" applyProtection="1">
      <alignment horizontal="center"/>
      <protection hidden="1"/>
    </xf>
    <xf numFmtId="4" fontId="39" fillId="0" borderId="7" xfId="8" applyNumberFormat="1" applyFont="1" applyBorder="1" applyAlignment="1" applyProtection="1">
      <alignment horizontal="right"/>
      <protection hidden="1"/>
    </xf>
    <xf numFmtId="0" fontId="39" fillId="0" borderId="7" xfId="8" applyFont="1" applyBorder="1" applyAlignment="1" applyProtection="1">
      <alignment horizontal="right"/>
      <protection hidden="1"/>
    </xf>
    <xf numFmtId="0" fontId="39" fillId="0" borderId="8" xfId="8" applyFont="1" applyBorder="1" applyAlignment="1" applyProtection="1">
      <alignment horizontal="right"/>
      <protection hidden="1"/>
    </xf>
    <xf numFmtId="0" fontId="39" fillId="0" borderId="9" xfId="8" applyFont="1" applyBorder="1" applyAlignment="1" applyProtection="1">
      <alignment horizontal="left"/>
      <protection hidden="1"/>
    </xf>
    <xf numFmtId="0" fontId="39" fillId="0" borderId="0" xfId="8" applyFont="1" applyBorder="1" applyAlignment="1" applyProtection="1">
      <alignment horizontal="left"/>
      <protection hidden="1"/>
    </xf>
    <xf numFmtId="4" fontId="38" fillId="0" borderId="9" xfId="10" applyNumberFormat="1" applyFont="1" applyBorder="1" applyAlignment="1" applyProtection="1">
      <alignment horizontal="center"/>
      <protection hidden="1"/>
    </xf>
    <xf numFmtId="4" fontId="38" fillId="0" borderId="10" xfId="10" applyNumberFormat="1" applyFont="1" applyBorder="1" applyAlignment="1" applyProtection="1">
      <alignment horizontal="center"/>
      <protection hidden="1"/>
    </xf>
    <xf numFmtId="0" fontId="39" fillId="3" borderId="15" xfId="8" applyFont="1" applyFill="1" applyBorder="1" applyAlignment="1" applyProtection="1">
      <alignment horizontal="center" vertical="center"/>
      <protection hidden="1"/>
    </xf>
    <xf numFmtId="0" fontId="39" fillId="0" borderId="6" xfId="8" applyFont="1" applyBorder="1" applyAlignment="1" applyProtection="1">
      <alignment horizontal="left"/>
      <protection hidden="1"/>
    </xf>
    <xf numFmtId="0" fontId="39" fillId="0" borderId="7" xfId="8" applyFont="1" applyBorder="1" applyAlignment="1" applyProtection="1">
      <alignment horizontal="left"/>
      <protection hidden="1"/>
    </xf>
    <xf numFmtId="4" fontId="38" fillId="19" borderId="9" xfId="8" applyNumberFormat="1" applyFont="1" applyFill="1" applyBorder="1" applyAlignment="1" applyProtection="1">
      <alignment horizontal="center"/>
      <protection hidden="1"/>
    </xf>
    <xf numFmtId="4" fontId="38" fillId="19" borderId="10" xfId="8" applyNumberFormat="1" applyFont="1" applyFill="1" applyBorder="1" applyAlignment="1" applyProtection="1">
      <alignment horizontal="center"/>
      <protection hidden="1"/>
    </xf>
    <xf numFmtId="0" fontId="47" fillId="0" borderId="9" xfId="8" applyFont="1" applyBorder="1" applyAlignment="1" applyProtection="1">
      <alignment horizontal="center"/>
      <protection hidden="1"/>
    </xf>
    <xf numFmtId="0" fontId="47" fillId="0" borderId="0" xfId="8" applyFont="1" applyBorder="1" applyAlignment="1" applyProtection="1">
      <alignment horizontal="center"/>
      <protection hidden="1"/>
    </xf>
    <xf numFmtId="0" fontId="47" fillId="0" borderId="10" xfId="8" applyFont="1" applyBorder="1" applyAlignment="1" applyProtection="1">
      <alignment horizontal="center"/>
      <protection hidden="1"/>
    </xf>
    <xf numFmtId="4" fontId="47" fillId="0" borderId="0" xfId="10" applyNumberFormat="1" applyFont="1" applyBorder="1" applyAlignment="1" applyProtection="1">
      <alignment horizontal="right"/>
      <protection hidden="1"/>
    </xf>
    <xf numFmtId="4" fontId="47" fillId="0" borderId="10" xfId="10" applyNumberFormat="1" applyFont="1" applyBorder="1" applyAlignment="1" applyProtection="1">
      <alignment horizontal="right"/>
      <protection hidden="1"/>
    </xf>
    <xf numFmtId="4" fontId="47" fillId="0" borderId="9" xfId="8" applyNumberFormat="1" applyFont="1" applyBorder="1" applyAlignment="1" applyProtection="1">
      <alignment horizontal="center"/>
      <protection hidden="1"/>
    </xf>
    <xf numFmtId="4" fontId="47" fillId="0" borderId="10" xfId="8" applyNumberFormat="1" applyFont="1" applyBorder="1" applyAlignment="1" applyProtection="1">
      <alignment horizontal="center"/>
      <protection hidden="1"/>
    </xf>
    <xf numFmtId="4" fontId="47" fillId="19" borderId="9" xfId="8" applyNumberFormat="1" applyFont="1" applyFill="1" applyBorder="1" applyAlignment="1" applyProtection="1">
      <alignment horizontal="center"/>
      <protection hidden="1"/>
    </xf>
    <xf numFmtId="4" fontId="47" fillId="19" borderId="10" xfId="8" applyNumberFormat="1" applyFont="1" applyFill="1" applyBorder="1" applyAlignment="1" applyProtection="1">
      <alignment horizontal="center"/>
      <protection hidden="1"/>
    </xf>
    <xf numFmtId="0" fontId="40" fillId="0" borderId="9" xfId="8" applyFont="1" applyBorder="1" applyAlignment="1" applyProtection="1">
      <alignment horizontal="left"/>
      <protection hidden="1"/>
    </xf>
    <xf numFmtId="0" fontId="40" fillId="0" borderId="0" xfId="8" applyFont="1" applyBorder="1" applyAlignment="1" applyProtection="1">
      <alignment horizontal="left"/>
      <protection hidden="1"/>
    </xf>
    <xf numFmtId="0" fontId="14" fillId="0" borderId="0" xfId="3" applyFont="1" applyFill="1" applyBorder="1" applyAlignment="1">
      <alignment horizontal="left" vertical="center"/>
    </xf>
    <xf numFmtId="0" fontId="15" fillId="0" borderId="1" xfId="0" applyFont="1" applyFill="1" applyBorder="1" applyAlignment="1">
      <alignment horizontal="right"/>
    </xf>
    <xf numFmtId="188" fontId="15" fillId="0" borderId="1" xfId="0" applyNumberFormat="1" applyFont="1" applyFill="1" applyBorder="1" applyAlignment="1">
      <alignment horizontal="center"/>
    </xf>
    <xf numFmtId="0" fontId="17" fillId="4" borderId="2" xfId="0" applyFont="1" applyFill="1" applyBorder="1" applyAlignment="1">
      <alignment horizontal="center"/>
    </xf>
    <xf numFmtId="0" fontId="17" fillId="4" borderId="3" xfId="0" applyFont="1" applyFill="1" applyBorder="1" applyAlignment="1">
      <alignment horizontal="center"/>
    </xf>
    <xf numFmtId="0" fontId="17" fillId="4" borderId="4" xfId="0" applyFont="1" applyFill="1" applyBorder="1" applyAlignment="1">
      <alignment horizontal="center"/>
    </xf>
    <xf numFmtId="0" fontId="17" fillId="4" borderId="5" xfId="0" applyFont="1" applyFill="1" applyBorder="1" applyAlignment="1">
      <alignment horizontal="center"/>
    </xf>
    <xf numFmtId="0" fontId="17" fillId="0" borderId="3" xfId="0" applyFont="1" applyFill="1" applyBorder="1" applyAlignment="1">
      <alignment horizontal="left"/>
    </xf>
    <xf numFmtId="0" fontId="17" fillId="0" borderId="4" xfId="0" applyFont="1" applyFill="1" applyBorder="1" applyAlignment="1">
      <alignment horizontal="left"/>
    </xf>
    <xf numFmtId="0" fontId="15" fillId="0" borderId="4" xfId="0" applyFont="1" applyFill="1" applyBorder="1" applyAlignment="1">
      <alignment horizontal="center"/>
    </xf>
    <xf numFmtId="0" fontId="15" fillId="0" borderId="6" xfId="0" applyFont="1" applyFill="1" applyBorder="1" applyAlignment="1">
      <alignment horizontal="right"/>
    </xf>
    <xf numFmtId="0" fontId="15" fillId="0" borderId="7" xfId="0" applyFont="1" applyFill="1" applyBorder="1" applyAlignment="1">
      <alignment horizontal="right"/>
    </xf>
    <xf numFmtId="0" fontId="15" fillId="0" borderId="8" xfId="0" applyFont="1" applyFill="1" applyBorder="1" applyAlignment="1">
      <alignment horizontal="right"/>
    </xf>
    <xf numFmtId="0" fontId="15" fillId="0" borderId="9" xfId="0" applyFont="1" applyFill="1" applyBorder="1" applyAlignment="1">
      <alignment horizontal="center"/>
    </xf>
    <xf numFmtId="0" fontId="15" fillId="0" borderId="10" xfId="0" applyFont="1" applyFill="1" applyBorder="1" applyAlignment="1">
      <alignment horizontal="center"/>
    </xf>
    <xf numFmtId="4" fontId="15" fillId="0" borderId="9" xfId="0" applyNumberFormat="1" applyFont="1" applyFill="1" applyBorder="1" applyAlignment="1">
      <alignment horizontal="center"/>
    </xf>
    <xf numFmtId="4" fontId="15" fillId="0" borderId="10" xfId="0" applyNumberFormat="1" applyFont="1" applyFill="1" applyBorder="1" applyAlignment="1">
      <alignment horizontal="center"/>
    </xf>
    <xf numFmtId="189" fontId="15" fillId="0" borderId="7" xfId="1" applyNumberFormat="1" applyFont="1" applyFill="1" applyBorder="1" applyAlignment="1">
      <alignment horizontal="left"/>
    </xf>
    <xf numFmtId="189" fontId="15" fillId="0" borderId="8" xfId="1" applyNumberFormat="1" applyFont="1" applyFill="1" applyBorder="1" applyAlignment="1">
      <alignment horizontal="left"/>
    </xf>
    <xf numFmtId="0" fontId="15" fillId="0" borderId="11" xfId="0" applyFont="1" applyFill="1" applyBorder="1" applyAlignment="1">
      <alignment horizontal="right"/>
    </xf>
    <xf numFmtId="0" fontId="15" fillId="0" borderId="12" xfId="0" applyFont="1" applyFill="1" applyBorder="1" applyAlignment="1">
      <alignment horizontal="right"/>
    </xf>
    <xf numFmtId="0" fontId="15" fillId="0" borderId="11" xfId="0" applyFont="1" applyFill="1" applyBorder="1" applyAlignment="1">
      <alignment horizontal="center"/>
    </xf>
    <xf numFmtId="0" fontId="15" fillId="0" borderId="12" xfId="0" applyFont="1" applyFill="1" applyBorder="1" applyAlignment="1">
      <alignment horizontal="center"/>
    </xf>
    <xf numFmtId="4" fontId="15" fillId="0" borderId="11" xfId="0" applyNumberFormat="1" applyFont="1" applyFill="1" applyBorder="1" applyAlignment="1">
      <alignment horizontal="center"/>
    </xf>
    <xf numFmtId="4" fontId="15" fillId="0" borderId="12" xfId="0" applyNumberFormat="1" applyFont="1" applyFill="1" applyBorder="1" applyAlignment="1">
      <alignment horizontal="center"/>
    </xf>
    <xf numFmtId="0" fontId="17" fillId="0" borderId="13" xfId="0" applyFont="1" applyFill="1" applyBorder="1" applyAlignment="1">
      <alignment horizontal="left"/>
    </xf>
    <xf numFmtId="0" fontId="15" fillId="0" borderId="14" xfId="0" applyFont="1" applyFill="1" applyBorder="1" applyAlignment="1">
      <alignment horizontal="right"/>
    </xf>
    <xf numFmtId="0" fontId="15" fillId="0" borderId="2" xfId="0" applyFont="1" applyFill="1" applyBorder="1" applyAlignment="1">
      <alignment horizontal="center"/>
    </xf>
    <xf numFmtId="2" fontId="15" fillId="0" borderId="2" xfId="0" applyNumberFormat="1" applyFont="1" applyFill="1" applyBorder="1" applyAlignment="1">
      <alignment horizontal="center"/>
    </xf>
    <xf numFmtId="0" fontId="15" fillId="0" borderId="0" xfId="0" applyFont="1" applyFill="1" applyBorder="1" applyAlignment="1">
      <alignment horizontal="center"/>
    </xf>
    <xf numFmtId="0" fontId="15" fillId="0" borderId="15" xfId="0" applyFont="1" applyFill="1" applyBorder="1" applyAlignment="1">
      <alignment horizontal="right"/>
    </xf>
    <xf numFmtId="0" fontId="15" fillId="0" borderId="15" xfId="0" applyFont="1" applyFill="1" applyBorder="1" applyAlignment="1">
      <alignment horizontal="center"/>
    </xf>
    <xf numFmtId="2" fontId="15" fillId="0" borderId="15" xfId="0" applyNumberFormat="1" applyFont="1" applyFill="1" applyBorder="1" applyAlignment="1">
      <alignment horizontal="center"/>
    </xf>
    <xf numFmtId="0" fontId="15" fillId="0" borderId="1" xfId="0" applyFont="1" applyFill="1" applyBorder="1" applyAlignment="1">
      <alignment horizontal="center"/>
    </xf>
    <xf numFmtId="0" fontId="18" fillId="0" borderId="16" xfId="0" applyFont="1" applyFill="1" applyBorder="1" applyAlignment="1">
      <alignment horizontal="right"/>
    </xf>
    <xf numFmtId="0" fontId="18" fillId="0" borderId="17" xfId="0" applyFont="1" applyFill="1" applyBorder="1" applyAlignment="1">
      <alignment horizontal="right"/>
    </xf>
    <xf numFmtId="0" fontId="18" fillId="0" borderId="18" xfId="0" applyFont="1" applyFill="1" applyBorder="1" applyAlignment="1">
      <alignment horizontal="right"/>
    </xf>
    <xf numFmtId="0" fontId="18" fillId="0" borderId="16" xfId="0" applyFont="1" applyFill="1" applyBorder="1" applyAlignment="1">
      <alignment horizontal="center"/>
    </xf>
    <xf numFmtId="0" fontId="18" fillId="0" borderId="18" xfId="0" applyFont="1" applyFill="1" applyBorder="1" applyAlignment="1">
      <alignment horizontal="center"/>
    </xf>
    <xf numFmtId="4" fontId="18" fillId="0" borderId="16" xfId="0" applyNumberFormat="1" applyFont="1" applyFill="1" applyBorder="1" applyAlignment="1">
      <alignment horizontal="center"/>
    </xf>
    <xf numFmtId="4" fontId="18" fillId="0" borderId="18" xfId="0" applyNumberFormat="1" applyFont="1" applyFill="1" applyBorder="1" applyAlignment="1">
      <alignment horizontal="center"/>
    </xf>
    <xf numFmtId="0" fontId="18" fillId="0" borderId="19" xfId="0" applyFont="1" applyFill="1" applyBorder="1" applyAlignment="1">
      <alignment horizontal="right"/>
    </xf>
    <xf numFmtId="0" fontId="18" fillId="0" borderId="20" xfId="0" applyFont="1" applyFill="1" applyBorder="1" applyAlignment="1">
      <alignment horizontal="right"/>
    </xf>
    <xf numFmtId="0" fontId="18" fillId="0" borderId="21" xfId="0" applyFont="1" applyFill="1" applyBorder="1" applyAlignment="1">
      <alignment horizontal="right"/>
    </xf>
    <xf numFmtId="0" fontId="18" fillId="0" borderId="19" xfId="0" applyFont="1" applyFill="1" applyBorder="1" applyAlignment="1">
      <alignment horizontal="center"/>
    </xf>
    <xf numFmtId="0" fontId="18" fillId="0" borderId="21" xfId="0" applyFont="1" applyFill="1" applyBorder="1" applyAlignment="1">
      <alignment horizontal="center"/>
    </xf>
    <xf numFmtId="4" fontId="18" fillId="0" borderId="19" xfId="0" applyNumberFormat="1" applyFont="1" applyFill="1" applyBorder="1" applyAlignment="1">
      <alignment horizontal="center"/>
    </xf>
    <xf numFmtId="4" fontId="18" fillId="0" borderId="21" xfId="0" applyNumberFormat="1" applyFont="1" applyFill="1" applyBorder="1" applyAlignment="1">
      <alignment horizontal="center"/>
    </xf>
    <xf numFmtId="0" fontId="15"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2" fontId="15" fillId="0" borderId="24" xfId="0" applyNumberFormat="1" applyFont="1" applyFill="1" applyBorder="1" applyAlignment="1">
      <alignment horizontal="center"/>
    </xf>
    <xf numFmtId="2" fontId="15" fillId="0" borderId="26" xfId="0" applyNumberFormat="1" applyFont="1" applyFill="1" applyBorder="1" applyAlignment="1">
      <alignment horizontal="center"/>
    </xf>
    <xf numFmtId="0" fontId="17" fillId="4" borderId="13" xfId="0" applyFont="1" applyFill="1" applyBorder="1" applyAlignment="1">
      <alignment horizontal="left"/>
    </xf>
    <xf numFmtId="0" fontId="17" fillId="4" borderId="13" xfId="0" applyFont="1" applyFill="1" applyBorder="1" applyAlignment="1">
      <alignment horizontal="center"/>
    </xf>
    <xf numFmtId="0" fontId="15" fillId="0" borderId="11" xfId="0" applyFont="1" applyFill="1" applyBorder="1" applyAlignment="1">
      <alignment horizontal="left"/>
    </xf>
    <xf numFmtId="0" fontId="15" fillId="0" borderId="1" xfId="0" applyFont="1" applyFill="1" applyBorder="1" applyAlignment="1">
      <alignment horizontal="left"/>
    </xf>
    <xf numFmtId="0" fontId="15" fillId="0" borderId="12" xfId="0" applyFont="1" applyFill="1" applyBorder="1" applyAlignment="1">
      <alignment horizontal="left"/>
    </xf>
    <xf numFmtId="4" fontId="15" fillId="0" borderId="13" xfId="1" applyNumberFormat="1" applyFont="1" applyFill="1" applyBorder="1" applyAlignment="1">
      <alignment horizontal="center"/>
    </xf>
    <xf numFmtId="0" fontId="17" fillId="5" borderId="13" xfId="0" applyFont="1" applyFill="1" applyBorder="1" applyAlignment="1">
      <alignment horizontal="left"/>
    </xf>
    <xf numFmtId="0" fontId="15" fillId="0" borderId="13" xfId="0" applyFont="1" applyFill="1" applyBorder="1" applyAlignment="1">
      <alignment horizontal="center"/>
    </xf>
    <xf numFmtId="0" fontId="15" fillId="0" borderId="3" xfId="0" applyFont="1" applyFill="1" applyBorder="1" applyAlignment="1">
      <alignment horizontal="left"/>
    </xf>
    <xf numFmtId="0" fontId="15" fillId="0" borderId="4" xfId="0" applyFont="1" applyFill="1" applyBorder="1" applyAlignment="1">
      <alignment horizontal="left"/>
    </xf>
    <xf numFmtId="0" fontId="15" fillId="0" borderId="27" xfId="0" applyFont="1" applyFill="1" applyBorder="1" applyAlignment="1">
      <alignment horizontal="left"/>
    </xf>
    <xf numFmtId="0" fontId="15" fillId="0" borderId="5" xfId="0" applyFont="1" applyFill="1" applyBorder="1" applyAlignment="1">
      <alignment horizontal="left"/>
    </xf>
    <xf numFmtId="0" fontId="20" fillId="0" borderId="3" xfId="4" applyFont="1" applyFill="1" applyBorder="1" applyAlignment="1" applyProtection="1">
      <alignment horizontal="center"/>
      <protection hidden="1"/>
    </xf>
    <xf numFmtId="0" fontId="20" fillId="0" borderId="4" xfId="4" applyFont="1" applyFill="1" applyBorder="1" applyAlignment="1" applyProtection="1">
      <alignment horizontal="center"/>
      <protection hidden="1"/>
    </xf>
    <xf numFmtId="0" fontId="20" fillId="0" borderId="5" xfId="4" applyFont="1" applyFill="1" applyBorder="1" applyAlignment="1" applyProtection="1">
      <alignment horizontal="center"/>
      <protection hidden="1"/>
    </xf>
    <xf numFmtId="0" fontId="15" fillId="0" borderId="0" xfId="0" applyFont="1" applyFill="1" applyBorder="1" applyAlignment="1">
      <alignment horizontal="left" vertical="top" wrapText="1"/>
    </xf>
    <xf numFmtId="3" fontId="22" fillId="6" borderId="0" xfId="4" applyNumberFormat="1" applyFont="1" applyFill="1" applyBorder="1" applyAlignment="1" applyProtection="1">
      <alignment horizontal="center"/>
      <protection hidden="1"/>
    </xf>
    <xf numFmtId="3" fontId="22" fillId="6" borderId="10" xfId="4" applyNumberFormat="1" applyFont="1" applyFill="1" applyBorder="1" applyAlignment="1" applyProtection="1">
      <alignment horizontal="center"/>
      <protection hidden="1"/>
    </xf>
    <xf numFmtId="0" fontId="25" fillId="6" borderId="0" xfId="4" applyFont="1" applyFill="1" applyBorder="1" applyAlignment="1" applyProtection="1">
      <alignment horizontal="center"/>
      <protection hidden="1"/>
    </xf>
    <xf numFmtId="0" fontId="25" fillId="6" borderId="10" xfId="4" applyFont="1" applyFill="1" applyBorder="1" applyAlignment="1" applyProtection="1">
      <alignment horizontal="center"/>
      <protection hidden="1"/>
    </xf>
    <xf numFmtId="0" fontId="6" fillId="0" borderId="44" xfId="0" applyFont="1" applyBorder="1" applyAlignment="1">
      <alignment horizontal="center"/>
    </xf>
    <xf numFmtId="0" fontId="6" fillId="12" borderId="15" xfId="0" applyFont="1" applyFill="1" applyBorder="1" applyAlignment="1">
      <alignment horizontal="center"/>
    </xf>
    <xf numFmtId="0" fontId="6" fillId="0" borderId="13" xfId="0" applyFont="1" applyBorder="1" applyAlignment="1">
      <alignment horizontal="center"/>
    </xf>
    <xf numFmtId="0" fontId="31" fillId="0" borderId="6" xfId="0" applyFont="1" applyBorder="1" applyAlignment="1" applyProtection="1">
      <alignment horizontal="center"/>
      <protection hidden="1"/>
    </xf>
    <xf numFmtId="0" fontId="31" fillId="0" borderId="8" xfId="0" applyFont="1" applyBorder="1" applyAlignment="1" applyProtection="1">
      <alignment horizontal="center"/>
      <protection hidden="1"/>
    </xf>
    <xf numFmtId="0" fontId="31" fillId="0" borderId="7" xfId="0" applyFont="1" applyBorder="1" applyAlignment="1" applyProtection="1">
      <alignment horizontal="center"/>
      <protection hidden="1"/>
    </xf>
    <xf numFmtId="191" fontId="31" fillId="0" borderId="0" xfId="0" applyNumberFormat="1" applyFont="1" applyAlignment="1" applyProtection="1">
      <alignment horizontal="center"/>
      <protection hidden="1"/>
    </xf>
    <xf numFmtId="0" fontId="34" fillId="0" borderId="0" xfId="0" applyFont="1" applyBorder="1" applyAlignment="1" applyProtection="1">
      <alignment horizontal="center"/>
      <protection hidden="1"/>
    </xf>
    <xf numFmtId="0" fontId="32" fillId="0" borderId="1" xfId="0" applyFont="1" applyBorder="1" applyAlignment="1" applyProtection="1">
      <alignment horizontal="center"/>
      <protection hidden="1"/>
    </xf>
    <xf numFmtId="49" fontId="31" fillId="0" borderId="7" xfId="0" applyNumberFormat="1" applyFont="1" applyBorder="1" applyAlignment="1" applyProtection="1">
      <alignment horizontal="center"/>
      <protection hidden="1"/>
    </xf>
    <xf numFmtId="0" fontId="31" fillId="0" borderId="3" xfId="0" applyFont="1" applyBorder="1" applyAlignment="1" applyProtection="1">
      <alignment horizontal="center"/>
      <protection hidden="1"/>
    </xf>
    <xf numFmtId="0" fontId="31" fillId="0" borderId="5" xfId="0" applyFont="1" applyBorder="1" applyAlignment="1" applyProtection="1">
      <alignment horizontal="center"/>
      <protection hidden="1"/>
    </xf>
    <xf numFmtId="191" fontId="31" fillId="0" borderId="3" xfId="0" applyNumberFormat="1" applyFont="1" applyBorder="1" applyAlignment="1" applyProtection="1">
      <alignment horizontal="center"/>
      <protection hidden="1"/>
    </xf>
    <xf numFmtId="191" fontId="31" fillId="0" borderId="5" xfId="0" applyNumberFormat="1" applyFont="1" applyBorder="1" applyAlignment="1" applyProtection="1">
      <alignment horizontal="center"/>
      <protection hidden="1"/>
    </xf>
    <xf numFmtId="0" fontId="31" fillId="0" borderId="4" xfId="0" applyFont="1" applyBorder="1" applyAlignment="1" applyProtection="1">
      <alignment horizontal="center"/>
      <protection hidden="1"/>
    </xf>
    <xf numFmtId="0" fontId="31" fillId="0" borderId="11" xfId="0" applyFont="1" applyBorder="1" applyAlignment="1" applyProtection="1">
      <alignment horizontal="center"/>
      <protection hidden="1"/>
    </xf>
    <xf numFmtId="0" fontId="31" fillId="0" borderId="12" xfId="0" applyFont="1" applyBorder="1" applyAlignment="1" applyProtection="1">
      <alignment horizontal="center"/>
      <protection hidden="1"/>
    </xf>
    <xf numFmtId="0" fontId="31" fillId="0" borderId="1" xfId="0" applyFont="1" applyBorder="1" applyAlignment="1" applyProtection="1">
      <alignment horizontal="center"/>
      <protection hidden="1"/>
    </xf>
    <xf numFmtId="0" fontId="32" fillId="0" borderId="6" xfId="0" applyFont="1" applyBorder="1" applyAlignment="1" applyProtection="1">
      <alignment horizontal="center"/>
      <protection hidden="1"/>
    </xf>
    <xf numFmtId="0" fontId="32" fillId="0" borderId="7" xfId="0" applyFont="1" applyBorder="1" applyAlignment="1" applyProtection="1">
      <alignment horizontal="center"/>
      <protection hidden="1"/>
    </xf>
    <xf numFmtId="0" fontId="32" fillId="0" borderId="8" xfId="0" applyFont="1" applyBorder="1" applyAlignment="1" applyProtection="1">
      <alignment horizontal="center"/>
      <protection hidden="1"/>
    </xf>
    <xf numFmtId="0" fontId="31" fillId="0" borderId="6" xfId="0" applyFont="1" applyBorder="1" applyAlignment="1" applyProtection="1">
      <alignment horizontal="left"/>
      <protection hidden="1"/>
    </xf>
    <xf numFmtId="0" fontId="31" fillId="0" borderId="7" xfId="0" applyFont="1" applyBorder="1" applyAlignment="1" applyProtection="1">
      <alignment horizontal="left"/>
      <protection hidden="1"/>
    </xf>
    <xf numFmtId="0" fontId="31" fillId="0" borderId="8" xfId="0" applyFont="1" applyBorder="1" applyAlignment="1" applyProtection="1">
      <alignment horizontal="left"/>
      <protection hidden="1"/>
    </xf>
    <xf numFmtId="190" fontId="31" fillId="0" borderId="2" xfId="0" applyNumberFormat="1" applyFont="1" applyBorder="1" applyAlignment="1" applyProtection="1">
      <alignment horizontal="right"/>
      <protection hidden="1"/>
    </xf>
    <xf numFmtId="0" fontId="31" fillId="0" borderId="2" xfId="0" applyFont="1" applyBorder="1" applyAlignment="1" applyProtection="1">
      <alignment horizontal="center"/>
      <protection hidden="1"/>
    </xf>
    <xf numFmtId="0" fontId="31" fillId="0" borderId="2" xfId="0" applyFont="1" applyBorder="1" applyAlignment="1" applyProtection="1">
      <alignment horizontal="right"/>
      <protection hidden="1"/>
    </xf>
    <xf numFmtId="0" fontId="31" fillId="0" borderId="14" xfId="0" applyFont="1" applyBorder="1" applyAlignment="1" applyProtection="1">
      <alignment horizontal="center"/>
      <protection hidden="1"/>
    </xf>
    <xf numFmtId="190" fontId="31" fillId="0" borderId="14" xfId="0" applyNumberFormat="1" applyFont="1" applyBorder="1" applyAlignment="1" applyProtection="1">
      <alignment horizontal="right"/>
      <protection hidden="1"/>
    </xf>
    <xf numFmtId="0" fontId="31" fillId="0" borderId="14" xfId="0" applyFont="1" applyBorder="1" applyAlignment="1" applyProtection="1">
      <alignment horizontal="right"/>
      <protection hidden="1"/>
    </xf>
    <xf numFmtId="0" fontId="31" fillId="0" borderId="9" xfId="0" applyFont="1" applyBorder="1" applyAlignment="1" applyProtection="1">
      <alignment horizontal="left"/>
      <protection hidden="1"/>
    </xf>
    <xf numFmtId="0" fontId="31" fillId="0" borderId="0" xfId="0" applyFont="1" applyBorder="1" applyAlignment="1" applyProtection="1">
      <alignment horizontal="left"/>
      <protection hidden="1"/>
    </xf>
    <xf numFmtId="0" fontId="31" fillId="0" borderId="10" xfId="0" applyFont="1" applyBorder="1" applyAlignment="1" applyProtection="1">
      <alignment horizontal="left"/>
      <protection hidden="1"/>
    </xf>
    <xf numFmtId="190" fontId="35" fillId="0" borderId="14" xfId="0" applyNumberFormat="1" applyFont="1" applyBorder="1" applyAlignment="1" applyProtection="1">
      <alignment horizontal="right"/>
      <protection hidden="1"/>
    </xf>
    <xf numFmtId="0" fontId="31" fillId="0" borderId="15" xfId="0" applyFont="1" applyBorder="1" applyAlignment="1" applyProtection="1">
      <alignment horizontal="center"/>
      <protection hidden="1"/>
    </xf>
    <xf numFmtId="190" fontId="31" fillId="0" borderId="15" xfId="0" applyNumberFormat="1" applyFont="1" applyBorder="1" applyAlignment="1" applyProtection="1">
      <alignment horizontal="right"/>
      <protection hidden="1"/>
    </xf>
    <xf numFmtId="0" fontId="31" fillId="0" borderId="15" xfId="0" applyFont="1" applyBorder="1" applyAlignment="1" applyProtection="1">
      <alignment horizontal="right"/>
      <protection hidden="1"/>
    </xf>
    <xf numFmtId="0" fontId="31" fillId="0" borderId="2" xfId="0" applyFont="1" applyBorder="1" applyAlignment="1" applyProtection="1">
      <alignment horizontal="left"/>
      <protection hidden="1"/>
    </xf>
    <xf numFmtId="190" fontId="31" fillId="0" borderId="13" xfId="0" applyNumberFormat="1" applyFont="1" applyBorder="1" applyAlignment="1" applyProtection="1">
      <alignment horizontal="right"/>
      <protection hidden="1"/>
    </xf>
    <xf numFmtId="0" fontId="31" fillId="0" borderId="13" xfId="0" applyFont="1" applyBorder="1" applyAlignment="1" applyProtection="1">
      <alignment horizontal="right"/>
      <protection hidden="1"/>
    </xf>
    <xf numFmtId="0" fontId="31" fillId="0" borderId="9" xfId="0" applyFont="1" applyBorder="1" applyAlignment="1" applyProtection="1">
      <alignment horizontal="left" vertical="top"/>
      <protection hidden="1"/>
    </xf>
    <xf numFmtId="0" fontId="31" fillId="0" borderId="0" xfId="0" applyFont="1" applyBorder="1" applyAlignment="1" applyProtection="1">
      <alignment horizontal="left" vertical="top"/>
      <protection hidden="1"/>
    </xf>
    <xf numFmtId="0" fontId="31" fillId="0" borderId="10" xfId="0" applyFont="1" applyBorder="1" applyAlignment="1" applyProtection="1">
      <alignment horizontal="left" vertical="top"/>
      <protection hidden="1"/>
    </xf>
    <xf numFmtId="0" fontId="31" fillId="0" borderId="14" xfId="0" applyFont="1" applyBorder="1" applyAlignment="1" applyProtection="1">
      <alignment horizontal="left"/>
      <protection hidden="1"/>
    </xf>
    <xf numFmtId="190" fontId="31" fillId="0" borderId="3" xfId="0" applyNumberFormat="1" applyFont="1" applyBorder="1" applyAlignment="1" applyProtection="1">
      <alignment horizontal="right"/>
      <protection hidden="1"/>
    </xf>
    <xf numFmtId="0" fontId="31" fillId="0" borderId="5" xfId="0" applyFont="1" applyBorder="1" applyAlignment="1" applyProtection="1">
      <alignment horizontal="right"/>
      <protection hidden="1"/>
    </xf>
    <xf numFmtId="0" fontId="31" fillId="0" borderId="9" xfId="0" applyFont="1" applyBorder="1" applyAlignment="1" applyProtection="1">
      <alignment horizontal="center"/>
      <protection hidden="1"/>
    </xf>
    <xf numFmtId="0" fontId="31" fillId="0" borderId="0" xfId="0" applyFont="1" applyBorder="1" applyAlignment="1" applyProtection="1">
      <alignment horizontal="center"/>
      <protection hidden="1"/>
    </xf>
    <xf numFmtId="0" fontId="31" fillId="0" borderId="10" xfId="0" applyFont="1" applyBorder="1" applyAlignment="1" applyProtection="1">
      <alignment horizontal="center"/>
      <protection hidden="1"/>
    </xf>
    <xf numFmtId="191" fontId="31" fillId="0" borderId="1" xfId="0" applyNumberFormat="1" applyFont="1" applyBorder="1" applyAlignment="1" applyProtection="1">
      <alignment horizontal="left"/>
      <protection hidden="1"/>
    </xf>
    <xf numFmtId="191" fontId="31" fillId="0" borderId="12" xfId="0" applyNumberFormat="1" applyFont="1" applyBorder="1" applyAlignment="1" applyProtection="1">
      <alignment horizontal="left"/>
      <protection hidden="1"/>
    </xf>
    <xf numFmtId="0" fontId="31" fillId="0" borderId="11" xfId="0" applyFont="1" applyBorder="1" applyAlignment="1" applyProtection="1">
      <alignment horizontal="left"/>
      <protection hidden="1"/>
    </xf>
    <xf numFmtId="0" fontId="31" fillId="0" borderId="1" xfId="0" applyFont="1" applyBorder="1" applyAlignment="1" applyProtection="1">
      <alignment horizontal="left"/>
      <protection hidden="1"/>
    </xf>
    <xf numFmtId="0" fontId="31" fillId="0" borderId="12" xfId="0" applyFont="1" applyBorder="1" applyAlignment="1" applyProtection="1">
      <alignment horizontal="left"/>
      <protection hidden="1"/>
    </xf>
    <xf numFmtId="0" fontId="36" fillId="15" borderId="13" xfId="0" applyFont="1" applyFill="1" applyBorder="1" applyAlignment="1" applyProtection="1">
      <alignment horizontal="center"/>
      <protection hidden="1"/>
    </xf>
    <xf numFmtId="0" fontId="31" fillId="0" borderId="13" xfId="0" applyFont="1" applyBorder="1" applyAlignment="1" applyProtection="1">
      <alignment horizontal="left"/>
      <protection hidden="1"/>
    </xf>
  </cellXfs>
  <cellStyles count="11">
    <cellStyle name="Comma" xfId="1" builtinId="3"/>
    <cellStyle name="Comma 2" xfId="10"/>
    <cellStyle name="Explanatory Text" xfId="2" builtinId="53"/>
    <cellStyle name="Heading 4" xfId="3" builtinId="19"/>
    <cellStyle name="Neutral" xfId="7" builtinId="28"/>
    <cellStyle name="Normal" xfId="0" builtinId="0"/>
    <cellStyle name="Normal 2" xfId="4"/>
    <cellStyle name="Normal 3" xfId="8"/>
    <cellStyle name="Note" xfId="5" builtinId="10"/>
    <cellStyle name="Percent" xfId="6" builtinId="5"/>
    <cellStyle name="Percent 2" xfId="9"/>
  </cellStyles>
  <dxfs count="0"/>
  <tableStyles count="0" defaultTableStyle="TableStyleMedium2"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[2020 Mar SCG CEMEN WAREHOUSE MANAGEMENT REPORT.xlsm]PivotTable!PivotTable2</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DELIVERY VOLUME (SHIP UNIT)</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th-TH"/>
        </a:p>
      </c:txPr>
    </c:title>
    <c:autoTitleDeleted val="0"/>
    <c:pivotFmts>
      <c:pivotFmt>
        <c:idx val="0"/>
      </c:pivotFmt>
      <c:pivotFmt>
        <c:idx val="1"/>
      </c:pivotFmt>
      <c:pivotFmt>
        <c:idx val="2"/>
      </c:pivotFmt>
      <c:pivotFmt>
        <c:idx val="3"/>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4"/>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pivotFmt>
      <c:pivotFmt>
        <c:idx val="7"/>
      </c:pivotFmt>
      <c:pivotFmt>
        <c:idx val="8"/>
      </c:pivotFmt>
      <c:pivotFmt>
        <c:idx val="9"/>
        <c:dLbl>
          <c:idx val="0"/>
          <c:dLblPos val="inEnd"/>
          <c:showLegendKey val="0"/>
          <c:showVal val="1"/>
          <c:showCatName val="0"/>
          <c:showSerName val="0"/>
          <c:showPercent val="0"/>
          <c:showBubbleSize val="0"/>
          <c:extLst>
            <c:ext xmlns:c15="http://schemas.microsoft.com/office/drawing/2012/chart" uri="{CE6537A1-D6FC-4f65-9D91-7224C49458BB}"/>
          </c:extLst>
        </c:dLbl>
      </c:pivotFmt>
      <c:pivotFmt>
        <c:idx val="10"/>
      </c:pivotFmt>
      <c:pivotFmt>
        <c:idx val="11"/>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85000"/>
            </a:schemeClr>
          </a:solidFill>
          <a:ln w="9525" cap="flat" cmpd="sng" algn="ctr">
            <a:solidFill>
              <a:schemeClr val="lt1">
                <a:alpha val="50000"/>
              </a:schemeClr>
            </a:solidFill>
            <a:round/>
          </a:ln>
          <a:effectLst/>
        </c:spPr>
        <c:marker>
          <c:spPr>
            <a:solidFill>
              <a:schemeClr val="accent1">
                <a:alpha val="85000"/>
              </a:schemeClr>
            </a:solidFill>
            <a:ln>
              <a:noFill/>
            </a:ln>
            <a:effectLst/>
          </c:spPr>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85000"/>
            </a:schemeClr>
          </a:solidFill>
          <a:ln w="9525" cap="flat" cmpd="sng" algn="ctr">
            <a:solidFill>
              <a:schemeClr val="lt1">
                <a:alpha val="50000"/>
              </a:schemeClr>
            </a:solidFill>
            <a:round/>
          </a:ln>
          <a:effectLst/>
        </c:spPr>
        <c:marker>
          <c:symbol val="none"/>
        </c:marker>
      </c:pivotFmt>
      <c:pivotFmt>
        <c:idx val="22"/>
        <c:spPr>
          <a:solidFill>
            <a:schemeClr val="accent1">
              <a:alpha val="85000"/>
            </a:schemeClr>
          </a:solidFill>
          <a:ln w="9525" cap="flat" cmpd="sng" algn="ctr">
            <a:solidFill>
              <a:schemeClr val="lt1">
                <a:alpha val="50000"/>
              </a:schemeClr>
            </a:solidFill>
            <a:round/>
          </a:ln>
          <a:effectLst/>
        </c:spPr>
        <c:marker>
          <c:symbol val="none"/>
        </c:marker>
      </c:pivotFmt>
      <c:pivotFmt>
        <c:idx val="23"/>
        <c:spPr>
          <a:solidFill>
            <a:schemeClr val="accent1">
              <a:alpha val="85000"/>
            </a:schemeClr>
          </a:solidFill>
          <a:ln w="9525" cap="flat" cmpd="sng" algn="ctr">
            <a:solidFill>
              <a:schemeClr val="lt1">
                <a:alpha val="50000"/>
              </a:schemeClr>
            </a:solidFill>
            <a:round/>
          </a:ln>
          <a:effectLst/>
        </c:spPr>
        <c:marker>
          <c:symbol val="none"/>
        </c:marker>
      </c:pivotFmt>
    </c:pivotFmts>
    <c:plotArea>
      <c:layout/>
      <c:barChart>
        <c:barDir val="col"/>
        <c:grouping val="stacked"/>
        <c:varyColors val="0"/>
        <c:ser>
          <c:idx val="0"/>
          <c:order val="0"/>
          <c:tx>
            <c:strRef>
              <c:f>PivotTable!$B$3:$B$4</c:f>
              <c:strCache>
                <c:ptCount val="1"/>
                <c:pt idx="0">
                  <c:v>M</c:v>
                </c:pt>
              </c:strCache>
            </c:strRef>
          </c:tx>
          <c:spPr>
            <a:solidFill>
              <a:schemeClr val="accent1">
                <a:alpha val="85000"/>
              </a:schemeClr>
            </a:solidFill>
            <a:ln w="9525" cap="flat" cmpd="sng" algn="ctr">
              <a:solidFill>
                <a:schemeClr val="lt1">
                  <a:alpha val="50000"/>
                </a:schemeClr>
              </a:solidFill>
              <a:round/>
            </a:ln>
            <a:effectLst/>
          </c:spPr>
          <c:invertIfNegative val="0"/>
          <c:dLbls>
            <c:delete val="1"/>
          </c:dLbls>
          <c:cat>
            <c:strRef>
              <c:f>PivotTable!$A$5:$A$12</c:f>
              <c:strCache>
                <c:ptCount val="7"/>
                <c:pt idx="0">
                  <c:v>2/3/2020</c:v>
                </c:pt>
                <c:pt idx="1">
                  <c:v>5/3/2020</c:v>
                </c:pt>
                <c:pt idx="2">
                  <c:v>9/3/2020</c:v>
                </c:pt>
                <c:pt idx="3">
                  <c:v>10/3/2020</c:v>
                </c:pt>
                <c:pt idx="4">
                  <c:v>14/3/2020</c:v>
                </c:pt>
                <c:pt idx="5">
                  <c:v>16/3/2020</c:v>
                </c:pt>
                <c:pt idx="6">
                  <c:v>17/3/2020</c:v>
                </c:pt>
              </c:strCache>
            </c:strRef>
          </c:cat>
          <c:val>
            <c:numRef>
              <c:f>PivotTable!$B$5:$B$12</c:f>
              <c:numCache>
                <c:formatCode>General</c:formatCode>
                <c:ptCount val="7"/>
                <c:pt idx="3">
                  <c:v>3</c:v>
                </c:pt>
                <c:pt idx="6">
                  <c:v>1</c:v>
                </c:pt>
              </c:numCache>
            </c:numRef>
          </c:val>
          <c:extLst>
            <c:ext xmlns:c16="http://schemas.microsoft.com/office/drawing/2014/chart" uri="{C3380CC4-5D6E-409C-BE32-E72D297353CC}">
              <c16:uniqueId val="{00000000-2DD2-45D0-9D53-00D6B454F2D5}"/>
            </c:ext>
          </c:extLst>
        </c:ser>
        <c:ser>
          <c:idx val="1"/>
          <c:order val="1"/>
          <c:tx>
            <c:strRef>
              <c:f>PivotTable!$C$3:$C$4</c:f>
              <c:strCache>
                <c:ptCount val="1"/>
                <c:pt idx="0">
                  <c:v>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PivotTable!$A$5:$A$12</c:f>
              <c:strCache>
                <c:ptCount val="7"/>
                <c:pt idx="0">
                  <c:v>2/3/2020</c:v>
                </c:pt>
                <c:pt idx="1">
                  <c:v>5/3/2020</c:v>
                </c:pt>
                <c:pt idx="2">
                  <c:v>9/3/2020</c:v>
                </c:pt>
                <c:pt idx="3">
                  <c:v>10/3/2020</c:v>
                </c:pt>
                <c:pt idx="4">
                  <c:v>14/3/2020</c:v>
                </c:pt>
                <c:pt idx="5">
                  <c:v>16/3/2020</c:v>
                </c:pt>
                <c:pt idx="6">
                  <c:v>17/3/2020</c:v>
                </c:pt>
              </c:strCache>
            </c:strRef>
          </c:cat>
          <c:val>
            <c:numRef>
              <c:f>PivotTable!$C$5:$C$12</c:f>
              <c:numCache>
                <c:formatCode>General</c:formatCode>
                <c:ptCount val="7"/>
                <c:pt idx="5">
                  <c:v>10</c:v>
                </c:pt>
              </c:numCache>
            </c:numRef>
          </c:val>
          <c:extLst>
            <c:ext xmlns:c16="http://schemas.microsoft.com/office/drawing/2014/chart" uri="{C3380CC4-5D6E-409C-BE32-E72D297353CC}">
              <c16:uniqueId val="{00000000-6934-4AD2-A714-4ED683872B54}"/>
            </c:ext>
          </c:extLst>
        </c:ser>
        <c:ser>
          <c:idx val="2"/>
          <c:order val="2"/>
          <c:tx>
            <c:strRef>
              <c:f>PivotTable!$D$3:$D$4</c:f>
              <c:strCache>
                <c:ptCount val="1"/>
                <c:pt idx="0">
                  <c:v>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PivotTable!$A$5:$A$12</c:f>
              <c:strCache>
                <c:ptCount val="7"/>
                <c:pt idx="0">
                  <c:v>2/3/2020</c:v>
                </c:pt>
                <c:pt idx="1">
                  <c:v>5/3/2020</c:v>
                </c:pt>
                <c:pt idx="2">
                  <c:v>9/3/2020</c:v>
                </c:pt>
                <c:pt idx="3">
                  <c:v>10/3/2020</c:v>
                </c:pt>
                <c:pt idx="4">
                  <c:v>14/3/2020</c:v>
                </c:pt>
                <c:pt idx="5">
                  <c:v>16/3/2020</c:v>
                </c:pt>
                <c:pt idx="6">
                  <c:v>17/3/2020</c:v>
                </c:pt>
              </c:strCache>
            </c:strRef>
          </c:cat>
          <c:val>
            <c:numRef>
              <c:f>PivotTable!$D$5:$D$12</c:f>
              <c:numCache>
                <c:formatCode>General</c:formatCode>
                <c:ptCount val="7"/>
                <c:pt idx="0">
                  <c:v>2</c:v>
                </c:pt>
                <c:pt idx="2">
                  <c:v>1</c:v>
                </c:pt>
                <c:pt idx="6">
                  <c:v>4</c:v>
                </c:pt>
              </c:numCache>
            </c:numRef>
          </c:val>
          <c:extLst>
            <c:ext xmlns:c16="http://schemas.microsoft.com/office/drawing/2014/chart" uri="{C3380CC4-5D6E-409C-BE32-E72D297353CC}">
              <c16:uniqueId val="{00000001-6934-4AD2-A714-4ED683872B54}"/>
            </c:ext>
          </c:extLst>
        </c:ser>
        <c:ser>
          <c:idx val="3"/>
          <c:order val="3"/>
          <c:tx>
            <c:strRef>
              <c:f>PivotTable!$E$3:$E$4</c:f>
              <c:strCache>
                <c:ptCount val="1"/>
                <c:pt idx="0">
                  <c:v>M+</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th-TH"/>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PivotTable!$A$5:$A$12</c:f>
              <c:strCache>
                <c:ptCount val="7"/>
                <c:pt idx="0">
                  <c:v>2/3/2020</c:v>
                </c:pt>
                <c:pt idx="1">
                  <c:v>5/3/2020</c:v>
                </c:pt>
                <c:pt idx="2">
                  <c:v>9/3/2020</c:v>
                </c:pt>
                <c:pt idx="3">
                  <c:v>10/3/2020</c:v>
                </c:pt>
                <c:pt idx="4">
                  <c:v>14/3/2020</c:v>
                </c:pt>
                <c:pt idx="5">
                  <c:v>16/3/2020</c:v>
                </c:pt>
                <c:pt idx="6">
                  <c:v>17/3/2020</c:v>
                </c:pt>
              </c:strCache>
            </c:strRef>
          </c:cat>
          <c:val>
            <c:numRef>
              <c:f>PivotTable!$E$5:$E$12</c:f>
              <c:numCache>
                <c:formatCode>General</c:formatCode>
                <c:ptCount val="7"/>
                <c:pt idx="1">
                  <c:v>1</c:v>
                </c:pt>
                <c:pt idx="4">
                  <c:v>1</c:v>
                </c:pt>
                <c:pt idx="6">
                  <c:v>3</c:v>
                </c:pt>
              </c:numCache>
            </c:numRef>
          </c:val>
          <c:extLst>
            <c:ext xmlns:c16="http://schemas.microsoft.com/office/drawing/2014/chart" uri="{C3380CC4-5D6E-409C-BE32-E72D297353CC}">
              <c16:uniqueId val="{00000002-6934-4AD2-A714-4ED683872B54}"/>
            </c:ext>
          </c:extLst>
        </c:ser>
        <c:dLbls>
          <c:dLblPos val="ctr"/>
          <c:showLegendKey val="0"/>
          <c:showVal val="1"/>
          <c:showCatName val="0"/>
          <c:showSerName val="0"/>
          <c:showPercent val="0"/>
          <c:showBubbleSize val="0"/>
        </c:dLbls>
        <c:gapWidth val="150"/>
        <c:overlap val="100"/>
        <c:axId val="429528960"/>
        <c:axId val="429530496"/>
      </c:barChart>
      <c:catAx>
        <c:axId val="4295289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th-TH"/>
          </a:p>
        </c:txPr>
        <c:crossAx val="429530496"/>
        <c:crosses val="autoZero"/>
        <c:auto val="1"/>
        <c:lblAlgn val="ctr"/>
        <c:lblOffset val="100"/>
        <c:noMultiLvlLbl val="0"/>
      </c:catAx>
      <c:valAx>
        <c:axId val="429530496"/>
        <c:scaling>
          <c:orientation val="minMax"/>
        </c:scaling>
        <c:delete val="1"/>
        <c:axPos val="l"/>
        <c:numFmt formatCode="General" sourceLinked="1"/>
        <c:majorTickMark val="none"/>
        <c:minorTickMark val="none"/>
        <c:tickLblPos val="nextTo"/>
        <c:crossAx val="429528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th-TH"/>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all" spc="100" normalizeH="0" baseline="0">
                <a:solidFill>
                  <a:srgbClr val="0070C0"/>
                </a:solidFill>
                <a:latin typeface="Arial" panose="020B0604020202020204" pitchFamily="34" charset="0"/>
                <a:ea typeface="+mn-ea"/>
                <a:cs typeface="Arial" panose="020B0604020202020204" pitchFamily="34" charset="0"/>
              </a:defRPr>
            </a:pPr>
            <a:r>
              <a:rPr lang="en-US" sz="1100">
                <a:solidFill>
                  <a:srgbClr val="0070C0"/>
                </a:solidFill>
                <a:latin typeface="Arial" panose="020B0604020202020204" pitchFamily="34" charset="0"/>
                <a:cs typeface="Arial" panose="020B0604020202020204" pitchFamily="34" charset="0"/>
              </a:rPr>
              <a:t>KPI</a:t>
            </a:r>
            <a:r>
              <a:rPr lang="en-US" sz="1100" baseline="0">
                <a:solidFill>
                  <a:srgbClr val="0070C0"/>
                </a:solidFill>
                <a:latin typeface="Arial" panose="020B0604020202020204" pitchFamily="34" charset="0"/>
                <a:cs typeface="Arial" panose="020B0604020202020204" pitchFamily="34" charset="0"/>
              </a:rPr>
              <a:t> ON TIME DELIVERY</a:t>
            </a:r>
            <a:endParaRPr lang="en-US" sz="1100">
              <a:solidFill>
                <a:srgbClr val="0070C0"/>
              </a:solidFill>
              <a:latin typeface="Arial" panose="020B0604020202020204" pitchFamily="34" charset="0"/>
              <a:cs typeface="Arial" panose="020B0604020202020204" pitchFamily="34" charset="0"/>
            </a:endParaRPr>
          </a:p>
        </c:rich>
      </c:tx>
      <c:overlay val="0"/>
      <c:spPr>
        <a:noFill/>
        <a:ln>
          <a:noFill/>
        </a:ln>
        <a:effectLst/>
      </c:spPr>
    </c:title>
    <c:autoTitleDeleted val="0"/>
    <c:plotArea>
      <c:layout>
        <c:manualLayout>
          <c:layoutTarget val="inner"/>
          <c:xMode val="edge"/>
          <c:yMode val="edge"/>
          <c:x val="0.26009316441102542"/>
          <c:y val="0.15360975671117399"/>
          <c:w val="0.47153177433306454"/>
          <c:h val="0.69969219991426879"/>
        </c:manualLayout>
      </c:layout>
      <c:doughnutChart>
        <c:varyColors val="1"/>
        <c:ser>
          <c:idx val="0"/>
          <c:order val="0"/>
          <c:spPr>
            <a:solidFill>
              <a:srgbClr val="00B0F0"/>
            </a:solidFill>
            <a:ln w="19050">
              <a:noFill/>
            </a:ln>
            <a:effectLst/>
          </c:spPr>
          <c:dPt>
            <c:idx val="0"/>
            <c:bubble3D val="0"/>
            <c:extLst>
              <c:ext xmlns:c16="http://schemas.microsoft.com/office/drawing/2014/chart" uri="{C3380CC4-5D6E-409C-BE32-E72D297353CC}">
                <c16:uniqueId val="{00000001-633E-4AD4-BFA8-33FDEB1FA596}"/>
              </c:ext>
            </c:extLst>
          </c:dPt>
          <c:dPt>
            <c:idx val="1"/>
            <c:bubble3D val="0"/>
            <c:spPr>
              <a:solidFill>
                <a:srgbClr val="FF0000"/>
              </a:solidFill>
              <a:ln w="19050">
                <a:noFill/>
              </a:ln>
              <a:effectLst/>
            </c:spPr>
            <c:extLst>
              <c:ext xmlns:c16="http://schemas.microsoft.com/office/drawing/2014/chart" uri="{C3380CC4-5D6E-409C-BE32-E72D297353CC}">
                <c16:uniqueId val="{00000003-633E-4AD4-BFA8-33FDEB1FA59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th-TH"/>
              </a:p>
            </c:txPr>
            <c:showLegendKey val="0"/>
            <c:showVal val="1"/>
            <c:showCatName val="0"/>
            <c:showSerName val="0"/>
            <c:showPercent val="0"/>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'PERFORMANCE DASHBOARD'!$A$31:$A$32</c:f>
              <c:strCache>
                <c:ptCount val="2"/>
                <c:pt idx="0">
                  <c:v>ON TIME DELIVERY</c:v>
                </c:pt>
                <c:pt idx="1">
                  <c:v>MISSED DELIVERY</c:v>
                </c:pt>
              </c:strCache>
            </c:strRef>
          </c:cat>
          <c:val>
            <c:numRef>
              <c:f>'PERFORMANCE DASHBOARD'!$D$31:$D$32</c:f>
              <c:numCache>
                <c:formatCode>0%</c:formatCode>
                <c:ptCount val="2"/>
                <c:pt idx="0">
                  <c:v>0</c:v>
                </c:pt>
                <c:pt idx="1">
                  <c:v>0</c:v>
                </c:pt>
              </c:numCache>
            </c:numRef>
          </c:val>
          <c:extLst>
            <c:ext xmlns:c16="http://schemas.microsoft.com/office/drawing/2014/chart" uri="{C3380CC4-5D6E-409C-BE32-E72D297353CC}">
              <c16:uniqueId val="{00000004-633E-4AD4-BFA8-33FDEB1FA596}"/>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th-TH"/>
        </a:p>
      </c:txPr>
    </c:legend>
    <c:plotVisOnly val="1"/>
    <c:dispBlanksAs val="gap"/>
    <c:showDLblsOverMax val="0"/>
  </c:chart>
  <c:spPr>
    <a:solidFill>
      <a:schemeClr val="accent1">
        <a:lumMod val="20000"/>
        <a:lumOff val="80000"/>
      </a:schemeClr>
    </a:solidFill>
    <a:ln w="9525" cap="flat" cmpd="sng" algn="ctr">
      <a:noFill/>
      <a:round/>
    </a:ln>
    <a:effectLst/>
  </c:spPr>
  <c:txPr>
    <a:bodyPr/>
    <a:lstStyle/>
    <a:p>
      <a:pPr>
        <a:defRPr/>
      </a:pPr>
      <a:endParaRPr lang="th-TH"/>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cap="all" spc="100" normalizeH="0" baseline="0">
                <a:solidFill>
                  <a:srgbClr val="0070C0"/>
                </a:solidFill>
                <a:latin typeface="Arial" panose="020B0604020202020204" pitchFamily="34" charset="0"/>
                <a:ea typeface="+mn-ea"/>
                <a:cs typeface="Arial" panose="020B0604020202020204" pitchFamily="34" charset="0"/>
              </a:defRPr>
            </a:pPr>
            <a:r>
              <a:rPr lang="en-US" sz="1100">
                <a:solidFill>
                  <a:srgbClr val="0070C0"/>
                </a:solidFill>
                <a:latin typeface="Arial" panose="020B0604020202020204" pitchFamily="34" charset="0"/>
                <a:cs typeface="Arial" panose="020B0604020202020204" pitchFamily="34" charset="0"/>
              </a:rPr>
              <a:t>KPI</a:t>
            </a:r>
            <a:r>
              <a:rPr lang="en-US" sz="1100" baseline="0">
                <a:solidFill>
                  <a:srgbClr val="0070C0"/>
                </a:solidFill>
                <a:latin typeface="Arial" panose="020B0604020202020204" pitchFamily="34" charset="0"/>
                <a:cs typeface="Arial" panose="020B0604020202020204" pitchFamily="34" charset="0"/>
              </a:rPr>
              <a:t> ON TIME DELIVERY</a:t>
            </a:r>
            <a:endParaRPr lang="en-US" sz="1100">
              <a:solidFill>
                <a:srgbClr val="0070C0"/>
              </a:solidFill>
              <a:latin typeface="Arial" panose="020B0604020202020204" pitchFamily="34" charset="0"/>
              <a:cs typeface="Arial" panose="020B0604020202020204" pitchFamily="34" charset="0"/>
            </a:endParaRPr>
          </a:p>
        </c:rich>
      </c:tx>
      <c:overlay val="0"/>
      <c:spPr>
        <a:noFill/>
        <a:ln>
          <a:noFill/>
        </a:ln>
        <a:effectLst/>
      </c:spPr>
    </c:title>
    <c:autoTitleDeleted val="0"/>
    <c:plotArea>
      <c:layout>
        <c:manualLayout>
          <c:layoutTarget val="inner"/>
          <c:xMode val="edge"/>
          <c:yMode val="edge"/>
          <c:x val="0.26009316441102542"/>
          <c:y val="0.15360975671117399"/>
          <c:w val="0.47153177433306454"/>
          <c:h val="0.69969219991426879"/>
        </c:manualLayout>
      </c:layout>
      <c:doughnutChart>
        <c:varyColors val="1"/>
        <c:ser>
          <c:idx val="0"/>
          <c:order val="0"/>
          <c:spPr>
            <a:solidFill>
              <a:srgbClr val="00B0F0"/>
            </a:solidFill>
            <a:ln w="19050">
              <a:noFill/>
            </a:ln>
            <a:effectLst/>
          </c:spPr>
          <c:dPt>
            <c:idx val="0"/>
            <c:bubble3D val="0"/>
            <c:extLst>
              <c:ext xmlns:c16="http://schemas.microsoft.com/office/drawing/2014/chart" uri="{C3380CC4-5D6E-409C-BE32-E72D297353CC}">
                <c16:uniqueId val="{00000001-0FAA-46D7-A5C5-5DB0B3CDE04B}"/>
              </c:ext>
            </c:extLst>
          </c:dPt>
          <c:dPt>
            <c:idx val="1"/>
            <c:bubble3D val="0"/>
            <c:spPr>
              <a:solidFill>
                <a:srgbClr val="FF0000"/>
              </a:solidFill>
              <a:ln w="19050">
                <a:noFill/>
              </a:ln>
              <a:effectLst/>
            </c:spPr>
            <c:extLst>
              <c:ext xmlns:c16="http://schemas.microsoft.com/office/drawing/2014/chart" uri="{C3380CC4-5D6E-409C-BE32-E72D297353CC}">
                <c16:uniqueId val="{00000003-0FAA-46D7-A5C5-5DB0B3CDE04B}"/>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th-TH"/>
              </a:p>
            </c:txPr>
            <c:showLegendKey val="0"/>
            <c:showVal val="1"/>
            <c:showCatName val="0"/>
            <c:showSerName val="0"/>
            <c:showPercent val="0"/>
            <c:showBubbleSize val="0"/>
            <c:showLeaderLines val="1"/>
            <c:leaderLines>
              <c:spPr>
                <a:ln w="9525">
                  <a:solidFill>
                    <a:schemeClr val="accent1">
                      <a:lumMod val="60000"/>
                      <a:lumOff val="40000"/>
                    </a:schemeClr>
                  </a:solidFill>
                </a:ln>
                <a:effectLst/>
              </c:spPr>
            </c:leaderLines>
            <c:extLst>
              <c:ext xmlns:c15="http://schemas.microsoft.com/office/drawing/2012/chart" uri="{CE6537A1-D6FC-4f65-9D91-7224C49458BB}"/>
            </c:extLst>
          </c:dLbls>
          <c:cat>
            <c:strRef>
              <c:f>'PERFORMANCE DASHBOARD'!$F$31:$F$32</c:f>
              <c:strCache>
                <c:ptCount val="2"/>
                <c:pt idx="0">
                  <c:v>ON TIME DELIVERY</c:v>
                </c:pt>
                <c:pt idx="1">
                  <c:v>MISSED DELIVERY</c:v>
                </c:pt>
              </c:strCache>
            </c:strRef>
          </c:cat>
          <c:val>
            <c:numRef>
              <c:f>'PERFORMANCE DASHBOARD'!$I$31:$I$32</c:f>
              <c:numCache>
                <c:formatCode>0%</c:formatCode>
                <c:ptCount val="2"/>
                <c:pt idx="0">
                  <c:v>1</c:v>
                </c:pt>
                <c:pt idx="1">
                  <c:v>0</c:v>
                </c:pt>
              </c:numCache>
            </c:numRef>
          </c:val>
          <c:extLst>
            <c:ext xmlns:c16="http://schemas.microsoft.com/office/drawing/2014/chart" uri="{C3380CC4-5D6E-409C-BE32-E72D297353CC}">
              <c16:uniqueId val="{00000004-0FAA-46D7-A5C5-5DB0B3CDE04B}"/>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th-TH"/>
        </a:p>
      </c:txPr>
    </c:legend>
    <c:plotVisOnly val="1"/>
    <c:dispBlanksAs val="gap"/>
    <c:showDLblsOverMax val="0"/>
  </c:chart>
  <c:spPr>
    <a:solidFill>
      <a:schemeClr val="accent1">
        <a:lumMod val="20000"/>
        <a:lumOff val="80000"/>
      </a:schemeClr>
    </a:solidFill>
    <a:ln w="9525" cap="flat" cmpd="sng" algn="ctr">
      <a:noFill/>
      <a:round/>
    </a:ln>
    <a:effectLst/>
  </c:spPr>
  <c:txPr>
    <a:bodyPr/>
    <a:lstStyle/>
    <a:p>
      <a:pPr>
        <a:defRPr/>
      </a:pPr>
      <a:endParaRPr lang="th-TH"/>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3.png"/><Relationship Id="rId2" Type="http://schemas.openxmlformats.org/officeDocument/2006/relationships/hyperlink" Target="mailto:wituwats@scg.com?subject=Complaint%20and%20Suggestion" TargetMode="External"/><Relationship Id="rId1" Type="http://schemas.openxmlformats.org/officeDocument/2006/relationships/image" Target="../media/image1.pn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11</xdr:row>
      <xdr:rowOff>47625</xdr:rowOff>
    </xdr:from>
    <xdr:to>
      <xdr:col>0</xdr:col>
      <xdr:colOff>590550</xdr:colOff>
      <xdr:row>13</xdr:row>
      <xdr:rowOff>47625</xdr:rowOff>
    </xdr:to>
    <xdr:pic>
      <xdr:nvPicPr>
        <xdr:cNvPr id="5143" name="Picture 2" descr="Related image"/>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181100"/>
          <a:ext cx="5524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304800</xdr:colOff>
      <xdr:row>12</xdr:row>
      <xdr:rowOff>76200</xdr:rowOff>
    </xdr:from>
    <xdr:to>
      <xdr:col>9</xdr:col>
      <xdr:colOff>561975</xdr:colOff>
      <xdr:row>14</xdr:row>
      <xdr:rowOff>9525</xdr:rowOff>
    </xdr:to>
    <xdr:pic>
      <xdr:nvPicPr>
        <xdr:cNvPr id="5144" name="Picture 3" descr="Image result for mail icon png">
          <a:hlinkClick xmlns:r="http://schemas.openxmlformats.org/officeDocument/2006/relationships" r:id="rId2"/>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791200" y="1371600"/>
          <a:ext cx="257175" cy="25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66675</xdr:colOff>
      <xdr:row>36</xdr:row>
      <xdr:rowOff>161924</xdr:rowOff>
    </xdr:from>
    <xdr:to>
      <xdr:col>9</xdr:col>
      <xdr:colOff>561976</xdr:colOff>
      <xdr:row>52</xdr:row>
      <xdr:rowOff>57149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19050</xdr:colOff>
      <xdr:row>16</xdr:row>
      <xdr:rowOff>19050</xdr:rowOff>
    </xdr:from>
    <xdr:to>
      <xdr:col>4</xdr:col>
      <xdr:colOff>571501</xdr:colOff>
      <xdr:row>28</xdr:row>
      <xdr:rowOff>142876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57150</xdr:colOff>
      <xdr:row>16</xdr:row>
      <xdr:rowOff>19050</xdr:rowOff>
    </xdr:from>
    <xdr:to>
      <xdr:col>9</xdr:col>
      <xdr:colOff>609601</xdr:colOff>
      <xdr:row>28</xdr:row>
      <xdr:rowOff>142876</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6</xdr:col>
      <xdr:colOff>457199</xdr:colOff>
      <xdr:row>0</xdr:row>
      <xdr:rowOff>28576</xdr:rowOff>
    </xdr:from>
    <xdr:to>
      <xdr:col>9</xdr:col>
      <xdr:colOff>571500</xdr:colOff>
      <xdr:row>3</xdr:row>
      <xdr:rowOff>60279</xdr:rowOff>
    </xdr:to>
    <xdr:pic>
      <xdr:nvPicPr>
        <xdr:cNvPr id="5" name="Picture 4"/>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229099" y="28576"/>
          <a:ext cx="2000251" cy="517478"/>
        </a:xfrm>
        <a:prstGeom prst="rect">
          <a:avLst/>
        </a:prstGeom>
      </xdr:spPr>
    </xdr:pic>
    <xdr:clientData/>
  </xdr:twoCellAnchor>
  <xdr:twoCellAnchor>
    <xdr:from>
      <xdr:col>11</xdr:col>
      <xdr:colOff>47624</xdr:colOff>
      <xdr:row>2</xdr:row>
      <xdr:rowOff>28575</xdr:rowOff>
    </xdr:from>
    <xdr:to>
      <xdr:col>13</xdr:col>
      <xdr:colOff>190499</xdr:colOff>
      <xdr:row>4</xdr:row>
      <xdr:rowOff>66675</xdr:rowOff>
    </xdr:to>
    <xdr:sp macro="[0]!Refresh" textlink="">
      <xdr:nvSpPr>
        <xdr:cNvPr id="7" name="Rounded Rectangle 6"/>
        <xdr:cNvSpPr/>
      </xdr:nvSpPr>
      <xdr:spPr>
        <a:xfrm>
          <a:off x="6753224" y="352425"/>
          <a:ext cx="1362075" cy="361950"/>
        </a:xfrm>
        <a:prstGeom prst="roundRect">
          <a:avLst/>
        </a:prstGeom>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ctr"/>
          <a:r>
            <a:rPr lang="en-US" sz="1100" b="1"/>
            <a:t>Refresh</a:t>
          </a:r>
          <a:endParaRPr lang="th-TH" sz="1100" b="1"/>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95250</xdr:colOff>
      <xdr:row>0</xdr:row>
      <xdr:rowOff>104775</xdr:rowOff>
    </xdr:from>
    <xdr:ext cx="2090372" cy="504825"/>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104775"/>
          <a:ext cx="2090372" cy="50482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oneCellAnchor>
    <xdr:from>
      <xdr:col>0</xdr:col>
      <xdr:colOff>95250</xdr:colOff>
      <xdr:row>0</xdr:row>
      <xdr:rowOff>104775</xdr:rowOff>
    </xdr:from>
    <xdr:ext cx="2090372" cy="504825"/>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104775"/>
          <a:ext cx="2090372" cy="504825"/>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editAs="oneCell">
    <xdr:from>
      <xdr:col>8</xdr:col>
      <xdr:colOff>66675</xdr:colOff>
      <xdr:row>1</xdr:row>
      <xdr:rowOff>57150</xdr:rowOff>
    </xdr:from>
    <xdr:to>
      <xdr:col>11</xdr:col>
      <xdr:colOff>123825</xdr:colOff>
      <xdr:row>5</xdr:row>
      <xdr:rowOff>66675</xdr:rowOff>
    </xdr:to>
    <xdr:pic>
      <xdr:nvPicPr>
        <xdr:cNvPr id="1037"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53175" y="200025"/>
          <a:ext cx="2514600" cy="581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wituwats\AppData\Local\Microsoft\Windows\INetCache\Content.Outlook\5ID6AO66\PROCESSING\2018%20NOV%20EPSON%20DELIVERY%20REPOR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PERFORMANCE DASHBOARD"/>
      <sheetName val="DELIVER REPORT"/>
      <sheetName val="SLAs"/>
      <sheetName val="SERVICE CHARGE SUMMARY (IDC) "/>
      <sheetName val="SERVICE CHARGE SUMMARY (CLAIM)"/>
      <sheetName val="SERVICE CHARGE SUMMARY (SELL)"/>
      <sheetName val="PIVOT TABLE"/>
      <sheetName val="TABLE RATE"/>
      <sheetName val="INDEX"/>
      <sheetName val="CHARGE SUMMARY (IDC)"/>
      <sheetName val="CHARGE SUMMARY (CLAIM)"/>
      <sheetName val="CHARGE SUMMARY (SELL)"/>
      <sheetName val="Sheet1"/>
    </sheetNames>
    <sheetDataSet>
      <sheetData sheetId="0"/>
      <sheetData sheetId="1"/>
      <sheetData sheetId="2"/>
      <sheetData sheetId="3"/>
      <sheetData sheetId="4">
        <row r="9">
          <cell r="E9">
            <v>1832</v>
          </cell>
        </row>
      </sheetData>
      <sheetData sheetId="5"/>
      <sheetData sheetId="6"/>
      <sheetData sheetId="7"/>
      <sheetData sheetId="8"/>
      <sheetData sheetId="9"/>
      <sheetData sheetId="10"/>
      <sheetData sheetId="11"/>
      <sheetData sheetId="12"/>
      <sheetData sheetId="1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3923.738624537036" createdVersion="6" refreshedVersion="6" minRefreshableVersion="3" recordCount="986">
  <cacheSource type="worksheet">
    <worksheetSource ref="A1:AS1966" sheet="DELIVER REPORT"/>
  </cacheSource>
  <cacheFields count="45">
    <cacheField name="Month" numFmtId="0">
      <sharedItems containsBlank="1" containsMixedTypes="1" containsNumber="1" containsInteger="1" minValue="1" maxValue="12" count="14">
        <n v="3"/>
        <s v=""/>
        <s v="END"/>
        <m/>
        <n v="5" u="1"/>
        <n v="2" u="1"/>
        <n v="6" u="1"/>
        <n v="7" u="1"/>
        <n v="1" u="1"/>
        <n v="8" u="1"/>
        <n v="9" u="1"/>
        <n v="11" u="1"/>
        <n v="4" u="1"/>
        <n v="12" u="1"/>
      </sharedItems>
    </cacheField>
    <cacheField name="DateText" numFmtId="0">
      <sharedItems containsBlank="1"/>
    </cacheField>
    <cacheField name="Date" numFmtId="187">
      <sharedItems containsNonDate="0" containsDate="1" containsString="0" containsBlank="1" minDate="2018-12-01T00:00:00" maxDate="2020-03-18T00:00:00" count="214">
        <d v="2020-03-02T00:00:00"/>
        <d v="2020-03-05T00:00:00"/>
        <d v="2020-03-09T00:00:00"/>
        <d v="2020-03-10T00:00:00"/>
        <d v="2020-03-14T00:00:00"/>
        <d v="2020-03-16T00:00:00"/>
        <d v="2020-03-17T00:00:00"/>
        <m/>
        <d v="2019-01-18T00:00:00" u="1"/>
        <d v="2019-08-07T00:00:00" u="1"/>
        <d v="2019-11-09T00:00:00" u="1"/>
        <d v="2019-07-22T00:00:00" u="1"/>
        <d v="2020-01-14T00:00:00" u="1"/>
        <d v="2019-07-18T00:00:00" u="1"/>
        <d v="2019-03-27T00:00:00" u="1"/>
        <d v="2019-07-10T00:00:00" u="1"/>
        <d v="2019-06-25T00:00:00" u="1"/>
        <d v="2019-04-04T00:00:00" u="1"/>
        <d v="2019-07-06T00:00:00" u="1"/>
        <d v="2019-03-19T00:00:00" u="1"/>
        <d v="2019-06-21T00:00:00" u="1"/>
        <d v="2018-12-25T00:00:00" u="1"/>
        <d v="2019-07-02T00:00:00" u="1"/>
        <d v="2019-03-15T00:00:00" u="1"/>
        <d v="2019-06-17T00:00:00" u="1"/>
        <d v="2019-06-13T00:00:00" u="1"/>
        <d v="2019-02-26T00:00:00" u="1"/>
        <d v="2020-02-26T00:00:00" u="1"/>
        <d v="2018-12-17T00:00:00" u="1"/>
        <d v="2019-05-28T00:00:00" u="1"/>
        <d v="2019-08-30T00:00:00" u="1"/>
        <d v="2019-02-22T00:00:00" u="1"/>
        <d v="2020-02-22T00:00:00" u="1"/>
        <d v="2018-12-13T00:00:00" u="1"/>
        <d v="2019-05-24T00:00:00" u="1"/>
        <d v="2019-08-26T00:00:00" u="1"/>
        <d v="2019-06-05T00:00:00" u="1"/>
        <d v="2019-09-07T00:00:00" u="1"/>
        <d v="2020-02-18T00:00:00" u="1"/>
        <d v="2019-05-20T00:00:00" u="1"/>
        <d v="2019-08-22T00:00:00" u="1"/>
        <d v="2019-06-01T00:00:00" u="1"/>
        <d v="2019-02-14T00:00:00" u="1"/>
        <d v="2019-09-03T00:00:00" u="1"/>
        <d v="2020-01-29T00:00:00" u="1"/>
        <d v="2019-11-20T00:00:00" u="1"/>
        <d v="2020-02-10T00:00:00" u="1"/>
        <d v="2018-12-01T00:00:00" u="1"/>
        <d v="2019-01-25T00:00:00" u="1"/>
        <d v="2019-08-14T00:00:00" u="1"/>
        <d v="2020-01-25T00:00:00" u="1"/>
        <d v="2019-04-27T00:00:00" u="1"/>
        <d v="2020-02-06T00:00:00" u="1"/>
        <d v="2019-05-08T00:00:00" u="1"/>
        <d v="2019-01-21T00:00:00" u="1"/>
        <d v="2019-08-10T00:00:00" u="1"/>
        <d v="2019-04-23T00:00:00" u="1"/>
        <d v="2019-11-12T00:00:00" u="1"/>
        <d v="2019-02-02T00:00:00" u="1"/>
        <d v="2019-07-25T00:00:00" u="1"/>
        <d v="2019-01-17T00:00:00" u="1"/>
        <d v="2019-04-19T00:00:00" u="1"/>
        <d v="2019-11-08T00:00:00" u="1"/>
        <d v="2019-08-02T00:00:00" u="1"/>
        <d v="2020-01-13T00:00:00" u="1"/>
        <d v="2019-07-17T00:00:00" u="1"/>
        <d v="2019-01-09T00:00:00" u="1"/>
        <d v="2019-07-13T00:00:00" u="1"/>
        <d v="2019-03-26T00:00:00" u="1"/>
        <d v="2019-06-28T00:00:00" u="1"/>
        <d v="2019-07-09T00:00:00" u="1"/>
        <d v="2019-03-22T00:00:00" u="1"/>
        <d v="2019-06-24T00:00:00" u="1"/>
        <d v="2019-04-03T00:00:00" u="1"/>
        <d v="2019-09-26T00:00:00" u="1"/>
        <d v="2019-07-05T00:00:00" u="1"/>
        <d v="2019-03-18T00:00:00" u="1"/>
        <d v="2019-06-20T00:00:00" u="1"/>
        <d v="2018-12-24T00:00:00" u="1"/>
        <d v="2019-07-01T00:00:00" u="1"/>
        <d v="2019-03-14T00:00:00" u="1"/>
        <d v="2019-09-18T00:00:00" u="1"/>
        <d v="2020-02-29T00:00:00" u="1"/>
        <d v="2018-12-20T00:00:00" u="1"/>
        <d v="2019-05-31T00:00:00" u="1"/>
        <d v="2019-06-12T00:00:00" u="1"/>
        <d v="2019-09-14T00:00:00" u="1"/>
        <d v="2020-02-25T00:00:00" u="1"/>
        <d v="2019-05-27T00:00:00" u="1"/>
        <d v="2019-03-06T00:00:00" u="1"/>
        <d v="2019-06-08T00:00:00" u="1"/>
        <d v="2019-09-10T00:00:00" u="1"/>
        <d v="2018-12-12T00:00:00" u="1"/>
        <d v="2019-05-23T00:00:00" u="1"/>
        <d v="2019-03-02T00:00:00" u="1"/>
        <d v="2019-06-04T00:00:00" u="1"/>
        <d v="2019-11-27T00:00:00" u="1"/>
        <d v="2019-09-06T00:00:00" u="1"/>
        <d v="2019-08-21T00:00:00" u="1"/>
        <d v="2019-11-23T00:00:00" u="1"/>
        <d v="2019-02-13T00:00:00" u="1"/>
        <d v="2019-09-02T00:00:00" u="1"/>
        <d v="2018-12-04T00:00:00" u="1"/>
        <d v="2019-05-15T00:00:00" u="1"/>
        <d v="2019-08-17T00:00:00" u="1"/>
        <d v="2020-01-28T00:00:00" u="1"/>
        <d v="2019-04-30T00:00:00" u="1"/>
        <d v="2019-11-19T00:00:00" u="1"/>
        <d v="2019-05-11T00:00:00" u="1"/>
        <d v="2019-04-26T00:00:00" u="1"/>
        <d v="2019-02-05T00:00:00" u="1"/>
        <d v="2020-02-05T00:00:00" u="1"/>
        <d v="2019-05-07T00:00:00" u="1"/>
        <d v="2019-08-09T00:00:00" u="1"/>
        <d v="2020-01-20T00:00:00" u="1"/>
        <d v="2019-04-22T00:00:00" u="1"/>
        <d v="2019-02-01T00:00:00" u="1"/>
        <d v="2019-07-24T00:00:00" u="1"/>
        <d v="2019-05-03T00:00:00" u="1"/>
        <d v="2020-01-16T00:00:00" u="1"/>
        <d v="2019-04-18T00:00:00" u="1"/>
        <d v="2019-11-07T00:00:00" u="1"/>
        <d v="2019-08-01T00:00:00" u="1"/>
        <d v="2019-03-29T00:00:00" u="1"/>
        <d v="2019-01-08T00:00:00" u="1"/>
        <d v="2020-01-08T00:00:00" u="1"/>
        <d v="2019-04-10T00:00:00" u="1"/>
        <d v="2019-07-12T00:00:00" u="1"/>
        <d v="2019-03-25T00:00:00" u="1"/>
        <d v="2019-01-04T00:00:00" u="1"/>
        <d v="2019-06-27T00:00:00" u="1"/>
        <d v="2020-01-04T00:00:00" u="1"/>
        <d v="2019-07-08T00:00:00" u="1"/>
        <d v="2019-03-21T00:00:00" u="1"/>
        <d v="2019-04-02T00:00:00" u="1"/>
        <d v="2019-09-25T00:00:00" u="1"/>
        <d v="2018-12-27T00:00:00" u="1"/>
        <d v="2019-07-04T00:00:00" u="1"/>
        <d v="2019-09-21T00:00:00" u="1"/>
        <d v="2019-03-13T00:00:00" u="1"/>
        <d v="2019-06-15T00:00:00" u="1"/>
        <d v="2019-09-17T00:00:00" u="1"/>
        <d v="2018-12-19T00:00:00" u="1"/>
        <d v="2019-05-30T00:00:00" u="1"/>
        <d v="2019-03-05T00:00:00" u="1"/>
        <d v="2019-08-28T00:00:00" u="1"/>
        <d v="2019-06-07T00:00:00" u="1"/>
        <d v="2018-12-11T00:00:00" u="1"/>
        <d v="2019-05-22T00:00:00" u="1"/>
        <d v="2019-03-01T00:00:00" u="1"/>
        <d v="2019-08-24T00:00:00" u="1"/>
        <d v="2019-09-05T00:00:00" u="1"/>
        <d v="2018-12-07T00:00:00" u="1"/>
        <d v="2019-01-31T00:00:00" u="1"/>
        <d v="2019-08-20T00:00:00" u="1"/>
        <d v="2020-01-31T00:00:00" u="1"/>
        <d v="2019-02-12T00:00:00" u="1"/>
        <d v="2018-12-03T00:00:00" u="1"/>
        <d v="2019-05-14T00:00:00" u="1"/>
        <d v="2020-01-27T00:00:00" u="1"/>
        <d v="2019-04-29T00:00:00" u="1"/>
        <d v="2019-02-08T00:00:00" u="1"/>
        <d v="2019-05-10T00:00:00" u="1"/>
        <d v="2019-01-23T00:00:00" u="1"/>
        <d v="2019-04-25T00:00:00" u="1"/>
        <d v="2019-11-14T00:00:00" u="1"/>
        <d v="2020-02-04T00:00:00" u="1"/>
        <d v="2019-08-08T00:00:00" u="1"/>
        <d v="2019-07-23T00:00:00" u="1"/>
        <d v="2019-01-15T00:00:00" u="1"/>
        <d v="2020-01-15T00:00:00" u="1"/>
        <d v="2019-04-17T00:00:00" u="1"/>
        <d v="2019-11-06T00:00:00" u="1"/>
        <d v="2019-07-19T00:00:00" u="1"/>
        <d v="2019-01-11T00:00:00" u="1"/>
        <d v="2019-07-15T00:00:00" u="1"/>
        <d v="2019-03-28T00:00:00" u="1"/>
        <d v="2020-01-07T00:00:00" u="1"/>
        <d v="2019-04-09T00:00:00" u="1"/>
        <d v="2019-07-11T00:00:00" u="1"/>
        <d v="2019-06-26T00:00:00" u="1"/>
        <d v="2019-04-05T00:00:00" u="1"/>
        <d v="2019-09-28T00:00:00" u="1"/>
        <d v="2019-06-22T00:00:00" u="1"/>
        <d v="2019-04-01T00:00:00" u="1"/>
        <d v="2019-09-24T00:00:00" u="1"/>
        <d v="2019-07-03T00:00:00" u="1"/>
        <d v="2019-06-18T00:00:00" u="1"/>
        <d v="2018-12-22T00:00:00" u="1"/>
        <d v="2019-03-12T00:00:00" u="1"/>
        <d v="2019-06-14T00:00:00" u="1"/>
        <d v="2019-02-27T00:00:00" u="1"/>
        <d v="2019-05-29T00:00:00" u="1"/>
        <d v="2019-03-08T00:00:00" u="1"/>
        <d v="2019-06-10T00:00:00" u="1"/>
        <d v="2019-05-25T00:00:00" u="1"/>
        <d v="2019-03-04T00:00:00" u="1"/>
        <d v="2019-08-27T00:00:00" u="1"/>
        <d v="2019-06-06T00:00:00" u="1"/>
        <d v="2020-02-19T00:00:00" u="1"/>
        <d v="2019-11-25T00:00:00" u="1"/>
        <d v="2019-02-15T00:00:00" u="1"/>
        <d v="2020-02-15T00:00:00" u="1"/>
        <d v="2019-05-17T00:00:00" u="1"/>
        <d v="2019-01-30T00:00:00" u="1"/>
        <d v="2020-01-30T00:00:00" u="1"/>
        <d v="2019-02-11T00:00:00" u="1"/>
        <d v="2020-02-11T00:00:00" u="1"/>
        <d v="2019-05-13T00:00:00" u="1"/>
        <d v="2019-01-26T00:00:00" u="1"/>
        <d v="2019-08-15T00:00:00" u="1"/>
        <d v="2019-07-30T00:00:00" u="1"/>
        <d v="2019-01-22T00:00:00" u="1"/>
        <d v="2019-04-24T00:00:00" u="1"/>
      </sharedItems>
    </cacheField>
    <cacheField name="DoNumber" numFmtId="0">
      <sharedItems containsBlank="1" count="723">
        <s v="2002-0017"/>
        <s v="2003-0003"/>
        <s v="2003-0007"/>
        <s v="2003-0011"/>
        <s v="2003-0015"/>
        <s v="2003-0018"/>
        <s v="2003-0020"/>
        <s v="2003-0021"/>
        <s v="2003-0019"/>
        <m/>
        <s v="R1904-0049" u="1"/>
        <s v="R1901-0058" u="1"/>
        <s v="R1903-0048" u="1"/>
        <s v="R1905-0038" u="1"/>
        <s v="R1907-0028" u="1"/>
        <s v="R1904-0037" u="1"/>
        <s v="R1906-0027" u="1"/>
        <s v="R1906-0119" u="1"/>
        <s v="R1905-0026" u="1"/>
        <s v="R1907-0016" u="1"/>
        <s v="R1907-0108" u="1"/>
        <s v="R1902-0035" u="1"/>
        <s v="R1904-0025" u="1"/>
        <s v="R1906-0015" u="1"/>
        <s v="R1906-0107" u="1"/>
        <s v="R1907-0004" u="1"/>
        <s v="R1902-0023" u="1"/>
        <s v="R1904-0013" u="1"/>
        <s v="R1906-0003" u="1"/>
        <s v="R1903-0012" u="1"/>
        <s v="R1905-0002" u="1"/>
        <s v="1907-0029" u="1"/>
        <s v="R1904-0001" u="1"/>
        <s v="1908-0028" u="1"/>
        <s v="1907-0037" u="1"/>
        <s v="1909-0027" u="1"/>
        <s v="1906-0046" u="1"/>
        <s v="1908-0036" u="1"/>
        <s v="1907-0045" u="1"/>
        <s v="R1903-0059" u="1"/>
        <s v="R1905-0049" u="1"/>
        <s v="R1907-0039" u="1"/>
        <s v="R1904-0048" u="1"/>
        <s v="R1906-0038" u="1"/>
        <s v="2001-0018" u="1"/>
        <s v="R1903-0047" u="1"/>
        <s v="R1905-0037" u="1"/>
        <s v="R1907-0027" u="1"/>
        <s v="R1904-0036" u="1"/>
        <s v="R1906-0026" u="1"/>
        <s v="R1905-0025" u="1"/>
        <s v="R1907-0015" u="1"/>
        <s v="R1907-0107" u="1"/>
        <s v="R1902-0034" u="1"/>
        <s v="R1904-0024" u="1"/>
        <s v="R1906-0014" u="1"/>
        <s v="R1906-0106" u="1"/>
        <s v="2001-0034" u="1"/>
        <s v="R1905-0013" u="1"/>
        <s v="R1907-0003" u="1"/>
        <s v="2002-0033" u="1"/>
        <s v="R1902-0022" u="1"/>
        <s v="R1904-0012" u="1"/>
        <s v="R1906-0002" u="1"/>
        <s v="2001-0042" u="1"/>
        <s v="R1901-0021" u="1"/>
        <s v="R1903-0011" u="1"/>
        <s v="R1905-0001" u="1"/>
        <s v="R1902-0010" u="1"/>
        <s v="R1904-0059" u="1"/>
        <s v="R1905-0048" u="1"/>
        <s v="R1907-0038" u="1"/>
        <s v="R1904-0047" u="1"/>
        <s v="R1906-0037" u="1"/>
        <s v="R1906-0129" u="1"/>
        <s v="R1903-0046" u="1"/>
        <s v="R1905-0036" u="1"/>
        <s v="R1907-0026" u="1"/>
        <s v="R1904-0035" u="1"/>
        <s v="R1906-0025" u="1"/>
        <s v="R1906-0117" u="1"/>
        <s v="R1903-0034" u="1"/>
        <s v="R1907-0014" u="1"/>
        <s v="R1907-0106" u="1"/>
        <s v="R1902-0033" u="1"/>
        <s v="R1904-0023" u="1"/>
        <s v="R1906-0013" u="1"/>
        <s v="R1906-0105" u="1"/>
        <s v="R1903-0022" u="1"/>
        <s v="R1905-0012" u="1"/>
        <s v="R1907-0002" u="1"/>
        <s v="R1902-0021" u="1"/>
        <s v="R1904-0011" u="1"/>
        <s v="R1901-0020" u="1"/>
        <s v="1907-0038" u="1"/>
        <s v="1908-0037" u="1"/>
        <s v="1907-0046" u="1"/>
        <s v="1908-0045" u="1"/>
        <s v="R1905-0059" u="1"/>
        <s v="R1907-0049" u="1"/>
        <s v="R1904-0058" u="1"/>
        <s v="R1906-0048" u="1"/>
        <s v="2001-0019" u="1"/>
        <s v="R1905-0047" u="1"/>
        <s v="R1907-0037" u="1"/>
        <s v="2002-0018" u="1"/>
        <s v="R1904-0046" u="1"/>
        <s v="R1906-0036" u="1"/>
        <s v="R1906-0128" u="1"/>
        <s v="2001-0027" u="1"/>
        <s v="R1905-0035" u="1"/>
        <s v="R1907-0025" u="1"/>
        <s v="R1907-0117" u="1"/>
        <s v="2002-0026" u="1"/>
        <s v="R1904-0034" u="1"/>
        <s v="R1906-0024" u="1"/>
        <s v="R1906-0116" u="1"/>
        <s v="2001-0035" u="1"/>
        <s v="R1903-0033" u="1"/>
        <s v="R1905-0023" u="1"/>
        <s v="R1907-0013" u="1"/>
        <s v="R1907-0105" u="1"/>
        <s v="R1902-0032" u="1"/>
        <s v="R1904-0022" u="1"/>
        <s v="R1906-0012" u="1"/>
        <s v="R1906-0104" u="1"/>
        <s v="R1901-0031" u="1"/>
        <s v="R1903-0021" u="1"/>
        <s v="R1905-0011" u="1"/>
        <s v="R1907-0001" u="1"/>
        <s v="R1906-0059" u="1"/>
        <s v="R1905-0058" u="1"/>
        <s v="R1907-0048" u="1"/>
        <s v="R1904-0057" u="1"/>
        <s v="R1906-0047" u="1"/>
        <s v="R1907-0036" u="1"/>
        <s v="R1907-0128" u="1"/>
        <s v="R1904-0045" u="1"/>
        <s v="R1906-0035" u="1"/>
        <s v="R1906-0127" u="1"/>
        <s v="R1903-0044" u="1"/>
        <s v="R1905-0034" u="1"/>
        <s v="R1907-0024" u="1"/>
        <s v="R1907-0116" u="1"/>
        <s v="R1902-0043" u="1"/>
        <s v="R1904-0033" u="1"/>
        <s v="R1906-0023" u="1"/>
        <s v="R1906-0115" u="1"/>
        <s v="R1903-0032" u="1"/>
        <s v="R1907-0104" u="1"/>
        <s v="R1904-0021" u="1"/>
        <s v="R1906-0011" u="1"/>
        <s v="R1906-0103" u="1"/>
        <s v="R1901-0030" u="1"/>
        <s v="R1903-0020" u="1"/>
        <s v="1907-0039" u="1"/>
        <s v="1909-0029" u="1"/>
        <s v="R1905-0069" u="1"/>
        <s v="R1907-0059" u="1"/>
        <s v="R1904-0068" u="1"/>
        <s v="R1906-0058" u="1"/>
        <s v="R1905-0057" u="1"/>
        <s v="R1907-0047" u="1"/>
        <s v="R1907-0139" u="1"/>
        <s v="2002-0019" u="1"/>
        <s v="R1904-0056" u="1"/>
        <s v="R1906-0046" u="1"/>
        <s v="R1906-0138" u="1"/>
        <s v="2001-0028" u="1"/>
        <s v="R1905-0045" u="1"/>
        <s v="R1907-0035" u="1"/>
        <s v="R1907-0127" u="1"/>
        <s v="R1904-0044" u="1"/>
        <s v="2001-0036" u="1"/>
        <s v="R1901-0053" u="1"/>
        <s v="R1903-0043" u="1"/>
        <s v="R1907-0023" u="1"/>
        <s v="R1907-0115" u="1"/>
        <s v="R1902-0042" u="1"/>
        <s v="R1906-0022" u="1"/>
        <s v="R1906-0114" u="1"/>
        <s v="50220" u="1"/>
        <s v="R1901-0041" u="1"/>
        <s v="R1903-0031" u="1"/>
        <s v="R1905-0021" u="1"/>
        <s v="R1907-0103" u="1"/>
        <s v="R1902-0030" u="1"/>
        <s v="R1904-0020" u="1"/>
        <s v="R1906-0010" u="1"/>
        <s v="R1906-0102" u="1"/>
        <s v="R1906-0069" u="1"/>
        <s v="R1905-0068" u="1"/>
        <s v="R1907-0058" u="1"/>
        <s v="R1904-0067" u="1"/>
        <s v="R1906-0057" u="1"/>
        <s v="R1906-0149" u="1"/>
        <s v="R1903-0066" u="1"/>
        <s v="R1907-0046" u="1"/>
        <s v="R1904-0055" u="1"/>
        <s v="R1906-0045" u="1"/>
        <s v="R1906-0137" u="1"/>
        <s v="R1903-0054" u="1"/>
        <s v="R1907-0034" u="1"/>
        <s v="R1907-0126" u="1"/>
        <s v="R1904-0043" u="1"/>
        <s v="R1906-0033" u="1"/>
        <s v="R1903-0042" u="1"/>
        <s v="R1905-0032" u="1"/>
        <s v="R1907-0114" u="1"/>
        <s v="R1902-0041" u="1"/>
        <s v="R1906-0113" u="1"/>
        <s v="R1903-0030" u="1"/>
        <s v="R1905-0020" u="1"/>
        <s v="R1907-0010" u="1"/>
        <s v="R1907-0102" u="1"/>
        <s v="R1906-0101" u="1"/>
        <s v="1908-0039" u="1"/>
        <s v="1907-0048" u="1"/>
        <s v="R1905-0079" u="1"/>
        <s v="R1907-0069" u="1"/>
        <s v="R1906-0068" u="1"/>
        <s v="R1907-0057" u="1"/>
        <s v="R1907-0149" u="1"/>
        <s v="R1904-0066" u="1"/>
        <s v="R1906-0056" u="1"/>
        <s v="R1903-0065" u="1"/>
        <s v="R1907-0045" u="1"/>
        <s v="R1907-0137" u="1"/>
        <s v="2002-0028" u="1"/>
        <s v="R1904-0054" u="1"/>
        <s v="R1906-0044" u="1"/>
        <s v="R1906-0136" u="1"/>
        <s v="R1905-0043" u="1"/>
        <s v="R1907-0033" u="1"/>
        <s v="R1907-0125" u="1"/>
        <s v="R1904-0042" u="1"/>
        <s v="R1906-0124" u="1"/>
        <s v="R1901-0051" u="1"/>
        <s v="R1903-0041" u="1"/>
        <s v="R1905-0031" u="1"/>
        <s v="R1907-0021" u="1"/>
        <s v="R1907-0113" u="1"/>
        <s v="R1902-0040" u="1"/>
        <s v="R1904-0030" u="1"/>
        <s v="R1906-0020" u="1"/>
        <s v="R1906-0112" u="1"/>
        <s v="R1907-0101" u="1"/>
        <s v="R1906-0100" u="1"/>
        <s v="R1906-0079" u="1"/>
        <s v="R1905-0078" u="1"/>
        <s v="R1907-0068" u="1"/>
        <s v="R1906-0067" u="1"/>
        <s v="R1905-0066" u="1"/>
        <s v="R1907-0056" u="1"/>
        <s v="R1907-0148" u="1"/>
        <s v="R1904-0065" u="1"/>
        <s v="R1906-0055" u="1"/>
        <s v="R1906-0147" u="1"/>
        <s v="R1907-0044" u="1"/>
        <s v="R1904-0053" u="1"/>
        <s v="R1906-0043" u="1"/>
        <s v="R1906-0135" u="1"/>
        <s v="R1903-0052" u="1"/>
        <s v="R1905-0042" u="1"/>
        <s v="R1907-0032" u="1"/>
        <s v="R1907-0124" u="1"/>
        <s v="R1904-0041" u="1"/>
        <s v="R1906-0031" u="1"/>
        <s v="R1903-0040" u="1"/>
        <s v="R1905-0030" u="1"/>
        <s v="R1907-0020" u="1"/>
        <s v="R1907-0112" u="1"/>
        <s v="R1906-0111" u="1"/>
        <s v="280120" u="1"/>
        <s v="1908-0048" u="1"/>
        <s v="R1905-0089" u="1"/>
        <s v="R1907-0079" u="1"/>
        <s v="R1906-0078" u="1"/>
        <s v="R1905-0077" u="1"/>
        <s v="R1907-0067" u="1"/>
        <s v="R1907-0159" u="1"/>
        <s v="R1906-0066" u="1"/>
        <s v="R1907-0055" u="1"/>
        <s v="R1907-0147" u="1"/>
        <s v="2002-0029" u="1"/>
        <s v="R1904-0064" u="1"/>
        <s v="R1906-0054" u="1"/>
        <s v="R1906-0146" u="1"/>
        <s v="2001-0038" u="1"/>
        <s v="R1903-0063" u="1"/>
        <s v="R1905-0053" u="1"/>
        <s v="R1907-0043" u="1"/>
        <s v="R1906-0042" u="1"/>
        <s v="R1903-0051" u="1"/>
        <s v="R1907-0031" u="1"/>
        <s v="R1907-0123" u="1"/>
        <s v="R1904-0040" u="1"/>
        <s v="R1906-0030" u="1"/>
        <s v="R1907-0111" u="1"/>
        <s v="R1906-0110" u="1"/>
        <s v="R1906-0089" u="1"/>
        <s v="R1905-0088" u="1"/>
        <s v="R1907-0078" u="1"/>
        <s v="R1906-0077" u="1"/>
        <s v="R1907-0066" u="1"/>
        <s v="R1906-0065" u="1"/>
        <s v="R1905-0064" u="1"/>
        <s v="R1907-0054" u="1"/>
        <s v="R1906-0053" u="1"/>
        <s v="R1906-0145" u="1"/>
        <s v="R1905-0052" u="1"/>
        <s v="R1907-0042" u="1"/>
        <s v="R1907-0134" u="1"/>
        <s v="R1904-0051" u="1"/>
        <s v="R1906-0041" u="1"/>
        <s v="R1906-0133" u="1"/>
        <s v="R1901-0060" u="1"/>
        <s v="R1903-0050" u="1"/>
        <s v="R1905-0040" u="1"/>
        <s v="R1907-0030" u="1"/>
        <s v="R1907-0122" u="1"/>
        <s v="R1906-0121" u="1"/>
        <s v="R1907-0110" u="1"/>
        <s v="R1907-0089" u="1"/>
        <s v="R1906-0088" u="1"/>
        <s v="R1907-0077" u="1"/>
        <s v="R1907-0169" u="1"/>
        <s v="R1906-0076" u="1"/>
        <s v="R1907-0065" u="1"/>
        <s v="R1907-0157" u="1"/>
        <s v="R1906-0064" u="1"/>
        <s v="2001-0039" u="1"/>
        <s v="R1905-0063" u="1"/>
        <s v="R1907-0053" u="1"/>
        <s v="R1907-0145" u="1"/>
        <s v="R1906-0052" u="1"/>
        <s v="R1906-0144" u="1"/>
        <s v="R1903-0061" u="1"/>
        <s v="R1907-0041" u="1"/>
        <s v="R1907-0133" u="1"/>
        <s v="R1904-0050" u="1"/>
        <s v="R1906-0132" u="1"/>
        <s v="R1907-0121" u="1"/>
        <s v="R1906-0120" u="1"/>
        <s v="R1906-0099" u="1"/>
        <s v="R1907-0088" u="1"/>
        <s v="R1906-0087" u="1"/>
        <s v="R1905-0086" u="1"/>
        <s v="R1907-0076" u="1"/>
        <s v="R1907-0168" u="1"/>
        <s v="R1906-0075" u="1"/>
        <s v="R1907-0064" u="1"/>
        <s v="R1906-0063" u="1"/>
        <s v="R1905-0062" u="1"/>
        <s v="R1907-0052" u="1"/>
        <s v="R1907-0144" u="1"/>
        <s v="R1904-0061" u="1"/>
        <s v="R1906-0143" u="1"/>
        <s v="R1903-0060" u="1"/>
        <s v="R1905-0050" u="1"/>
        <s v="R1907-0040" u="1"/>
        <s v="R1906-0131" u="1"/>
        <s v="R1907-0120" u="1"/>
        <s v="R1907-0099" u="1"/>
        <s v="R1906-0098" u="1"/>
        <s v="R1907-0087" u="1"/>
        <s v="R1907-0179" u="1"/>
        <s v="R1906-0086" u="1"/>
        <s v="R1905-0085" u="1"/>
        <s v="R1907-0075" u="1"/>
        <s v="R1906-0074" u="1"/>
        <s v="R1907-0063" u="1"/>
        <s v="R1907-0155" u="1"/>
        <s v="R1906-0062" u="1"/>
        <s v="R1906-0154" u="1"/>
        <s v="R1905-0061" u="1"/>
        <s v="R1907-0051" u="1"/>
        <s v="R1907-0143" u="1"/>
        <s v="R1904-0060" u="1"/>
        <s v="R1906-0050" u="1"/>
        <s v="R1906-0142" u="1"/>
        <s v="R1907-0131" u="1"/>
        <s v="R1906-0130" u="1"/>
        <s v="R1907-0098" u="1"/>
        <s v="R1906-0097" u="1"/>
        <s v="R1907-0086" u="1"/>
        <s v="R1906-0085" u="1"/>
        <s v="R1907-0074" u="1"/>
        <s v="R1907-0166" u="1"/>
        <s v="EM04012019" u="1"/>
        <s v="R1906-0073" u="1"/>
        <s v="R1905-0072" u="1"/>
        <s v="R1907-0062" u="1"/>
        <s v="R1907-0154" u="1"/>
        <s v="R1906-0061" u="1"/>
        <s v="R1906-0153" u="1"/>
        <s v="R1905-0060" u="1"/>
        <s v="R1907-0050" u="1"/>
        <s v="R1907-0142" u="1"/>
        <s v="R1907-0130" u="1"/>
        <s v="1812-0001" u="1"/>
        <s v="1811-0010" u="1"/>
        <s v="R1907-0097" u="1"/>
        <s v="R1906-0096" u="1"/>
        <s v="R1907-0085" u="1"/>
        <s v="R1907-0177" u="1"/>
        <s v="R1906-0084" u="1"/>
        <s v="R1905-0083" u="1"/>
        <s v="R1907-0073" u="1"/>
        <s v="R1907-0165" u="1"/>
        <s v="R1906-0072" u="1"/>
        <s v="R1907-0061" u="1"/>
        <s v="R1907-0153" u="1"/>
        <s v="R1906-0060" u="1"/>
        <s v="R1906-0152" u="1"/>
        <s v="R1907-0141" u="1"/>
        <s v="R1906-0140" u="1"/>
        <s v="R1907-0096" u="1"/>
        <s v="R1906-0095" u="1"/>
        <s v="R1907-0084" u="1"/>
        <s v="R1906-0083" u="1"/>
        <s v="R1905-0082" u="1"/>
        <s v="R1907-0072" u="1"/>
        <s v="R1907-0164" u="1"/>
        <s v="R1906-0071" u="1"/>
        <s v="R1905-0070" u="1"/>
        <s v="R1907-0060" u="1"/>
        <s v="R1907-0152" u="1"/>
        <s v="R1906-0151" u="1"/>
        <s v="R1907-0140" u="1"/>
        <s v="1812-0002" u="1"/>
        <s v="1811-0011" u="1"/>
        <s v="R1907-0095" u="1"/>
        <s v="R1906-0094" u="1"/>
        <s v="R1907-0083" u="1"/>
        <s v="R1907-0175" u="1"/>
        <s v="R1906-0082" u="1"/>
        <s v="R1905-0081" u="1"/>
        <s v="R1907-0071" u="1"/>
        <s v="R1907-0163" u="1"/>
        <s v="R1906-0070" u="1"/>
        <s v="R1907-0151" u="1"/>
        <s v="R1907-0094" u="1"/>
        <s v="R1906-0093" u="1"/>
        <s v="R1907-0082" u="1"/>
        <s v="R1907-0174" u="1"/>
        <s v="R1906-0081" u="1"/>
        <s v="EM16012019" u="1"/>
        <s v="R1905-0080" u="1"/>
        <s v="R1907-0070" u="1"/>
        <s v="R1907-0162" u="1"/>
        <s v="R1907-0150" u="1"/>
        <s v="1812-0003" u="1"/>
        <s v="1811-0012" u="1"/>
        <s v="R1907-0093" u="1"/>
        <s v="R1906-0092" u="1"/>
        <s v="R1907-0081" u="1"/>
        <s v="R1907-0173" u="1"/>
        <s v="R1906-0080" u="1"/>
        <s v="R1907-0161" u="1"/>
        <s v="R1907-0092" u="1"/>
        <s v="R1906-0091" u="1"/>
        <s v="R1907-0080" u="1"/>
        <s v="R1907-0172" u="1"/>
        <s v="R1907-0160" u="1"/>
        <s v="1811-0005" u="1"/>
        <s v="1812-0004" u="1"/>
        <s v="1811-0013" u="1"/>
        <s v="1812-0020" u="1"/>
        <s v="R1907-0091" u="1"/>
        <s v="R1906-0090" u="1"/>
        <s v="R1907-0171" u="1"/>
        <s v="R1907-0090" u="1"/>
        <s v="EM08012019" u="1"/>
        <s v="R1907-0170" u="1"/>
        <s v="1812-0005" u="1"/>
        <s v="1811-0014" u="1"/>
        <s v="R1907-0180" u="1"/>
        <s v="170120" u="1"/>
        <s v="1812-0006" u="1"/>
        <s v="1812-0014" u="1"/>
        <s v="1811-0016" u="1"/>
        <s v="1812-0015" u="1"/>
        <s v="R1906-0038.1" u="1"/>
        <s v="1812-0023" u="1"/>
        <s v="R1902-0022.1" u="1"/>
        <s v="1812-0008" u="1"/>
        <s v="1812-0016" u="1"/>
        <s v="1911-0010" u="1"/>
        <s v="1812-0025" u="1"/>
        <s v="1812-0033" u="1"/>
        <s v="1812-0041" u="1"/>
        <s v="070819" u="1"/>
        <s v="1911-0003" u="1"/>
        <s v="1812-0018" u="1"/>
        <s v="R1905-0055.1" u="1"/>
        <s v="070919" u="1"/>
        <s v="1812-0043" u="1"/>
        <s v="1911-0005" u="1"/>
        <s v="1911-0021" u="1"/>
        <s v="03122018" u="1"/>
        <s v="1812-0044" u="1"/>
        <s v="1911-0006" u="1"/>
        <s v="1911-0022" u="1"/>
        <s v="1812-0037" u="1"/>
        <s v="1911-0023" u="1"/>
        <s v="1910-0032" u="1"/>
        <s v="1911-0031" u="1"/>
        <s v="140120" u="1"/>
        <s v="060220" u="1"/>
        <s v="1911-0008" u="1"/>
        <s v="1911-0016" u="1"/>
        <s v="1907-0002" u="1"/>
        <s v="1908-0001" u="1"/>
        <s v="1907-0010" u="1"/>
        <s v="EM22122018" u="1"/>
        <s v="1911-0009" u="1"/>
        <s v="1910-0018" u="1"/>
        <s v="1911-0017" u="1"/>
        <s v="1910-0026" u="1"/>
        <s v="1911-0025" u="1"/>
        <s v="1907-0003" u="1"/>
        <s v="1908-0002" u="1"/>
        <s v="1907-0011" u="1"/>
        <s v="1909-0001" u="1"/>
        <s v="1908-0010" u="1"/>
        <s v="1911-0018" u="1"/>
        <s v="1911-0026" u="1"/>
        <s v="1909-0002" u="1"/>
        <s v="1908-0011" u="1"/>
        <s v="1907-0020" u="1"/>
        <s v="1909-0010" u="1"/>
        <s v="2001-0001" u="1"/>
        <s v="EM04122018" u="1"/>
        <s v="1908-0004" u="1"/>
        <s v="1907-0013" u="1"/>
        <s v="1908-0012" u="1"/>
        <s v="1907-0021" u="1"/>
        <s v="1909-0011" u="1"/>
        <s v="2001-0002" u="1"/>
        <s v="2001-0010" u="1"/>
        <s v="240819" u="1"/>
        <s v="1911-0028" u="1"/>
        <s v="1907-0006" u="1"/>
        <s v="1911-0036" u="1"/>
        <s v="1907-0022" u="1"/>
        <s v="1909-0012" u="1"/>
        <s v="1908-0021" u="1"/>
        <s v="2002-0002" u="1"/>
        <s v="2002-0010" u="1"/>
        <s v="1911-0029" u="1"/>
        <s v="1908-0014" u="1"/>
        <s v="1907-0023" u="1"/>
        <s v="1908-0022" u="1"/>
        <s v="1908-0030" u="1"/>
        <s v="2001-0004" u="1"/>
        <s v="R1901-0009" u="1"/>
        <s v="2002-0003" u="1"/>
        <s v="EM27122018" u="1"/>
        <s v="1907-0008" u="1"/>
        <s v="1911-0038" u="1"/>
        <s v="1909-0006" u="1"/>
        <s v="1908-0015" u="1"/>
        <s v="1907-0024" u="1"/>
        <s v="1909-0014" u="1"/>
        <s v="1908-0023" u="1"/>
        <s v="1909-0022" u="1"/>
        <s v="1908-0031" u="1"/>
        <s v="2001-0005" u="1"/>
        <s v="R1901-0019" u="1"/>
        <s v="R1903-0009" u="1"/>
        <s v="2002-0004" u="1"/>
        <s v="R1902-0008" u="1"/>
        <s v="2001-0013" u="1"/>
        <s v="2002-0012" u="1"/>
        <s v="2001-0021" u="1"/>
        <s v="EM08012019.2" u="1"/>
        <s v="R1901-0018" u="1"/>
        <s v="R1903-0008" u="1"/>
        <s v="R1902-0007" u="1"/>
        <s v="1907-0009" u="1"/>
        <s v="1908-0008" u="1"/>
        <s v="1911-0039" u="1"/>
        <s v="1907-0017" u="1"/>
        <s v="1908-0016" u="1"/>
        <s v="1907-0025" u="1"/>
        <s v="1908-0024" u="1"/>
        <s v="1909-0023" u="1"/>
        <s v="1908-0032" u="1"/>
        <s v="1909-0031" u="1"/>
        <s v="R1901-0029" u="1"/>
        <s v="R1903-0019" u="1"/>
        <s v="R1905-0009" u="1"/>
        <s v="2002-0005" u="1"/>
        <s v="R1902-0018" u="1"/>
        <s v="2001-0014" u="1"/>
        <s v="R1901-0017" u="1"/>
        <s v="R1902-0006" u="1"/>
        <s v="2001-0022" u="1"/>
        <s v="2002-0021" u="1"/>
        <s v="R1904-0019" u="1"/>
        <s v="R1902-0017" u="1"/>
        <s v="R1901-0016" u="1"/>
        <s v="1907-0018" u="1"/>
        <s v="1909-0008" u="1"/>
        <s v="1908-0017" u="1"/>
        <s v="1907-0026" u="1"/>
        <s v="1909-0016" u="1"/>
        <s v="1908-0025" u="1"/>
        <s v="1909-0024" u="1"/>
        <s v="1906-0043" u="1"/>
        <s v="1908-0033" u="1"/>
        <s v="1907-0042" u="1"/>
        <s v="1909-0032" u="1"/>
        <s v="1908-0041" u="1"/>
        <s v="1907-0050" u="1"/>
        <s v="R1901-0039" u="1"/>
        <s v="R1907-0009" u="1"/>
        <s v="2002-0006" u="1"/>
        <s v="R1902-0028" u="1"/>
        <s v="R1901-0027" u="1"/>
        <s v="R1905-0007" u="1"/>
        <s v="R1902-0016" u="1"/>
        <s v="R1904-0006" u="1"/>
        <s v="2001-0023" u="1"/>
        <s v="R1901-0015" u="1"/>
        <s v="2002-0022" u="1"/>
        <s v="2002-0030" u="1"/>
        <s v="110220" u="1"/>
        <s v="R1902-0039" u="1"/>
        <s v="R1904-0029" u="1"/>
        <s v="R1906-0019" u="1"/>
        <s v="R1901-0038" u="1"/>
        <s v="R1903-0028" u="1"/>
        <s v="R1905-0018" u="1"/>
        <s v="R1907-0008" u="1"/>
        <s v="R1902-0027" u="1"/>
        <s v="R1904-0017" u="1"/>
        <s v="R1901-0026" u="1"/>
        <s v="R1903-0016" u="1"/>
        <s v="R1902-0015" u="1"/>
        <s v="R1901-0014" u="1"/>
        <s v="1907-0019" u="1"/>
        <s v="R1902-0003" u="1"/>
        <s v="1908-0018" u="1"/>
        <s v="1907-0027" u="1"/>
        <s v="1907-0035" u="1"/>
        <s v="1909-0025" u="1"/>
        <s v="1908-0034" u="1"/>
        <s v="1908-0050" u="1"/>
        <s v="2001-0008" u="1"/>
        <s v="R1903-0039" u="1"/>
        <s v="R1905-0029" u="1"/>
        <s v="R1907-0019" u="1"/>
        <s v="2002-0007" u="1"/>
        <s v="R1904-0028" u="1"/>
        <s v="R1906-0018" u="1"/>
        <s v="R1901-0037" u="1"/>
        <s v="R1903-0027" u="1"/>
        <s v="R1907-0007" u="1"/>
        <s v="R1904-0016" u="1"/>
        <s v="R1906-0006" u="1"/>
        <s v="2001-0024" u="1"/>
        <s v="R1901-0025" u="1"/>
        <s v="R1903-0015" u="1"/>
        <s v="2002-0023" u="1"/>
        <s v="R1902-0014" u="1"/>
        <s v="2001-0032" u="1"/>
        <s v="R1903-0003" u="1"/>
        <s v="R1902-0002" u="1"/>
        <s v="2001-0040" u="1"/>
        <s v="R1904-0039" u="1"/>
        <s v="R1905-0028" u="1"/>
        <s v="R1907-0018" u="1"/>
        <s v="R1902-0037" u="1"/>
        <s v="R1904-0027" u="1"/>
        <s v="R1906-0017" u="1"/>
        <s v="R1906-0109" u="1"/>
        <s v="R1901-0036" u="1"/>
        <s v="R1905-0016" u="1"/>
        <s v="R1907-0006" u="1"/>
        <s v="R1902-0025" u="1"/>
        <s v="R1904-0015" u="1"/>
        <s v="R1901-0024" u="1"/>
        <s v="R1905-0004" u="1"/>
        <s v="R1902-0013" u="1"/>
        <s v="R1904-0003" u="1"/>
        <s v="1908-0019" u="1"/>
        <s v="R1901-0012" u="1"/>
        <s v="R1903-0002" u="1"/>
        <s v="1909-0018" u="1"/>
        <s v="R1902-0001" u="1"/>
        <s v="1908-0027" u="1"/>
        <s v="1906-0045" u="1"/>
        <s v="1908-0035" u="1"/>
        <s v="1907-0044" u="1"/>
        <s v="1909-0034" u="1"/>
        <s v="1908-0043" u="1"/>
        <s v="R1903-0049" u="1"/>
        <s v="R1905-0039" u="1"/>
        <s v="R1907-0029" u="1"/>
        <s v="2002-0008" u="1"/>
        <s v="R1904-0038" u="1"/>
        <s v="R1906-0028" u="1"/>
        <s v="R1903-0037" u="1"/>
        <s v="R1907-0017" u="1"/>
        <s v="R1907-0109" u="1"/>
        <s v="R1902-0036" u="1"/>
        <s v="R1906-0108" u="1"/>
        <s v="R1901-0035" u="1"/>
        <s v="R1903-0025" u="1"/>
        <s v="R1907-0005" u="1"/>
        <s v="2002-0024" u="1"/>
        <s v="R1902-0024" u="1"/>
        <s v="R1904-0014" u="1"/>
        <s v="2001-0033" u="1"/>
        <s v="R1901-0023" u="1"/>
        <s v="R1903-0013" u="1"/>
        <s v="R1905-0003" u="1"/>
        <s v="R1902-0012" u="1"/>
        <s v="2001-0041" u="1"/>
        <s v="R1901-0011" u="1"/>
        <s v="R1903-0001" u="1"/>
      </sharedItems>
    </cacheField>
    <cacheField name="CustomerCode" numFmtId="0">
      <sharedItems containsBlank="1" count="44">
        <s v="POSM01"/>
        <s v="POSM03"/>
        <s v="CU-3000757"/>
        <s v="CU-3000346"/>
        <s v="POSM02"/>
        <s v="CU-3000354"/>
        <m/>
        <s v="POSM3000029" u="1"/>
        <s v="CU-3000471" u="1"/>
        <s v="CU-3000104" u="1"/>
        <s v="POSM3000012" u="1"/>
        <s v="CU-3000618" u="1"/>
        <s v="CU-3000781" u="1"/>
        <s v="POSM10" u="1"/>
        <s v="POSM3000050" u="1"/>
        <s v="POSM11" u="1"/>
        <s v="POSM181" u="1"/>
        <s v="POSM99" u="1"/>
        <s v="POSM9999" u="1"/>
        <s v="CU-3000843" u="1"/>
        <s v="POSM3008806" u="1"/>
        <s v="POSM3000006" u="1"/>
        <s v="POSM3000034" u="1"/>
        <s v="POSM04" u="1"/>
        <s v="POSM3000016" u="1"/>
        <s v="POSM05" u="1"/>
        <s v="CU-3000405" u="1"/>
        <s v="POSM06" u="1"/>
        <s v="CU-3000786" u="1"/>
        <s v="POSM301" u="1"/>
        <s v="POSM3000017" u="1"/>
        <s v="CU-3000024" u="1"/>
        <s v="POSM08" u="1"/>
        <s v="POSM3000008" u="1"/>
        <s v="POSM3000036" u="1"/>
        <s v="POSM3000027" u="1"/>
        <s v="CU-3000820" u="1"/>
        <s v="POSM3000055" u="1"/>
        <s v="POSM3000037" u="1"/>
        <s v="POSM3000028" u="1"/>
        <s v="POSM3000065" u="1"/>
        <s v="POSM3000093" u="1"/>
        <s v="POSM3000001" u="1"/>
        <s v="CU-3000027" u="1"/>
      </sharedItems>
    </cacheField>
    <cacheField name="ProductCode" numFmtId="0">
      <sharedItems containsBlank="1"/>
    </cacheField>
    <cacheField name="SumOfQuantity" numFmtId="0">
      <sharedItems containsString="0" containsBlank="1" containsNumber="1" containsInteger="1" minValue="1" maxValue="1"/>
    </cacheField>
    <cacheField name="SumOfWeight" numFmtId="0">
      <sharedItems containsNonDate="0" containsString="0" containsBlank="1"/>
    </cacheField>
    <cacheField name="SumOfVolumn" numFmtId="0">
      <sharedItems containsNonDate="0" containsString="0" containsBlank="1"/>
    </cacheField>
    <cacheField name="RouteID" numFmtId="0">
      <sharedItems containsNonDate="0" containsString="0" containsBlank="1"/>
    </cacheField>
    <cacheField name="CustomerName" numFmtId="0">
      <sharedItems containsBlank="1"/>
    </cacheField>
    <cacheField name="CustomerAddress" numFmtId="0">
      <sharedItems containsBlank="1"/>
    </cacheField>
    <cacheField name="AMPHURE" numFmtId="0">
      <sharedItems containsBlank="1"/>
    </cacheField>
    <cacheField name="PROVINCE" numFmtId="0">
      <sharedItems containsBlank="1"/>
    </cacheField>
    <cacheField name="ActualWgt" numFmtId="0">
      <sharedItems containsNonDate="0" containsString="0" containsBlank="1"/>
    </cacheField>
    <cacheField name="ShipBy" numFmtId="0">
      <sharedItems containsBlank="1"/>
    </cacheField>
    <cacheField name="ShippingMarkNo" numFmtId="0">
      <sharedItems containsBlank="1"/>
    </cacheField>
    <cacheField name="RouteLineNumber" numFmtId="0">
      <sharedItems containsNonDate="0" containsString="0" containsBlank="1"/>
    </cacheField>
    <cacheField name="PalletID" numFmtId="0">
      <sharedItems containsNonDate="0" containsString="0" containsBlank="1"/>
    </cacheField>
    <cacheField name="SoldToSubCode" numFmtId="0">
      <sharedItems containsString="0" containsBlank="1" containsNumber="1" containsInteger="1" minValue="121" maxValue="121"/>
    </cacheField>
    <cacheField name="ReqDate" numFmtId="187">
      <sharedItems containsNonDate="0" containsDate="1" containsString="0" containsBlank="1" minDate="2020-03-03T00:00:00" maxDate="2020-03-19T00:00:00"/>
    </cacheField>
    <cacheField name="TUNumber" numFmtId="0">
      <sharedItems containsBlank="1"/>
    </cacheField>
    <cacheField name="ServiceType" numFmtId="0">
      <sharedItems containsBlank="1"/>
    </cacheField>
    <cacheField name="Est Delivery" numFmtId="187">
      <sharedItems containsNonDate="0" containsDate="1" containsString="0" containsBlank="1" minDate="1899-12-30T00:00:00" maxDate="2020-03-19T00:00:00"/>
    </cacheField>
    <cacheField name="Act Delivery" numFmtId="187">
      <sharedItems containsNonDate="0" containsDate="1" containsString="0" containsBlank="1" minDate="1899-12-30T00:00:00" maxDate="2020-03-19T00:00:00"/>
    </cacheField>
    <cacheField name="On-Time Delivery" numFmtId="0">
      <sharedItems containsBlank="1" containsMixedTypes="1" containsNumber="1" containsInteger="1" minValue="1" maxValue="1"/>
    </cacheField>
    <cacheField name="Est POD Return" numFmtId="187">
      <sharedItems containsDate="1" containsBlank="1" containsMixedTypes="1" minDate="2020-03-13T00:00:00" maxDate="2020-03-29T00:00:00"/>
    </cacheField>
    <cacheField name="Act POD Return" numFmtId="187">
      <sharedItems containsNonDate="0" containsString="0" containsBlank="1"/>
    </cacheField>
    <cacheField name="On-Time POD Return" numFmtId="0">
      <sharedItems containsBlank="1" containsMixedTypes="1" containsNumber="1" containsInteger="1" minValue="0" maxValue="0"/>
    </cacheField>
    <cacheField name="Missed Delivery" numFmtId="0">
      <sharedItems containsNonDate="0" containsString="0" containsBlank="1"/>
    </cacheField>
    <cacheField name="Remark" numFmtId="0">
      <sharedItems containsNonDate="0" containsString="0" containsBlank="1"/>
    </cacheField>
    <cacheField name=" Size" numFmtId="0">
      <sharedItems containsBlank="1" count="9">
        <s v="L"/>
        <s v="M+"/>
        <s v="M"/>
        <s v="S"/>
        <s v=""/>
        <m/>
        <s v="XL" u="1"/>
        <e v="#N/A" u="1"/>
        <s v="L+" u="1"/>
      </sharedItems>
    </cacheField>
    <cacheField name="Charge Rate" numFmtId="0">
      <sharedItems containsBlank="1" containsMixedTypes="1" containsNumber="1" containsInteger="1" minValue="37" maxValue="166"/>
    </cacheField>
    <cacheField name="Charge" numFmtId="0">
      <sharedItems containsBlank="1" containsMixedTypes="1" containsNumber="1" containsInteger="1" minValue="37" maxValue="166"/>
    </cacheField>
    <cacheField name="Adjustment" numFmtId="9">
      <sharedItems containsBlank="1" containsMixedTypes="1" containsNumber="1" containsInteger="1" minValue="0" maxValue="0"/>
    </cacheField>
    <cacheField name="Actual Charge" numFmtId="0">
      <sharedItems containsBlank="1" containsMixedTypes="1" containsNumber="1" containsInteger="1" minValue="37" maxValue="166"/>
    </cacheField>
    <cacheField name="KPI ADJ. 1" numFmtId="0">
      <sharedItems containsNonDate="0" containsString="0" containsBlank="1"/>
    </cacheField>
    <cacheField name="KPI ADJ. 2" numFmtId="0">
      <sharedItems containsNonDate="0" containsString="0" containsBlank="1"/>
    </cacheField>
    <cacheField name="S" numFmtId="0">
      <sharedItems containsBlank="1" containsMixedTypes="1" containsNumber="1" containsInteger="1" minValue="37" maxValue="47"/>
    </cacheField>
    <cacheField name="M" numFmtId="0">
      <sharedItems containsBlank="1" containsMixedTypes="1" containsNumber="1" containsInteger="1" minValue="46" maxValue="58"/>
    </cacheField>
    <cacheField name="M+" numFmtId="0">
      <sharedItems containsBlank="1" containsMixedTypes="1" containsNumber="1" containsInteger="1" minValue="86" maxValue="111"/>
    </cacheField>
    <cacheField name="L" numFmtId="0">
      <sharedItems containsBlank="1" containsMixedTypes="1" containsNumber="1" containsInteger="1" minValue="129" maxValue="166"/>
    </cacheField>
    <cacheField name="L+" numFmtId="0">
      <sharedItems containsBlank="1" containsMixedTypes="1" containsNumber="1" containsInteger="1" minValue="172" maxValue="221"/>
    </cacheField>
    <cacheField name="XL" numFmtId="0">
      <sharedItems containsBlank="1" containsMixedTypes="1" containsNumber="1" containsInteger="1" minValue="215" maxValue="277"/>
    </cacheField>
    <cacheField name="OVS&amp;OVW" numFmtId="0">
      <sharedItems containsBlank="1" containsMixedTypes="1" containsNumber="1" minValue="4.7300000000000004" maxValue="6.09"/>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Windows User" refreshedDate="43923.738624768521" createdVersion="6" refreshedVersion="6" minRefreshableVersion="3" recordCount="986">
  <cacheSource type="worksheet">
    <worksheetSource ref="A1:AL1966" sheet="DELIVER REPORT"/>
  </cacheSource>
  <cacheFields count="38">
    <cacheField name="Month" numFmtId="0">
      <sharedItems containsBlank="1" containsMixedTypes="1" containsNumber="1" containsInteger="1" minValue="3" maxValue="3"/>
    </cacheField>
    <cacheField name="DateText" numFmtId="0">
      <sharedItems containsBlank="1"/>
    </cacheField>
    <cacheField name="Date" numFmtId="187">
      <sharedItems containsNonDate="0" containsDate="1" containsString="0" containsBlank="1" minDate="2018-12-01T00:00:00" maxDate="2020-03-18T00:00:00" count="214">
        <d v="2020-03-02T00:00:00"/>
        <d v="2020-03-05T00:00:00"/>
        <d v="2020-03-09T00:00:00"/>
        <d v="2020-03-10T00:00:00"/>
        <d v="2020-03-14T00:00:00"/>
        <d v="2020-03-16T00:00:00"/>
        <d v="2020-03-17T00:00:00"/>
        <m/>
        <d v="2019-01-18T00:00:00" u="1"/>
        <d v="2019-08-07T00:00:00" u="1"/>
        <d v="2019-11-09T00:00:00" u="1"/>
        <d v="2019-07-22T00:00:00" u="1"/>
        <d v="2020-01-14T00:00:00" u="1"/>
        <d v="2019-07-18T00:00:00" u="1"/>
        <d v="2019-03-27T00:00:00" u="1"/>
        <d v="2019-07-10T00:00:00" u="1"/>
        <d v="2019-06-25T00:00:00" u="1"/>
        <d v="2019-04-04T00:00:00" u="1"/>
        <d v="2019-07-06T00:00:00" u="1"/>
        <d v="2019-03-19T00:00:00" u="1"/>
        <d v="2019-06-21T00:00:00" u="1"/>
        <d v="2018-12-25T00:00:00" u="1"/>
        <d v="2019-07-02T00:00:00" u="1"/>
        <d v="2019-03-15T00:00:00" u="1"/>
        <d v="2019-06-17T00:00:00" u="1"/>
        <d v="2019-06-13T00:00:00" u="1"/>
        <d v="2019-02-26T00:00:00" u="1"/>
        <d v="2020-02-26T00:00:00" u="1"/>
        <d v="2018-12-17T00:00:00" u="1"/>
        <d v="2019-05-28T00:00:00" u="1"/>
        <d v="2019-08-30T00:00:00" u="1"/>
        <d v="2019-02-22T00:00:00" u="1"/>
        <d v="2020-02-22T00:00:00" u="1"/>
        <d v="2018-12-13T00:00:00" u="1"/>
        <d v="2019-05-24T00:00:00" u="1"/>
        <d v="2019-08-26T00:00:00" u="1"/>
        <d v="2019-06-05T00:00:00" u="1"/>
        <d v="2019-09-07T00:00:00" u="1"/>
        <d v="2020-02-18T00:00:00" u="1"/>
        <d v="2019-05-20T00:00:00" u="1"/>
        <d v="2019-08-22T00:00:00" u="1"/>
        <d v="2019-06-01T00:00:00" u="1"/>
        <d v="2019-02-14T00:00:00" u="1"/>
        <d v="2019-09-03T00:00:00" u="1"/>
        <d v="2020-01-29T00:00:00" u="1"/>
        <d v="2019-11-20T00:00:00" u="1"/>
        <d v="2020-02-10T00:00:00" u="1"/>
        <d v="2018-12-01T00:00:00" u="1"/>
        <d v="2019-01-25T00:00:00" u="1"/>
        <d v="2019-08-14T00:00:00" u="1"/>
        <d v="2020-01-25T00:00:00" u="1"/>
        <d v="2019-04-27T00:00:00" u="1"/>
        <d v="2020-02-06T00:00:00" u="1"/>
        <d v="2019-05-08T00:00:00" u="1"/>
        <d v="2019-01-21T00:00:00" u="1"/>
        <d v="2019-08-10T00:00:00" u="1"/>
        <d v="2019-04-23T00:00:00" u="1"/>
        <d v="2019-11-12T00:00:00" u="1"/>
        <d v="2019-02-02T00:00:00" u="1"/>
        <d v="2019-07-25T00:00:00" u="1"/>
        <d v="2019-01-17T00:00:00" u="1"/>
        <d v="2019-04-19T00:00:00" u="1"/>
        <d v="2019-11-08T00:00:00" u="1"/>
        <d v="2019-08-02T00:00:00" u="1"/>
        <d v="2020-01-13T00:00:00" u="1"/>
        <d v="2019-07-17T00:00:00" u="1"/>
        <d v="2019-01-09T00:00:00" u="1"/>
        <d v="2019-07-13T00:00:00" u="1"/>
        <d v="2019-03-26T00:00:00" u="1"/>
        <d v="2019-06-28T00:00:00" u="1"/>
        <d v="2019-07-09T00:00:00" u="1"/>
        <d v="2019-03-22T00:00:00" u="1"/>
        <d v="2019-06-24T00:00:00" u="1"/>
        <d v="2019-04-03T00:00:00" u="1"/>
        <d v="2019-09-26T00:00:00" u="1"/>
        <d v="2019-07-05T00:00:00" u="1"/>
        <d v="2019-03-18T00:00:00" u="1"/>
        <d v="2019-06-20T00:00:00" u="1"/>
        <d v="2018-12-24T00:00:00" u="1"/>
        <d v="2019-07-01T00:00:00" u="1"/>
        <d v="2019-03-14T00:00:00" u="1"/>
        <d v="2019-09-18T00:00:00" u="1"/>
        <d v="2020-02-29T00:00:00" u="1"/>
        <d v="2018-12-20T00:00:00" u="1"/>
        <d v="2019-05-31T00:00:00" u="1"/>
        <d v="2019-06-12T00:00:00" u="1"/>
        <d v="2019-09-14T00:00:00" u="1"/>
        <d v="2020-02-25T00:00:00" u="1"/>
        <d v="2019-05-27T00:00:00" u="1"/>
        <d v="2019-03-06T00:00:00" u="1"/>
        <d v="2019-06-08T00:00:00" u="1"/>
        <d v="2019-09-10T00:00:00" u="1"/>
        <d v="2018-12-12T00:00:00" u="1"/>
        <d v="2019-05-23T00:00:00" u="1"/>
        <d v="2019-03-02T00:00:00" u="1"/>
        <d v="2019-06-04T00:00:00" u="1"/>
        <d v="2019-11-27T00:00:00" u="1"/>
        <d v="2019-09-06T00:00:00" u="1"/>
        <d v="2019-08-21T00:00:00" u="1"/>
        <d v="2019-11-23T00:00:00" u="1"/>
        <d v="2019-02-13T00:00:00" u="1"/>
        <d v="2019-09-02T00:00:00" u="1"/>
        <d v="2018-12-04T00:00:00" u="1"/>
        <d v="2019-05-15T00:00:00" u="1"/>
        <d v="2019-08-17T00:00:00" u="1"/>
        <d v="2020-01-28T00:00:00" u="1"/>
        <d v="2019-04-30T00:00:00" u="1"/>
        <d v="2019-11-19T00:00:00" u="1"/>
        <d v="2019-05-11T00:00:00" u="1"/>
        <d v="2019-04-26T00:00:00" u="1"/>
        <d v="2019-02-05T00:00:00" u="1"/>
        <d v="2020-02-05T00:00:00" u="1"/>
        <d v="2019-05-07T00:00:00" u="1"/>
        <d v="2019-08-09T00:00:00" u="1"/>
        <d v="2020-01-20T00:00:00" u="1"/>
        <d v="2019-04-22T00:00:00" u="1"/>
        <d v="2019-02-01T00:00:00" u="1"/>
        <d v="2019-07-24T00:00:00" u="1"/>
        <d v="2019-05-03T00:00:00" u="1"/>
        <d v="2020-01-16T00:00:00" u="1"/>
        <d v="2019-04-18T00:00:00" u="1"/>
        <d v="2019-11-07T00:00:00" u="1"/>
        <d v="2019-08-01T00:00:00" u="1"/>
        <d v="2019-03-29T00:00:00" u="1"/>
        <d v="2019-01-08T00:00:00" u="1"/>
        <d v="2020-01-08T00:00:00" u="1"/>
        <d v="2019-04-10T00:00:00" u="1"/>
        <d v="2019-07-12T00:00:00" u="1"/>
        <d v="2019-03-25T00:00:00" u="1"/>
        <d v="2019-01-04T00:00:00" u="1"/>
        <d v="2019-06-27T00:00:00" u="1"/>
        <d v="2020-01-04T00:00:00" u="1"/>
        <d v="2019-07-08T00:00:00" u="1"/>
        <d v="2019-03-21T00:00:00" u="1"/>
        <d v="2019-04-02T00:00:00" u="1"/>
        <d v="2019-09-25T00:00:00" u="1"/>
        <d v="2018-12-27T00:00:00" u="1"/>
        <d v="2019-07-04T00:00:00" u="1"/>
        <d v="2019-09-21T00:00:00" u="1"/>
        <d v="2019-03-13T00:00:00" u="1"/>
        <d v="2019-06-15T00:00:00" u="1"/>
        <d v="2019-09-17T00:00:00" u="1"/>
        <d v="2018-12-19T00:00:00" u="1"/>
        <d v="2019-05-30T00:00:00" u="1"/>
        <d v="2019-03-05T00:00:00" u="1"/>
        <d v="2019-08-28T00:00:00" u="1"/>
        <d v="2019-06-07T00:00:00" u="1"/>
        <d v="2018-12-11T00:00:00" u="1"/>
        <d v="2019-05-22T00:00:00" u="1"/>
        <d v="2019-03-01T00:00:00" u="1"/>
        <d v="2019-08-24T00:00:00" u="1"/>
        <d v="2019-09-05T00:00:00" u="1"/>
        <d v="2018-12-07T00:00:00" u="1"/>
        <d v="2019-01-31T00:00:00" u="1"/>
        <d v="2019-08-20T00:00:00" u="1"/>
        <d v="2020-01-31T00:00:00" u="1"/>
        <d v="2019-02-12T00:00:00" u="1"/>
        <d v="2018-12-03T00:00:00" u="1"/>
        <d v="2019-05-14T00:00:00" u="1"/>
        <d v="2020-01-27T00:00:00" u="1"/>
        <d v="2019-04-29T00:00:00" u="1"/>
        <d v="2019-02-08T00:00:00" u="1"/>
        <d v="2019-05-10T00:00:00" u="1"/>
        <d v="2019-01-23T00:00:00" u="1"/>
        <d v="2019-04-25T00:00:00" u="1"/>
        <d v="2019-11-14T00:00:00" u="1"/>
        <d v="2020-02-04T00:00:00" u="1"/>
        <d v="2019-08-08T00:00:00" u="1"/>
        <d v="2019-07-23T00:00:00" u="1"/>
        <d v="2019-01-15T00:00:00" u="1"/>
        <d v="2020-01-15T00:00:00" u="1"/>
        <d v="2019-04-17T00:00:00" u="1"/>
        <d v="2019-11-06T00:00:00" u="1"/>
        <d v="2019-07-19T00:00:00" u="1"/>
        <d v="2019-01-11T00:00:00" u="1"/>
        <d v="2019-07-15T00:00:00" u="1"/>
        <d v="2019-03-28T00:00:00" u="1"/>
        <d v="2020-01-07T00:00:00" u="1"/>
        <d v="2019-04-09T00:00:00" u="1"/>
        <d v="2019-07-11T00:00:00" u="1"/>
        <d v="2019-06-26T00:00:00" u="1"/>
        <d v="2019-04-05T00:00:00" u="1"/>
        <d v="2019-09-28T00:00:00" u="1"/>
        <d v="2019-06-22T00:00:00" u="1"/>
        <d v="2019-04-01T00:00:00" u="1"/>
        <d v="2019-09-24T00:00:00" u="1"/>
        <d v="2019-07-03T00:00:00" u="1"/>
        <d v="2019-06-18T00:00:00" u="1"/>
        <d v="2018-12-22T00:00:00" u="1"/>
        <d v="2019-03-12T00:00:00" u="1"/>
        <d v="2019-06-14T00:00:00" u="1"/>
        <d v="2019-02-27T00:00:00" u="1"/>
        <d v="2019-05-29T00:00:00" u="1"/>
        <d v="2019-03-08T00:00:00" u="1"/>
        <d v="2019-06-10T00:00:00" u="1"/>
        <d v="2019-05-25T00:00:00" u="1"/>
        <d v="2019-03-04T00:00:00" u="1"/>
        <d v="2019-08-27T00:00:00" u="1"/>
        <d v="2019-06-06T00:00:00" u="1"/>
        <d v="2020-02-19T00:00:00" u="1"/>
        <d v="2019-11-25T00:00:00" u="1"/>
        <d v="2019-02-15T00:00:00" u="1"/>
        <d v="2020-02-15T00:00:00" u="1"/>
        <d v="2019-05-17T00:00:00" u="1"/>
        <d v="2019-01-30T00:00:00" u="1"/>
        <d v="2020-01-30T00:00:00" u="1"/>
        <d v="2019-02-11T00:00:00" u="1"/>
        <d v="2020-02-11T00:00:00" u="1"/>
        <d v="2019-05-13T00:00:00" u="1"/>
        <d v="2019-01-26T00:00:00" u="1"/>
        <d v="2019-08-15T00:00:00" u="1"/>
        <d v="2019-07-30T00:00:00" u="1"/>
        <d v="2019-01-22T00:00:00" u="1"/>
        <d v="2019-04-24T00:00:00" u="1"/>
      </sharedItems>
    </cacheField>
    <cacheField name="DoNumber" numFmtId="0">
      <sharedItems containsBlank="1"/>
    </cacheField>
    <cacheField name="CustomerCode" numFmtId="0">
      <sharedItems containsBlank="1"/>
    </cacheField>
    <cacheField name="ProductCode" numFmtId="0">
      <sharedItems containsBlank="1"/>
    </cacheField>
    <cacheField name="SumOfQuantity" numFmtId="0">
      <sharedItems containsString="0" containsBlank="1" containsNumber="1" containsInteger="1" minValue="1" maxValue="1"/>
    </cacheField>
    <cacheField name="SumOfWeight" numFmtId="0">
      <sharedItems containsNonDate="0" containsString="0" containsBlank="1"/>
    </cacheField>
    <cacheField name="SumOfVolumn" numFmtId="0">
      <sharedItems containsNonDate="0" containsString="0" containsBlank="1"/>
    </cacheField>
    <cacheField name="RouteID" numFmtId="0">
      <sharedItems containsNonDate="0" containsString="0" containsBlank="1"/>
    </cacheField>
    <cacheField name="CustomerName" numFmtId="0">
      <sharedItems containsBlank="1"/>
    </cacheField>
    <cacheField name="CustomerAddress" numFmtId="0">
      <sharedItems containsBlank="1"/>
    </cacheField>
    <cacheField name="AMPHURE" numFmtId="0">
      <sharedItems containsBlank="1"/>
    </cacheField>
    <cacheField name="PROVINCE" numFmtId="0">
      <sharedItems containsBlank="1"/>
    </cacheField>
    <cacheField name="ActualWgt" numFmtId="0">
      <sharedItems containsNonDate="0" containsString="0" containsBlank="1"/>
    </cacheField>
    <cacheField name="ShipBy" numFmtId="0">
      <sharedItems containsBlank="1"/>
    </cacheField>
    <cacheField name="ShippingMarkNo" numFmtId="0">
      <sharedItems containsBlank="1"/>
    </cacheField>
    <cacheField name="RouteLineNumber" numFmtId="0">
      <sharedItems containsNonDate="0" containsString="0" containsBlank="1"/>
    </cacheField>
    <cacheField name="PalletID" numFmtId="0">
      <sharedItems containsNonDate="0" containsString="0" containsBlank="1"/>
    </cacheField>
    <cacheField name="SoldToSubCode" numFmtId="0">
      <sharedItems containsString="0" containsBlank="1" containsNumber="1" containsInteger="1" minValue="121" maxValue="121"/>
    </cacheField>
    <cacheField name="ReqDate" numFmtId="187">
      <sharedItems containsNonDate="0" containsDate="1" containsString="0" containsBlank="1" minDate="2020-03-03T00:00:00" maxDate="2020-03-19T00:00:00"/>
    </cacheField>
    <cacheField name="TUNumber" numFmtId="0">
      <sharedItems containsBlank="1"/>
    </cacheField>
    <cacheField name="ServiceType" numFmtId="0">
      <sharedItems containsBlank="1"/>
    </cacheField>
    <cacheField name="Est Delivery" numFmtId="187">
      <sharedItems containsNonDate="0" containsDate="1" containsString="0" containsBlank="1" minDate="1899-12-30T00:00:00" maxDate="2020-03-19T00:00:00"/>
    </cacheField>
    <cacheField name="Act Delivery" numFmtId="187">
      <sharedItems containsNonDate="0" containsDate="1" containsString="0" containsBlank="1" minDate="1899-12-30T00:00:00" maxDate="2020-03-19T00:00:00"/>
    </cacheField>
    <cacheField name="On-Time Delivery" numFmtId="0">
      <sharedItems containsBlank="1" containsMixedTypes="1" containsNumber="1" containsInteger="1" minValue="1" maxValue="1"/>
    </cacheField>
    <cacheField name="Est POD Return" numFmtId="187">
      <sharedItems containsDate="1" containsBlank="1" containsMixedTypes="1" minDate="2020-03-13T00:00:00" maxDate="2020-03-29T00:00:00"/>
    </cacheField>
    <cacheField name="Act POD Return" numFmtId="187">
      <sharedItems containsNonDate="0" containsString="0" containsBlank="1"/>
    </cacheField>
    <cacheField name="On-Time POD Return" numFmtId="0">
      <sharedItems containsBlank="1" containsMixedTypes="1" containsNumber="1" containsInteger="1" minValue="0" maxValue="0"/>
    </cacheField>
    <cacheField name="Missed Delivery" numFmtId="0">
      <sharedItems containsNonDate="0" containsString="0" containsBlank="1"/>
    </cacheField>
    <cacheField name="Remark" numFmtId="0">
      <sharedItems containsNonDate="0" containsString="0" containsBlank="1"/>
    </cacheField>
    <cacheField name=" Size" numFmtId="0">
      <sharedItems containsBlank="1" count="9">
        <s v="L"/>
        <s v="M+"/>
        <s v="M"/>
        <s v="S"/>
        <s v=""/>
        <m/>
        <s v="XL" u="1"/>
        <e v="#N/A" u="1"/>
        <s v="L+" u="1"/>
      </sharedItems>
    </cacheField>
    <cacheField name="Charge Rate" numFmtId="0">
      <sharedItems containsBlank="1" containsMixedTypes="1" containsNumber="1" containsInteger="1" minValue="37" maxValue="166"/>
    </cacheField>
    <cacheField name="Charge" numFmtId="0">
      <sharedItems containsBlank="1" containsMixedTypes="1" containsNumber="1" containsInteger="1" minValue="37" maxValue="166"/>
    </cacheField>
    <cacheField name="Adjustment" numFmtId="9">
      <sharedItems containsBlank="1" containsMixedTypes="1" containsNumber="1" containsInteger="1" minValue="0" maxValue="0"/>
    </cacheField>
    <cacheField name="Actual Charge" numFmtId="0">
      <sharedItems containsBlank="1" containsMixedTypes="1" containsNumber="1" containsInteger="1" minValue="37" maxValue="166"/>
    </cacheField>
    <cacheField name="KPI ADJ. 1" numFmtId="0">
      <sharedItems containsNonDate="0" containsString="0" containsBlank="1"/>
    </cacheField>
    <cacheField name="KPI ADJ. 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86">
  <r>
    <x v="0"/>
    <s v="MON"/>
    <x v="0"/>
    <x v="0"/>
    <x v="0"/>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27253"/>
    <m/>
    <m/>
    <n v="121"/>
    <d v="2020-03-03T00:00:00"/>
    <s v="SHG2003022501"/>
    <s v="N"/>
    <d v="2020-03-03T00:00:00"/>
    <d v="2020-03-03T00:00:00"/>
    <n v="1"/>
    <d v="2020-03-13T00:00:00"/>
    <m/>
    <n v="0"/>
    <m/>
    <m/>
    <x v="0"/>
    <n v="129"/>
    <n v="129"/>
    <n v="0"/>
    <n v="129"/>
    <m/>
    <m/>
    <n v="37"/>
    <n v="46"/>
    <n v="86"/>
    <n v="129"/>
    <n v="172"/>
    <n v="215"/>
    <n v="4.7300000000000004"/>
  </r>
  <r>
    <x v="0"/>
    <s v="MON"/>
    <x v="0"/>
    <x v="0"/>
    <x v="0"/>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27254"/>
    <m/>
    <m/>
    <n v="121"/>
    <d v="2020-03-03T00:00:00"/>
    <s v="SHG2003022501"/>
    <s v="N"/>
    <d v="2020-03-03T00:00:00"/>
    <d v="2020-03-03T00:00:00"/>
    <n v="1"/>
    <d v="2020-03-13T00:00:00"/>
    <m/>
    <n v="0"/>
    <m/>
    <m/>
    <x v="0"/>
    <n v="129"/>
    <n v="129"/>
    <n v="0"/>
    <n v="129"/>
    <m/>
    <m/>
    <n v="37"/>
    <n v="46"/>
    <n v="86"/>
    <n v="129"/>
    <n v="172"/>
    <n v="215"/>
    <n v="4.7300000000000004"/>
  </r>
  <r>
    <x v="0"/>
    <s v="THU"/>
    <x v="1"/>
    <x v="1"/>
    <x v="0"/>
    <s v="ZABZ90510003"/>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57846"/>
    <m/>
    <m/>
    <n v="121"/>
    <d v="2020-03-06T00:00:00"/>
    <s v="SHG2003052580"/>
    <s v="N"/>
    <d v="2020-03-06T00:00:00"/>
    <d v="2020-03-06T00:00:00"/>
    <n v="1"/>
    <d v="2020-03-16T00:00:00"/>
    <m/>
    <n v="0"/>
    <m/>
    <m/>
    <x v="1"/>
    <n v="86"/>
    <n v="86"/>
    <n v="0"/>
    <n v="86"/>
    <m/>
    <m/>
    <n v="37"/>
    <n v="46"/>
    <n v="86"/>
    <n v="129"/>
    <n v="172"/>
    <n v="215"/>
    <n v="4.7300000000000004"/>
  </r>
  <r>
    <x v="0"/>
    <s v="MON"/>
    <x v="2"/>
    <x v="2"/>
    <x v="0"/>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98011"/>
    <m/>
    <m/>
    <n v="121"/>
    <d v="2020-03-10T00:00:00"/>
    <s v="SHG2003092634"/>
    <s v="N"/>
    <d v="2020-03-10T00:00:00"/>
    <d v="2020-03-10T00:00:00"/>
    <n v="1"/>
    <d v="2020-03-20T00:00:00"/>
    <m/>
    <n v="0"/>
    <m/>
    <m/>
    <x v="0"/>
    <n v="129"/>
    <n v="129"/>
    <n v="0"/>
    <n v="129"/>
    <m/>
    <m/>
    <n v="37"/>
    <n v="46"/>
    <n v="86"/>
    <n v="129"/>
    <n v="172"/>
    <n v="215"/>
    <n v="4.7300000000000004"/>
  </r>
  <r>
    <x v="0"/>
    <s v="TUE"/>
    <x v="3"/>
    <x v="3"/>
    <x v="1"/>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87"/>
    <m/>
    <m/>
    <n v="121"/>
    <d v="2020-03-11T00:00:00"/>
    <s v="SHG2003102695"/>
    <s v="N"/>
    <d v="2020-03-11T00:00:00"/>
    <d v="2020-03-11T00:00:00"/>
    <n v="1"/>
    <d v="2020-03-21T00:00:00"/>
    <m/>
    <n v="0"/>
    <m/>
    <m/>
    <x v="2"/>
    <n v="46"/>
    <n v="46"/>
    <n v="0"/>
    <n v="46"/>
    <m/>
    <m/>
    <n v="42"/>
    <n v="52"/>
    <n v="100"/>
    <n v="149"/>
    <n v="199"/>
    <n v="248"/>
    <n v="5.46"/>
  </r>
  <r>
    <x v="0"/>
    <s v="TUE"/>
    <x v="3"/>
    <x v="3"/>
    <x v="1"/>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88"/>
    <m/>
    <m/>
    <n v="121"/>
    <d v="2020-03-11T00:00:00"/>
    <s v="SHG2003102695"/>
    <s v="N"/>
    <d v="2020-03-11T00:00:00"/>
    <d v="2020-03-11T00:00:00"/>
    <n v="1"/>
    <d v="2020-03-21T00:00:00"/>
    <m/>
    <n v="0"/>
    <m/>
    <m/>
    <x v="2"/>
    <n v="52"/>
    <n v="52"/>
    <n v="0"/>
    <n v="52"/>
    <m/>
    <m/>
    <n v="42"/>
    <n v="52"/>
    <n v="100"/>
    <n v="149"/>
    <n v="199"/>
    <n v="248"/>
    <n v="5.46"/>
  </r>
  <r>
    <x v="0"/>
    <s v="TUE"/>
    <x v="3"/>
    <x v="3"/>
    <x v="1"/>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91"/>
    <m/>
    <m/>
    <n v="121"/>
    <d v="2020-03-11T00:00:00"/>
    <s v="SHG2003102695"/>
    <s v="N"/>
    <d v="2020-03-11T00:00:00"/>
    <d v="2020-03-11T00:00:00"/>
    <n v="1"/>
    <d v="2020-03-21T00:00:00"/>
    <m/>
    <n v="0"/>
    <m/>
    <m/>
    <x v="2"/>
    <n v="52"/>
    <n v="52"/>
    <n v="0"/>
    <n v="52"/>
    <m/>
    <m/>
    <n v="42"/>
    <n v="52"/>
    <n v="100"/>
    <n v="149"/>
    <n v="199"/>
    <n v="248"/>
    <n v="5.46"/>
  </r>
  <r>
    <x v="0"/>
    <s v="SAT"/>
    <x v="4"/>
    <x v="4"/>
    <x v="2"/>
    <s v="ZABZ90510003"/>
    <n v="1"/>
    <m/>
    <m/>
    <m/>
    <s v="คุณศิชาโรจน์"/>
    <s v="397 ม.2 ต.สว่างแดนดิน อ.สว่างแดนดิน ติดกับคูโบต้าสว่างแดนดิน จ.สกลนคร 47110"/>
    <s v="สว่างแดนดิน"/>
    <s v="สกลนคร"/>
    <m/>
    <s v="SCG"/>
    <s v="SHM2003138959"/>
    <m/>
    <m/>
    <n v="121"/>
    <d v="2020-03-16T00:00:00"/>
    <s v="SHG2003132898"/>
    <s v="N"/>
    <d v="2020-03-16T00:00:00"/>
    <d v="2020-03-16T00:00:00"/>
    <n v="1"/>
    <d v="2020-03-26T00:00:00"/>
    <m/>
    <n v="0"/>
    <m/>
    <m/>
    <x v="1"/>
    <n v="100"/>
    <n v="100"/>
    <n v="0"/>
    <n v="100"/>
    <m/>
    <m/>
    <n v="45"/>
    <n v="56"/>
    <n v="107"/>
    <n v="160"/>
    <n v="214"/>
    <n v="267"/>
    <n v="5.88"/>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4"/>
    <m/>
    <m/>
    <n v="121"/>
    <d v="2020-03-17T00:00:00"/>
    <s v="SHG2003162933"/>
    <s v="N"/>
    <d v="2020-03-17T00:00:00"/>
    <d v="2020-03-17T00:00:00"/>
    <n v="1"/>
    <d v="2020-03-27T00:00:00"/>
    <m/>
    <n v="0"/>
    <m/>
    <m/>
    <x v="3"/>
    <n v="45"/>
    <n v="45"/>
    <n v="0"/>
    <n v="45"/>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5"/>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6"/>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7"/>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8"/>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9"/>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0"/>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1"/>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2"/>
    <m/>
    <m/>
    <n v="121"/>
    <d v="2020-03-17T00:00:00"/>
    <s v="SHG2003162933"/>
    <s v="N"/>
    <d v="2020-03-17T00:00:00"/>
    <d v="2020-03-17T00:00:00"/>
    <n v="1"/>
    <d v="2020-03-27T00:00:00"/>
    <m/>
    <n v="0"/>
    <m/>
    <m/>
    <x v="3"/>
    <n v="37"/>
    <n v="37"/>
    <n v="0"/>
    <n v="37"/>
    <m/>
    <m/>
    <n v="37"/>
    <n v="46"/>
    <n v="86"/>
    <n v="129"/>
    <n v="172"/>
    <n v="215"/>
    <n v="4.7300000000000004"/>
  </r>
  <r>
    <x v="0"/>
    <s v="MON"/>
    <x v="5"/>
    <x v="5"/>
    <x v="0"/>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3"/>
    <m/>
    <m/>
    <n v="121"/>
    <d v="2020-03-17T00:00:00"/>
    <s v="SHG2003162933"/>
    <s v="N"/>
    <d v="2020-03-17T00:00:00"/>
    <d v="2020-03-17T00:00:00"/>
    <n v="1"/>
    <d v="2020-03-27T00:00:00"/>
    <m/>
    <n v="0"/>
    <m/>
    <m/>
    <x v="3"/>
    <n v="37"/>
    <n v="37"/>
    <n v="0"/>
    <n v="37"/>
    <m/>
    <m/>
    <n v="37"/>
    <n v="46"/>
    <n v="86"/>
    <n v="129"/>
    <n v="172"/>
    <n v="215"/>
    <n v="4.7300000000000004"/>
  </r>
  <r>
    <x v="0"/>
    <s v="TUE"/>
    <x v="6"/>
    <x v="6"/>
    <x v="3"/>
    <s v="ZABZ90510003"/>
    <n v="1"/>
    <m/>
    <m/>
    <m/>
    <s v="บริษัท พยัคฆ์ค้าสากล จำกัด"/>
    <s v="145 หมู่9 ถ.พหลโยธิน ต.สันทราย อ.เมืองเชียงราย จ.เชียงราย"/>
    <s v="เมืองเชียงราย"/>
    <s v="เชียงราย"/>
    <m/>
    <s v="SCG"/>
    <s v="SHM2003179378"/>
    <m/>
    <m/>
    <n v="121"/>
    <d v="2020-03-18T00:00:00"/>
    <s v="SHG2003173031"/>
    <s v="N"/>
    <d v="2020-03-18T00:00:00"/>
    <d v="2020-03-18T00:00:00"/>
    <n v="1"/>
    <d v="2020-03-28T00:00:00"/>
    <m/>
    <n v="0"/>
    <m/>
    <m/>
    <x v="1"/>
    <n v="86"/>
    <n v="86"/>
    <n v="0"/>
    <n v="86"/>
    <m/>
    <m/>
    <n v="47"/>
    <n v="58"/>
    <n v="111"/>
    <n v="166"/>
    <n v="221"/>
    <n v="277"/>
    <n v="6.09"/>
  </r>
  <r>
    <x v="0"/>
    <s v="TUE"/>
    <x v="6"/>
    <x v="6"/>
    <x v="3"/>
    <s v="ZABZ90510004"/>
    <n v="1"/>
    <m/>
    <m/>
    <m/>
    <s v="บริษัท พยัคฆ์ค้าสากล จำกัด"/>
    <s v="145 หมู่9 ถ.พหลโยธิน ต.สันทราย อ.เมืองเชียงราย จ.เชียงราย"/>
    <s v="เมืองเชียงราย"/>
    <s v="เชียงราย"/>
    <m/>
    <s v="SCG"/>
    <s v="SHM2003179379"/>
    <m/>
    <m/>
    <n v="121"/>
    <d v="2020-03-18T00:00:00"/>
    <s v="SHG2003173031"/>
    <s v="N"/>
    <d v="2020-03-18T00:00:00"/>
    <d v="2020-03-18T00:00:00"/>
    <n v="1"/>
    <d v="2020-03-28T00:00:00"/>
    <m/>
    <n v="0"/>
    <m/>
    <m/>
    <x v="0"/>
    <n v="166"/>
    <n v="166"/>
    <n v="0"/>
    <n v="166"/>
    <m/>
    <m/>
    <n v="47"/>
    <n v="58"/>
    <n v="111"/>
    <n v="166"/>
    <n v="221"/>
    <n v="277"/>
    <n v="6.09"/>
  </r>
  <r>
    <x v="0"/>
    <s v="TUE"/>
    <x v="6"/>
    <x v="7"/>
    <x v="4"/>
    <s v="ZABZ90510003"/>
    <n v="1"/>
    <m/>
    <m/>
    <m/>
    <s v="บริษัท เอสซีจี ซิเมนต์-ผลิตภัณฑ์ก่อสร้าง จำกัด (สำนักงานภาคเหนือ)"/>
    <s v="เลขที่ 139 ม.2 ถ.เชียงใหม่-ลำปาง ต.หนองป่าครั่ง อ.เมือง จ.เชียงใหม่ 50000"/>
    <s v="อ.เมือง"/>
    <s v="เชียงใหม่"/>
    <m/>
    <s v="SCG"/>
    <s v="SHM2003179382"/>
    <m/>
    <m/>
    <n v="121"/>
    <d v="2020-03-18T00:00:00"/>
    <s v="SHG2003173031"/>
    <s v="N"/>
    <d v="2020-03-18T00:00:00"/>
    <d v="2020-03-18T00:00:00"/>
    <n v="1"/>
    <d v="2020-03-28T00:00:00"/>
    <m/>
    <n v="0"/>
    <m/>
    <m/>
    <x v="1"/>
    <n v="111"/>
    <n v="111"/>
    <n v="0"/>
    <n v="111"/>
    <m/>
    <m/>
    <n v="46"/>
    <n v="58"/>
    <n v="109"/>
    <n v="163"/>
    <n v="218"/>
    <n v="272"/>
    <n v="5.99"/>
  </r>
  <r>
    <x v="0"/>
    <s v="TUE"/>
    <x v="6"/>
    <x v="7"/>
    <x v="4"/>
    <s v="ZABZ90510003"/>
    <n v="1"/>
    <m/>
    <m/>
    <m/>
    <s v="บริษัท เอสซีจี ซิเมนต์-ผลิตภัณฑ์ก่อสร้าง จำกัด (สำนักงานภาคเหนือ)"/>
    <s v="เลขที่ 139 ม.2 ถ.เชียงใหม่-ลำปาง ต.หนองป่าครั่ง อ.เมือง จ.เชียงใหม่ 50000"/>
    <s v="อ.เมือง"/>
    <s v="เชียงใหม่"/>
    <m/>
    <s v="SCG"/>
    <s v="SHM2003179383"/>
    <m/>
    <m/>
    <n v="121"/>
    <d v="2020-03-18T00:00:00"/>
    <s v="SHG2003173031"/>
    <s v="N"/>
    <d v="2020-03-18T00:00:00"/>
    <d v="2020-03-18T00:00:00"/>
    <n v="1"/>
    <d v="2020-03-28T00:00:00"/>
    <m/>
    <n v="0"/>
    <m/>
    <m/>
    <x v="1"/>
    <n v="109"/>
    <n v="109"/>
    <n v="0"/>
    <n v="109"/>
    <m/>
    <m/>
    <n v="46"/>
    <n v="58"/>
    <n v="109"/>
    <n v="163"/>
    <n v="218"/>
    <n v="272"/>
    <n v="5.99"/>
  </r>
  <r>
    <x v="0"/>
    <s v="TUE"/>
    <x v="6"/>
    <x v="8"/>
    <x v="5"/>
    <s v="ZABZ90510002"/>
    <n v="1"/>
    <m/>
    <m/>
    <m/>
    <s v="บจก เอ็มอาร์อินเตอร์ทรานสปอร์ต"/>
    <s v="804 ม.8 ต.เวียงพางคำ อ.แม่สาย จ. เชียงราย 57130"/>
    <s v="แม่สาย"/>
    <s v="เชียงราย"/>
    <m/>
    <s v="SCG"/>
    <s v="SHM2003179387"/>
    <m/>
    <m/>
    <n v="121"/>
    <d v="2020-03-18T00:00:00"/>
    <s v="SHG2003173031"/>
    <s v="N"/>
    <d v="2020-03-18T00:00:00"/>
    <d v="2020-03-18T00:00:00"/>
    <n v="1"/>
    <d v="2020-03-28T00:00:00"/>
    <m/>
    <n v="0"/>
    <m/>
    <m/>
    <x v="2"/>
    <n v="58"/>
    <n v="58"/>
    <n v="0"/>
    <n v="58"/>
    <m/>
    <m/>
    <n v="47"/>
    <n v="58"/>
    <n v="111"/>
    <n v="166"/>
    <n v="221"/>
    <n v="277"/>
    <n v="6.09"/>
  </r>
  <r>
    <x v="0"/>
    <s v="TUE"/>
    <x v="6"/>
    <x v="8"/>
    <x v="5"/>
    <s v="ZABZ90510004"/>
    <n v="1"/>
    <m/>
    <m/>
    <m/>
    <s v="บจก เอ็มอาร์อินเตอร์ทรานสปอร์ต"/>
    <s v="804 ม.8 ต.เวียงพางคำ อ.แม่สาย จ. เชียงราย 57130"/>
    <s v="แม่สาย"/>
    <s v="เชียงราย"/>
    <m/>
    <s v="SCG"/>
    <s v="SHM2003179388"/>
    <m/>
    <m/>
    <n v="121"/>
    <d v="2020-03-18T00:00:00"/>
    <s v="SHG2003173031"/>
    <s v="N"/>
    <d v="2020-03-18T00:00:00"/>
    <d v="2020-03-18T00:00:00"/>
    <n v="1"/>
    <d v="2020-03-28T00:00:00"/>
    <m/>
    <n v="0"/>
    <m/>
    <m/>
    <x v="0"/>
    <n v="166"/>
    <n v="166"/>
    <n v="0"/>
    <n v="166"/>
    <m/>
    <m/>
    <n v="47"/>
    <n v="58"/>
    <n v="111"/>
    <n v="166"/>
    <n v="221"/>
    <n v="277"/>
    <n v="6.09"/>
  </r>
  <r>
    <x v="0"/>
    <s v="TUE"/>
    <x v="6"/>
    <x v="8"/>
    <x v="5"/>
    <s v="ZABZ90510004"/>
    <n v="1"/>
    <m/>
    <m/>
    <m/>
    <s v="บจก เอ็มอาร์อินเตอร์ทรานสปอร์ต"/>
    <s v="804 ม.8 ต.เวียงพางคำ อ.แม่สาย จ. เชียงราย 57130"/>
    <s v="แม่สาย"/>
    <s v="เชียงราย"/>
    <m/>
    <s v="SCG"/>
    <s v="SHM2003179389"/>
    <m/>
    <m/>
    <n v="121"/>
    <d v="2020-03-18T00:00:00"/>
    <s v="SHG2003173031"/>
    <s v="N"/>
    <d v="2020-03-18T00:00:00"/>
    <d v="2020-03-18T00:00:00"/>
    <n v="1"/>
    <d v="2020-03-28T00:00:00"/>
    <m/>
    <n v="0"/>
    <m/>
    <m/>
    <x v="0"/>
    <n v="166"/>
    <n v="166"/>
    <n v="0"/>
    <n v="166"/>
    <m/>
    <m/>
    <n v="47"/>
    <n v="58"/>
    <n v="111"/>
    <n v="166"/>
    <n v="221"/>
    <n v="277"/>
    <n v="6.09"/>
  </r>
  <r>
    <x v="0"/>
    <s v="TUE"/>
    <x v="6"/>
    <x v="8"/>
    <x v="5"/>
    <s v="ZABZ90510004"/>
    <n v="1"/>
    <m/>
    <m/>
    <m/>
    <s v="บจก เอ็มอาร์อินเตอร์ทรานสปอร์ต"/>
    <s v="804 ม.8 ต.เวียงพางคำ อ.แม่สาย จ. เชียงราย 57130"/>
    <s v="แม่สาย"/>
    <s v="เชียงราย"/>
    <m/>
    <s v="SCG"/>
    <s v="SHM2003179390"/>
    <m/>
    <m/>
    <n v="121"/>
    <d v="2020-03-18T00:00:00"/>
    <s v="SHG2003173031"/>
    <s v="N"/>
    <d v="2020-03-18T00:00:00"/>
    <d v="2020-03-18T00:00:00"/>
    <n v="1"/>
    <d v="2020-03-28T00:00:00"/>
    <m/>
    <n v="0"/>
    <m/>
    <m/>
    <x v="0"/>
    <n v="166"/>
    <n v="166"/>
    <n v="0"/>
    <n v="166"/>
    <m/>
    <m/>
    <n v="47"/>
    <n v="58"/>
    <n v="111"/>
    <n v="166"/>
    <n v="221"/>
    <n v="277"/>
    <n v="6.09"/>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n v="0"/>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n v="1"/>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s v="Delivery"/>
    <s v=""/>
    <m/>
    <s v="Collecting"/>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m/>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d v="1899-12-30T00:00:00"/>
    <d v="1899-12-30T00:00:00"/>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1"/>
    <s v=""/>
    <x v="7"/>
    <x v="9"/>
    <x v="6"/>
    <m/>
    <m/>
    <m/>
    <m/>
    <m/>
    <m/>
    <m/>
    <m/>
    <m/>
    <m/>
    <m/>
    <m/>
    <m/>
    <m/>
    <m/>
    <m/>
    <m/>
    <m/>
    <m/>
    <m/>
    <s v=""/>
    <s v=""/>
    <m/>
    <s v=""/>
    <m/>
    <m/>
    <x v="4"/>
    <s v=""/>
    <s v=""/>
    <s v=""/>
    <s v=""/>
    <m/>
    <m/>
    <s v=""/>
    <s v=""/>
    <s v=""/>
    <s v=""/>
    <s v=""/>
    <s v=""/>
    <s v=""/>
  </r>
  <r>
    <x v="2"/>
    <m/>
    <x v="7"/>
    <x v="9"/>
    <x v="6"/>
    <m/>
    <m/>
    <m/>
    <m/>
    <m/>
    <m/>
    <m/>
    <m/>
    <m/>
    <m/>
    <m/>
    <m/>
    <m/>
    <m/>
    <m/>
    <m/>
    <m/>
    <m/>
    <m/>
    <m/>
    <m/>
    <m/>
    <m/>
    <m/>
    <m/>
    <m/>
    <x v="5"/>
    <m/>
    <m/>
    <m/>
    <m/>
    <m/>
    <m/>
    <s v=""/>
    <m/>
    <m/>
    <m/>
    <m/>
    <m/>
    <m/>
  </r>
  <r>
    <x v="3"/>
    <m/>
    <x v="7"/>
    <x v="9"/>
    <x v="6"/>
    <m/>
    <m/>
    <m/>
    <m/>
    <m/>
    <m/>
    <m/>
    <m/>
    <m/>
    <m/>
    <m/>
    <m/>
    <m/>
    <m/>
    <m/>
    <m/>
    <m/>
    <m/>
    <m/>
    <m/>
    <m/>
    <m/>
    <m/>
    <m/>
    <m/>
    <m/>
    <x v="5"/>
    <m/>
    <m/>
    <m/>
    <m/>
    <m/>
    <m/>
    <s v=""/>
    <m/>
    <m/>
    <m/>
    <m/>
    <m/>
    <m/>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1"/>
    <s v=""/>
    <x v="7"/>
    <x v="9"/>
    <x v="6"/>
    <m/>
    <m/>
    <m/>
    <m/>
    <m/>
    <m/>
    <m/>
    <m/>
    <m/>
    <m/>
    <m/>
    <m/>
    <m/>
    <m/>
    <m/>
    <m/>
    <m/>
    <m/>
    <d v="1899-12-30T00:00:00"/>
    <m/>
    <s v=""/>
    <s v=""/>
    <m/>
    <s v=""/>
    <m/>
    <m/>
    <x v="4"/>
    <s v=""/>
    <s v=""/>
    <s v=""/>
    <s v=""/>
    <m/>
    <m/>
    <s v=""/>
    <s v=""/>
    <s v=""/>
    <s v=""/>
    <s v=""/>
    <s v=""/>
    <s v=""/>
  </r>
  <r>
    <x v="3"/>
    <m/>
    <x v="7"/>
    <x v="9"/>
    <x v="6"/>
    <m/>
    <m/>
    <m/>
    <m/>
    <m/>
    <m/>
    <m/>
    <m/>
    <m/>
    <m/>
    <m/>
    <m/>
    <m/>
    <m/>
    <m/>
    <m/>
    <m/>
    <m/>
    <m/>
    <m/>
    <m/>
    <m/>
    <m/>
    <m/>
    <m/>
    <m/>
    <x v="5"/>
    <m/>
    <m/>
    <m/>
    <m/>
    <m/>
    <m/>
    <m/>
    <m/>
    <m/>
    <m/>
    <m/>
    <m/>
    <m/>
  </r>
</pivotCacheRecords>
</file>

<file path=xl/pivotCache/pivotCacheRecords2.xml><?xml version="1.0" encoding="utf-8"?>
<pivotCacheRecords xmlns="http://schemas.openxmlformats.org/spreadsheetml/2006/main" xmlns:r="http://schemas.openxmlformats.org/officeDocument/2006/relationships" count="986">
  <r>
    <n v="3"/>
    <s v="MON"/>
    <x v="0"/>
    <s v="2002-0017"/>
    <s v="POSM01"/>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27253"/>
    <m/>
    <m/>
    <n v="121"/>
    <d v="2020-03-03T00:00:00"/>
    <s v="SHG2003022501"/>
    <s v="N"/>
    <d v="2020-03-03T00:00:00"/>
    <d v="2020-03-03T00:00:00"/>
    <n v="1"/>
    <d v="2020-03-13T00:00:00"/>
    <m/>
    <n v="0"/>
    <m/>
    <m/>
    <x v="0"/>
    <n v="129"/>
    <n v="129"/>
    <n v="0"/>
    <n v="129"/>
    <m/>
    <m/>
  </r>
  <r>
    <n v="3"/>
    <s v="MON"/>
    <x v="0"/>
    <s v="2002-0017"/>
    <s v="POSM01"/>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27254"/>
    <m/>
    <m/>
    <n v="121"/>
    <d v="2020-03-03T00:00:00"/>
    <s v="SHG2003022501"/>
    <s v="N"/>
    <d v="2020-03-03T00:00:00"/>
    <d v="2020-03-03T00:00:00"/>
    <n v="1"/>
    <d v="2020-03-13T00:00:00"/>
    <m/>
    <n v="0"/>
    <m/>
    <m/>
    <x v="0"/>
    <n v="129"/>
    <n v="129"/>
    <n v="0"/>
    <n v="129"/>
    <m/>
    <m/>
  </r>
  <r>
    <n v="3"/>
    <s v="THU"/>
    <x v="1"/>
    <s v="2003-0003"/>
    <s v="POSM01"/>
    <s v="ZABZ90510003"/>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57846"/>
    <m/>
    <m/>
    <n v="121"/>
    <d v="2020-03-06T00:00:00"/>
    <s v="SHG2003052580"/>
    <s v="N"/>
    <d v="2020-03-06T00:00:00"/>
    <d v="2020-03-06T00:00:00"/>
    <n v="1"/>
    <d v="2020-03-16T00:00:00"/>
    <m/>
    <n v="0"/>
    <m/>
    <m/>
    <x v="1"/>
    <n v="86"/>
    <n v="86"/>
    <n v="0"/>
    <n v="86"/>
    <m/>
    <m/>
  </r>
  <r>
    <n v="3"/>
    <s v="MON"/>
    <x v="2"/>
    <s v="2003-0007"/>
    <s v="POSM01"/>
    <s v="ZABZ90510004"/>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098011"/>
    <m/>
    <m/>
    <n v="121"/>
    <d v="2020-03-10T00:00:00"/>
    <s v="SHG2003092634"/>
    <s v="N"/>
    <d v="2020-03-10T00:00:00"/>
    <d v="2020-03-10T00:00:00"/>
    <n v="1"/>
    <d v="2020-03-20T00:00:00"/>
    <m/>
    <n v="0"/>
    <m/>
    <m/>
    <x v="0"/>
    <n v="129"/>
    <n v="129"/>
    <n v="0"/>
    <n v="129"/>
    <m/>
    <m/>
  </r>
  <r>
    <n v="3"/>
    <s v="TUE"/>
    <x v="3"/>
    <s v="2003-0011"/>
    <s v="POSM03"/>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87"/>
    <m/>
    <m/>
    <n v="121"/>
    <d v="2020-03-11T00:00:00"/>
    <s v="SHG2003102695"/>
    <s v="N"/>
    <d v="2020-03-11T00:00:00"/>
    <d v="2020-03-11T00:00:00"/>
    <n v="1"/>
    <d v="2020-03-21T00:00:00"/>
    <m/>
    <n v="0"/>
    <m/>
    <m/>
    <x v="2"/>
    <n v="46"/>
    <n v="46"/>
    <n v="0"/>
    <n v="46"/>
    <m/>
    <m/>
  </r>
  <r>
    <n v="3"/>
    <s v="TUE"/>
    <x v="3"/>
    <s v="2003-0011"/>
    <s v="POSM03"/>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88"/>
    <m/>
    <m/>
    <n v="121"/>
    <d v="2020-03-11T00:00:00"/>
    <s v="SHG2003102695"/>
    <s v="N"/>
    <d v="2020-03-11T00:00:00"/>
    <d v="2020-03-11T00:00:00"/>
    <n v="1"/>
    <d v="2020-03-21T00:00:00"/>
    <m/>
    <n v="0"/>
    <m/>
    <m/>
    <x v="2"/>
    <n v="52"/>
    <n v="52"/>
    <n v="0"/>
    <n v="52"/>
    <m/>
    <m/>
  </r>
  <r>
    <n v="3"/>
    <s v="TUE"/>
    <x v="3"/>
    <s v="2003-0011"/>
    <s v="POSM03"/>
    <s v="ZABZ90510002"/>
    <n v="1"/>
    <m/>
    <m/>
    <m/>
    <s v="บริษัท เอสซีจี ซิเมนต์-ผลิตภัณฑ์ก่อสร้าง จำกัด (สำนักงานภาคอีสาน)"/>
    <s v="เลขที่ 1274/1 ถ.มิตรภาพ ต.ในเมือง อ.เมือง จ.นครราชสีมา 30000"/>
    <s v="อ.เมือง"/>
    <s v="นครราชสีมา"/>
    <m/>
    <s v="SCG"/>
    <s v="SHM2003108191"/>
    <m/>
    <m/>
    <n v="121"/>
    <d v="2020-03-11T00:00:00"/>
    <s v="SHG2003102695"/>
    <s v="N"/>
    <d v="2020-03-11T00:00:00"/>
    <d v="2020-03-11T00:00:00"/>
    <n v="1"/>
    <d v="2020-03-21T00:00:00"/>
    <m/>
    <n v="0"/>
    <m/>
    <m/>
    <x v="2"/>
    <n v="52"/>
    <n v="52"/>
    <n v="0"/>
    <n v="52"/>
    <m/>
    <m/>
  </r>
  <r>
    <n v="3"/>
    <s v="SAT"/>
    <x v="4"/>
    <s v="2003-0015"/>
    <s v="CU-3000757"/>
    <s v="ZABZ90510003"/>
    <n v="1"/>
    <m/>
    <m/>
    <m/>
    <s v="คุณศิชาโรจน์"/>
    <s v="397 ม.2 ต.สว่างแดนดิน อ.สว่างแดนดิน ติดกับคูโบต้าสว่างแดนดิน จ.สกลนคร 47110"/>
    <s v="สว่างแดนดิน"/>
    <s v="สกลนคร"/>
    <m/>
    <s v="SCG"/>
    <s v="SHM2003138959"/>
    <m/>
    <m/>
    <n v="121"/>
    <d v="2020-03-16T00:00:00"/>
    <s v="SHG2003132898"/>
    <s v="N"/>
    <d v="2020-03-16T00:00:00"/>
    <d v="2020-03-16T00:00:00"/>
    <n v="1"/>
    <d v="2020-03-26T00:00:00"/>
    <m/>
    <n v="0"/>
    <m/>
    <m/>
    <x v="1"/>
    <n v="100"/>
    <n v="100"/>
    <n v="0"/>
    <n v="100"/>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4"/>
    <m/>
    <m/>
    <n v="121"/>
    <d v="2020-03-17T00:00:00"/>
    <s v="SHG2003162933"/>
    <s v="N"/>
    <d v="2020-03-17T00:00:00"/>
    <d v="2020-03-17T00:00:00"/>
    <n v="1"/>
    <d v="2020-03-27T00:00:00"/>
    <m/>
    <n v="0"/>
    <m/>
    <m/>
    <x v="3"/>
    <n v="45"/>
    <n v="45"/>
    <n v="0"/>
    <n v="45"/>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5"/>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6"/>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7"/>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8"/>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29"/>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0"/>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1"/>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2"/>
    <m/>
    <m/>
    <n v="121"/>
    <d v="2020-03-17T00:00:00"/>
    <s v="SHG2003162933"/>
    <s v="N"/>
    <d v="2020-03-17T00:00:00"/>
    <d v="2020-03-17T00:00:00"/>
    <n v="1"/>
    <d v="2020-03-27T00:00:00"/>
    <m/>
    <n v="0"/>
    <m/>
    <m/>
    <x v="3"/>
    <n v="37"/>
    <n v="37"/>
    <n v="0"/>
    <n v="37"/>
    <m/>
    <m/>
  </r>
  <r>
    <n v="3"/>
    <s v="MON"/>
    <x v="5"/>
    <s v="2003-0018"/>
    <s v="POSM01"/>
    <s v="ZABZ90510001"/>
    <n v="1"/>
    <m/>
    <m/>
    <m/>
    <s v="บริษัท เอสซีจี ซิเมนต์ จำกัด (สำนักงานใหญ่)"/>
    <s v="เลขที่ 1 ถ.ปูนซิเมนต์ไทย แขวงบางซื่อ เขตบางซื่อ กรุงเทพฯ 10800"/>
    <s v="เขตบางซื่อ"/>
    <s v="กรุงเทพฯ"/>
    <m/>
    <s v="SCG"/>
    <s v="SHM2003169133"/>
    <m/>
    <m/>
    <n v="121"/>
    <d v="2020-03-17T00:00:00"/>
    <s v="SHG2003162933"/>
    <s v="N"/>
    <d v="2020-03-17T00:00:00"/>
    <d v="2020-03-17T00:00:00"/>
    <n v="1"/>
    <d v="2020-03-27T00:00:00"/>
    <m/>
    <n v="0"/>
    <m/>
    <m/>
    <x v="3"/>
    <n v="37"/>
    <n v="37"/>
    <n v="0"/>
    <n v="37"/>
    <m/>
    <m/>
  </r>
  <r>
    <n v="3"/>
    <s v="TUE"/>
    <x v="6"/>
    <s v="2003-0020"/>
    <s v="CU-3000346"/>
    <s v="ZABZ90510003"/>
    <n v="1"/>
    <m/>
    <m/>
    <m/>
    <s v="บริษัท พยัคฆ์ค้าสากล จำกัด"/>
    <s v="145 หมู่9 ถ.พหลโยธิน ต.สันทราย อ.เมืองเชียงราย จ.เชียงราย"/>
    <s v="เมืองเชียงราย"/>
    <s v="เชียงราย"/>
    <m/>
    <s v="SCG"/>
    <s v="SHM2003179378"/>
    <m/>
    <m/>
    <n v="121"/>
    <d v="2020-03-18T00:00:00"/>
    <s v="SHG2003173031"/>
    <s v="N"/>
    <d v="2020-03-18T00:00:00"/>
    <d v="2020-03-18T00:00:00"/>
    <n v="1"/>
    <d v="2020-03-28T00:00:00"/>
    <m/>
    <n v="0"/>
    <m/>
    <m/>
    <x v="1"/>
    <n v="86"/>
    <n v="86"/>
    <n v="0"/>
    <n v="86"/>
    <m/>
    <m/>
  </r>
  <r>
    <n v="3"/>
    <s v="TUE"/>
    <x v="6"/>
    <s v="2003-0020"/>
    <s v="CU-3000346"/>
    <s v="ZABZ90510004"/>
    <n v="1"/>
    <m/>
    <m/>
    <m/>
    <s v="บริษัท พยัคฆ์ค้าสากล จำกัด"/>
    <s v="145 หมู่9 ถ.พหลโยธิน ต.สันทราย อ.เมืองเชียงราย จ.เชียงราย"/>
    <s v="เมืองเชียงราย"/>
    <s v="เชียงราย"/>
    <m/>
    <s v="SCG"/>
    <s v="SHM2003179379"/>
    <m/>
    <m/>
    <n v="121"/>
    <d v="2020-03-18T00:00:00"/>
    <s v="SHG2003173031"/>
    <s v="N"/>
    <d v="2020-03-18T00:00:00"/>
    <d v="2020-03-18T00:00:00"/>
    <n v="1"/>
    <d v="2020-03-28T00:00:00"/>
    <m/>
    <n v="0"/>
    <m/>
    <m/>
    <x v="0"/>
    <n v="166"/>
    <n v="166"/>
    <n v="0"/>
    <n v="166"/>
    <m/>
    <m/>
  </r>
  <r>
    <n v="3"/>
    <s v="TUE"/>
    <x v="6"/>
    <s v="2003-0021"/>
    <s v="POSM02"/>
    <s v="ZABZ90510003"/>
    <n v="1"/>
    <m/>
    <m/>
    <m/>
    <s v="บริษัท เอสซีจี ซิเมนต์-ผลิตภัณฑ์ก่อสร้าง จำกัด (สำนักงานภาคเหนือ)"/>
    <s v="เลขที่ 139 ม.2 ถ.เชียงใหม่-ลำปาง ต.หนองป่าครั่ง อ.เมือง จ.เชียงใหม่ 50000"/>
    <s v="อ.เมือง"/>
    <s v="เชียงใหม่"/>
    <m/>
    <s v="SCG"/>
    <s v="SHM2003179382"/>
    <m/>
    <m/>
    <n v="121"/>
    <d v="2020-03-18T00:00:00"/>
    <s v="SHG2003173031"/>
    <s v="N"/>
    <d v="2020-03-18T00:00:00"/>
    <d v="2020-03-18T00:00:00"/>
    <n v="1"/>
    <d v="2020-03-28T00:00:00"/>
    <m/>
    <n v="0"/>
    <m/>
    <m/>
    <x v="1"/>
    <n v="111"/>
    <n v="111"/>
    <n v="0"/>
    <n v="111"/>
    <m/>
    <m/>
  </r>
  <r>
    <n v="3"/>
    <s v="TUE"/>
    <x v="6"/>
    <s v="2003-0021"/>
    <s v="POSM02"/>
    <s v="ZABZ90510003"/>
    <n v="1"/>
    <m/>
    <m/>
    <m/>
    <s v="บริษัท เอสซีจี ซิเมนต์-ผลิตภัณฑ์ก่อสร้าง จำกัด (สำนักงานภาคเหนือ)"/>
    <s v="เลขที่ 139 ม.2 ถ.เชียงใหม่-ลำปาง ต.หนองป่าครั่ง อ.เมือง จ.เชียงใหม่ 50000"/>
    <s v="อ.เมือง"/>
    <s v="เชียงใหม่"/>
    <m/>
    <s v="SCG"/>
    <s v="SHM2003179383"/>
    <m/>
    <m/>
    <n v="121"/>
    <d v="2020-03-18T00:00:00"/>
    <s v="SHG2003173031"/>
    <s v="N"/>
    <d v="2020-03-18T00:00:00"/>
    <d v="2020-03-18T00:00:00"/>
    <n v="1"/>
    <d v="2020-03-28T00:00:00"/>
    <m/>
    <n v="0"/>
    <m/>
    <m/>
    <x v="1"/>
    <n v="109"/>
    <n v="109"/>
    <n v="0"/>
    <n v="109"/>
    <m/>
    <m/>
  </r>
  <r>
    <n v="3"/>
    <s v="TUE"/>
    <x v="6"/>
    <s v="2003-0019"/>
    <s v="CU-3000354"/>
    <s v="ZABZ90510002"/>
    <n v="1"/>
    <m/>
    <m/>
    <m/>
    <s v="บจก เอ็มอาร์อินเตอร์ทรานสปอร์ต"/>
    <s v="804 ม.8 ต.เวียงพางคำ อ.แม่สาย จ. เชียงราย 57130"/>
    <s v="แม่สาย"/>
    <s v="เชียงราย"/>
    <m/>
    <s v="SCG"/>
    <s v="SHM2003179387"/>
    <m/>
    <m/>
    <n v="121"/>
    <d v="2020-03-18T00:00:00"/>
    <s v="SHG2003173031"/>
    <s v="N"/>
    <d v="2020-03-18T00:00:00"/>
    <d v="2020-03-18T00:00:00"/>
    <n v="1"/>
    <d v="2020-03-28T00:00:00"/>
    <m/>
    <n v="0"/>
    <m/>
    <m/>
    <x v="2"/>
    <n v="58"/>
    <n v="58"/>
    <n v="0"/>
    <n v="58"/>
    <m/>
    <m/>
  </r>
  <r>
    <n v="3"/>
    <s v="TUE"/>
    <x v="6"/>
    <s v="2003-0019"/>
    <s v="CU-3000354"/>
    <s v="ZABZ90510004"/>
    <n v="1"/>
    <m/>
    <m/>
    <m/>
    <s v="บจก เอ็มอาร์อินเตอร์ทรานสปอร์ต"/>
    <s v="804 ม.8 ต.เวียงพางคำ อ.แม่สาย จ. เชียงราย 57130"/>
    <s v="แม่สาย"/>
    <s v="เชียงราย"/>
    <m/>
    <s v="SCG"/>
    <s v="SHM2003179388"/>
    <m/>
    <m/>
    <n v="121"/>
    <d v="2020-03-18T00:00:00"/>
    <s v="SHG2003173031"/>
    <s v="N"/>
    <d v="2020-03-18T00:00:00"/>
    <d v="2020-03-18T00:00:00"/>
    <n v="1"/>
    <d v="2020-03-28T00:00:00"/>
    <m/>
    <n v="0"/>
    <m/>
    <m/>
    <x v="0"/>
    <n v="166"/>
    <n v="166"/>
    <n v="0"/>
    <n v="166"/>
    <m/>
    <m/>
  </r>
  <r>
    <n v="3"/>
    <s v="TUE"/>
    <x v="6"/>
    <s v="2003-0019"/>
    <s v="CU-3000354"/>
    <s v="ZABZ90510004"/>
    <n v="1"/>
    <m/>
    <m/>
    <m/>
    <s v="บจก เอ็มอาร์อินเตอร์ทรานสปอร์ต"/>
    <s v="804 ม.8 ต.เวียงพางคำ อ.แม่สาย จ. เชียงราย 57130"/>
    <s v="แม่สาย"/>
    <s v="เชียงราย"/>
    <m/>
    <s v="SCG"/>
    <s v="SHM2003179389"/>
    <m/>
    <m/>
    <n v="121"/>
    <d v="2020-03-18T00:00:00"/>
    <s v="SHG2003173031"/>
    <s v="N"/>
    <d v="2020-03-18T00:00:00"/>
    <d v="2020-03-18T00:00:00"/>
    <n v="1"/>
    <d v="2020-03-28T00:00:00"/>
    <m/>
    <n v="0"/>
    <m/>
    <m/>
    <x v="0"/>
    <n v="166"/>
    <n v="166"/>
    <n v="0"/>
    <n v="166"/>
    <m/>
    <m/>
  </r>
  <r>
    <n v="3"/>
    <s v="TUE"/>
    <x v="6"/>
    <s v="2003-0019"/>
    <s v="CU-3000354"/>
    <s v="ZABZ90510004"/>
    <n v="1"/>
    <m/>
    <m/>
    <m/>
    <s v="บจก เอ็มอาร์อินเตอร์ทรานสปอร์ต"/>
    <s v="804 ม.8 ต.เวียงพางคำ อ.แม่สาย จ. เชียงราย 57130"/>
    <s v="แม่สาย"/>
    <s v="เชียงราย"/>
    <m/>
    <s v="SCG"/>
    <s v="SHM2003179390"/>
    <m/>
    <m/>
    <n v="121"/>
    <d v="2020-03-18T00:00:00"/>
    <s v="SHG2003173031"/>
    <s v="N"/>
    <d v="2020-03-18T00:00:00"/>
    <d v="2020-03-18T00:00:00"/>
    <n v="1"/>
    <d v="2020-03-28T00:00:00"/>
    <m/>
    <n v="0"/>
    <m/>
    <m/>
    <x v="0"/>
    <n v="166"/>
    <n v="166"/>
    <n v="0"/>
    <n v="166"/>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n v="0"/>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n v="1"/>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s v="Delivery"/>
    <s v=""/>
    <m/>
    <s v="Collecting"/>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m/>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d v="1899-12-30T00:00:00"/>
    <d v="1899-12-30T00:00:00"/>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
    <s v=""/>
    <x v="7"/>
    <m/>
    <m/>
    <m/>
    <m/>
    <m/>
    <m/>
    <m/>
    <m/>
    <m/>
    <m/>
    <m/>
    <m/>
    <m/>
    <m/>
    <m/>
    <m/>
    <m/>
    <m/>
    <m/>
    <m/>
    <m/>
    <m/>
    <s v=""/>
    <s v=""/>
    <m/>
    <s v=""/>
    <m/>
    <m/>
    <x v="4"/>
    <s v=""/>
    <s v=""/>
    <s v=""/>
    <s v=""/>
    <m/>
    <m/>
  </r>
  <r>
    <s v="END"/>
    <m/>
    <x v="7"/>
    <m/>
    <m/>
    <m/>
    <m/>
    <m/>
    <m/>
    <m/>
    <m/>
    <m/>
    <m/>
    <m/>
    <m/>
    <m/>
    <m/>
    <m/>
    <m/>
    <m/>
    <m/>
    <m/>
    <m/>
    <m/>
    <m/>
    <m/>
    <m/>
    <m/>
    <m/>
    <m/>
    <m/>
    <x v="5"/>
    <m/>
    <m/>
    <m/>
    <m/>
    <m/>
    <m/>
  </r>
  <r>
    <m/>
    <m/>
    <x v="7"/>
    <m/>
    <m/>
    <m/>
    <m/>
    <m/>
    <m/>
    <m/>
    <m/>
    <m/>
    <m/>
    <m/>
    <m/>
    <m/>
    <m/>
    <m/>
    <m/>
    <m/>
    <m/>
    <m/>
    <m/>
    <m/>
    <m/>
    <m/>
    <m/>
    <m/>
    <m/>
    <m/>
    <m/>
    <x v="5"/>
    <m/>
    <m/>
    <m/>
    <m/>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s v=""/>
    <s v=""/>
    <x v="7"/>
    <m/>
    <m/>
    <m/>
    <m/>
    <m/>
    <m/>
    <m/>
    <m/>
    <m/>
    <m/>
    <m/>
    <m/>
    <m/>
    <m/>
    <m/>
    <m/>
    <m/>
    <m/>
    <m/>
    <m/>
    <d v="1899-12-30T00:00:00"/>
    <m/>
    <s v=""/>
    <s v=""/>
    <m/>
    <s v=""/>
    <m/>
    <m/>
    <x v="4"/>
    <s v=""/>
    <s v=""/>
    <s v=""/>
    <s v=""/>
    <m/>
    <m/>
  </r>
  <r>
    <m/>
    <m/>
    <x v="7"/>
    <m/>
    <m/>
    <m/>
    <m/>
    <m/>
    <m/>
    <m/>
    <m/>
    <m/>
    <m/>
    <m/>
    <m/>
    <m/>
    <m/>
    <m/>
    <m/>
    <m/>
    <m/>
    <m/>
    <m/>
    <m/>
    <m/>
    <m/>
    <m/>
    <m/>
    <m/>
    <m/>
    <m/>
    <x v="5"/>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Data" updatedVersion="6" showMemberPropertyTips="0" rowGrandTotals="0" colGrandTotals="0" itemPrintTitles="1" createdVersion="1" indent="0" compact="0" compactData="0" gridDropZones="1">
  <location ref="A15:I27" firstHeaderRow="1" firstDataRow="2" firstDataCol="4" rowPageCount="1" colPageCount="1"/>
  <pivotFields count="45">
    <pivotField axis="axisPage" compact="0" outline="0" subtotalTop="0" showAll="0" includeNewItemsInFilter="1">
      <items count="15">
        <item m="1" x="13"/>
        <item x="1"/>
        <item x="3"/>
        <item x="2"/>
        <item m="1" x="8"/>
        <item m="1" x="5"/>
        <item x="0"/>
        <item m="1" x="12"/>
        <item m="1" x="4"/>
        <item m="1" x="6"/>
        <item m="1" x="7"/>
        <item m="1" x="9"/>
        <item m="1" x="10"/>
        <item m="1" x="11"/>
        <item t="default"/>
      </items>
      <extLst>
        <ext xmlns:x14="http://schemas.microsoft.com/office/spreadsheetml/2009/9/main" uri="{2946ED86-A175-432a-8AC1-64E0C546D7DE}">
          <x14:pivotField fillDownLabels="1"/>
        </ext>
      </extLst>
    </pivotField>
    <pivotField compact="0" outline="0" subtotalTop="0" showAll="0" includeNewItemsInFilter="1" defaultSubtotal="0">
      <extLst>
        <ext xmlns:x14="http://schemas.microsoft.com/office/spreadsheetml/2009/9/main" uri="{2946ED86-A175-432a-8AC1-64E0C546D7DE}">
          <x14:pivotField fillDownLabels="1"/>
        </ext>
      </extLst>
    </pivotField>
    <pivotField axis="axisRow" compact="0" outline="0" subtotalTop="0" showAll="0" includeNewItemsInFilter="1" defaultSubtotal="0">
      <items count="214">
        <item m="1" x="47"/>
        <item m="1" x="157"/>
        <item h="1" x="7"/>
        <item m="1" x="102"/>
        <item m="1" x="152"/>
        <item m="1" x="147"/>
        <item m="1" x="92"/>
        <item m="1" x="33"/>
        <item m="1" x="28"/>
        <item m="1" x="142"/>
        <item m="1" x="83"/>
        <item m="1" x="78"/>
        <item m="1" x="21"/>
        <item m="1" x="136"/>
        <item m="1" x="188"/>
        <item m="1" x="129"/>
        <item m="1" x="124"/>
        <item m="1" x="66"/>
        <item m="1" x="174"/>
        <item m="1" x="169"/>
        <item m="1" x="60"/>
        <item m="1" x="8"/>
        <item m="1" x="54"/>
        <item m="1" x="212"/>
        <item m="1" x="163"/>
        <item m="1" x="48"/>
        <item m="1" x="209"/>
        <item m="1" x="204"/>
        <item m="1" x="153"/>
        <item m="1" x="116"/>
        <item m="1" x="58"/>
        <item m="1" x="110"/>
        <item m="1" x="161"/>
        <item m="1" x="206"/>
        <item m="1" x="156"/>
        <item m="1" x="100"/>
        <item m="1" x="42"/>
        <item m="1" x="201"/>
        <item m="1" x="31"/>
        <item m="1" x="26"/>
        <item m="1" x="191"/>
        <item m="1" x="149"/>
        <item m="1" x="94"/>
        <item m="1" x="196"/>
        <item m="1" x="144"/>
        <item m="1" x="193"/>
        <item m="1" x="89"/>
        <item m="1" x="189"/>
        <item m="1" x="139"/>
        <item m="1" x="23"/>
        <item m="1" x="80"/>
        <item m="1" x="76"/>
        <item m="1" x="19"/>
        <item m="1" x="133"/>
        <item m="1" x="71"/>
        <item m="1" x="128"/>
        <item m="1" x="68"/>
        <item m="1" x="14"/>
        <item m="1" x="176"/>
        <item m="1" x="123"/>
        <item m="1" x="184"/>
        <item m="1" x="134"/>
        <item m="1" x="73"/>
        <item m="1" x="17"/>
        <item m="1" x="181"/>
        <item m="1" x="178"/>
        <item m="1" x="126"/>
        <item m="1" x="171"/>
        <item m="1" x="120"/>
        <item m="1" x="61"/>
        <item m="1" x="115"/>
        <item m="1" x="56"/>
        <item m="1" x="213"/>
        <item m="1" x="164"/>
        <item m="1" x="109"/>
        <item m="1" x="51"/>
        <item m="1" x="160"/>
        <item m="1" x="106"/>
        <item m="1" x="118"/>
        <item m="1" x="112"/>
        <item m="1" x="53"/>
        <item m="1" x="162"/>
        <item m="1" x="108"/>
        <item m="1" x="208"/>
        <item m="1" x="158"/>
        <item m="1" x="103"/>
        <item m="1" x="203"/>
        <item m="1" x="39"/>
        <item m="1" x="148"/>
        <item m="1" x="93"/>
        <item m="1" x="34"/>
        <item m="1" x="195"/>
        <item m="1" x="192"/>
        <item m="1" x="88"/>
        <item m="1" x="29"/>
        <item m="1" x="143"/>
        <item m="1" x="84"/>
        <item m="1" x="41"/>
        <item m="1" x="95"/>
        <item m="1" x="36"/>
        <item m="1" x="198"/>
        <item m="1" x="146"/>
        <item m="1" x="90"/>
        <item m="1" x="85"/>
        <item m="1" x="194"/>
        <item m="1" x="25"/>
        <item m="1" x="190"/>
        <item m="1" x="140"/>
        <item m="1" x="24"/>
        <item m="1" x="187"/>
        <item m="1" x="20"/>
        <item m="1" x="77"/>
        <item m="1" x="183"/>
        <item m="1" x="72"/>
        <item m="1" x="16"/>
        <item m="1" x="180"/>
        <item m="1" x="130"/>
        <item m="1" x="69"/>
        <item m="1" x="79"/>
        <item m="1" x="22"/>
        <item m="1" x="137"/>
        <item m="1" x="186"/>
        <item m="1" x="75"/>
        <item m="1" x="18"/>
        <item m="1" x="132"/>
        <item m="1" x="70"/>
        <item m="1" x="15"/>
        <item m="1" x="179"/>
        <item m="1" x="127"/>
        <item m="1" x="67"/>
        <item m="1" x="175"/>
        <item m="1" x="65"/>
        <item m="1" x="13"/>
        <item m="1" x="173"/>
        <item m="1" x="11"/>
        <item m="1" x="168"/>
        <item m="1" x="117"/>
        <item m="1" x="59"/>
        <item m="1" x="211"/>
        <item m="1" x="122"/>
        <item m="1" x="63"/>
        <item m="1" x="9"/>
        <item m="1" x="167"/>
        <item m="1" x="113"/>
        <item m="1" x="55"/>
        <item m="1" x="49"/>
        <item m="1" x="210"/>
        <item m="1" x="104"/>
        <item m="1" x="154"/>
        <item m="1" x="40"/>
        <item m="1" x="98"/>
        <item m="1" x="150"/>
        <item m="1" x="35"/>
        <item m="1" x="197"/>
        <item m="1" x="30"/>
        <item m="1" x="145"/>
        <item m="1" x="101"/>
        <item m="1" x="43"/>
        <item m="1" x="151"/>
        <item m="1" x="97"/>
        <item m="1" x="37"/>
        <item m="1" x="91"/>
        <item m="1" x="86"/>
        <item m="1" x="81"/>
        <item m="1" x="138"/>
        <item m="1" x="185"/>
        <item m="1" x="141"/>
        <item m="1" x="135"/>
        <item m="1" x="74"/>
        <item m="1" x="182"/>
        <item m="1" x="172"/>
        <item m="1" x="121"/>
        <item m="1" x="62"/>
        <item m="1" x="10"/>
        <item m="1" x="57"/>
        <item m="1" x="165"/>
        <item m="1" x="107"/>
        <item m="1" x="45"/>
        <item m="1" x="99"/>
        <item m="1" x="200"/>
        <item m="1" x="96"/>
        <item m="1" x="131"/>
        <item m="1" x="177"/>
        <item m="1" x="125"/>
        <item m="1" x="64"/>
        <item m="1" x="12"/>
        <item m="1" x="170"/>
        <item m="1" x="119"/>
        <item m="1" x="114"/>
        <item m="1" x="50"/>
        <item m="1" x="159"/>
        <item m="1" x="105"/>
        <item m="1" x="44"/>
        <item m="1" x="205"/>
        <item m="1" x="155"/>
        <item m="1" x="166"/>
        <item m="1" x="111"/>
        <item m="1" x="52"/>
        <item m="1" x="46"/>
        <item m="1" x="207"/>
        <item m="1" x="202"/>
        <item m="1" x="38"/>
        <item m="1" x="199"/>
        <item m="1" x="32"/>
        <item m="1" x="87"/>
        <item m="1" x="27"/>
        <item m="1" x="82"/>
        <item x="0"/>
        <item x="1"/>
        <item x="2"/>
        <item x="3"/>
        <item x="4"/>
        <item x="5"/>
        <item x="6"/>
      </items>
      <extLst>
        <ext xmlns:x14="http://schemas.microsoft.com/office/spreadsheetml/2009/9/main" uri="{2946ED86-A175-432a-8AC1-64E0C546D7DE}">
          <x14:pivotField fillDownLabels="1"/>
        </ext>
      </extLst>
    </pivotField>
    <pivotField axis="axisRow" compact="0" outline="0" subtotalTop="0" showAll="0" includeNewItemsInFilter="1">
      <items count="724">
        <item m="1" x="500"/>
        <item m="1" x="465"/>
        <item m="1" x="401"/>
        <item m="1" x="431"/>
        <item m="1" x="453"/>
        <item m="1" x="467"/>
        <item m="1" x="476"/>
        <item m="1" x="481"/>
        <item m="1" x="400"/>
        <item m="1" x="430"/>
        <item m="1" x="452"/>
        <item m="1" x="466"/>
        <item m="1" x="475"/>
        <item m="1" x="479"/>
        <item m="1" x="486"/>
        <item m="1" x="480"/>
        <item m="1" x="482"/>
        <item m="1" x="487"/>
        <item m="1" x="494"/>
        <item m="1" x="468"/>
        <item m="1" x="484"/>
        <item m="1" x="489"/>
        <item m="1" x="490"/>
        <item m="1" x="504"/>
        <item m="1" x="491"/>
        <item m="1" x="497"/>
        <item m="1" x="501"/>
        <item m="1" x="533"/>
        <item m="1" x="558"/>
        <item x="9"/>
        <item m="1" x="515"/>
        <item m="1" x="389"/>
        <item m="1" x="473"/>
        <item m="1" x="576"/>
        <item m="1" x="556"/>
        <item m="1" x="721"/>
        <item m="1" x="688"/>
        <item m="1" x="625"/>
        <item m="1" x="596"/>
        <item m="1" x="641"/>
        <item m="1" x="447"/>
        <item m="1" x="577"/>
        <item m="1" x="93"/>
        <item m="1" x="65"/>
        <item m="1" x="602"/>
        <item m="1" x="716"/>
        <item m="1" x="569"/>
        <item m="1" x="683"/>
        <item m="1" x="663"/>
        <item m="1" x="620"/>
        <item m="1" x="590"/>
        <item m="1" x="153"/>
        <item m="1" x="126"/>
        <item m="1" x="709"/>
        <item m="1" x="678"/>
        <item m="1" x="657"/>
        <item m="1" x="632"/>
        <item m="1" x="616"/>
        <item m="1" x="182"/>
        <item m="1" x="237"/>
        <item m="1" x="174"/>
        <item m="1" x="11"/>
        <item m="1" x="316"/>
        <item m="1" x="691"/>
        <item m="1" x="669"/>
        <item m="1" x="643"/>
        <item m="1" x="597"/>
        <item m="1" x="579"/>
        <item m="1" x="572"/>
        <item m="1" x="68"/>
        <item m="1" x="666"/>
        <item m="1" x="640"/>
        <item m="1" x="685"/>
        <item m="1" x="601"/>
        <item m="1" x="622"/>
        <item m="1" x="719"/>
        <item m="1" x="594"/>
        <item m="1" x="91"/>
        <item m="1" x="26"/>
        <item m="1" x="61"/>
        <item m="1" x="485"/>
        <item m="1" x="638"/>
        <item m="1" x="681"/>
        <item m="1" x="713"/>
        <item m="1" x="636"/>
        <item m="1" x="619"/>
        <item m="1" x="186"/>
        <item m="1" x="122"/>
        <item m="1" x="84"/>
        <item m="1" x="53"/>
        <item m="1" x="21"/>
        <item m="1" x="707"/>
        <item m="1" x="674"/>
        <item m="1" x="629"/>
        <item m="1" x="242"/>
        <item m="1" x="209"/>
        <item m="1" x="178"/>
        <item m="1" x="722"/>
        <item m="1" x="689"/>
        <item m="1" x="144"/>
        <item m="1" x="578"/>
        <item m="1" x="570"/>
        <item m="1" x="66"/>
        <item m="1" x="29"/>
        <item m="1" x="717"/>
        <item m="1" x="591"/>
        <item m="1" x="154"/>
        <item m="1" x="127"/>
        <item m="1" x="664"/>
        <item m="1" x="88"/>
        <item m="1" x="710"/>
        <item m="1" x="658"/>
        <item m="1" x="633"/>
        <item m="1" x="639"/>
        <item m="1" x="211"/>
        <item m="1" x="183"/>
        <item m="1" x="148"/>
        <item m="1" x="704"/>
        <item m="1" x="268"/>
        <item m="1" x="118"/>
        <item m="1" x="81"/>
        <item m="1" x="651"/>
        <item m="1" x="238"/>
        <item m="1" x="668"/>
        <item m="1" x="206"/>
        <item m="1" x="175"/>
        <item m="1" x="75"/>
        <item m="1" x="45"/>
        <item m="1" x="140"/>
        <item m="1" x="12"/>
        <item m="1" x="317"/>
        <item m="1" x="293"/>
        <item m="1" x="262"/>
        <item m="1" x="201"/>
        <item m="1" x="39"/>
        <item m="1" x="358"/>
        <item m="1" x="337"/>
        <item m="1" x="289"/>
        <item m="1" x="225"/>
        <item m="1" x="196"/>
        <item m="1" x="698"/>
        <item m="1" x="32"/>
        <item m="1" x="686"/>
        <item m="1" x="623"/>
        <item m="1" x="92"/>
        <item m="1" x="62"/>
        <item m="1" x="27"/>
        <item m="1" x="714"/>
        <item m="1" x="682"/>
        <item m="1" x="660"/>
        <item m="1" x="637"/>
        <item m="1" x="600"/>
        <item m="1" x="150"/>
        <item m="1" x="123"/>
        <item m="1" x="85"/>
        <item m="1" x="54"/>
        <item m="1" x="22"/>
        <item m="1" x="675"/>
        <item m="1" x="655"/>
        <item m="1" x="630"/>
        <item m="1" x="243"/>
        <item m="1" x="145"/>
        <item m="1" x="114"/>
        <item m="1" x="78"/>
        <item m="1" x="48"/>
        <item m="1" x="15"/>
        <item m="1" x="702"/>
        <item m="1" x="137"/>
        <item m="1" x="106"/>
        <item m="1" x="72"/>
        <item m="1" x="10"/>
        <item m="1" x="671"/>
        <item m="1" x="296"/>
        <item m="1" x="266"/>
        <item m="1" x="235"/>
        <item m="1" x="204"/>
        <item m="1" x="172"/>
        <item m="1" x="42"/>
        <item m="1" x="340"/>
        <item m="1" x="259"/>
        <item m="1" x="198"/>
        <item m="1" x="133"/>
        <item m="1" x="69"/>
        <item m="1" x="378"/>
        <item m="1" x="313"/>
        <item m="1" x="100"/>
        <item m="1" x="356"/>
        <item m="1" x="229"/>
        <item m="1" x="165"/>
        <item m="1" x="223"/>
        <item m="1" x="255"/>
        <item m="1" x="193"/>
        <item m="1" x="159"/>
        <item m="1" x="285"/>
        <item m="1" x="187"/>
        <item m="1" x="67"/>
        <item m="1" x="30"/>
        <item m="1" x="718"/>
        <item m="1" x="684"/>
        <item m="1" x="621"/>
        <item m="1" x="592"/>
        <item m="1" x="89"/>
        <item m="1" x="58"/>
        <item m="1" x="128"/>
        <item m="1" x="679"/>
        <item m="1" x="634"/>
        <item m="1" x="212"/>
        <item m="1" x="184"/>
        <item m="1" x="50"/>
        <item m="1" x="18"/>
        <item m="1" x="672"/>
        <item m="1" x="119"/>
        <item m="1" x="652"/>
        <item m="1" x="269"/>
        <item m="1" x="239"/>
        <item m="1" x="207"/>
        <item m="1" x="141"/>
        <item m="1" x="76"/>
        <item m="1" x="110"/>
        <item m="1" x="13"/>
        <item m="1" x="699"/>
        <item m="1" x="318"/>
        <item m="1" x="263"/>
        <item m="1" x="232"/>
        <item m="1" x="169"/>
        <item m="1" x="359"/>
        <item m="1" x="310"/>
        <item m="1" x="70"/>
        <item m="1" x="103"/>
        <item m="1" x="40"/>
        <item m="1" x="290"/>
        <item m="1" x="161"/>
        <item m="1" x="131"/>
        <item m="1" x="495"/>
        <item m="1" x="396"/>
        <item m="1" x="375"/>
        <item m="1" x="332"/>
        <item m="1" x="353"/>
        <item m="1" x="252"/>
        <item m="1" x="191"/>
        <item m="1" x="157"/>
        <item m="1" x="425"/>
        <item m="1" x="391"/>
        <item m="1" x="448"/>
        <item m="1" x="278"/>
        <item m="1" x="421"/>
        <item m="1" x="98"/>
        <item m="1" x="407"/>
        <item m="1" x="218"/>
        <item m="1" x="437"/>
        <item m="1" x="249"/>
        <item m="1" x="301"/>
        <item m="1" x="368"/>
        <item m="1" x="275"/>
        <item m="1" x="347"/>
        <item m="1" x="63"/>
        <item m="1" x="306"/>
        <item m="1" x="28"/>
        <item m="1" x="661"/>
        <item m="1" x="188"/>
        <item m="1" x="124"/>
        <item m="1" x="86"/>
        <item m="1" x="55"/>
        <item m="1" x="23"/>
        <item m="1" x="151"/>
        <item m="1" x="676"/>
        <item m="1" x="179"/>
        <item m="1" x="79"/>
        <item m="1" x="146"/>
        <item m="1" x="631"/>
        <item m="1" x="46"/>
        <item m="1" x="244"/>
        <item m="1" x="115"/>
        <item m="1" x="49"/>
        <item m="1" x="16"/>
        <item m="1" x="703"/>
        <item m="1" x="297"/>
        <item m="1" x="205"/>
        <item m="1" x="267"/>
        <item m="1" x="314"/>
        <item m="1" x="483"/>
        <item m="1" x="656"/>
        <item m="1" x="292"/>
        <item m="1" x="138"/>
        <item m="1" x="107"/>
        <item m="1" x="43"/>
        <item m="1" x="260"/>
        <item m="1" x="335"/>
        <item m="1" x="256"/>
        <item m="1" x="130"/>
        <item m="1" x="305"/>
        <item m="1" x="286"/>
        <item m="1" x="379"/>
        <item m="1" x="230"/>
        <item m="1" x="308"/>
        <item m="1" x="166"/>
        <item m="1" x="101"/>
        <item m="1" x="134"/>
        <item m="1" x="199"/>
        <item m="1" x="194"/>
        <item m="1" x="424"/>
        <item m="1" x="373"/>
        <item m="1" x="413"/>
        <item m="1" x="160"/>
        <item m="1" x="327"/>
        <item m="1" x="367"/>
        <item m="1" x="303"/>
        <item m="1" x="394"/>
        <item m="1" x="370"/>
        <item m="1" x="390"/>
        <item m="1" x="410"/>
        <item m="1" x="190"/>
        <item m="1" x="330"/>
        <item m="1" x="352"/>
        <item m="1" x="220"/>
        <item m="1" x="251"/>
        <item m="1" x="281"/>
        <item m="1" x="440"/>
        <item m="1" x="224"/>
        <item m="1" x="436"/>
        <item m="1" x="458"/>
        <item m="1" x="248"/>
        <item m="1" x="386"/>
        <item m="1" x="277"/>
        <item m="1" x="346"/>
        <item m="1" x="420"/>
        <item m="1" x="350"/>
        <item m="1" x="189"/>
        <item m="1" x="125"/>
        <item m="1" x="215"/>
        <item m="1" x="403"/>
        <item m="1" x="247"/>
        <item m="1" x="443"/>
        <item m="1" x="364"/>
        <item m="1" x="708"/>
        <item m="1" x="418"/>
        <item m="1" x="384"/>
        <item m="1" x="433"/>
        <item m="1" x="455"/>
        <item m="1" x="461"/>
        <item m="1" x="470"/>
        <item m="1" x="300"/>
        <item m="1" x="324"/>
        <item m="1" x="344"/>
        <item m="1" x="406"/>
        <item m="1" x="299"/>
        <item m="1" x="677"/>
        <item m="1" x="147"/>
        <item m="1" x="24"/>
        <item m="1" x="56"/>
        <item m="1" x="272"/>
        <item m="1" x="245"/>
        <item m="1" x="210"/>
        <item m="1" x="87"/>
        <item m="1" x="180"/>
        <item m="1" x="152"/>
        <item m="1" x="116"/>
        <item m="1" x="80"/>
        <item m="1" x="17"/>
        <item m="1" x="321"/>
        <item m="1" x="343"/>
        <item m="1" x="236"/>
        <item m="1" x="139"/>
        <item m="1" x="74"/>
        <item m="1" x="108"/>
        <item m="1" x="361"/>
        <item m="1" x="446"/>
        <item m="1" x="382"/>
        <item m="1" x="341"/>
        <item m="1" x="315"/>
        <item m="1" x="261"/>
        <item m="1" x="167"/>
        <item m="1" x="200"/>
        <item m="1" x="231"/>
        <item m="1" x="416"/>
        <item m="1" x="380"/>
        <item m="1" x="336"/>
        <item m="1" x="257"/>
        <item m="1" x="287"/>
        <item m="1" x="309"/>
        <item m="1" x="195"/>
        <item m="1" x="357"/>
        <item m="1" x="414"/>
        <item m="1" x="428"/>
        <item m="1" x="395"/>
        <item m="1" x="59"/>
        <item m="1" x="129"/>
        <item m="1" x="711"/>
        <item m="1" x="374"/>
        <item m="1" x="659"/>
        <item m="1" x="680"/>
        <item m="1" x="90"/>
        <item m="1" x="25"/>
        <item m="1" x="82"/>
        <item m="1" x="51"/>
        <item m="1" x="19"/>
        <item m="1" x="71"/>
        <item m="1" x="258"/>
        <item m="1" x="41"/>
        <item m="1" x="221"/>
        <item m="1" x="282"/>
        <item m="1" x="307"/>
        <item m="1" x="333"/>
        <item m="1" x="354"/>
        <item m="1" x="653"/>
        <item m="1" x="270"/>
        <item m="1" x="673"/>
        <item m="1" x="705"/>
        <item m="1" x="192"/>
        <item m="1" x="158"/>
        <item m="1" x="99"/>
        <item m="1" x="397"/>
        <item m="1" x="376"/>
        <item m="1" x="635"/>
        <item m="1" x="617"/>
        <item m="1" x="213"/>
        <item m="1" x="120"/>
        <item m="1" x="291"/>
        <item m="1" x="77"/>
        <item m="1" x="111"/>
        <item m="1" x="142"/>
        <item m="1" x="176"/>
        <item m="1" x="47"/>
        <item m="1" x="14"/>
        <item m="1" x="700"/>
        <item m="1" x="319"/>
        <item m="1" x="294"/>
        <item m="1" x="264"/>
        <item m="1" x="233"/>
        <item m="1" x="202"/>
        <item m="1" x="170"/>
        <item m="1" x="135"/>
        <item m="1" x="104"/>
        <item m="1" x="132"/>
        <item m="1" x="162"/>
        <item m="1" x="197"/>
        <item m="1" x="226"/>
        <item m="1" x="338"/>
        <item m="1" x="360"/>
        <item m="1" x="311"/>
        <item m="1" x="392"/>
        <item m="1" x="426"/>
        <item m="1" x="411"/>
        <item m="1" x="328"/>
        <item m="1" x="253"/>
        <item m="1" x="240"/>
        <item m="1" x="363"/>
        <item m="1" x="362"/>
        <item m="1" x="371"/>
        <item m="1" x="112"/>
        <item m="1" x="351"/>
        <item m="1" x="342"/>
        <item m="1" x="444"/>
        <item m="1" x="456"/>
        <item m="1" x="462"/>
        <item m="1" x="276"/>
        <item m="1" x="302"/>
        <item m="1" x="325"/>
        <item m="1" x="348"/>
        <item m="1" x="369"/>
        <item m="1" x="387"/>
        <item m="1" x="408"/>
        <item m="1" x="422"/>
        <item m="1" x="304"/>
        <item m="1" x="438"/>
        <item m="1" x="449"/>
        <item m="1" x="219"/>
        <item m="1" x="250"/>
        <item m="1" x="279"/>
        <item m="1" x="295"/>
        <item m="1" x="83"/>
        <item m="1" x="52"/>
        <item m="1" x="20"/>
        <item m="1" x="706"/>
        <item m="1" x="322"/>
        <item m="1" x="298"/>
        <item m="1" x="271"/>
        <item m="1" x="241"/>
        <item m="1" x="208"/>
        <item m="1" x="177"/>
        <item m="1" x="143"/>
        <item m="1" x="121"/>
        <item m="1" x="149"/>
        <item m="1" x="185"/>
        <item m="1" x="214"/>
        <item m="1" x="339"/>
        <item m="1" x="320"/>
        <item m="1" x="381"/>
        <item m="1" x="265"/>
        <item m="1" x="203"/>
        <item m="1" x="171"/>
        <item m="1" x="136"/>
        <item m="1" x="234"/>
        <item m="1" x="385"/>
        <item m="1" x="365"/>
        <item m="1" x="323"/>
        <item m="1" x="472"/>
        <item m="1" x="345"/>
        <item m="1" x="246"/>
        <item m="1" x="419"/>
        <item m="1" x="383"/>
        <item m="1" x="402"/>
        <item m="1" x="404"/>
        <item m="1" x="417"/>
        <item m="1" x="432"/>
        <item m="1" x="442"/>
        <item m="1" x="454"/>
        <item m="1" x="460"/>
        <item m="1" x="469"/>
        <item m="1" x="434"/>
        <item m="1" x="399"/>
        <item m="1" x="73"/>
        <item m="1" x="312"/>
        <item m="1" x="227"/>
        <item m="1" x="429"/>
        <item m="1" x="398"/>
        <item m="1" x="377"/>
        <item m="1" x="163"/>
        <item m="1" x="415"/>
        <item m="1" x="355"/>
        <item m="1" x="334"/>
        <item m="1" x="283"/>
        <item m="1" x="222"/>
        <item m="1" x="254"/>
        <item m="1" x="451"/>
        <item m="1" x="427"/>
        <item m="1" x="393"/>
        <item m="1" x="441"/>
        <item m="1" x="412"/>
        <item m="1" x="372"/>
        <item m="1" x="329"/>
        <item m="1" x="280"/>
        <item m="1" x="464"/>
        <item m="1" x="459"/>
        <item m="1" x="450"/>
        <item m="1" x="439"/>
        <item m="1" x="423"/>
        <item m="1" x="409"/>
        <item m="1" x="388"/>
        <item m="1" x="349"/>
        <item m="1" x="326"/>
        <item m="1" x="474"/>
        <item m="1" x="471"/>
        <item m="1" x="463"/>
        <item m="1" x="445"/>
        <item m="1" x="457"/>
        <item m="1" x="435"/>
        <item m="1" x="405"/>
        <item m="1" x="366"/>
        <item m="1" x="477"/>
        <item m="1" x="36"/>
        <item m="1" x="610"/>
        <item m="1" x="521"/>
        <item m="1" x="512"/>
        <item m="1" x="523"/>
        <item m="1" x="693"/>
        <item m="1" x="535"/>
        <item m="1" x="603"/>
        <item m="1" x="530"/>
        <item m="1" x="583"/>
        <item m="1" x="537"/>
        <item m="1" x="545"/>
        <item m="1" x="552"/>
        <item m="1" x="543"/>
        <item m="1" x="585"/>
        <item m="1" x="606"/>
        <item m="1" x="31"/>
        <item m="1" x="559"/>
        <item m="1" x="514"/>
        <item m="1" x="563"/>
        <item m="1" x="580"/>
        <item m="1" x="642"/>
        <item m="1" x="645"/>
        <item m="1" x="646"/>
        <item m="1" x="94"/>
        <item m="1" x="155"/>
        <item m="1" x="34"/>
        <item m="1" x="612"/>
        <item m="1" x="38"/>
        <item m="1" x="96"/>
        <item m="1" x="615"/>
        <item m="1" x="217"/>
        <item m="1" x="534"/>
        <item m="1" x="522"/>
        <item m="1" x="513"/>
        <item m="1" x="492"/>
        <item m="1" x="562"/>
        <item m="1" x="529"/>
        <item m="1" x="581"/>
        <item m="1" x="536"/>
        <item m="1" x="605"/>
        <item m="1" x="525"/>
        <item m="1" x="551"/>
        <item m="1" x="584"/>
        <item m="1" x="644"/>
        <item m="1" x="687"/>
        <item m="1" x="586"/>
        <item m="1" x="565"/>
        <item m="1" x="695"/>
        <item m="1" x="608"/>
        <item m="1" x="553"/>
        <item m="1" x="692"/>
        <item m="1" x="33"/>
        <item m="1" x="554"/>
        <item m="1" x="567"/>
        <item m="1" x="648"/>
        <item m="1" x="694"/>
        <item m="1" x="37"/>
        <item m="1" x="95"/>
        <item m="1" x="588"/>
        <item m="1" x="541"/>
        <item m="1" x="216"/>
        <item m="1" x="614"/>
        <item m="1" x="611"/>
        <item m="1" x="649"/>
        <item m="1" x="697"/>
        <item m="1" x="97"/>
        <item m="1" x="547"/>
        <item m="1" x="524"/>
        <item m="1" x="528"/>
        <item m="1" x="561"/>
        <item m="1" x="538"/>
        <item m="1" x="546"/>
        <item m="1" x="531"/>
        <item m="1" x="496"/>
        <item m="1" x="274"/>
        <item m="1" x="604"/>
        <item m="1" x="607"/>
        <item m="1" x="564"/>
        <item m="1" x="609"/>
        <item m="1" x="647"/>
        <item m="1" x="690"/>
        <item m="1" x="566"/>
        <item m="1" x="156"/>
        <item m="1" x="587"/>
        <item m="1" x="589"/>
        <item m="1" x="35"/>
        <item m="1" x="613"/>
        <item m="1" x="696"/>
        <item m="1" x="493"/>
        <item m="1" x="498"/>
        <item m="1" x="502"/>
        <item m="1" x="510"/>
        <item m="1" x="516"/>
        <item m="1" x="488"/>
        <item m="1" x="517"/>
        <item m="1" x="511"/>
        <item m="1" x="518"/>
        <item m="1" x="506"/>
        <item m="1" x="526"/>
        <item m="1" x="499"/>
        <item m="1" x="527"/>
        <item m="1" x="520"/>
        <item m="1" x="542"/>
        <item m="1" x="505"/>
        <item m="1" x="544"/>
        <item m="1" x="503"/>
        <item m="1" x="550"/>
        <item m="1" x="519"/>
        <item m="1" x="507"/>
        <item m="1" x="560"/>
        <item m="1" x="582"/>
        <item m="1" x="532"/>
        <item m="1" x="539"/>
        <item m="1" x="568"/>
        <item m="1" x="555"/>
        <item m="1" x="540"/>
        <item m="1" x="573"/>
        <item m="1" x="650"/>
        <item m="1" x="508"/>
        <item m="1" x="44"/>
        <item m="1" x="595"/>
        <item m="1" x="102"/>
        <item m="1" x="598"/>
        <item m="1" x="624"/>
        <item m="1" x="662"/>
        <item m="1" x="478"/>
        <item m="1" x="109"/>
        <item m="1" x="667"/>
        <item m="1" x="715"/>
        <item m="1" x="173"/>
        <item m="1" x="117"/>
        <item m="1" x="273"/>
        <item m="1" x="57"/>
        <item m="1" x="331"/>
        <item m="1" x="670"/>
        <item m="1" x="288"/>
        <item m="1" x="64"/>
        <item m="1" x="548"/>
        <item m="1" x="720"/>
        <item m="1" x="168"/>
        <item m="1" x="593"/>
        <item m="1" x="618"/>
        <item m="1" x="571"/>
        <item m="1" x="701"/>
        <item m="1" x="654"/>
        <item m="1" x="181"/>
        <item m="1" x="557"/>
        <item m="1" x="549"/>
        <item m="1" x="509"/>
        <item m="1" x="574"/>
        <item m="1" x="628"/>
        <item m="1" x="105"/>
        <item m="1" x="599"/>
        <item m="1" x="626"/>
        <item m="1" x="712"/>
        <item m="1" x="665"/>
        <item m="1" x="113"/>
        <item m="1" x="575"/>
        <item m="1" x="228"/>
        <item m="1" x="164"/>
        <item m="1" x="627"/>
        <item m="1" x="284"/>
        <item m="1" x="60"/>
        <item x="0"/>
        <item x="1"/>
        <item x="2"/>
        <item x="3"/>
        <item x="4"/>
        <item x="5"/>
        <item x="6"/>
        <item x="7"/>
        <item x="8"/>
        <item t="default"/>
      </items>
      <extLst>
        <ext xmlns:x14="http://schemas.microsoft.com/office/spreadsheetml/2009/9/main" uri="{2946ED86-A175-432a-8AC1-64E0C546D7DE}">
          <x14:pivotField fillDownLabels="1"/>
        </ext>
      </extLst>
    </pivotField>
    <pivotField axis="axisRow" compact="0" outline="0" subtotalTop="0" showAll="0" includeNewItemsInFilter="1" defaultSubtotal="0">
      <items count="44">
        <item x="6"/>
        <item x="0"/>
        <item m="1" x="27"/>
        <item x="1"/>
        <item m="1" x="17"/>
        <item m="1" x="25"/>
        <item x="4"/>
        <item m="1" x="16"/>
        <item m="1" x="18"/>
        <item m="1" x="29"/>
        <item m="1" x="22"/>
        <item m="1" x="24"/>
        <item m="1" x="41"/>
        <item m="1" x="37"/>
        <item m="1" x="14"/>
        <item m="1" x="10"/>
        <item m="1" x="35"/>
        <item m="1" x="39"/>
        <item m="1" x="30"/>
        <item m="1" x="7"/>
        <item m="1" x="20"/>
        <item m="1" x="38"/>
        <item m="1" x="40"/>
        <item m="1" x="33"/>
        <item m="1" x="21"/>
        <item m="1" x="34"/>
        <item m="1" x="42"/>
        <item m="1" x="23"/>
        <item m="1" x="32"/>
        <item m="1" x="13"/>
        <item m="1" x="15"/>
        <item m="1" x="19"/>
        <item m="1" x="26"/>
        <item m="1" x="11"/>
        <item m="1" x="31"/>
        <item m="1" x="8"/>
        <item m="1" x="12"/>
        <item m="1" x="43"/>
        <item m="1" x="9"/>
        <item m="1" x="36"/>
        <item m="1" x="28"/>
        <item x="2"/>
        <item x="3"/>
        <item x="5"/>
      </items>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dataField="1" compact="0" outline="0" subtotalTop="0" showAll="0" includeNewItemsInFilter="1">
      <extLst>
        <ext xmlns:x14="http://schemas.microsoft.com/office/spreadsheetml/2009/9/main" uri="{2946ED86-A175-432a-8AC1-64E0C546D7DE}">
          <x14:pivotField fillDownLabels="1"/>
        </ext>
      </extLst>
    </pivotField>
    <pivotField dataField="1" compact="0" outline="0" subtotalTop="0" showAll="0" includeNewItemsInFilter="1">
      <extLst>
        <ext xmlns:x14="http://schemas.microsoft.com/office/spreadsheetml/2009/9/main" uri="{2946ED86-A175-432a-8AC1-64E0C546D7DE}">
          <x14:pivotField fillDownLabels="1"/>
        </ext>
      </extLst>
    </pivotField>
    <pivotField dataField="1"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axis="axisRow" compact="0" outline="0" subtotalTop="0" showAll="0" includeNewItemsInFilter="1" defaultSubtotal="0">
      <items count="9">
        <item x="4"/>
        <item x="0"/>
        <item m="1" x="8"/>
        <item x="2"/>
        <item x="1"/>
        <item x="3"/>
        <item x="5"/>
        <item m="1" x="6"/>
        <item m="1" x="7"/>
      </items>
      <extLst>
        <ext xmlns:x14="http://schemas.microsoft.com/office/spreadsheetml/2009/9/main" uri="{2946ED86-A175-432a-8AC1-64E0C546D7DE}">
          <x14:pivotField fillDownLabels="1"/>
        </ext>
      </extLst>
    </pivotField>
    <pivotField dataField="1"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dataField="1"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 compact="0" outline="0" subtotalTop="0" showAll="0" includeNewItemsInFilter="1">
      <extLst>
        <ext xmlns:x14="http://schemas.microsoft.com/office/spreadsheetml/2009/9/main" uri="{2946ED86-A175-432a-8AC1-64E0C546D7DE}">
          <x14:pivotField fillDownLabels="1"/>
        </ext>
      </extLst>
    </pivotField>
  </pivotFields>
  <rowFields count="4">
    <field x="2"/>
    <field x="4"/>
    <field x="31"/>
    <field x="3"/>
  </rowFields>
  <rowItems count="11">
    <i>
      <x v="207"/>
      <x v="1"/>
      <x v="1"/>
      <x v="714"/>
    </i>
    <i>
      <x v="208"/>
      <x v="1"/>
      <x v="4"/>
      <x v="715"/>
    </i>
    <i>
      <x v="209"/>
      <x v="1"/>
      <x v="1"/>
      <x v="716"/>
    </i>
    <i>
      <x v="210"/>
      <x v="3"/>
      <x v="3"/>
      <x v="717"/>
    </i>
    <i>
      <x v="211"/>
      <x v="41"/>
      <x v="4"/>
      <x v="718"/>
    </i>
    <i>
      <x v="212"/>
      <x v="1"/>
      <x v="5"/>
      <x v="719"/>
    </i>
    <i>
      <x v="213"/>
      <x v="6"/>
      <x v="4"/>
      <x v="721"/>
    </i>
    <i r="1">
      <x v="42"/>
      <x v="1"/>
      <x v="720"/>
    </i>
    <i r="2">
      <x v="4"/>
      <x v="720"/>
    </i>
    <i r="1">
      <x v="43"/>
      <x v="1"/>
      <x v="722"/>
    </i>
    <i r="2">
      <x v="3"/>
      <x v="722"/>
    </i>
  </rowItems>
  <colFields count="1">
    <field x="-2"/>
  </colFields>
  <colItems count="5">
    <i>
      <x/>
    </i>
    <i i="1">
      <x v="1"/>
    </i>
    <i i="2">
      <x v="2"/>
    </i>
    <i i="3">
      <x v="3"/>
    </i>
    <i i="4">
      <x v="4"/>
    </i>
  </colItems>
  <pageFields count="1">
    <pageField fld="0" hier="0"/>
  </pageFields>
  <dataFields count="5">
    <dataField name="Count of SumOfQuantity" fld="6" subtotal="count" baseField="0" baseItem="0"/>
    <dataField name="Count of SumOfWeight" fld="7" subtotal="count" baseField="0" baseItem="0"/>
    <dataField name="Count of SumOfVolumn" fld="8" subtotal="count" baseField="0" baseItem="0"/>
    <dataField name="Max of Charge Rate" fld="32" subtotal="max" baseField="4" baseItem="0"/>
    <dataField name="Sum of Actual Charge" fld="35" baseField="4" baseItem="0" numFmtId="4"/>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Lst>
</pivotTableDefinition>
</file>

<file path=xl/pivotTables/pivotTable2.xml><?xml version="1.0" encoding="utf-8"?>
<pivotTableDefinition xmlns="http://schemas.openxmlformats.org/spreadsheetml/2006/main" name="PivotTable2" cacheId="1" dataOnRows="1" applyNumberFormats="0" applyBorderFormats="0" applyFontFormats="0" applyPatternFormats="0" applyAlignmentFormats="0" applyWidthHeightFormats="1" dataCaption="Data" updatedVersion="6" showMemberPropertyTips="0" useAutoFormatting="1" itemPrintTitles="1" createdVersion="1" indent="0" compact="0" compactData="0" gridDropZones="1" chartFormat="8">
  <location ref="A3:F12" firstHeaderRow="1" firstDataRow="2" firstDataCol="1"/>
  <pivotFields count="38">
    <pivotField compact="0" outline="0" subtotalTop="0" showAll="0" includeNewItemsInFilter="1"/>
    <pivotField compact="0" outline="0" subtotalTop="0" showAll="0" includeNewItemsInFilter="1"/>
    <pivotField axis="axisRow" compact="0" outline="0" subtotalTop="0" showAll="0" includeNewItemsInFilter="1">
      <items count="215">
        <item m="1" x="47"/>
        <item m="1" x="157"/>
        <item h="1" x="7"/>
        <item m="1" x="102"/>
        <item m="1" x="152"/>
        <item m="1" x="147"/>
        <item m="1" x="92"/>
        <item m="1" x="33"/>
        <item m="1" x="28"/>
        <item m="1" x="142"/>
        <item m="1" x="83"/>
        <item m="1" x="78"/>
        <item m="1" x="21"/>
        <item m="1" x="136"/>
        <item m="1" x="188"/>
        <item m="1" x="129"/>
        <item m="1" x="124"/>
        <item m="1" x="66"/>
        <item m="1" x="174"/>
        <item m="1" x="169"/>
        <item m="1" x="60"/>
        <item m="1" x="8"/>
        <item m="1" x="54"/>
        <item m="1" x="212"/>
        <item m="1" x="163"/>
        <item m="1" x="48"/>
        <item m="1" x="209"/>
        <item m="1" x="204"/>
        <item m="1" x="153"/>
        <item m="1" x="116"/>
        <item m="1" x="58"/>
        <item m="1" x="110"/>
        <item m="1" x="161"/>
        <item m="1" x="206"/>
        <item m="1" x="156"/>
        <item m="1" x="100"/>
        <item m="1" x="42"/>
        <item m="1" x="201"/>
        <item m="1" x="31"/>
        <item m="1" x="26"/>
        <item m="1" x="191"/>
        <item m="1" x="149"/>
        <item m="1" x="94"/>
        <item m="1" x="196"/>
        <item m="1" x="144"/>
        <item m="1" x="193"/>
        <item m="1" x="89"/>
        <item m="1" x="189"/>
        <item m="1" x="139"/>
        <item m="1" x="23"/>
        <item m="1" x="80"/>
        <item m="1" x="76"/>
        <item m="1" x="19"/>
        <item m="1" x="133"/>
        <item m="1" x="71"/>
        <item m="1" x="128"/>
        <item m="1" x="68"/>
        <item m="1" x="14"/>
        <item m="1" x="176"/>
        <item m="1" x="123"/>
        <item m="1" x="184"/>
        <item m="1" x="134"/>
        <item m="1" x="73"/>
        <item m="1" x="17"/>
        <item m="1" x="181"/>
        <item m="1" x="178"/>
        <item m="1" x="126"/>
        <item m="1" x="171"/>
        <item m="1" x="120"/>
        <item m="1" x="61"/>
        <item m="1" x="115"/>
        <item m="1" x="56"/>
        <item m="1" x="213"/>
        <item m="1" x="164"/>
        <item m="1" x="109"/>
        <item m="1" x="51"/>
        <item m="1" x="160"/>
        <item m="1" x="106"/>
        <item m="1" x="118"/>
        <item m="1" x="112"/>
        <item m="1" x="53"/>
        <item m="1" x="162"/>
        <item m="1" x="108"/>
        <item m="1" x="208"/>
        <item m="1" x="158"/>
        <item m="1" x="103"/>
        <item m="1" x="203"/>
        <item m="1" x="39"/>
        <item m="1" x="148"/>
        <item m="1" x="93"/>
        <item m="1" x="34"/>
        <item m="1" x="195"/>
        <item m="1" x="192"/>
        <item m="1" x="88"/>
        <item m="1" x="29"/>
        <item m="1" x="143"/>
        <item m="1" x="84"/>
        <item m="1" x="41"/>
        <item m="1" x="95"/>
        <item m="1" x="36"/>
        <item m="1" x="198"/>
        <item m="1" x="146"/>
        <item m="1" x="90"/>
        <item m="1" x="85"/>
        <item m="1" x="194"/>
        <item m="1" x="25"/>
        <item m="1" x="190"/>
        <item m="1" x="140"/>
        <item m="1" x="24"/>
        <item m="1" x="187"/>
        <item m="1" x="20"/>
        <item m="1" x="77"/>
        <item m="1" x="183"/>
        <item m="1" x="72"/>
        <item m="1" x="16"/>
        <item m="1" x="180"/>
        <item m="1" x="130"/>
        <item m="1" x="69"/>
        <item m="1" x="79"/>
        <item m="1" x="22"/>
        <item m="1" x="137"/>
        <item m="1" x="186"/>
        <item m="1" x="75"/>
        <item m="1" x="18"/>
        <item m="1" x="132"/>
        <item m="1" x="70"/>
        <item m="1" x="15"/>
        <item m="1" x="179"/>
        <item m="1" x="127"/>
        <item m="1" x="67"/>
        <item m="1" x="175"/>
        <item m="1" x="65"/>
        <item m="1" x="13"/>
        <item m="1" x="173"/>
        <item m="1" x="11"/>
        <item m="1" x="168"/>
        <item m="1" x="117"/>
        <item m="1" x="59"/>
        <item m="1" x="211"/>
        <item m="1" x="122"/>
        <item m="1" x="63"/>
        <item m="1" x="9"/>
        <item m="1" x="167"/>
        <item m="1" x="113"/>
        <item m="1" x="55"/>
        <item m="1" x="49"/>
        <item m="1" x="210"/>
        <item m="1" x="104"/>
        <item m="1" x="154"/>
        <item m="1" x="40"/>
        <item m="1" x="98"/>
        <item m="1" x="150"/>
        <item m="1" x="35"/>
        <item m="1" x="197"/>
        <item m="1" x="30"/>
        <item m="1" x="145"/>
        <item m="1" x="101"/>
        <item m="1" x="43"/>
        <item m="1" x="151"/>
        <item m="1" x="97"/>
        <item m="1" x="37"/>
        <item m="1" x="91"/>
        <item m="1" x="86"/>
        <item m="1" x="81"/>
        <item m="1" x="138"/>
        <item m="1" x="185"/>
        <item m="1" x="141"/>
        <item m="1" x="135"/>
        <item m="1" x="74"/>
        <item m="1" x="182"/>
        <item m="1" x="172"/>
        <item m="1" x="121"/>
        <item m="1" x="62"/>
        <item m="1" x="10"/>
        <item m="1" x="57"/>
        <item m="1" x="165"/>
        <item m="1" x="107"/>
        <item m="1" x="45"/>
        <item m="1" x="99"/>
        <item m="1" x="200"/>
        <item m="1" x="96"/>
        <item m="1" x="131"/>
        <item m="1" x="177"/>
        <item m="1" x="125"/>
        <item m="1" x="64"/>
        <item m="1" x="12"/>
        <item m="1" x="170"/>
        <item m="1" x="119"/>
        <item m="1" x="114"/>
        <item m="1" x="50"/>
        <item m="1" x="159"/>
        <item m="1" x="105"/>
        <item m="1" x="44"/>
        <item m="1" x="205"/>
        <item m="1" x="155"/>
        <item m="1" x="166"/>
        <item m="1" x="111"/>
        <item m="1" x="52"/>
        <item m="1" x="46"/>
        <item m="1" x="207"/>
        <item m="1" x="202"/>
        <item m="1" x="38"/>
        <item m="1" x="199"/>
        <item m="1" x="32"/>
        <item m="1" x="87"/>
        <item m="1" x="27"/>
        <item m="1" x="82"/>
        <item x="0"/>
        <item x="1"/>
        <item x="2"/>
        <item x="3"/>
        <item x="4"/>
        <item x="5"/>
        <item x="6"/>
        <item t="default"/>
      </items>
    </pivotField>
    <pivotField compact="0" outline="0" subtotalTop="0" showAll="0" includeNewItemsInFilter="1"/>
    <pivotField compact="0" outline="0" subtotalTop="0" showAll="0" includeNewItemsInFilter="1"/>
    <pivotField compact="0" outline="0" subtotalTop="0" showAll="0" includeNewItemsInFilter="1"/>
    <pivotField dataField="1"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axis="axisCol" compact="0" outline="0" subtotalTop="0" showAll="0" includeNewItemsInFilter="1">
      <items count="10">
        <item x="4"/>
        <item x="2"/>
        <item x="3"/>
        <item x="5"/>
        <item x="0"/>
        <item m="1" x="8"/>
        <item x="1"/>
        <item m="1" x="6"/>
        <item m="1" x="7"/>
        <item t="default"/>
      </items>
    </pivotField>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 compact="0" outline="0" subtotalTop="0" showAll="0" includeNewItemsInFilter="1"/>
  </pivotFields>
  <rowFields count="1">
    <field x="2"/>
  </rowFields>
  <rowItems count="8">
    <i>
      <x v="207"/>
    </i>
    <i>
      <x v="208"/>
    </i>
    <i>
      <x v="209"/>
    </i>
    <i>
      <x v="210"/>
    </i>
    <i>
      <x v="211"/>
    </i>
    <i>
      <x v="212"/>
    </i>
    <i>
      <x v="213"/>
    </i>
    <i t="grand">
      <x/>
    </i>
  </rowItems>
  <colFields count="1">
    <field x="31"/>
  </colFields>
  <colItems count="5">
    <i>
      <x v="1"/>
    </i>
    <i>
      <x v="2"/>
    </i>
    <i>
      <x v="4"/>
    </i>
    <i>
      <x v="6"/>
    </i>
    <i t="grand">
      <x/>
    </i>
  </colItems>
  <dataFields count="1">
    <dataField name="Sum of SumOfQuantity" fld="6" baseField="2" baseItem="0"/>
  </dataFields>
  <chartFormats count="9">
    <chartFormat chart="5"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7" format="17" series="1">
      <pivotArea type="data" outline="0" fieldPosition="0">
        <references count="2">
          <reference field="4294967294" count="1" selected="0">
            <x v="0"/>
          </reference>
          <reference field="31" count="1" selected="0">
            <x v="4"/>
          </reference>
        </references>
      </pivotArea>
    </chartFormat>
    <chartFormat chart="7" format="18" series="1">
      <pivotArea type="data" outline="0" fieldPosition="0">
        <references count="2">
          <reference field="4294967294" count="1" selected="0">
            <x v="0"/>
          </reference>
          <reference field="31" count="1" selected="0">
            <x v="2"/>
          </reference>
        </references>
      </pivotArea>
    </chartFormat>
    <chartFormat chart="7" format="19" series="1">
      <pivotArea type="data" outline="0" fieldPosition="0">
        <references count="2">
          <reference field="4294967294" count="1" selected="0">
            <x v="0"/>
          </reference>
          <reference field="31" count="1" selected="0">
            <x v="5"/>
          </reference>
        </references>
      </pivotArea>
    </chartFormat>
    <chartFormat chart="7" format="20" series="1">
      <pivotArea type="data" outline="0" fieldPosition="0">
        <references count="2">
          <reference field="4294967294" count="1" selected="0">
            <x v="0"/>
          </reference>
          <reference field="31" count="1" selected="0">
            <x v="6"/>
          </reference>
        </references>
      </pivotArea>
    </chartFormat>
    <chartFormat chart="7" format="21" series="1">
      <pivotArea type="data" outline="0" fieldPosition="0">
        <references count="2">
          <reference field="4294967294" count="1" selected="0">
            <x v="0"/>
          </reference>
          <reference field="31" count="1" selected="0">
            <x v="1"/>
          </reference>
        </references>
      </pivotArea>
    </chartFormat>
    <chartFormat chart="7" format="22" series="1">
      <pivotArea type="data" outline="0" fieldPosition="0">
        <references count="2">
          <reference field="4294967294" count="1" selected="0">
            <x v="0"/>
          </reference>
          <reference field="31" count="1" selected="0">
            <x v="7"/>
          </reference>
        </references>
      </pivotArea>
    </chartFormat>
    <chartFormat chart="7" format="23"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5:L36"/>
  <sheetViews>
    <sheetView showGridLines="0" showWhiteSpace="0" zoomScaleNormal="100" workbookViewId="0">
      <pane ySplit="14" topLeftCell="A36" activePane="bottomLeft" state="frozen"/>
      <selection pane="bottomLeft" activeCell="M44" sqref="M44"/>
    </sheetView>
  </sheetViews>
  <sheetFormatPr defaultRowHeight="12.75" x14ac:dyDescent="0.2"/>
  <cols>
    <col min="1" max="16384" width="9.140625" style="47"/>
  </cols>
  <sheetData>
    <row r="5" spans="1:12" x14ac:dyDescent="0.2">
      <c r="A5" s="72" t="s">
        <v>337</v>
      </c>
      <c r="B5" s="73"/>
      <c r="C5" s="277">
        <f ca="1">TODAY()</f>
        <v>43932</v>
      </c>
      <c r="D5" s="277"/>
    </row>
    <row r="6" spans="1:12" x14ac:dyDescent="0.2">
      <c r="A6" s="72" t="s">
        <v>338</v>
      </c>
      <c r="B6" s="73"/>
      <c r="C6" s="278">
        <f ca="1">MONTH(C5)</f>
        <v>4</v>
      </c>
      <c r="D6" s="278"/>
      <c r="L6" s="90" t="s">
        <v>366</v>
      </c>
    </row>
    <row r="7" spans="1:12" x14ac:dyDescent="0.2">
      <c r="A7" s="72" t="s">
        <v>339</v>
      </c>
      <c r="B7" s="73"/>
      <c r="C7" s="277">
        <f ca="1">EOMONTH($C$5,-1)+1</f>
        <v>43922</v>
      </c>
      <c r="D7" s="277"/>
    </row>
    <row r="8" spans="1:12" x14ac:dyDescent="0.2">
      <c r="A8" s="72" t="s">
        <v>340</v>
      </c>
      <c r="B8" s="73"/>
      <c r="C8" s="277">
        <f ca="1">EOMONTH($C$5,0)</f>
        <v>43951</v>
      </c>
      <c r="D8" s="277"/>
    </row>
    <row r="9" spans="1:12" x14ac:dyDescent="0.2">
      <c r="A9" s="72" t="s">
        <v>344</v>
      </c>
      <c r="B9" s="73"/>
      <c r="C9" s="279">
        <v>43588</v>
      </c>
      <c r="D9" s="280"/>
    </row>
    <row r="11" spans="1:12" x14ac:dyDescent="0.2">
      <c r="A11" s="74" t="s">
        <v>346</v>
      </c>
      <c r="B11" s="75"/>
      <c r="C11" s="75"/>
      <c r="D11" s="75"/>
      <c r="E11" s="75"/>
      <c r="F11" s="75"/>
      <c r="G11" s="75"/>
      <c r="H11" s="75"/>
      <c r="I11" s="75"/>
      <c r="J11" s="76"/>
    </row>
    <row r="12" spans="1:12" x14ac:dyDescent="0.2">
      <c r="A12" s="77"/>
      <c r="B12" s="282" t="s">
        <v>347</v>
      </c>
      <c r="C12" s="282"/>
      <c r="D12" s="282"/>
      <c r="E12" s="78" t="s">
        <v>348</v>
      </c>
      <c r="F12" s="78"/>
      <c r="G12" s="78" t="s">
        <v>349</v>
      </c>
      <c r="H12" s="78"/>
      <c r="I12" s="78" t="s">
        <v>350</v>
      </c>
      <c r="J12" s="79"/>
    </row>
    <row r="13" spans="1:12" x14ac:dyDescent="0.2">
      <c r="A13" s="80"/>
      <c r="B13" s="283" t="s">
        <v>468</v>
      </c>
      <c r="C13" s="284"/>
      <c r="D13" s="285"/>
      <c r="E13" s="286" t="str">
        <f>IFERROR(VLOOKUP(B13,'DELIVER REPORT'!$D:$E,2,0),"")</f>
        <v/>
      </c>
      <c r="F13" s="286"/>
      <c r="G13" s="287" t="str">
        <f>IFERROR(VLOOKUP($B$13,'DELIVER REPORT'!$D:$AC,18,0),"")</f>
        <v/>
      </c>
      <c r="H13" s="287"/>
      <c r="I13" s="287" t="str">
        <f>IFERROR(VLOOKUP($B$13,'DELIVER REPORT'!$D:$AC,22,0),"")</f>
        <v/>
      </c>
      <c r="J13" s="288"/>
    </row>
    <row r="14" spans="1:12" x14ac:dyDescent="0.2">
      <c r="A14" s="81"/>
      <c r="B14" s="82"/>
      <c r="C14" s="82"/>
      <c r="D14" s="82"/>
      <c r="E14" s="82"/>
      <c r="F14" s="82"/>
      <c r="G14" s="82"/>
      <c r="H14" s="82"/>
      <c r="I14" s="82"/>
      <c r="J14" s="83"/>
    </row>
    <row r="15" spans="1:12" x14ac:dyDescent="0.2">
      <c r="A15" s="281" t="s">
        <v>351</v>
      </c>
      <c r="B15" s="281"/>
      <c r="C15" s="281"/>
      <c r="D15" s="281"/>
      <c r="E15" s="281"/>
      <c r="F15" s="281" t="s">
        <v>352</v>
      </c>
      <c r="G15" s="281"/>
      <c r="H15" s="281"/>
      <c r="I15" s="281"/>
      <c r="J15" s="281"/>
    </row>
    <row r="16" spans="1:12" x14ac:dyDescent="0.2">
      <c r="A16" s="281"/>
      <c r="B16" s="281"/>
      <c r="C16" s="281"/>
      <c r="D16" s="281"/>
      <c r="E16" s="281"/>
      <c r="F16" s="281"/>
      <c r="G16" s="281"/>
      <c r="H16" s="281"/>
      <c r="I16" s="281"/>
      <c r="J16" s="281"/>
    </row>
    <row r="31" spans="1:9" x14ac:dyDescent="0.2">
      <c r="A31" s="84" t="s">
        <v>353</v>
      </c>
      <c r="C31" s="87">
        <f>COUNTIFS('DELIVER REPORT'!$C:$C,$C$9,'DELIVER REPORT'!$Z:$Z,1)</f>
        <v>0</v>
      </c>
      <c r="D31" s="88" t="str">
        <f>IFERROR(C31/SUM(C$31:C$32),"")</f>
        <v/>
      </c>
      <c r="F31" s="84" t="s">
        <v>353</v>
      </c>
      <c r="H31" s="85">
        <f ca="1">COUNTIF('DELIVER REPORT'!$Z:$Z,1)</f>
        <v>328</v>
      </c>
      <c r="I31" s="86">
        <f ca="1">IFERROR(H31/SUM(H$31:H$32),"")</f>
        <v>1</v>
      </c>
    </row>
    <row r="32" spans="1:9" x14ac:dyDescent="0.2">
      <c r="A32" s="84" t="s">
        <v>354</v>
      </c>
      <c r="C32" s="87">
        <f>COUNTIFS('DELIVER REPORT'!$C:$C,$C$9,'DELIVER REPORT'!$Z:$Z,0)</f>
        <v>0</v>
      </c>
      <c r="D32" s="88" t="str">
        <f>IFERROR(C32/SUM(C$31:C$32),"")</f>
        <v/>
      </c>
      <c r="F32" s="84" t="s">
        <v>354</v>
      </c>
      <c r="H32" s="85">
        <f ca="1">COUNTIF('DELIVER REPORT'!$Z:$Z,0)</f>
        <v>0</v>
      </c>
      <c r="I32" s="86">
        <f ca="1">IFERROR(H32/SUM(H$31:H$32),"")</f>
        <v>0</v>
      </c>
    </row>
    <row r="33" spans="1:9" x14ac:dyDescent="0.2">
      <c r="A33" s="84" t="s">
        <v>355</v>
      </c>
      <c r="C33" s="87">
        <f>COUNTIFS('DELIVER REPORT'!$C:$C,$C$9,'DELIVER REPORT'!$Z:$Z,"Delivery")</f>
        <v>0</v>
      </c>
      <c r="D33" s="88"/>
      <c r="F33" s="84" t="s">
        <v>355</v>
      </c>
      <c r="H33" s="85">
        <f ca="1">COUNTIF('DELIVER REPORT'!$Z:$Z,"Delivery")</f>
        <v>20</v>
      </c>
      <c r="I33" s="86"/>
    </row>
    <row r="34" spans="1:9" x14ac:dyDescent="0.2">
      <c r="A34" s="84" t="s">
        <v>356</v>
      </c>
      <c r="C34" s="47">
        <f>COUNTIF('DELIVER REPORT'!$C:$C,$C$9)</f>
        <v>0</v>
      </c>
      <c r="F34" s="84" t="s">
        <v>356</v>
      </c>
      <c r="H34" s="47">
        <f>COUNTA('DELIVER REPORT'!$C:$C)</f>
        <v>27</v>
      </c>
    </row>
    <row r="35" spans="1:9" x14ac:dyDescent="0.2">
      <c r="A35" s="84" t="s">
        <v>357</v>
      </c>
      <c r="C35" s="47">
        <f>SUMIF('DELIVER REPORT'!$C:$C,$C$9,'DELIVER REPORT'!$G:$G)</f>
        <v>0</v>
      </c>
      <c r="F35" s="84" t="s">
        <v>357</v>
      </c>
      <c r="H35" s="47">
        <f>SUM('DELIVER REPORT'!$G:$G)</f>
        <v>26</v>
      </c>
    </row>
    <row r="36" spans="1:9" x14ac:dyDescent="0.2">
      <c r="A36" s="84" t="s">
        <v>358</v>
      </c>
      <c r="C36" s="47">
        <f>SUMIF('DELIVER REPORT'!$C:$C,1,'DELIVER REPORT'!$H:$H)</f>
        <v>0</v>
      </c>
      <c r="F36" s="84" t="s">
        <v>358</v>
      </c>
      <c r="H36" s="47">
        <f>SUM('DELIVER REPORT'!$H:$H)</f>
        <v>0</v>
      </c>
    </row>
  </sheetData>
  <mergeCells count="12">
    <mergeCell ref="A15:E16"/>
    <mergeCell ref="F15:J16"/>
    <mergeCell ref="B12:D12"/>
    <mergeCell ref="B13:D13"/>
    <mergeCell ref="E13:F13"/>
    <mergeCell ref="G13:H13"/>
    <mergeCell ref="I13:J13"/>
    <mergeCell ref="C5:D5"/>
    <mergeCell ref="C6:D6"/>
    <mergeCell ref="C7:D7"/>
    <mergeCell ref="C8:D8"/>
    <mergeCell ref="C9:D9"/>
  </mergeCells>
  <pageMargins left="0.70866141732283472" right="0.70866141732283472" top="0.55118110236220474" bottom="0.55118110236220474" header="0.31496062992125984" footer="0.31496062992125984"/>
  <pageSetup paperSize="9" scale="71"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promptTitle="Order date" prompt="select order date that will sort data reference">
          <x14:formula1>
            <xm:f>PivotTable!$A:$A</xm:f>
          </x14:formula1>
          <xm:sqref>C9:D9</xm:sqref>
        </x14:dataValidation>
        <x14:dataValidation type="list" allowBlank="1" showInputMessage="1" showErrorMessage="1" promptTitle="Delivery status tracking" prompt="select reference order number that grouped by order date">
          <x14:formula1>
            <xm:f>OFFSET('DELIVER REPORT'!$D:$D,MATCH($C$9,'DELIVER REPORT'!$C:$C,0)-1,0,COUNTIF('DELIVER REPORT'!$C:$C,$C$9),1)</xm:f>
          </x14:formula1>
          <xm:sqref>B13:D13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T986"/>
  <sheetViews>
    <sheetView showGridLines="0" workbookViewId="0">
      <pane xSplit="4" ySplit="1" topLeftCell="E2" activePane="bottomRight" state="frozen"/>
      <selection pane="topRight" activeCell="C1" sqref="C1"/>
      <selection pane="bottomLeft" activeCell="A2" sqref="A2"/>
      <selection pane="bottomRight" activeCell="G26" sqref="G26"/>
    </sheetView>
  </sheetViews>
  <sheetFormatPr defaultRowHeight="12" x14ac:dyDescent="0.2"/>
  <cols>
    <col min="1" max="1" width="6.28515625" style="3" customWidth="1"/>
    <col min="2" max="2" width="7" style="53" customWidth="1"/>
    <col min="3" max="3" width="8.85546875" style="2" customWidth="1"/>
    <col min="4" max="4" width="13.85546875" style="3" customWidth="1"/>
    <col min="5" max="5" width="14.7109375" style="3" bestFit="1" customWidth="1"/>
    <col min="6" max="6" width="16.85546875" style="3" customWidth="1"/>
    <col min="7" max="7" width="15.140625" style="3" bestFit="1" customWidth="1"/>
    <col min="8" max="8" width="13.85546875" style="3" bestFit="1" customWidth="1"/>
    <col min="9" max="9" width="14.140625" style="3" bestFit="1" customWidth="1"/>
    <col min="10" max="10" width="8.42578125" style="3" bestFit="1" customWidth="1"/>
    <col min="11" max="11" width="54" style="3" bestFit="1" customWidth="1"/>
    <col min="12" max="12" width="53.140625" style="3" bestFit="1" customWidth="1"/>
    <col min="13" max="13" width="10.7109375" style="3" bestFit="1" customWidth="1"/>
    <col min="14" max="14" width="10.85546875" style="3" bestFit="1" customWidth="1"/>
    <col min="15" max="15" width="10.28515625" style="3" bestFit="1" customWidth="1"/>
    <col min="16" max="16" width="7.7109375" style="3" bestFit="1" customWidth="1"/>
    <col min="17" max="17" width="16.42578125" style="3" bestFit="1" customWidth="1"/>
    <col min="18" max="18" width="18" style="3" bestFit="1" customWidth="1"/>
    <col min="19" max="19" width="8.28515625" style="3" bestFit="1" customWidth="1"/>
    <col min="20" max="20" width="15.85546875" style="3" bestFit="1" customWidth="1"/>
    <col min="21" max="21" width="10.140625" style="2" bestFit="1" customWidth="1"/>
    <col min="22" max="22" width="10.85546875" style="3" bestFit="1" customWidth="1"/>
    <col min="23" max="23" width="12.5703125" style="3" bestFit="1" customWidth="1"/>
    <col min="24" max="25" width="14.85546875" style="2" customWidth="1"/>
    <col min="26" max="26" width="14.85546875" style="3" customWidth="1"/>
    <col min="27" max="28" width="14.85546875" style="2" customWidth="1"/>
    <col min="29" max="29" width="20.140625" style="3" bestFit="1" customWidth="1"/>
    <col min="30" max="30" width="27.28515625" style="3" customWidth="1"/>
    <col min="31" max="31" width="35.28515625" style="3" customWidth="1"/>
    <col min="32" max="32" width="5.5703125" style="3" customWidth="1"/>
    <col min="33" max="33" width="12.28515625" style="3" bestFit="1" customWidth="1"/>
    <col min="34" max="34" width="7.5703125" style="3" customWidth="1"/>
    <col min="35" max="35" width="11.140625" style="61" bestFit="1" customWidth="1"/>
    <col min="36" max="36" width="14" style="3" bestFit="1" customWidth="1"/>
    <col min="37" max="38" width="10.42578125" style="3" bestFit="1" customWidth="1"/>
    <col min="39" max="16384" width="9.140625" style="3"/>
  </cols>
  <sheetData>
    <row r="1" spans="1:46" s="1" customFormat="1" x14ac:dyDescent="0.2">
      <c r="A1" s="212" t="s">
        <v>287</v>
      </c>
      <c r="B1" s="212" t="s">
        <v>329</v>
      </c>
      <c r="C1" s="205" t="s">
        <v>0</v>
      </c>
      <c r="D1" s="206" t="s">
        <v>1</v>
      </c>
      <c r="E1" s="206" t="s">
        <v>2</v>
      </c>
      <c r="F1" s="206" t="s">
        <v>3</v>
      </c>
      <c r="G1" s="206" t="s">
        <v>4</v>
      </c>
      <c r="H1" s="206" t="s">
        <v>5</v>
      </c>
      <c r="I1" s="206" t="s">
        <v>6</v>
      </c>
      <c r="J1" s="206" t="s">
        <v>7</v>
      </c>
      <c r="K1" s="206" t="s">
        <v>8</v>
      </c>
      <c r="L1" s="206" t="s">
        <v>9</v>
      </c>
      <c r="M1" s="206" t="s">
        <v>10</v>
      </c>
      <c r="N1" s="206" t="s">
        <v>11</v>
      </c>
      <c r="O1" s="206" t="s">
        <v>12</v>
      </c>
      <c r="P1" s="206" t="s">
        <v>13</v>
      </c>
      <c r="Q1" s="206" t="s">
        <v>14</v>
      </c>
      <c r="R1" s="206" t="s">
        <v>15</v>
      </c>
      <c r="S1" s="206" t="s">
        <v>16</v>
      </c>
      <c r="T1" s="206" t="s">
        <v>17</v>
      </c>
      <c r="U1" s="205" t="s">
        <v>18</v>
      </c>
      <c r="V1" s="206" t="s">
        <v>19</v>
      </c>
      <c r="W1" s="206" t="s">
        <v>20</v>
      </c>
      <c r="X1" s="212" t="s">
        <v>22</v>
      </c>
      <c r="Y1" s="205" t="s">
        <v>23</v>
      </c>
      <c r="Z1" s="211" t="s">
        <v>24</v>
      </c>
      <c r="AA1" s="212" t="s">
        <v>25</v>
      </c>
      <c r="AB1" s="205" t="s">
        <v>26</v>
      </c>
      <c r="AC1" s="211" t="s">
        <v>27</v>
      </c>
      <c r="AD1" s="206" t="s">
        <v>28</v>
      </c>
      <c r="AE1" s="206" t="s">
        <v>29</v>
      </c>
      <c r="AF1" s="211" t="s">
        <v>30</v>
      </c>
      <c r="AG1" s="211" t="s">
        <v>31</v>
      </c>
      <c r="AH1" s="211" t="s">
        <v>32</v>
      </c>
      <c r="AI1" s="213" t="s">
        <v>33</v>
      </c>
      <c r="AJ1" s="211" t="s">
        <v>34</v>
      </c>
      <c r="AK1" s="211" t="s">
        <v>35</v>
      </c>
      <c r="AL1" s="211" t="s">
        <v>36</v>
      </c>
      <c r="AM1" s="211" t="s">
        <v>68</v>
      </c>
      <c r="AN1" s="211" t="s">
        <v>69</v>
      </c>
      <c r="AO1" s="211" t="s">
        <v>70</v>
      </c>
      <c r="AP1" s="211" t="s">
        <v>71</v>
      </c>
      <c r="AQ1" s="211" t="s">
        <v>72</v>
      </c>
      <c r="AR1" s="211" t="s">
        <v>73</v>
      </c>
      <c r="AS1" s="211" t="s">
        <v>283</v>
      </c>
      <c r="AT1" s="211" t="s">
        <v>284</v>
      </c>
    </row>
    <row r="2" spans="1:46" x14ac:dyDescent="0.2">
      <c r="A2" s="207">
        <f t="shared" ref="A2:A42" si="0">IF(ISBLANK(D2),"",MONTH(C2))</f>
        <v>3</v>
      </c>
      <c r="B2" s="208" t="str">
        <f>IF(ISBLANK(D2),"",VLOOKUP(WEEKDAY($C2,1),INDEX!$J$2:$K$8,2,0))</f>
        <v>MON</v>
      </c>
      <c r="C2" s="209">
        <v>43892</v>
      </c>
      <c r="D2" s="207" t="s">
        <v>592</v>
      </c>
      <c r="E2" s="207" t="s">
        <v>552</v>
      </c>
      <c r="F2" s="207" t="s">
        <v>563</v>
      </c>
      <c r="G2" s="207">
        <v>1</v>
      </c>
      <c r="H2" s="207"/>
      <c r="I2" s="207"/>
      <c r="J2" s="207"/>
      <c r="K2" s="207" t="s">
        <v>550</v>
      </c>
      <c r="L2" s="207" t="s">
        <v>581</v>
      </c>
      <c r="M2" s="207" t="s">
        <v>582</v>
      </c>
      <c r="N2" s="207" t="s">
        <v>21</v>
      </c>
      <c r="O2" s="207"/>
      <c r="P2" s="207" t="s">
        <v>583</v>
      </c>
      <c r="Q2" s="207" t="s">
        <v>593</v>
      </c>
      <c r="R2" s="207"/>
      <c r="S2" s="207"/>
      <c r="T2" s="207">
        <v>121</v>
      </c>
      <c r="U2" s="209">
        <v>43893</v>
      </c>
      <c r="V2" s="207" t="s">
        <v>594</v>
      </c>
      <c r="W2" s="207" t="s">
        <v>584</v>
      </c>
      <c r="X2" s="209">
        <f>U2</f>
        <v>43893</v>
      </c>
      <c r="Y2" s="209">
        <f>U2</f>
        <v>43893</v>
      </c>
      <c r="Z2" s="207">
        <v>1</v>
      </c>
      <c r="AA2" s="209">
        <f t="shared" ref="AA2:AA65" si="1">IF(ISBLANK(D2),"",Y2+10)</f>
        <v>43903</v>
      </c>
      <c r="AB2" s="209"/>
      <c r="AC2" s="207">
        <v>0</v>
      </c>
      <c r="AD2" s="207"/>
      <c r="AE2" s="207"/>
      <c r="AF2" s="208" t="str">
        <f>IF(ISBLANK(D2),"",VLOOKUP(F2,'SIZE CALCULATION'!$F:$G,2,0))</f>
        <v>L</v>
      </c>
      <c r="AG2" s="207">
        <v>129</v>
      </c>
      <c r="AH2" s="207">
        <f t="shared" ref="AH2" si="2">IF(ISBLANK(D2),"",IFERROR(AG2*G2,0))</f>
        <v>129</v>
      </c>
      <c r="AI2" s="210">
        <f>IF(ISBLANK(D2),"",VLOOKUP($A2,INDEX!$D$2:$F$13,3,0))</f>
        <v>0</v>
      </c>
      <c r="AJ2" s="207">
        <f t="shared" ref="AJ2" si="3">IF(ISBLANK(D2),"",AH2+(AH2*AI2))</f>
        <v>129</v>
      </c>
      <c r="AK2" s="207"/>
      <c r="AL2" s="207"/>
      <c r="AM2" s="207">
        <f>IFERROR(IF(ISBLANK($D2),"",VLOOKUP($N2,'TABLE CHARGE RATE'!$A$30:$K$106,5,0)),"Check")</f>
        <v>37</v>
      </c>
      <c r="AN2" s="207">
        <f>IFERROR(IF(ISBLANK($D2),"",VLOOKUP($N2,'TABLE CHARGE RATE'!$A$30:$K$106,6,0)),"Check")</f>
        <v>46</v>
      </c>
      <c r="AO2" s="207">
        <f>IFERROR(IF(ISBLANK($D2),"",VLOOKUP($N2,'TABLE CHARGE RATE'!$A$30:$K$106,7,0)),"Check")</f>
        <v>86</v>
      </c>
      <c r="AP2" s="207">
        <f>IFERROR(IF(ISBLANK($D2),"",VLOOKUP($N2,'TABLE CHARGE RATE'!$A$30:$K$106,8,0)),"Check")</f>
        <v>129</v>
      </c>
      <c r="AQ2" s="207">
        <f>IFERROR(IF(ISBLANK($D2),"",VLOOKUP($N2,'TABLE CHARGE RATE'!$A$30:$K$106,9,0)),"Check")</f>
        <v>172</v>
      </c>
      <c r="AR2" s="207">
        <f>IFERROR(IF(ISBLANK($D2),"",VLOOKUP($N2,'TABLE CHARGE RATE'!$A$30:$K$106,10,0)),"Check")</f>
        <v>215</v>
      </c>
      <c r="AS2" s="207">
        <f>IFERROR(IF(ISBLANK($D2),"",VLOOKUP($N2,'TABLE CHARGE RATE'!$A$30:$K$106,11,0)),"Check")</f>
        <v>4.7300000000000004</v>
      </c>
      <c r="AT2" s="207">
        <v>1</v>
      </c>
    </row>
    <row r="3" spans="1:46" x14ac:dyDescent="0.2">
      <c r="A3" s="207">
        <f t="shared" si="0"/>
        <v>3</v>
      </c>
      <c r="B3" s="208" t="str">
        <f>IF(ISBLANK(D3),"",VLOOKUP(WEEKDAY($C3,1),INDEX!$J$2:$K$8,2,0))</f>
        <v>MON</v>
      </c>
      <c r="C3" s="209">
        <v>43892</v>
      </c>
      <c r="D3" s="207" t="s">
        <v>592</v>
      </c>
      <c r="E3" s="207" t="s">
        <v>552</v>
      </c>
      <c r="F3" s="207" t="s">
        <v>563</v>
      </c>
      <c r="G3" s="207">
        <v>1</v>
      </c>
      <c r="H3" s="207"/>
      <c r="I3" s="207"/>
      <c r="J3" s="207"/>
      <c r="K3" s="207" t="s">
        <v>550</v>
      </c>
      <c r="L3" s="207" t="s">
        <v>581</v>
      </c>
      <c r="M3" s="207" t="s">
        <v>582</v>
      </c>
      <c r="N3" s="207" t="s">
        <v>21</v>
      </c>
      <c r="O3" s="207"/>
      <c r="P3" s="207" t="s">
        <v>583</v>
      </c>
      <c r="Q3" s="207" t="s">
        <v>595</v>
      </c>
      <c r="R3" s="207"/>
      <c r="S3" s="207"/>
      <c r="T3" s="207">
        <v>121</v>
      </c>
      <c r="U3" s="209">
        <v>43893</v>
      </c>
      <c r="V3" s="207" t="s">
        <v>594</v>
      </c>
      <c r="W3" s="207" t="s">
        <v>584</v>
      </c>
      <c r="X3" s="209">
        <f t="shared" ref="X3:X66" si="4">U3</f>
        <v>43893</v>
      </c>
      <c r="Y3" s="209">
        <f t="shared" ref="Y3:Y66" si="5">U3</f>
        <v>43893</v>
      </c>
      <c r="Z3" s="207">
        <v>1</v>
      </c>
      <c r="AA3" s="209">
        <f t="shared" si="1"/>
        <v>43903</v>
      </c>
      <c r="AB3" s="209"/>
      <c r="AC3" s="207">
        <v>0</v>
      </c>
      <c r="AD3" s="207"/>
      <c r="AE3" s="207"/>
      <c r="AF3" s="208" t="str">
        <f>IF(ISBLANK(D3),"",VLOOKUP(F3,'SIZE CALCULATION'!$F:$G,2,0))</f>
        <v>L</v>
      </c>
      <c r="AG3" s="207">
        <f t="shared" ref="AG3:AG46" si="6">IF(ISBLANK(D3),"",HLOOKUP($AF3,$AM$1:$AR$966,$AT3,0))</f>
        <v>129</v>
      </c>
      <c r="AH3" s="207">
        <f t="shared" ref="AH3:AH68" si="7">IF(ISBLANK(D3),"",IFERROR(AG3*G3,0))</f>
        <v>129</v>
      </c>
      <c r="AI3" s="210">
        <f>IF(ISBLANK(D3),"",VLOOKUP($A3,INDEX!$D$2:$F$13,3,0))</f>
        <v>0</v>
      </c>
      <c r="AJ3" s="207">
        <f t="shared" ref="AJ3:AJ68" si="8">IF(ISBLANK(D3),"",AH3+(AH3*AI3))</f>
        <v>129</v>
      </c>
      <c r="AK3" s="207"/>
      <c r="AL3" s="207"/>
      <c r="AM3" s="207">
        <f>IFERROR(IF(ISBLANK($D3),"",VLOOKUP($N3,'TABLE CHARGE RATE'!$A$30:$K$106,5,0)),"Check")</f>
        <v>37</v>
      </c>
      <c r="AN3" s="207">
        <f>IFERROR(IF(ISBLANK($D3),"",VLOOKUP($N3,'TABLE CHARGE RATE'!$A$30:$K$106,6,0)),"Check")</f>
        <v>46</v>
      </c>
      <c r="AO3" s="207">
        <f>IFERROR(IF(ISBLANK($D3),"",VLOOKUP($N3,'TABLE CHARGE RATE'!$A$30:$K$106,7,0)),"Check")</f>
        <v>86</v>
      </c>
      <c r="AP3" s="207">
        <f>IFERROR(IF(ISBLANK($D3),"",VLOOKUP($N3,'TABLE CHARGE RATE'!$A$30:$K$106,8,0)),"Check")</f>
        <v>129</v>
      </c>
      <c r="AQ3" s="207">
        <f>IFERROR(IF(ISBLANK($D3),"",VLOOKUP($N3,'TABLE CHARGE RATE'!$A$30:$K$106,9,0)),"Check")</f>
        <v>172</v>
      </c>
      <c r="AR3" s="207">
        <f>IFERROR(IF(ISBLANK($D3),"",VLOOKUP($N3,'TABLE CHARGE RATE'!$A$30:$K$106,10,0)),"Check")</f>
        <v>215</v>
      </c>
      <c r="AS3" s="207">
        <f>IFERROR(IF(ISBLANK($D3),"",VLOOKUP($N3,'TABLE CHARGE RATE'!$A$30:$K$106,11,0)),"Check")</f>
        <v>4.7300000000000004</v>
      </c>
      <c r="AT3" s="207">
        <f t="shared" ref="AT3:AT68" si="9">AT2+1</f>
        <v>2</v>
      </c>
    </row>
    <row r="4" spans="1:46" x14ac:dyDescent="0.2">
      <c r="A4" s="207">
        <f t="shared" si="0"/>
        <v>3</v>
      </c>
      <c r="B4" s="208" t="str">
        <f>IF(ISBLANK(D4),"",VLOOKUP(WEEKDAY($C4,1),INDEX!$J$2:$K$8,2,0))</f>
        <v>THU</v>
      </c>
      <c r="C4" s="209">
        <v>43895</v>
      </c>
      <c r="D4" s="207" t="s">
        <v>596</v>
      </c>
      <c r="E4" s="207" t="s">
        <v>552</v>
      </c>
      <c r="F4" s="207" t="s">
        <v>562</v>
      </c>
      <c r="G4" s="207">
        <v>1</v>
      </c>
      <c r="H4" s="207"/>
      <c r="I4" s="207"/>
      <c r="J4" s="207"/>
      <c r="K4" s="207" t="s">
        <v>550</v>
      </c>
      <c r="L4" s="207" t="s">
        <v>581</v>
      </c>
      <c r="M4" s="207" t="s">
        <v>582</v>
      </c>
      <c r="N4" s="207" t="s">
        <v>21</v>
      </c>
      <c r="O4" s="207"/>
      <c r="P4" s="207" t="s">
        <v>583</v>
      </c>
      <c r="Q4" s="207" t="s">
        <v>597</v>
      </c>
      <c r="R4" s="207"/>
      <c r="S4" s="207"/>
      <c r="T4" s="207">
        <v>121</v>
      </c>
      <c r="U4" s="209">
        <v>43896</v>
      </c>
      <c r="V4" s="207" t="s">
        <v>598</v>
      </c>
      <c r="W4" s="207" t="s">
        <v>584</v>
      </c>
      <c r="X4" s="209">
        <f t="shared" si="4"/>
        <v>43896</v>
      </c>
      <c r="Y4" s="209">
        <f t="shared" si="5"/>
        <v>43896</v>
      </c>
      <c r="Z4" s="207">
        <v>1</v>
      </c>
      <c r="AA4" s="209">
        <f t="shared" si="1"/>
        <v>43906</v>
      </c>
      <c r="AB4" s="209"/>
      <c r="AC4" s="207">
        <v>0</v>
      </c>
      <c r="AD4" s="207"/>
      <c r="AE4" s="207"/>
      <c r="AF4" s="208" t="str">
        <f>IF(ISBLANK(D4),"",VLOOKUP(F4,'SIZE CALCULATION'!$F:$G,2,0))</f>
        <v>M+</v>
      </c>
      <c r="AG4" s="207">
        <f t="shared" si="6"/>
        <v>86</v>
      </c>
      <c r="AH4" s="207">
        <f t="shared" si="7"/>
        <v>86</v>
      </c>
      <c r="AI4" s="210">
        <f>IF(ISBLANK(D4),"",VLOOKUP($A4,INDEX!$D$2:$F$13,3,0))</f>
        <v>0</v>
      </c>
      <c r="AJ4" s="207">
        <f t="shared" si="8"/>
        <v>86</v>
      </c>
      <c r="AK4" s="207"/>
      <c r="AL4" s="207"/>
      <c r="AM4" s="207">
        <f>IFERROR(IF(ISBLANK($D4),"",VLOOKUP($N4,'TABLE CHARGE RATE'!$A$30:$K$106,5,0)),"Check")</f>
        <v>37</v>
      </c>
      <c r="AN4" s="207">
        <f>IFERROR(IF(ISBLANK($D4),"",VLOOKUP($N4,'TABLE CHARGE RATE'!$A$30:$K$106,6,0)),"Check")</f>
        <v>46</v>
      </c>
      <c r="AO4" s="207">
        <f>IFERROR(IF(ISBLANK($D4),"",VLOOKUP($N4,'TABLE CHARGE RATE'!$A$30:$K$106,7,0)),"Check")</f>
        <v>86</v>
      </c>
      <c r="AP4" s="207">
        <f>IFERROR(IF(ISBLANK($D4),"",VLOOKUP($N4,'TABLE CHARGE RATE'!$A$30:$K$106,8,0)),"Check")</f>
        <v>129</v>
      </c>
      <c r="AQ4" s="207">
        <f>IFERROR(IF(ISBLANK($D4),"",VLOOKUP($N4,'TABLE CHARGE RATE'!$A$30:$K$106,9,0)),"Check")</f>
        <v>172</v>
      </c>
      <c r="AR4" s="207">
        <f>IFERROR(IF(ISBLANK($D4),"",VLOOKUP($N4,'TABLE CHARGE RATE'!$A$30:$K$106,10,0)),"Check")</f>
        <v>215</v>
      </c>
      <c r="AS4" s="207">
        <f>IFERROR(IF(ISBLANK($D4),"",VLOOKUP($N4,'TABLE CHARGE RATE'!$A$30:$K$106,11,0)),"Check")</f>
        <v>4.7300000000000004</v>
      </c>
      <c r="AT4" s="207">
        <f t="shared" si="9"/>
        <v>3</v>
      </c>
    </row>
    <row r="5" spans="1:46" x14ac:dyDescent="0.2">
      <c r="A5" s="207">
        <f t="shared" si="0"/>
        <v>3</v>
      </c>
      <c r="B5" s="208" t="str">
        <f>IF(ISBLANK(D5),"",VLOOKUP(WEEKDAY($C5,1),INDEX!$J$2:$K$8,2,0))</f>
        <v>MON</v>
      </c>
      <c r="C5" s="209">
        <v>43899</v>
      </c>
      <c r="D5" s="207" t="s">
        <v>599</v>
      </c>
      <c r="E5" s="207" t="s">
        <v>552</v>
      </c>
      <c r="F5" s="207" t="s">
        <v>563</v>
      </c>
      <c r="G5" s="207">
        <v>1</v>
      </c>
      <c r="H5" s="207"/>
      <c r="I5" s="207"/>
      <c r="J5" s="207"/>
      <c r="K5" s="207" t="s">
        <v>550</v>
      </c>
      <c r="L5" s="207" t="s">
        <v>581</v>
      </c>
      <c r="M5" s="207" t="s">
        <v>582</v>
      </c>
      <c r="N5" s="207" t="s">
        <v>21</v>
      </c>
      <c r="O5" s="207"/>
      <c r="P5" s="207" t="s">
        <v>583</v>
      </c>
      <c r="Q5" s="207" t="s">
        <v>600</v>
      </c>
      <c r="R5" s="207"/>
      <c r="S5" s="207"/>
      <c r="T5" s="207">
        <v>121</v>
      </c>
      <c r="U5" s="209">
        <v>43900</v>
      </c>
      <c r="V5" s="207" t="s">
        <v>601</v>
      </c>
      <c r="W5" s="207" t="s">
        <v>584</v>
      </c>
      <c r="X5" s="209">
        <f t="shared" si="4"/>
        <v>43900</v>
      </c>
      <c r="Y5" s="209">
        <f t="shared" si="5"/>
        <v>43900</v>
      </c>
      <c r="Z5" s="207">
        <v>1</v>
      </c>
      <c r="AA5" s="209">
        <f t="shared" si="1"/>
        <v>43910</v>
      </c>
      <c r="AB5" s="209"/>
      <c r="AC5" s="207">
        <v>0</v>
      </c>
      <c r="AD5" s="207"/>
      <c r="AE5" s="207"/>
      <c r="AF5" s="208" t="str">
        <f>IF(ISBLANK(D5),"",VLOOKUP(F5,'SIZE CALCULATION'!$F:$G,2,0))</f>
        <v>L</v>
      </c>
      <c r="AG5" s="207">
        <f t="shared" si="6"/>
        <v>129</v>
      </c>
      <c r="AH5" s="207">
        <f t="shared" si="7"/>
        <v>129</v>
      </c>
      <c r="AI5" s="210">
        <f>IF(ISBLANK(D5),"",VLOOKUP($A5,INDEX!$D$2:$F$13,3,0))</f>
        <v>0</v>
      </c>
      <c r="AJ5" s="207">
        <f t="shared" si="8"/>
        <v>129</v>
      </c>
      <c r="AK5" s="207"/>
      <c r="AL5" s="207"/>
      <c r="AM5" s="207">
        <f>IFERROR(IF(ISBLANK($D5),"",VLOOKUP($N5,'TABLE CHARGE RATE'!$A$30:$K$106,5,0)),"Check")</f>
        <v>37</v>
      </c>
      <c r="AN5" s="207">
        <f>IFERROR(IF(ISBLANK($D5),"",VLOOKUP($N5,'TABLE CHARGE RATE'!$A$30:$K$106,6,0)),"Check")</f>
        <v>46</v>
      </c>
      <c r="AO5" s="207">
        <f>IFERROR(IF(ISBLANK($D5),"",VLOOKUP($N5,'TABLE CHARGE RATE'!$A$30:$K$106,7,0)),"Check")</f>
        <v>86</v>
      </c>
      <c r="AP5" s="207">
        <f>IFERROR(IF(ISBLANK($D5),"",VLOOKUP($N5,'TABLE CHARGE RATE'!$A$30:$K$106,8,0)),"Check")</f>
        <v>129</v>
      </c>
      <c r="AQ5" s="207">
        <f>IFERROR(IF(ISBLANK($D5),"",VLOOKUP($N5,'TABLE CHARGE RATE'!$A$30:$K$106,9,0)),"Check")</f>
        <v>172</v>
      </c>
      <c r="AR5" s="207">
        <f>IFERROR(IF(ISBLANK($D5),"",VLOOKUP($N5,'TABLE CHARGE RATE'!$A$30:$K$106,10,0)),"Check")</f>
        <v>215</v>
      </c>
      <c r="AS5" s="207">
        <f>IFERROR(IF(ISBLANK($D5),"",VLOOKUP($N5,'TABLE CHARGE RATE'!$A$30:$K$106,11,0)),"Check")</f>
        <v>4.7300000000000004</v>
      </c>
      <c r="AT5" s="207">
        <f t="shared" si="9"/>
        <v>4</v>
      </c>
    </row>
    <row r="6" spans="1:46" x14ac:dyDescent="0.2">
      <c r="A6" s="207">
        <f t="shared" si="0"/>
        <v>3</v>
      </c>
      <c r="B6" s="208" t="str">
        <f>IF(ISBLANK(D6),"",VLOOKUP(WEEKDAY($C6,1),INDEX!$J$2:$K$8,2,0))</f>
        <v>TUE</v>
      </c>
      <c r="C6" s="209">
        <v>43900</v>
      </c>
      <c r="D6" s="207" t="s">
        <v>602</v>
      </c>
      <c r="E6" s="207" t="s">
        <v>588</v>
      </c>
      <c r="F6" s="207" t="s">
        <v>561</v>
      </c>
      <c r="G6" s="207">
        <v>1</v>
      </c>
      <c r="H6" s="207"/>
      <c r="I6" s="207"/>
      <c r="J6" s="207"/>
      <c r="K6" s="207" t="s">
        <v>589</v>
      </c>
      <c r="L6" s="207" t="s">
        <v>590</v>
      </c>
      <c r="M6" s="207" t="s">
        <v>585</v>
      </c>
      <c r="N6" s="207" t="s">
        <v>230</v>
      </c>
      <c r="O6" s="207"/>
      <c r="P6" s="207" t="s">
        <v>583</v>
      </c>
      <c r="Q6" s="207" t="s">
        <v>603</v>
      </c>
      <c r="R6" s="207"/>
      <c r="S6" s="207"/>
      <c r="T6" s="207">
        <v>121</v>
      </c>
      <c r="U6" s="209">
        <v>43901</v>
      </c>
      <c r="V6" s="207" t="s">
        <v>604</v>
      </c>
      <c r="W6" s="207" t="s">
        <v>584</v>
      </c>
      <c r="X6" s="209">
        <f t="shared" si="4"/>
        <v>43901</v>
      </c>
      <c r="Y6" s="209">
        <f t="shared" si="5"/>
        <v>43901</v>
      </c>
      <c r="Z6" s="207">
        <v>1</v>
      </c>
      <c r="AA6" s="209">
        <f t="shared" si="1"/>
        <v>43911</v>
      </c>
      <c r="AB6" s="209"/>
      <c r="AC6" s="207">
        <v>0</v>
      </c>
      <c r="AD6" s="207"/>
      <c r="AE6" s="207"/>
      <c r="AF6" s="208" t="str">
        <f>IF(ISBLANK(D6),"",VLOOKUP(F6,'SIZE CALCULATION'!$F:$G,2,0))</f>
        <v>M</v>
      </c>
      <c r="AG6" s="207">
        <f t="shared" si="6"/>
        <v>46</v>
      </c>
      <c r="AH6" s="207">
        <f t="shared" si="7"/>
        <v>46</v>
      </c>
      <c r="AI6" s="210">
        <f>IF(ISBLANK(D6),"",VLOOKUP($A6,INDEX!$D$2:$F$13,3,0))</f>
        <v>0</v>
      </c>
      <c r="AJ6" s="207">
        <f t="shared" si="8"/>
        <v>46</v>
      </c>
      <c r="AK6" s="207"/>
      <c r="AL6" s="207"/>
      <c r="AM6" s="207">
        <f>IFERROR(IF(ISBLANK($D6),"",VLOOKUP($N6,'TABLE CHARGE RATE'!$A$30:$K$106,5,0)),"Check")</f>
        <v>42</v>
      </c>
      <c r="AN6" s="207">
        <f>IFERROR(IF(ISBLANK($D6),"",VLOOKUP($N6,'TABLE CHARGE RATE'!$A$30:$K$106,6,0)),"Check")</f>
        <v>52</v>
      </c>
      <c r="AO6" s="207">
        <f>IFERROR(IF(ISBLANK($D6),"",VLOOKUP($N6,'TABLE CHARGE RATE'!$A$30:$K$106,7,0)),"Check")</f>
        <v>100</v>
      </c>
      <c r="AP6" s="207">
        <f>IFERROR(IF(ISBLANK($D6),"",VLOOKUP($N6,'TABLE CHARGE RATE'!$A$30:$K$106,8,0)),"Check")</f>
        <v>149</v>
      </c>
      <c r="AQ6" s="207">
        <f>IFERROR(IF(ISBLANK($D6),"",VLOOKUP($N6,'TABLE CHARGE RATE'!$A$30:$K$106,9,0)),"Check")</f>
        <v>199</v>
      </c>
      <c r="AR6" s="207">
        <f>IFERROR(IF(ISBLANK($D6),"",VLOOKUP($N6,'TABLE CHARGE RATE'!$A$30:$K$106,10,0)),"Check")</f>
        <v>248</v>
      </c>
      <c r="AS6" s="207">
        <f>IFERROR(IF(ISBLANK($D6),"",VLOOKUP($N6,'TABLE CHARGE RATE'!$A$30:$K$106,11,0)),"Check")</f>
        <v>5.46</v>
      </c>
      <c r="AT6" s="207">
        <f t="shared" si="9"/>
        <v>5</v>
      </c>
    </row>
    <row r="7" spans="1:46" x14ac:dyDescent="0.2">
      <c r="A7" s="207">
        <f t="shared" si="0"/>
        <v>3</v>
      </c>
      <c r="B7" s="208" t="str">
        <f>IF(ISBLANK(D7),"",VLOOKUP(WEEKDAY($C7,1),INDEX!$J$2:$K$8,2,0))</f>
        <v>TUE</v>
      </c>
      <c r="C7" s="209">
        <v>43900</v>
      </c>
      <c r="D7" s="207" t="s">
        <v>602</v>
      </c>
      <c r="E7" s="207" t="s">
        <v>588</v>
      </c>
      <c r="F7" s="207" t="s">
        <v>561</v>
      </c>
      <c r="G7" s="207">
        <v>1</v>
      </c>
      <c r="H7" s="207"/>
      <c r="I7" s="207"/>
      <c r="J7" s="207"/>
      <c r="K7" s="207" t="s">
        <v>589</v>
      </c>
      <c r="L7" s="207" t="s">
        <v>590</v>
      </c>
      <c r="M7" s="207" t="s">
        <v>585</v>
      </c>
      <c r="N7" s="207" t="s">
        <v>230</v>
      </c>
      <c r="O7" s="207"/>
      <c r="P7" s="207" t="s">
        <v>583</v>
      </c>
      <c r="Q7" s="207" t="s">
        <v>605</v>
      </c>
      <c r="R7" s="207"/>
      <c r="S7" s="207"/>
      <c r="T7" s="207">
        <v>121</v>
      </c>
      <c r="U7" s="209">
        <v>43901</v>
      </c>
      <c r="V7" s="207" t="s">
        <v>604</v>
      </c>
      <c r="W7" s="207" t="s">
        <v>584</v>
      </c>
      <c r="X7" s="209">
        <f t="shared" si="4"/>
        <v>43901</v>
      </c>
      <c r="Y7" s="209">
        <f t="shared" si="5"/>
        <v>43901</v>
      </c>
      <c r="Z7" s="207">
        <v>1</v>
      </c>
      <c r="AA7" s="209">
        <f t="shared" si="1"/>
        <v>43911</v>
      </c>
      <c r="AB7" s="209"/>
      <c r="AC7" s="207">
        <v>0</v>
      </c>
      <c r="AD7" s="207"/>
      <c r="AE7" s="207"/>
      <c r="AF7" s="208" t="str">
        <f>IF(ISBLANK(D7),"",VLOOKUP(F7,'SIZE CALCULATION'!$F:$G,2,0))</f>
        <v>M</v>
      </c>
      <c r="AG7" s="207">
        <f t="shared" si="6"/>
        <v>52</v>
      </c>
      <c r="AH7" s="207">
        <f t="shared" si="7"/>
        <v>52</v>
      </c>
      <c r="AI7" s="210">
        <f>IF(ISBLANK(D7),"",VLOOKUP($A7,INDEX!$D$2:$F$13,3,0))</f>
        <v>0</v>
      </c>
      <c r="AJ7" s="207">
        <f t="shared" si="8"/>
        <v>52</v>
      </c>
      <c r="AK7" s="207"/>
      <c r="AL7" s="207"/>
      <c r="AM7" s="207">
        <f>IFERROR(IF(ISBLANK($D7),"",VLOOKUP($N7,'TABLE CHARGE RATE'!$A$30:$K$106,5,0)),"Check")</f>
        <v>42</v>
      </c>
      <c r="AN7" s="207">
        <f>IFERROR(IF(ISBLANK($D7),"",VLOOKUP($N7,'TABLE CHARGE RATE'!$A$30:$K$106,6,0)),"Check")</f>
        <v>52</v>
      </c>
      <c r="AO7" s="207">
        <f>IFERROR(IF(ISBLANK($D7),"",VLOOKUP($N7,'TABLE CHARGE RATE'!$A$30:$K$106,7,0)),"Check")</f>
        <v>100</v>
      </c>
      <c r="AP7" s="207">
        <f>IFERROR(IF(ISBLANK($D7),"",VLOOKUP($N7,'TABLE CHARGE RATE'!$A$30:$K$106,8,0)),"Check")</f>
        <v>149</v>
      </c>
      <c r="AQ7" s="207">
        <f>IFERROR(IF(ISBLANK($D7),"",VLOOKUP($N7,'TABLE CHARGE RATE'!$A$30:$K$106,9,0)),"Check")</f>
        <v>199</v>
      </c>
      <c r="AR7" s="207">
        <f>IFERROR(IF(ISBLANK($D7),"",VLOOKUP($N7,'TABLE CHARGE RATE'!$A$30:$K$106,10,0)),"Check")</f>
        <v>248</v>
      </c>
      <c r="AS7" s="207">
        <f>IFERROR(IF(ISBLANK($D7),"",VLOOKUP($N7,'TABLE CHARGE RATE'!$A$30:$K$106,11,0)),"Check")</f>
        <v>5.46</v>
      </c>
      <c r="AT7" s="207">
        <f t="shared" si="9"/>
        <v>6</v>
      </c>
    </row>
    <row r="8" spans="1:46" x14ac:dyDescent="0.2">
      <c r="A8" s="207">
        <f t="shared" si="0"/>
        <v>3</v>
      </c>
      <c r="B8" s="208" t="str">
        <f>IF(ISBLANK(D8),"",VLOOKUP(WEEKDAY($C8,1),INDEX!$J$2:$K$8,2,0))</f>
        <v>TUE</v>
      </c>
      <c r="C8" s="209">
        <v>43900</v>
      </c>
      <c r="D8" s="207" t="s">
        <v>602</v>
      </c>
      <c r="E8" s="207" t="s">
        <v>588</v>
      </c>
      <c r="F8" s="207" t="s">
        <v>561</v>
      </c>
      <c r="G8" s="207">
        <v>1</v>
      </c>
      <c r="H8" s="207"/>
      <c r="I8" s="207"/>
      <c r="J8" s="207"/>
      <c r="K8" s="207" t="s">
        <v>589</v>
      </c>
      <c r="L8" s="207" t="s">
        <v>590</v>
      </c>
      <c r="M8" s="207" t="s">
        <v>585</v>
      </c>
      <c r="N8" s="207" t="s">
        <v>230</v>
      </c>
      <c r="O8" s="207"/>
      <c r="P8" s="207" t="s">
        <v>583</v>
      </c>
      <c r="Q8" s="207" t="s">
        <v>606</v>
      </c>
      <c r="R8" s="207"/>
      <c r="S8" s="207"/>
      <c r="T8" s="207">
        <v>121</v>
      </c>
      <c r="U8" s="209">
        <v>43901</v>
      </c>
      <c r="V8" s="207" t="s">
        <v>604</v>
      </c>
      <c r="W8" s="207" t="s">
        <v>584</v>
      </c>
      <c r="X8" s="209">
        <f t="shared" si="4"/>
        <v>43901</v>
      </c>
      <c r="Y8" s="209">
        <f t="shared" si="5"/>
        <v>43901</v>
      </c>
      <c r="Z8" s="207">
        <v>1</v>
      </c>
      <c r="AA8" s="209">
        <f t="shared" si="1"/>
        <v>43911</v>
      </c>
      <c r="AB8" s="209"/>
      <c r="AC8" s="207">
        <v>0</v>
      </c>
      <c r="AD8" s="207"/>
      <c r="AE8" s="207"/>
      <c r="AF8" s="208" t="str">
        <f>IF(ISBLANK(D8),"",VLOOKUP(F8,'SIZE CALCULATION'!$F:$G,2,0))</f>
        <v>M</v>
      </c>
      <c r="AG8" s="207">
        <f t="shared" si="6"/>
        <v>52</v>
      </c>
      <c r="AH8" s="207">
        <f t="shared" si="7"/>
        <v>52</v>
      </c>
      <c r="AI8" s="210">
        <f>IF(ISBLANK(D8),"",VLOOKUP($A8,INDEX!$D$2:$F$13,3,0))</f>
        <v>0</v>
      </c>
      <c r="AJ8" s="207">
        <f t="shared" si="8"/>
        <v>52</v>
      </c>
      <c r="AK8" s="207"/>
      <c r="AL8" s="207"/>
      <c r="AM8" s="207">
        <f>IFERROR(IF(ISBLANK($D8),"",VLOOKUP($N8,'TABLE CHARGE RATE'!$A$30:$K$106,5,0)),"Check")</f>
        <v>42</v>
      </c>
      <c r="AN8" s="207">
        <f>IFERROR(IF(ISBLANK($D8),"",VLOOKUP($N8,'TABLE CHARGE RATE'!$A$30:$K$106,6,0)),"Check")</f>
        <v>52</v>
      </c>
      <c r="AO8" s="207">
        <f>IFERROR(IF(ISBLANK($D8),"",VLOOKUP($N8,'TABLE CHARGE RATE'!$A$30:$K$106,7,0)),"Check")</f>
        <v>100</v>
      </c>
      <c r="AP8" s="207">
        <f>IFERROR(IF(ISBLANK($D8),"",VLOOKUP($N8,'TABLE CHARGE RATE'!$A$30:$K$106,8,0)),"Check")</f>
        <v>149</v>
      </c>
      <c r="AQ8" s="207">
        <f>IFERROR(IF(ISBLANK($D8),"",VLOOKUP($N8,'TABLE CHARGE RATE'!$A$30:$K$106,9,0)),"Check")</f>
        <v>199</v>
      </c>
      <c r="AR8" s="207">
        <f>IFERROR(IF(ISBLANK($D8),"",VLOOKUP($N8,'TABLE CHARGE RATE'!$A$30:$K$106,10,0)),"Check")</f>
        <v>248</v>
      </c>
      <c r="AS8" s="207">
        <f>IFERROR(IF(ISBLANK($D8),"",VLOOKUP($N8,'TABLE CHARGE RATE'!$A$30:$K$106,11,0)),"Check")</f>
        <v>5.46</v>
      </c>
      <c r="AT8" s="207">
        <f t="shared" si="9"/>
        <v>7</v>
      </c>
    </row>
    <row r="9" spans="1:46" x14ac:dyDescent="0.2">
      <c r="A9" s="207">
        <f t="shared" si="0"/>
        <v>3</v>
      </c>
      <c r="B9" s="208" t="str">
        <f>IF(ISBLANK(D9),"",VLOOKUP(WEEKDAY($C9,1),INDEX!$J$2:$K$8,2,0))</f>
        <v>SAT</v>
      </c>
      <c r="C9" s="209">
        <v>43904</v>
      </c>
      <c r="D9" s="207" t="s">
        <v>607</v>
      </c>
      <c r="E9" s="207" t="s">
        <v>608</v>
      </c>
      <c r="F9" s="207" t="s">
        <v>562</v>
      </c>
      <c r="G9" s="207">
        <v>1</v>
      </c>
      <c r="H9" s="207"/>
      <c r="I9" s="207"/>
      <c r="J9" s="207"/>
      <c r="K9" s="207" t="s">
        <v>609</v>
      </c>
      <c r="L9" s="207" t="s">
        <v>610</v>
      </c>
      <c r="M9" s="207" t="s">
        <v>611</v>
      </c>
      <c r="N9" s="207" t="s">
        <v>220</v>
      </c>
      <c r="O9" s="207"/>
      <c r="P9" s="207" t="s">
        <v>583</v>
      </c>
      <c r="Q9" s="207" t="s">
        <v>612</v>
      </c>
      <c r="R9" s="207"/>
      <c r="S9" s="207"/>
      <c r="T9" s="207">
        <v>121</v>
      </c>
      <c r="U9" s="209">
        <v>43906</v>
      </c>
      <c r="V9" s="207" t="s">
        <v>613</v>
      </c>
      <c r="W9" s="207" t="s">
        <v>584</v>
      </c>
      <c r="X9" s="209">
        <f t="shared" si="4"/>
        <v>43906</v>
      </c>
      <c r="Y9" s="209">
        <f t="shared" si="5"/>
        <v>43906</v>
      </c>
      <c r="Z9" s="207">
        <v>1</v>
      </c>
      <c r="AA9" s="209">
        <f t="shared" si="1"/>
        <v>43916</v>
      </c>
      <c r="AB9" s="209"/>
      <c r="AC9" s="207">
        <v>0</v>
      </c>
      <c r="AD9" s="207"/>
      <c r="AE9" s="207"/>
      <c r="AF9" s="208" t="str">
        <f>IF(ISBLANK(D9),"",VLOOKUP(F9,'SIZE CALCULATION'!$F:$G,2,0))</f>
        <v>M+</v>
      </c>
      <c r="AG9" s="207">
        <f t="shared" si="6"/>
        <v>100</v>
      </c>
      <c r="AH9" s="207">
        <f t="shared" si="7"/>
        <v>100</v>
      </c>
      <c r="AI9" s="210">
        <f>IF(ISBLANK(D9),"",VLOOKUP($A9,INDEX!$D$2:$F$13,3,0))</f>
        <v>0</v>
      </c>
      <c r="AJ9" s="207">
        <f t="shared" si="8"/>
        <v>100</v>
      </c>
      <c r="AK9" s="207"/>
      <c r="AL9" s="207"/>
      <c r="AM9" s="207">
        <f>IFERROR(IF(ISBLANK($D9),"",VLOOKUP($N9,'TABLE CHARGE RATE'!$A$30:$K$106,5,0)),"Check")</f>
        <v>45</v>
      </c>
      <c r="AN9" s="207">
        <f>IFERROR(IF(ISBLANK($D9),"",VLOOKUP($N9,'TABLE CHARGE RATE'!$A$30:$K$106,6,0)),"Check")</f>
        <v>56</v>
      </c>
      <c r="AO9" s="207">
        <f>IFERROR(IF(ISBLANK($D9),"",VLOOKUP($N9,'TABLE CHARGE RATE'!$A$30:$K$106,7,0)),"Check")</f>
        <v>107</v>
      </c>
      <c r="AP9" s="207">
        <f>IFERROR(IF(ISBLANK($D9),"",VLOOKUP($N9,'TABLE CHARGE RATE'!$A$30:$K$106,8,0)),"Check")</f>
        <v>160</v>
      </c>
      <c r="AQ9" s="207">
        <f>IFERROR(IF(ISBLANK($D9),"",VLOOKUP($N9,'TABLE CHARGE RATE'!$A$30:$K$106,9,0)),"Check")</f>
        <v>214</v>
      </c>
      <c r="AR9" s="207">
        <f>IFERROR(IF(ISBLANK($D9),"",VLOOKUP($N9,'TABLE CHARGE RATE'!$A$30:$K$106,10,0)),"Check")</f>
        <v>267</v>
      </c>
      <c r="AS9" s="207">
        <f>IFERROR(IF(ISBLANK($D9),"",VLOOKUP($N9,'TABLE CHARGE RATE'!$A$30:$K$106,11,0)),"Check")</f>
        <v>5.88</v>
      </c>
      <c r="AT9" s="207">
        <f t="shared" si="9"/>
        <v>8</v>
      </c>
    </row>
    <row r="10" spans="1:46" x14ac:dyDescent="0.2">
      <c r="A10" s="207">
        <f t="shared" si="0"/>
        <v>3</v>
      </c>
      <c r="B10" s="208" t="str">
        <f>IF(ISBLANK(D10),"",VLOOKUP(WEEKDAY($C10,1),INDEX!$J$2:$K$8,2,0))</f>
        <v>MON</v>
      </c>
      <c r="C10" s="209">
        <v>43906</v>
      </c>
      <c r="D10" s="207" t="s">
        <v>614</v>
      </c>
      <c r="E10" s="207" t="s">
        <v>552</v>
      </c>
      <c r="F10" s="207" t="s">
        <v>560</v>
      </c>
      <c r="G10" s="207">
        <v>1</v>
      </c>
      <c r="H10" s="207"/>
      <c r="I10" s="207"/>
      <c r="J10" s="207"/>
      <c r="K10" s="207" t="s">
        <v>550</v>
      </c>
      <c r="L10" s="207" t="s">
        <v>581</v>
      </c>
      <c r="M10" s="207" t="s">
        <v>582</v>
      </c>
      <c r="N10" s="207" t="s">
        <v>21</v>
      </c>
      <c r="O10" s="207"/>
      <c r="P10" s="207" t="s">
        <v>583</v>
      </c>
      <c r="Q10" s="207" t="s">
        <v>615</v>
      </c>
      <c r="R10" s="207"/>
      <c r="S10" s="207"/>
      <c r="T10" s="207">
        <v>121</v>
      </c>
      <c r="U10" s="209">
        <v>43907</v>
      </c>
      <c r="V10" s="207" t="s">
        <v>616</v>
      </c>
      <c r="W10" s="207" t="s">
        <v>584</v>
      </c>
      <c r="X10" s="209">
        <f t="shared" si="4"/>
        <v>43907</v>
      </c>
      <c r="Y10" s="209">
        <f t="shared" si="5"/>
        <v>43907</v>
      </c>
      <c r="Z10" s="207">
        <v>1</v>
      </c>
      <c r="AA10" s="209">
        <f t="shared" si="1"/>
        <v>43917</v>
      </c>
      <c r="AB10" s="209"/>
      <c r="AC10" s="207">
        <v>0</v>
      </c>
      <c r="AD10" s="207"/>
      <c r="AE10" s="207"/>
      <c r="AF10" s="208" t="str">
        <f>IF(ISBLANK(D10),"",VLOOKUP(F10,'SIZE CALCULATION'!$F:$G,2,0))</f>
        <v>S</v>
      </c>
      <c r="AG10" s="207">
        <f t="shared" si="6"/>
        <v>45</v>
      </c>
      <c r="AH10" s="207">
        <f t="shared" si="7"/>
        <v>45</v>
      </c>
      <c r="AI10" s="210">
        <f>IF(ISBLANK(D10),"",VLOOKUP($A10,INDEX!$D$2:$F$13,3,0))</f>
        <v>0</v>
      </c>
      <c r="AJ10" s="207">
        <f t="shared" si="8"/>
        <v>45</v>
      </c>
      <c r="AK10" s="207"/>
      <c r="AL10" s="207"/>
      <c r="AM10" s="207">
        <f>IFERROR(IF(ISBLANK($D10),"",VLOOKUP($N10,'TABLE CHARGE RATE'!$A$30:$K$106,5,0)),"Check")</f>
        <v>37</v>
      </c>
      <c r="AN10" s="207">
        <f>IFERROR(IF(ISBLANK($D10),"",VLOOKUP($N10,'TABLE CHARGE RATE'!$A$30:$K$106,6,0)),"Check")</f>
        <v>46</v>
      </c>
      <c r="AO10" s="207">
        <f>IFERROR(IF(ISBLANK($D10),"",VLOOKUP($N10,'TABLE CHARGE RATE'!$A$30:$K$106,7,0)),"Check")</f>
        <v>86</v>
      </c>
      <c r="AP10" s="207">
        <f>IFERROR(IF(ISBLANK($D10),"",VLOOKUP($N10,'TABLE CHARGE RATE'!$A$30:$K$106,8,0)),"Check")</f>
        <v>129</v>
      </c>
      <c r="AQ10" s="207">
        <f>IFERROR(IF(ISBLANK($D10),"",VLOOKUP($N10,'TABLE CHARGE RATE'!$A$30:$K$106,9,0)),"Check")</f>
        <v>172</v>
      </c>
      <c r="AR10" s="207">
        <f>IFERROR(IF(ISBLANK($D10),"",VLOOKUP($N10,'TABLE CHARGE RATE'!$A$30:$K$106,10,0)),"Check")</f>
        <v>215</v>
      </c>
      <c r="AS10" s="207">
        <f>IFERROR(IF(ISBLANK($D10),"",VLOOKUP($N10,'TABLE CHARGE RATE'!$A$30:$K$106,11,0)),"Check")</f>
        <v>4.7300000000000004</v>
      </c>
      <c r="AT10" s="207">
        <f t="shared" si="9"/>
        <v>9</v>
      </c>
    </row>
    <row r="11" spans="1:46" x14ac:dyDescent="0.2">
      <c r="A11" s="207">
        <f t="shared" si="0"/>
        <v>3</v>
      </c>
      <c r="B11" s="208" t="str">
        <f>IF(ISBLANK(D11),"",VLOOKUP(WEEKDAY($C11,1),INDEX!$J$2:$K$8,2,0))</f>
        <v>MON</v>
      </c>
      <c r="C11" s="209">
        <v>43906</v>
      </c>
      <c r="D11" s="207" t="s">
        <v>614</v>
      </c>
      <c r="E11" s="207" t="s">
        <v>552</v>
      </c>
      <c r="F11" s="207" t="s">
        <v>560</v>
      </c>
      <c r="G11" s="207">
        <v>1</v>
      </c>
      <c r="H11" s="207"/>
      <c r="I11" s="207"/>
      <c r="J11" s="207"/>
      <c r="K11" s="207" t="s">
        <v>550</v>
      </c>
      <c r="L11" s="207" t="s">
        <v>581</v>
      </c>
      <c r="M11" s="207" t="s">
        <v>582</v>
      </c>
      <c r="N11" s="207" t="s">
        <v>21</v>
      </c>
      <c r="O11" s="207"/>
      <c r="P11" s="207" t="s">
        <v>583</v>
      </c>
      <c r="Q11" s="207" t="s">
        <v>617</v>
      </c>
      <c r="R11" s="207"/>
      <c r="S11" s="207"/>
      <c r="T11" s="207">
        <v>121</v>
      </c>
      <c r="U11" s="209">
        <v>43907</v>
      </c>
      <c r="V11" s="207" t="s">
        <v>616</v>
      </c>
      <c r="W11" s="207" t="s">
        <v>584</v>
      </c>
      <c r="X11" s="209">
        <f t="shared" si="4"/>
        <v>43907</v>
      </c>
      <c r="Y11" s="209">
        <f t="shared" si="5"/>
        <v>43907</v>
      </c>
      <c r="Z11" s="207">
        <v>1</v>
      </c>
      <c r="AA11" s="209">
        <f t="shared" si="1"/>
        <v>43917</v>
      </c>
      <c r="AB11" s="209"/>
      <c r="AC11" s="207">
        <v>0</v>
      </c>
      <c r="AD11" s="207"/>
      <c r="AE11" s="207"/>
      <c r="AF11" s="208" t="str">
        <f>IF(ISBLANK(D11),"",VLOOKUP(F11,'SIZE CALCULATION'!$F:$G,2,0))</f>
        <v>S</v>
      </c>
      <c r="AG11" s="207">
        <f t="shared" si="6"/>
        <v>37</v>
      </c>
      <c r="AH11" s="207">
        <f t="shared" si="7"/>
        <v>37</v>
      </c>
      <c r="AI11" s="210">
        <f>IF(ISBLANK(D11),"",VLOOKUP($A11,INDEX!$D$2:$F$13,3,0))</f>
        <v>0</v>
      </c>
      <c r="AJ11" s="207">
        <f t="shared" si="8"/>
        <v>37</v>
      </c>
      <c r="AK11" s="207"/>
      <c r="AL11" s="207"/>
      <c r="AM11" s="207">
        <f>IFERROR(IF(ISBLANK($D11),"",VLOOKUP($N11,'TABLE CHARGE RATE'!$A$30:$K$106,5,0)),"Check")</f>
        <v>37</v>
      </c>
      <c r="AN11" s="207">
        <f>IFERROR(IF(ISBLANK($D11),"",VLOOKUP($N11,'TABLE CHARGE RATE'!$A$30:$K$106,6,0)),"Check")</f>
        <v>46</v>
      </c>
      <c r="AO11" s="207">
        <f>IFERROR(IF(ISBLANK($D11),"",VLOOKUP($N11,'TABLE CHARGE RATE'!$A$30:$K$106,7,0)),"Check")</f>
        <v>86</v>
      </c>
      <c r="AP11" s="207">
        <f>IFERROR(IF(ISBLANK($D11),"",VLOOKUP($N11,'TABLE CHARGE RATE'!$A$30:$K$106,8,0)),"Check")</f>
        <v>129</v>
      </c>
      <c r="AQ11" s="207">
        <f>IFERROR(IF(ISBLANK($D11),"",VLOOKUP($N11,'TABLE CHARGE RATE'!$A$30:$K$106,9,0)),"Check")</f>
        <v>172</v>
      </c>
      <c r="AR11" s="207">
        <f>IFERROR(IF(ISBLANK($D11),"",VLOOKUP($N11,'TABLE CHARGE RATE'!$A$30:$K$106,10,0)),"Check")</f>
        <v>215</v>
      </c>
      <c r="AS11" s="207">
        <f>IFERROR(IF(ISBLANK($D11),"",VLOOKUP($N11,'TABLE CHARGE RATE'!$A$30:$K$106,11,0)),"Check")</f>
        <v>4.7300000000000004</v>
      </c>
      <c r="AT11" s="207">
        <f t="shared" si="9"/>
        <v>10</v>
      </c>
    </row>
    <row r="12" spans="1:46" x14ac:dyDescent="0.2">
      <c r="A12" s="207">
        <f t="shared" si="0"/>
        <v>3</v>
      </c>
      <c r="B12" s="208" t="str">
        <f>IF(ISBLANK(D12),"",VLOOKUP(WEEKDAY($C12,1),INDEX!$J$2:$K$8,2,0))</f>
        <v>MON</v>
      </c>
      <c r="C12" s="209">
        <v>43906</v>
      </c>
      <c r="D12" s="207" t="s">
        <v>614</v>
      </c>
      <c r="E12" s="207" t="s">
        <v>552</v>
      </c>
      <c r="F12" s="207" t="s">
        <v>560</v>
      </c>
      <c r="G12" s="207">
        <v>1</v>
      </c>
      <c r="H12" s="207"/>
      <c r="I12" s="207"/>
      <c r="J12" s="207"/>
      <c r="K12" s="207" t="s">
        <v>550</v>
      </c>
      <c r="L12" s="207" t="s">
        <v>581</v>
      </c>
      <c r="M12" s="207" t="s">
        <v>582</v>
      </c>
      <c r="N12" s="207" t="s">
        <v>21</v>
      </c>
      <c r="O12" s="207"/>
      <c r="P12" s="207" t="s">
        <v>583</v>
      </c>
      <c r="Q12" s="207" t="s">
        <v>618</v>
      </c>
      <c r="R12" s="207"/>
      <c r="S12" s="207"/>
      <c r="T12" s="207">
        <v>121</v>
      </c>
      <c r="U12" s="209">
        <v>43907</v>
      </c>
      <c r="V12" s="207" t="s">
        <v>616</v>
      </c>
      <c r="W12" s="207" t="s">
        <v>584</v>
      </c>
      <c r="X12" s="209">
        <f t="shared" si="4"/>
        <v>43907</v>
      </c>
      <c r="Y12" s="209">
        <f t="shared" si="5"/>
        <v>43907</v>
      </c>
      <c r="Z12" s="207">
        <v>1</v>
      </c>
      <c r="AA12" s="209">
        <f t="shared" si="1"/>
        <v>43917</v>
      </c>
      <c r="AB12" s="209"/>
      <c r="AC12" s="207">
        <v>0</v>
      </c>
      <c r="AD12" s="207"/>
      <c r="AE12" s="207"/>
      <c r="AF12" s="208" t="str">
        <f>IF(ISBLANK(D12),"",VLOOKUP(F12,'SIZE CALCULATION'!$F:$G,2,0))</f>
        <v>S</v>
      </c>
      <c r="AG12" s="207">
        <f t="shared" si="6"/>
        <v>37</v>
      </c>
      <c r="AH12" s="207">
        <f t="shared" si="7"/>
        <v>37</v>
      </c>
      <c r="AI12" s="210">
        <f>IF(ISBLANK(D12),"",VLOOKUP($A12,INDEX!$D$2:$F$13,3,0))</f>
        <v>0</v>
      </c>
      <c r="AJ12" s="207">
        <f t="shared" si="8"/>
        <v>37</v>
      </c>
      <c r="AK12" s="207"/>
      <c r="AL12" s="207"/>
      <c r="AM12" s="207">
        <f>IFERROR(IF(ISBLANK($D12),"",VLOOKUP($N12,'TABLE CHARGE RATE'!$A$30:$K$106,5,0)),"Check")</f>
        <v>37</v>
      </c>
      <c r="AN12" s="207">
        <f>IFERROR(IF(ISBLANK($D12),"",VLOOKUP($N12,'TABLE CHARGE RATE'!$A$30:$K$106,6,0)),"Check")</f>
        <v>46</v>
      </c>
      <c r="AO12" s="207">
        <f>IFERROR(IF(ISBLANK($D12),"",VLOOKUP($N12,'TABLE CHARGE RATE'!$A$30:$K$106,7,0)),"Check")</f>
        <v>86</v>
      </c>
      <c r="AP12" s="207">
        <f>IFERROR(IF(ISBLANK($D12),"",VLOOKUP($N12,'TABLE CHARGE RATE'!$A$30:$K$106,8,0)),"Check")</f>
        <v>129</v>
      </c>
      <c r="AQ12" s="207">
        <f>IFERROR(IF(ISBLANK($D12),"",VLOOKUP($N12,'TABLE CHARGE RATE'!$A$30:$K$106,9,0)),"Check")</f>
        <v>172</v>
      </c>
      <c r="AR12" s="207">
        <f>IFERROR(IF(ISBLANK($D12),"",VLOOKUP($N12,'TABLE CHARGE RATE'!$A$30:$K$106,10,0)),"Check")</f>
        <v>215</v>
      </c>
      <c r="AS12" s="207">
        <f>IFERROR(IF(ISBLANK($D12),"",VLOOKUP($N12,'TABLE CHARGE RATE'!$A$30:$K$106,11,0)),"Check")</f>
        <v>4.7300000000000004</v>
      </c>
      <c r="AT12" s="207">
        <f t="shared" si="9"/>
        <v>11</v>
      </c>
    </row>
    <row r="13" spans="1:46" x14ac:dyDescent="0.2">
      <c r="A13" s="207">
        <f t="shared" si="0"/>
        <v>3</v>
      </c>
      <c r="B13" s="208" t="str">
        <f>IF(ISBLANK(D13),"",VLOOKUP(WEEKDAY($C13,1),INDEX!$J$2:$K$8,2,0))</f>
        <v>MON</v>
      </c>
      <c r="C13" s="209">
        <v>43906</v>
      </c>
      <c r="D13" s="207" t="s">
        <v>614</v>
      </c>
      <c r="E13" s="207" t="s">
        <v>552</v>
      </c>
      <c r="F13" s="207" t="s">
        <v>560</v>
      </c>
      <c r="G13" s="207">
        <v>1</v>
      </c>
      <c r="H13" s="207"/>
      <c r="I13" s="207"/>
      <c r="J13" s="207"/>
      <c r="K13" s="207" t="s">
        <v>550</v>
      </c>
      <c r="L13" s="207" t="s">
        <v>581</v>
      </c>
      <c r="M13" s="207" t="s">
        <v>582</v>
      </c>
      <c r="N13" s="207" t="s">
        <v>21</v>
      </c>
      <c r="O13" s="207"/>
      <c r="P13" s="207" t="s">
        <v>583</v>
      </c>
      <c r="Q13" s="207" t="s">
        <v>619</v>
      </c>
      <c r="R13" s="207"/>
      <c r="S13" s="207"/>
      <c r="T13" s="207">
        <v>121</v>
      </c>
      <c r="U13" s="209">
        <v>43907</v>
      </c>
      <c r="V13" s="207" t="s">
        <v>616</v>
      </c>
      <c r="W13" s="207" t="s">
        <v>584</v>
      </c>
      <c r="X13" s="209">
        <f t="shared" si="4"/>
        <v>43907</v>
      </c>
      <c r="Y13" s="209">
        <f t="shared" si="5"/>
        <v>43907</v>
      </c>
      <c r="Z13" s="207">
        <v>1</v>
      </c>
      <c r="AA13" s="209">
        <f t="shared" si="1"/>
        <v>43917</v>
      </c>
      <c r="AB13" s="209"/>
      <c r="AC13" s="207">
        <v>0</v>
      </c>
      <c r="AD13" s="207"/>
      <c r="AE13" s="207"/>
      <c r="AF13" s="208" t="str">
        <f>IF(ISBLANK(D13),"",VLOOKUP(F13,'SIZE CALCULATION'!$F:$G,2,0))</f>
        <v>S</v>
      </c>
      <c r="AG13" s="207">
        <f t="shared" si="6"/>
        <v>37</v>
      </c>
      <c r="AH13" s="207">
        <f t="shared" si="7"/>
        <v>37</v>
      </c>
      <c r="AI13" s="210">
        <f>IF(ISBLANK(D13),"",VLOOKUP($A13,INDEX!$D$2:$F$13,3,0))</f>
        <v>0</v>
      </c>
      <c r="AJ13" s="207">
        <f t="shared" si="8"/>
        <v>37</v>
      </c>
      <c r="AK13" s="207"/>
      <c r="AL13" s="207"/>
      <c r="AM13" s="207">
        <f>IFERROR(IF(ISBLANK($D13),"",VLOOKUP($N13,'TABLE CHARGE RATE'!$A$30:$K$106,5,0)),"Check")</f>
        <v>37</v>
      </c>
      <c r="AN13" s="207">
        <f>IFERROR(IF(ISBLANK($D13),"",VLOOKUP($N13,'TABLE CHARGE RATE'!$A$30:$K$106,6,0)),"Check")</f>
        <v>46</v>
      </c>
      <c r="AO13" s="207">
        <f>IFERROR(IF(ISBLANK($D13),"",VLOOKUP($N13,'TABLE CHARGE RATE'!$A$30:$K$106,7,0)),"Check")</f>
        <v>86</v>
      </c>
      <c r="AP13" s="207">
        <f>IFERROR(IF(ISBLANK($D13),"",VLOOKUP($N13,'TABLE CHARGE RATE'!$A$30:$K$106,8,0)),"Check")</f>
        <v>129</v>
      </c>
      <c r="AQ13" s="207">
        <f>IFERROR(IF(ISBLANK($D13),"",VLOOKUP($N13,'TABLE CHARGE RATE'!$A$30:$K$106,9,0)),"Check")</f>
        <v>172</v>
      </c>
      <c r="AR13" s="207">
        <f>IFERROR(IF(ISBLANK($D13),"",VLOOKUP($N13,'TABLE CHARGE RATE'!$A$30:$K$106,10,0)),"Check")</f>
        <v>215</v>
      </c>
      <c r="AS13" s="207">
        <f>IFERROR(IF(ISBLANK($D13),"",VLOOKUP($N13,'TABLE CHARGE RATE'!$A$30:$K$106,11,0)),"Check")</f>
        <v>4.7300000000000004</v>
      </c>
      <c r="AT13" s="207">
        <f t="shared" si="9"/>
        <v>12</v>
      </c>
    </row>
    <row r="14" spans="1:46" ht="12" customHeight="1" x14ac:dyDescent="0.2">
      <c r="A14" s="207">
        <f t="shared" si="0"/>
        <v>3</v>
      </c>
      <c r="B14" s="208" t="str">
        <f>IF(ISBLANK(D14),"",VLOOKUP(WEEKDAY($C14,1),INDEX!$J$2:$K$8,2,0))</f>
        <v>MON</v>
      </c>
      <c r="C14" s="209">
        <v>43906</v>
      </c>
      <c r="D14" s="207" t="s">
        <v>614</v>
      </c>
      <c r="E14" s="207" t="s">
        <v>552</v>
      </c>
      <c r="F14" s="207" t="s">
        <v>560</v>
      </c>
      <c r="G14" s="207">
        <v>1</v>
      </c>
      <c r="H14" s="207"/>
      <c r="I14" s="207"/>
      <c r="J14" s="207"/>
      <c r="K14" s="207" t="s">
        <v>550</v>
      </c>
      <c r="L14" s="207" t="s">
        <v>581</v>
      </c>
      <c r="M14" s="207" t="s">
        <v>582</v>
      </c>
      <c r="N14" s="207" t="s">
        <v>21</v>
      </c>
      <c r="O14" s="207"/>
      <c r="P14" s="207" t="s">
        <v>583</v>
      </c>
      <c r="Q14" s="207" t="s">
        <v>620</v>
      </c>
      <c r="R14" s="207"/>
      <c r="S14" s="207"/>
      <c r="T14" s="207">
        <v>121</v>
      </c>
      <c r="U14" s="209">
        <v>43907</v>
      </c>
      <c r="V14" s="207" t="s">
        <v>616</v>
      </c>
      <c r="W14" s="207" t="s">
        <v>584</v>
      </c>
      <c r="X14" s="209">
        <f t="shared" si="4"/>
        <v>43907</v>
      </c>
      <c r="Y14" s="209">
        <f t="shared" si="5"/>
        <v>43907</v>
      </c>
      <c r="Z14" s="207">
        <v>1</v>
      </c>
      <c r="AA14" s="209">
        <f t="shared" si="1"/>
        <v>43917</v>
      </c>
      <c r="AB14" s="209"/>
      <c r="AC14" s="207">
        <v>0</v>
      </c>
      <c r="AD14" s="207"/>
      <c r="AE14" s="207"/>
      <c r="AF14" s="208" t="str">
        <f>IF(ISBLANK(D14),"",VLOOKUP(F14,'SIZE CALCULATION'!$F:$G,2,0))</f>
        <v>S</v>
      </c>
      <c r="AG14" s="207">
        <f t="shared" si="6"/>
        <v>37</v>
      </c>
      <c r="AH14" s="207">
        <f t="shared" si="7"/>
        <v>37</v>
      </c>
      <c r="AI14" s="210">
        <f>IF(ISBLANK(D14),"",VLOOKUP($A14,INDEX!$D$2:$F$13,3,0))</f>
        <v>0</v>
      </c>
      <c r="AJ14" s="207">
        <f t="shared" si="8"/>
        <v>37</v>
      </c>
      <c r="AK14" s="207"/>
      <c r="AL14" s="207"/>
      <c r="AM14" s="207">
        <f>IFERROR(IF(ISBLANK($D14),"",VLOOKUP($N14,'TABLE CHARGE RATE'!$A$30:$K$106,5,0)),"Check")</f>
        <v>37</v>
      </c>
      <c r="AN14" s="207">
        <f>IFERROR(IF(ISBLANK($D14),"",VLOOKUP($N14,'TABLE CHARGE RATE'!$A$30:$K$106,6,0)),"Check")</f>
        <v>46</v>
      </c>
      <c r="AO14" s="207">
        <f>IFERROR(IF(ISBLANK($D14),"",VLOOKUP($N14,'TABLE CHARGE RATE'!$A$30:$K$106,7,0)),"Check")</f>
        <v>86</v>
      </c>
      <c r="AP14" s="207">
        <f>IFERROR(IF(ISBLANK($D14),"",VLOOKUP($N14,'TABLE CHARGE RATE'!$A$30:$K$106,8,0)),"Check")</f>
        <v>129</v>
      </c>
      <c r="AQ14" s="207">
        <f>IFERROR(IF(ISBLANK($D14),"",VLOOKUP($N14,'TABLE CHARGE RATE'!$A$30:$K$106,9,0)),"Check")</f>
        <v>172</v>
      </c>
      <c r="AR14" s="207">
        <f>IFERROR(IF(ISBLANK($D14),"",VLOOKUP($N14,'TABLE CHARGE RATE'!$A$30:$K$106,10,0)),"Check")</f>
        <v>215</v>
      </c>
      <c r="AS14" s="207">
        <f>IFERROR(IF(ISBLANK($D14),"",VLOOKUP($N14,'TABLE CHARGE RATE'!$A$30:$K$106,11,0)),"Check")</f>
        <v>4.7300000000000004</v>
      </c>
      <c r="AT14" s="207">
        <f t="shared" si="9"/>
        <v>13</v>
      </c>
    </row>
    <row r="15" spans="1:46" ht="12" customHeight="1" x14ac:dyDescent="0.2">
      <c r="A15" s="207">
        <f t="shared" si="0"/>
        <v>3</v>
      </c>
      <c r="B15" s="208" t="str">
        <f>IF(ISBLANK(D15),"",VLOOKUP(WEEKDAY($C15,1),INDEX!$J$2:$K$8,2,0))</f>
        <v>MON</v>
      </c>
      <c r="C15" s="209">
        <v>43906</v>
      </c>
      <c r="D15" s="207" t="s">
        <v>614</v>
      </c>
      <c r="E15" s="207" t="s">
        <v>552</v>
      </c>
      <c r="F15" s="207" t="s">
        <v>560</v>
      </c>
      <c r="G15" s="207">
        <v>1</v>
      </c>
      <c r="H15" s="207"/>
      <c r="I15" s="207"/>
      <c r="J15" s="207"/>
      <c r="K15" s="207" t="s">
        <v>550</v>
      </c>
      <c r="L15" s="207" t="s">
        <v>581</v>
      </c>
      <c r="M15" s="207" t="s">
        <v>582</v>
      </c>
      <c r="N15" s="207" t="s">
        <v>21</v>
      </c>
      <c r="O15" s="207"/>
      <c r="P15" s="207" t="s">
        <v>583</v>
      </c>
      <c r="Q15" s="207" t="s">
        <v>621</v>
      </c>
      <c r="R15" s="207"/>
      <c r="S15" s="207"/>
      <c r="T15" s="207">
        <v>121</v>
      </c>
      <c r="U15" s="209">
        <v>43907</v>
      </c>
      <c r="V15" s="207" t="s">
        <v>616</v>
      </c>
      <c r="W15" s="207" t="s">
        <v>584</v>
      </c>
      <c r="X15" s="209">
        <f t="shared" si="4"/>
        <v>43907</v>
      </c>
      <c r="Y15" s="209">
        <f t="shared" si="5"/>
        <v>43907</v>
      </c>
      <c r="Z15" s="207">
        <v>1</v>
      </c>
      <c r="AA15" s="209">
        <f t="shared" si="1"/>
        <v>43917</v>
      </c>
      <c r="AB15" s="209"/>
      <c r="AC15" s="207">
        <v>0</v>
      </c>
      <c r="AD15" s="207"/>
      <c r="AE15" s="207"/>
      <c r="AF15" s="208" t="str">
        <f>IF(ISBLANK(D15),"",VLOOKUP(F15,'SIZE CALCULATION'!$F:$G,2,0))</f>
        <v>S</v>
      </c>
      <c r="AG15" s="207">
        <f t="shared" si="6"/>
        <v>37</v>
      </c>
      <c r="AH15" s="207">
        <f t="shared" si="7"/>
        <v>37</v>
      </c>
      <c r="AI15" s="210">
        <f>IF(ISBLANK(D15),"",VLOOKUP($A15,INDEX!$D$2:$F$13,3,0))</f>
        <v>0</v>
      </c>
      <c r="AJ15" s="207">
        <f t="shared" si="8"/>
        <v>37</v>
      </c>
      <c r="AK15" s="207"/>
      <c r="AL15" s="207"/>
      <c r="AM15" s="207">
        <f>IFERROR(IF(ISBLANK($D15),"",VLOOKUP($N15,'TABLE CHARGE RATE'!$A$30:$K$106,5,0)),"Check")</f>
        <v>37</v>
      </c>
      <c r="AN15" s="207">
        <f>IFERROR(IF(ISBLANK($D15),"",VLOOKUP($N15,'TABLE CHARGE RATE'!$A$30:$K$106,6,0)),"Check")</f>
        <v>46</v>
      </c>
      <c r="AO15" s="207">
        <f>IFERROR(IF(ISBLANK($D15),"",VLOOKUP($N15,'TABLE CHARGE RATE'!$A$30:$K$106,7,0)),"Check")</f>
        <v>86</v>
      </c>
      <c r="AP15" s="207">
        <f>IFERROR(IF(ISBLANK($D15),"",VLOOKUP($N15,'TABLE CHARGE RATE'!$A$30:$K$106,8,0)),"Check")</f>
        <v>129</v>
      </c>
      <c r="AQ15" s="207">
        <f>IFERROR(IF(ISBLANK($D15),"",VLOOKUP($N15,'TABLE CHARGE RATE'!$A$30:$K$106,9,0)),"Check")</f>
        <v>172</v>
      </c>
      <c r="AR15" s="207">
        <f>IFERROR(IF(ISBLANK($D15),"",VLOOKUP($N15,'TABLE CHARGE RATE'!$A$30:$K$106,10,0)),"Check")</f>
        <v>215</v>
      </c>
      <c r="AS15" s="207">
        <f>IFERROR(IF(ISBLANK($D15),"",VLOOKUP($N15,'TABLE CHARGE RATE'!$A$30:$K$106,11,0)),"Check")</f>
        <v>4.7300000000000004</v>
      </c>
      <c r="AT15" s="207">
        <f t="shared" si="9"/>
        <v>14</v>
      </c>
    </row>
    <row r="16" spans="1:46" x14ac:dyDescent="0.2">
      <c r="A16" s="207">
        <f t="shared" si="0"/>
        <v>3</v>
      </c>
      <c r="B16" s="208" t="str">
        <f>IF(ISBLANK(D16),"",VLOOKUP(WEEKDAY($C16,1),INDEX!$J$2:$K$8,2,0))</f>
        <v>MON</v>
      </c>
      <c r="C16" s="209">
        <v>43906</v>
      </c>
      <c r="D16" s="207" t="s">
        <v>614</v>
      </c>
      <c r="E16" s="207" t="s">
        <v>552</v>
      </c>
      <c r="F16" s="207" t="s">
        <v>560</v>
      </c>
      <c r="G16" s="207">
        <v>1</v>
      </c>
      <c r="H16" s="207"/>
      <c r="I16" s="207"/>
      <c r="J16" s="207"/>
      <c r="K16" s="207" t="s">
        <v>550</v>
      </c>
      <c r="L16" s="207" t="s">
        <v>581</v>
      </c>
      <c r="M16" s="207" t="s">
        <v>582</v>
      </c>
      <c r="N16" s="207" t="s">
        <v>21</v>
      </c>
      <c r="O16" s="207"/>
      <c r="P16" s="207" t="s">
        <v>583</v>
      </c>
      <c r="Q16" s="207" t="s">
        <v>622</v>
      </c>
      <c r="R16" s="207"/>
      <c r="S16" s="207"/>
      <c r="T16" s="207">
        <v>121</v>
      </c>
      <c r="U16" s="209">
        <v>43907</v>
      </c>
      <c r="V16" s="207" t="s">
        <v>616</v>
      </c>
      <c r="W16" s="207" t="s">
        <v>584</v>
      </c>
      <c r="X16" s="209">
        <f t="shared" si="4"/>
        <v>43907</v>
      </c>
      <c r="Y16" s="209">
        <f t="shared" si="5"/>
        <v>43907</v>
      </c>
      <c r="Z16" s="207">
        <v>1</v>
      </c>
      <c r="AA16" s="209">
        <f t="shared" si="1"/>
        <v>43917</v>
      </c>
      <c r="AB16" s="209"/>
      <c r="AC16" s="207">
        <v>0</v>
      </c>
      <c r="AD16" s="207"/>
      <c r="AE16" s="207"/>
      <c r="AF16" s="208" t="str">
        <f>IF(ISBLANK(D16),"",VLOOKUP(F16,'SIZE CALCULATION'!$F:$G,2,0))</f>
        <v>S</v>
      </c>
      <c r="AG16" s="207">
        <f t="shared" si="6"/>
        <v>37</v>
      </c>
      <c r="AH16" s="207">
        <f t="shared" si="7"/>
        <v>37</v>
      </c>
      <c r="AI16" s="210">
        <f>IF(ISBLANK(D16),"",VLOOKUP($A16,INDEX!$D$2:$F$13,3,0))</f>
        <v>0</v>
      </c>
      <c r="AJ16" s="207">
        <f t="shared" si="8"/>
        <v>37</v>
      </c>
      <c r="AK16" s="207"/>
      <c r="AL16" s="207"/>
      <c r="AM16" s="207">
        <f>IFERROR(IF(ISBLANK($D16),"",VLOOKUP($N16,'TABLE CHARGE RATE'!$A$30:$K$106,5,0)),"Check")</f>
        <v>37</v>
      </c>
      <c r="AN16" s="207">
        <f>IFERROR(IF(ISBLANK($D16),"",VLOOKUP($N16,'TABLE CHARGE RATE'!$A$30:$K$106,6,0)),"Check")</f>
        <v>46</v>
      </c>
      <c r="AO16" s="207">
        <f>IFERROR(IF(ISBLANK($D16),"",VLOOKUP($N16,'TABLE CHARGE RATE'!$A$30:$K$106,7,0)),"Check")</f>
        <v>86</v>
      </c>
      <c r="AP16" s="207">
        <f>IFERROR(IF(ISBLANK($D16),"",VLOOKUP($N16,'TABLE CHARGE RATE'!$A$30:$K$106,8,0)),"Check")</f>
        <v>129</v>
      </c>
      <c r="AQ16" s="207">
        <f>IFERROR(IF(ISBLANK($D16),"",VLOOKUP($N16,'TABLE CHARGE RATE'!$A$30:$K$106,9,0)),"Check")</f>
        <v>172</v>
      </c>
      <c r="AR16" s="207">
        <f>IFERROR(IF(ISBLANK($D16),"",VLOOKUP($N16,'TABLE CHARGE RATE'!$A$30:$K$106,10,0)),"Check")</f>
        <v>215</v>
      </c>
      <c r="AS16" s="207">
        <f>IFERROR(IF(ISBLANK($D16),"",VLOOKUP($N16,'TABLE CHARGE RATE'!$A$30:$K$106,11,0)),"Check")</f>
        <v>4.7300000000000004</v>
      </c>
      <c r="AT16" s="207">
        <f t="shared" si="9"/>
        <v>15</v>
      </c>
    </row>
    <row r="17" spans="1:46" x14ac:dyDescent="0.2">
      <c r="A17" s="207">
        <f t="shared" si="0"/>
        <v>3</v>
      </c>
      <c r="B17" s="208" t="str">
        <f>IF(ISBLANK(D17),"",VLOOKUP(WEEKDAY($C17,1),INDEX!$J$2:$K$8,2,0))</f>
        <v>MON</v>
      </c>
      <c r="C17" s="209">
        <v>43906</v>
      </c>
      <c r="D17" s="207" t="s">
        <v>614</v>
      </c>
      <c r="E17" s="207" t="s">
        <v>552</v>
      </c>
      <c r="F17" s="207" t="s">
        <v>560</v>
      </c>
      <c r="G17" s="207">
        <v>1</v>
      </c>
      <c r="H17" s="207"/>
      <c r="I17" s="207"/>
      <c r="J17" s="207"/>
      <c r="K17" s="207" t="s">
        <v>550</v>
      </c>
      <c r="L17" s="207" t="s">
        <v>581</v>
      </c>
      <c r="M17" s="207" t="s">
        <v>582</v>
      </c>
      <c r="N17" s="207" t="s">
        <v>21</v>
      </c>
      <c r="O17" s="207"/>
      <c r="P17" s="207" t="s">
        <v>583</v>
      </c>
      <c r="Q17" s="207" t="s">
        <v>623</v>
      </c>
      <c r="R17" s="207"/>
      <c r="S17" s="207"/>
      <c r="T17" s="207">
        <v>121</v>
      </c>
      <c r="U17" s="209">
        <v>43907</v>
      </c>
      <c r="V17" s="207" t="s">
        <v>616</v>
      </c>
      <c r="W17" s="207" t="s">
        <v>584</v>
      </c>
      <c r="X17" s="209">
        <f t="shared" si="4"/>
        <v>43907</v>
      </c>
      <c r="Y17" s="209">
        <f t="shared" si="5"/>
        <v>43907</v>
      </c>
      <c r="Z17" s="207">
        <v>1</v>
      </c>
      <c r="AA17" s="209">
        <f t="shared" si="1"/>
        <v>43917</v>
      </c>
      <c r="AB17" s="209"/>
      <c r="AC17" s="207">
        <v>0</v>
      </c>
      <c r="AD17" s="207"/>
      <c r="AE17" s="207"/>
      <c r="AF17" s="208" t="str">
        <f>IF(ISBLANK(D17),"",VLOOKUP(F17,'SIZE CALCULATION'!$F:$G,2,0))</f>
        <v>S</v>
      </c>
      <c r="AG17" s="207">
        <f t="shared" si="6"/>
        <v>37</v>
      </c>
      <c r="AH17" s="207">
        <f t="shared" si="7"/>
        <v>37</v>
      </c>
      <c r="AI17" s="210">
        <f>IF(ISBLANK(D17),"",VLOOKUP($A17,INDEX!$D$2:$F$13,3,0))</f>
        <v>0</v>
      </c>
      <c r="AJ17" s="207">
        <f t="shared" si="8"/>
        <v>37</v>
      </c>
      <c r="AK17" s="207"/>
      <c r="AL17" s="207"/>
      <c r="AM17" s="207">
        <f>IFERROR(IF(ISBLANK($D17),"",VLOOKUP($N17,'TABLE CHARGE RATE'!$A$30:$K$106,5,0)),"Check")</f>
        <v>37</v>
      </c>
      <c r="AN17" s="207">
        <f>IFERROR(IF(ISBLANK($D17),"",VLOOKUP($N17,'TABLE CHARGE RATE'!$A$30:$K$106,6,0)),"Check")</f>
        <v>46</v>
      </c>
      <c r="AO17" s="207">
        <f>IFERROR(IF(ISBLANK($D17),"",VLOOKUP($N17,'TABLE CHARGE RATE'!$A$30:$K$106,7,0)),"Check")</f>
        <v>86</v>
      </c>
      <c r="AP17" s="207">
        <f>IFERROR(IF(ISBLANK($D17),"",VLOOKUP($N17,'TABLE CHARGE RATE'!$A$30:$K$106,8,0)),"Check")</f>
        <v>129</v>
      </c>
      <c r="AQ17" s="207">
        <f>IFERROR(IF(ISBLANK($D17),"",VLOOKUP($N17,'TABLE CHARGE RATE'!$A$30:$K$106,9,0)),"Check")</f>
        <v>172</v>
      </c>
      <c r="AR17" s="207">
        <f>IFERROR(IF(ISBLANK($D17),"",VLOOKUP($N17,'TABLE CHARGE RATE'!$A$30:$K$106,10,0)),"Check")</f>
        <v>215</v>
      </c>
      <c r="AS17" s="207">
        <f>IFERROR(IF(ISBLANK($D17),"",VLOOKUP($N17,'TABLE CHARGE RATE'!$A$30:$K$106,11,0)),"Check")</f>
        <v>4.7300000000000004</v>
      </c>
      <c r="AT17" s="207">
        <f t="shared" si="9"/>
        <v>16</v>
      </c>
    </row>
    <row r="18" spans="1:46" x14ac:dyDescent="0.2">
      <c r="A18" s="207">
        <f t="shared" si="0"/>
        <v>3</v>
      </c>
      <c r="B18" s="208" t="str">
        <f>IF(ISBLANK(D18),"",VLOOKUP(WEEKDAY($C18,1),INDEX!$J$2:$K$8,2,0))</f>
        <v>MON</v>
      </c>
      <c r="C18" s="209">
        <v>43906</v>
      </c>
      <c r="D18" s="207" t="s">
        <v>614</v>
      </c>
      <c r="E18" s="207" t="s">
        <v>552</v>
      </c>
      <c r="F18" s="207" t="s">
        <v>560</v>
      </c>
      <c r="G18" s="207">
        <v>1</v>
      </c>
      <c r="H18" s="207"/>
      <c r="I18" s="207"/>
      <c r="J18" s="207"/>
      <c r="K18" s="207" t="s">
        <v>550</v>
      </c>
      <c r="L18" s="207" t="s">
        <v>581</v>
      </c>
      <c r="M18" s="207" t="s">
        <v>582</v>
      </c>
      <c r="N18" s="207" t="s">
        <v>21</v>
      </c>
      <c r="O18" s="207"/>
      <c r="P18" s="207" t="s">
        <v>583</v>
      </c>
      <c r="Q18" s="207" t="s">
        <v>624</v>
      </c>
      <c r="R18" s="207"/>
      <c r="S18" s="207"/>
      <c r="T18" s="207">
        <v>121</v>
      </c>
      <c r="U18" s="209">
        <v>43907</v>
      </c>
      <c r="V18" s="207" t="s">
        <v>616</v>
      </c>
      <c r="W18" s="207" t="s">
        <v>584</v>
      </c>
      <c r="X18" s="209">
        <f t="shared" si="4"/>
        <v>43907</v>
      </c>
      <c r="Y18" s="209">
        <f t="shared" si="5"/>
        <v>43907</v>
      </c>
      <c r="Z18" s="207">
        <v>1</v>
      </c>
      <c r="AA18" s="209">
        <f t="shared" si="1"/>
        <v>43917</v>
      </c>
      <c r="AB18" s="209"/>
      <c r="AC18" s="207">
        <v>0</v>
      </c>
      <c r="AD18" s="207"/>
      <c r="AE18" s="207"/>
      <c r="AF18" s="208" t="str">
        <f>IF(ISBLANK(D18),"",VLOOKUP(F18,'SIZE CALCULATION'!$F:$G,2,0))</f>
        <v>S</v>
      </c>
      <c r="AG18" s="207">
        <f t="shared" si="6"/>
        <v>37</v>
      </c>
      <c r="AH18" s="207">
        <f t="shared" si="7"/>
        <v>37</v>
      </c>
      <c r="AI18" s="210">
        <f>IF(ISBLANK(D18),"",VLOOKUP($A18,INDEX!$D$2:$F$13,3,0))</f>
        <v>0</v>
      </c>
      <c r="AJ18" s="207">
        <f t="shared" si="8"/>
        <v>37</v>
      </c>
      <c r="AK18" s="207"/>
      <c r="AL18" s="207"/>
      <c r="AM18" s="207">
        <f>IFERROR(IF(ISBLANK($D18),"",VLOOKUP($N18,'TABLE CHARGE RATE'!$A$30:$K$106,5,0)),"Check")</f>
        <v>37</v>
      </c>
      <c r="AN18" s="207">
        <f>IFERROR(IF(ISBLANK($D18),"",VLOOKUP($N18,'TABLE CHARGE RATE'!$A$30:$K$106,6,0)),"Check")</f>
        <v>46</v>
      </c>
      <c r="AO18" s="207">
        <f>IFERROR(IF(ISBLANK($D18),"",VLOOKUP($N18,'TABLE CHARGE RATE'!$A$30:$K$106,7,0)),"Check")</f>
        <v>86</v>
      </c>
      <c r="AP18" s="207">
        <f>IFERROR(IF(ISBLANK($D18),"",VLOOKUP($N18,'TABLE CHARGE RATE'!$A$30:$K$106,8,0)),"Check")</f>
        <v>129</v>
      </c>
      <c r="AQ18" s="207">
        <f>IFERROR(IF(ISBLANK($D18),"",VLOOKUP($N18,'TABLE CHARGE RATE'!$A$30:$K$106,9,0)),"Check")</f>
        <v>172</v>
      </c>
      <c r="AR18" s="207">
        <f>IFERROR(IF(ISBLANK($D18),"",VLOOKUP($N18,'TABLE CHARGE RATE'!$A$30:$K$106,10,0)),"Check")</f>
        <v>215</v>
      </c>
      <c r="AS18" s="207">
        <f>IFERROR(IF(ISBLANK($D18),"",VLOOKUP($N18,'TABLE CHARGE RATE'!$A$30:$K$106,11,0)),"Check")</f>
        <v>4.7300000000000004</v>
      </c>
      <c r="AT18" s="207">
        <f t="shared" si="9"/>
        <v>17</v>
      </c>
    </row>
    <row r="19" spans="1:46" x14ac:dyDescent="0.2">
      <c r="A19" s="207">
        <f t="shared" si="0"/>
        <v>3</v>
      </c>
      <c r="B19" s="208" t="str">
        <f>IF(ISBLANK(D19),"",VLOOKUP(WEEKDAY($C19,1),INDEX!$J$2:$K$8,2,0))</f>
        <v>MON</v>
      </c>
      <c r="C19" s="209">
        <v>43906</v>
      </c>
      <c r="D19" s="207" t="s">
        <v>614</v>
      </c>
      <c r="E19" s="207" t="s">
        <v>552</v>
      </c>
      <c r="F19" s="207" t="s">
        <v>560</v>
      </c>
      <c r="G19" s="207">
        <v>1</v>
      </c>
      <c r="H19" s="207"/>
      <c r="I19" s="207"/>
      <c r="J19" s="207"/>
      <c r="K19" s="207" t="s">
        <v>550</v>
      </c>
      <c r="L19" s="207" t="s">
        <v>581</v>
      </c>
      <c r="M19" s="207" t="s">
        <v>582</v>
      </c>
      <c r="N19" s="207" t="s">
        <v>21</v>
      </c>
      <c r="O19" s="207"/>
      <c r="P19" s="207" t="s">
        <v>583</v>
      </c>
      <c r="Q19" s="207" t="s">
        <v>625</v>
      </c>
      <c r="R19" s="207"/>
      <c r="S19" s="207"/>
      <c r="T19" s="207">
        <v>121</v>
      </c>
      <c r="U19" s="209">
        <v>43907</v>
      </c>
      <c r="V19" s="207" t="s">
        <v>616</v>
      </c>
      <c r="W19" s="207" t="s">
        <v>584</v>
      </c>
      <c r="X19" s="209">
        <f t="shared" si="4"/>
        <v>43907</v>
      </c>
      <c r="Y19" s="209">
        <f t="shared" si="5"/>
        <v>43907</v>
      </c>
      <c r="Z19" s="207">
        <v>1</v>
      </c>
      <c r="AA19" s="209">
        <f t="shared" si="1"/>
        <v>43917</v>
      </c>
      <c r="AB19" s="209"/>
      <c r="AC19" s="207">
        <v>0</v>
      </c>
      <c r="AD19" s="207"/>
      <c r="AE19" s="207"/>
      <c r="AF19" s="208" t="str">
        <f>IF(ISBLANK(D19),"",VLOOKUP(F19,'SIZE CALCULATION'!$F:$G,2,0))</f>
        <v>S</v>
      </c>
      <c r="AG19" s="207">
        <f t="shared" si="6"/>
        <v>37</v>
      </c>
      <c r="AH19" s="207">
        <f t="shared" si="7"/>
        <v>37</v>
      </c>
      <c r="AI19" s="210">
        <f>IF(ISBLANK(D19),"",VLOOKUP($A19,INDEX!$D$2:$F$13,3,0))</f>
        <v>0</v>
      </c>
      <c r="AJ19" s="207">
        <f t="shared" si="8"/>
        <v>37</v>
      </c>
      <c r="AK19" s="207"/>
      <c r="AL19" s="207"/>
      <c r="AM19" s="207">
        <f>IFERROR(IF(ISBLANK($D19),"",VLOOKUP($N19,'TABLE CHARGE RATE'!$A$30:$K$106,5,0)),"Check")</f>
        <v>37</v>
      </c>
      <c r="AN19" s="207">
        <f>IFERROR(IF(ISBLANK($D19),"",VLOOKUP($N19,'TABLE CHARGE RATE'!$A$30:$K$106,6,0)),"Check")</f>
        <v>46</v>
      </c>
      <c r="AO19" s="207">
        <f>IFERROR(IF(ISBLANK($D19),"",VLOOKUP($N19,'TABLE CHARGE RATE'!$A$30:$K$106,7,0)),"Check")</f>
        <v>86</v>
      </c>
      <c r="AP19" s="207">
        <f>IFERROR(IF(ISBLANK($D19),"",VLOOKUP($N19,'TABLE CHARGE RATE'!$A$30:$K$106,8,0)),"Check")</f>
        <v>129</v>
      </c>
      <c r="AQ19" s="207">
        <f>IFERROR(IF(ISBLANK($D19),"",VLOOKUP($N19,'TABLE CHARGE RATE'!$A$30:$K$106,9,0)),"Check")</f>
        <v>172</v>
      </c>
      <c r="AR19" s="207">
        <f>IFERROR(IF(ISBLANK($D19),"",VLOOKUP($N19,'TABLE CHARGE RATE'!$A$30:$K$106,10,0)),"Check")</f>
        <v>215</v>
      </c>
      <c r="AS19" s="207">
        <f>IFERROR(IF(ISBLANK($D19),"",VLOOKUP($N19,'TABLE CHARGE RATE'!$A$30:$K$106,11,0)),"Check")</f>
        <v>4.7300000000000004</v>
      </c>
      <c r="AT19" s="207">
        <f t="shared" si="9"/>
        <v>18</v>
      </c>
    </row>
    <row r="20" spans="1:46" x14ac:dyDescent="0.2">
      <c r="A20" s="207">
        <f t="shared" si="0"/>
        <v>3</v>
      </c>
      <c r="B20" s="208" t="str">
        <f>IF(ISBLANK(D20),"",VLOOKUP(WEEKDAY($C20,1),INDEX!$J$2:$K$8,2,0))</f>
        <v>TUE</v>
      </c>
      <c r="C20" s="209">
        <v>43907</v>
      </c>
      <c r="D20" s="207" t="s">
        <v>626</v>
      </c>
      <c r="E20" s="207" t="s">
        <v>627</v>
      </c>
      <c r="F20" s="207" t="s">
        <v>562</v>
      </c>
      <c r="G20" s="207">
        <v>1</v>
      </c>
      <c r="H20" s="207"/>
      <c r="I20" s="207"/>
      <c r="J20" s="207"/>
      <c r="K20" s="207" t="s">
        <v>628</v>
      </c>
      <c r="L20" s="207" t="s">
        <v>629</v>
      </c>
      <c r="M20" s="207" t="s">
        <v>630</v>
      </c>
      <c r="N20" s="207" t="s">
        <v>172</v>
      </c>
      <c r="O20" s="207"/>
      <c r="P20" s="207" t="s">
        <v>583</v>
      </c>
      <c r="Q20" s="207" t="s">
        <v>631</v>
      </c>
      <c r="R20" s="207"/>
      <c r="S20" s="207"/>
      <c r="T20" s="207">
        <v>121</v>
      </c>
      <c r="U20" s="209">
        <v>43908</v>
      </c>
      <c r="V20" s="207" t="s">
        <v>632</v>
      </c>
      <c r="W20" s="207" t="s">
        <v>584</v>
      </c>
      <c r="X20" s="209">
        <f t="shared" si="4"/>
        <v>43908</v>
      </c>
      <c r="Y20" s="209">
        <f t="shared" si="5"/>
        <v>43908</v>
      </c>
      <c r="Z20" s="207">
        <v>1</v>
      </c>
      <c r="AA20" s="209">
        <f t="shared" si="1"/>
        <v>43918</v>
      </c>
      <c r="AB20" s="209"/>
      <c r="AC20" s="207">
        <v>0</v>
      </c>
      <c r="AD20" s="207"/>
      <c r="AE20" s="207"/>
      <c r="AF20" s="208" t="str">
        <f>IF(ISBLANK(D20),"",VLOOKUP(F20,'SIZE CALCULATION'!$F:$G,2,0))</f>
        <v>M+</v>
      </c>
      <c r="AG20" s="207">
        <f t="shared" si="6"/>
        <v>86</v>
      </c>
      <c r="AH20" s="207">
        <f t="shared" si="7"/>
        <v>86</v>
      </c>
      <c r="AI20" s="210">
        <f>IF(ISBLANK(D20),"",VLOOKUP($A20,INDEX!$D$2:$F$13,3,0))</f>
        <v>0</v>
      </c>
      <c r="AJ20" s="207">
        <f t="shared" si="8"/>
        <v>86</v>
      </c>
      <c r="AK20" s="207"/>
      <c r="AL20" s="207"/>
      <c r="AM20" s="207">
        <f>IFERROR(IF(ISBLANK($D20),"",VLOOKUP($N20,'TABLE CHARGE RATE'!$A$30:$K$106,5,0)),"Check")</f>
        <v>47</v>
      </c>
      <c r="AN20" s="207">
        <f>IFERROR(IF(ISBLANK($D20),"",VLOOKUP($N20,'TABLE CHARGE RATE'!$A$30:$K$106,6,0)),"Check")</f>
        <v>58</v>
      </c>
      <c r="AO20" s="207">
        <f>IFERROR(IF(ISBLANK($D20),"",VLOOKUP($N20,'TABLE CHARGE RATE'!$A$30:$K$106,7,0)),"Check")</f>
        <v>111</v>
      </c>
      <c r="AP20" s="207">
        <f>IFERROR(IF(ISBLANK($D20),"",VLOOKUP($N20,'TABLE CHARGE RATE'!$A$30:$K$106,8,0)),"Check")</f>
        <v>166</v>
      </c>
      <c r="AQ20" s="207">
        <f>IFERROR(IF(ISBLANK($D20),"",VLOOKUP($N20,'TABLE CHARGE RATE'!$A$30:$K$106,9,0)),"Check")</f>
        <v>221</v>
      </c>
      <c r="AR20" s="207">
        <f>IFERROR(IF(ISBLANK($D20),"",VLOOKUP($N20,'TABLE CHARGE RATE'!$A$30:$K$106,10,0)),"Check")</f>
        <v>277</v>
      </c>
      <c r="AS20" s="207">
        <f>IFERROR(IF(ISBLANK($D20),"",VLOOKUP($N20,'TABLE CHARGE RATE'!$A$30:$K$106,11,0)),"Check")</f>
        <v>6.09</v>
      </c>
      <c r="AT20" s="207">
        <f t="shared" si="9"/>
        <v>19</v>
      </c>
    </row>
    <row r="21" spans="1:46" x14ac:dyDescent="0.2">
      <c r="A21" s="207">
        <f t="shared" si="0"/>
        <v>3</v>
      </c>
      <c r="B21" s="208" t="str">
        <f>IF(ISBLANK(D21),"",VLOOKUP(WEEKDAY($C21,1),INDEX!$J$2:$K$8,2,0))</f>
        <v>TUE</v>
      </c>
      <c r="C21" s="209">
        <v>43907</v>
      </c>
      <c r="D21" s="207" t="s">
        <v>626</v>
      </c>
      <c r="E21" s="207" t="s">
        <v>627</v>
      </c>
      <c r="F21" s="207" t="s">
        <v>563</v>
      </c>
      <c r="G21" s="207">
        <v>1</v>
      </c>
      <c r="H21" s="207"/>
      <c r="I21" s="207"/>
      <c r="J21" s="207"/>
      <c r="K21" s="207" t="s">
        <v>628</v>
      </c>
      <c r="L21" s="207" t="s">
        <v>629</v>
      </c>
      <c r="M21" s="207" t="s">
        <v>630</v>
      </c>
      <c r="N21" s="207" t="s">
        <v>172</v>
      </c>
      <c r="O21" s="207"/>
      <c r="P21" s="207" t="s">
        <v>583</v>
      </c>
      <c r="Q21" s="207" t="s">
        <v>633</v>
      </c>
      <c r="R21" s="207"/>
      <c r="S21" s="207"/>
      <c r="T21" s="207">
        <v>121</v>
      </c>
      <c r="U21" s="209">
        <v>43908</v>
      </c>
      <c r="V21" s="207" t="s">
        <v>632</v>
      </c>
      <c r="W21" s="207" t="s">
        <v>584</v>
      </c>
      <c r="X21" s="209">
        <f t="shared" si="4"/>
        <v>43908</v>
      </c>
      <c r="Y21" s="209">
        <f t="shared" si="5"/>
        <v>43908</v>
      </c>
      <c r="Z21" s="207">
        <v>1</v>
      </c>
      <c r="AA21" s="209">
        <f t="shared" si="1"/>
        <v>43918</v>
      </c>
      <c r="AB21" s="209"/>
      <c r="AC21" s="207">
        <v>0</v>
      </c>
      <c r="AD21" s="207"/>
      <c r="AE21" s="207"/>
      <c r="AF21" s="208" t="str">
        <f>IF(ISBLANK(D21),"",VLOOKUP(F21,'SIZE CALCULATION'!$F:$G,2,0))</f>
        <v>L</v>
      </c>
      <c r="AG21" s="207">
        <f t="shared" si="6"/>
        <v>166</v>
      </c>
      <c r="AH21" s="207">
        <f t="shared" si="7"/>
        <v>166</v>
      </c>
      <c r="AI21" s="210">
        <f>IF(ISBLANK(D21),"",VLOOKUP($A21,INDEX!$D$2:$F$13,3,0))</f>
        <v>0</v>
      </c>
      <c r="AJ21" s="207">
        <f t="shared" si="8"/>
        <v>166</v>
      </c>
      <c r="AK21" s="207"/>
      <c r="AL21" s="207"/>
      <c r="AM21" s="207">
        <f>IFERROR(IF(ISBLANK($D21),"",VLOOKUP($N21,'TABLE CHARGE RATE'!$A$30:$K$106,5,0)),"Check")</f>
        <v>47</v>
      </c>
      <c r="AN21" s="207">
        <f>IFERROR(IF(ISBLANK($D21),"",VLOOKUP($N21,'TABLE CHARGE RATE'!$A$30:$K$106,6,0)),"Check")</f>
        <v>58</v>
      </c>
      <c r="AO21" s="207">
        <f>IFERROR(IF(ISBLANK($D21),"",VLOOKUP($N21,'TABLE CHARGE RATE'!$A$30:$K$106,7,0)),"Check")</f>
        <v>111</v>
      </c>
      <c r="AP21" s="207">
        <f>IFERROR(IF(ISBLANK($D21),"",VLOOKUP($N21,'TABLE CHARGE RATE'!$A$30:$K$106,8,0)),"Check")</f>
        <v>166</v>
      </c>
      <c r="AQ21" s="207">
        <f>IFERROR(IF(ISBLANK($D21),"",VLOOKUP($N21,'TABLE CHARGE RATE'!$A$30:$K$106,9,0)),"Check")</f>
        <v>221</v>
      </c>
      <c r="AR21" s="207">
        <f>IFERROR(IF(ISBLANK($D21),"",VLOOKUP($N21,'TABLE CHARGE RATE'!$A$30:$K$106,10,0)),"Check")</f>
        <v>277</v>
      </c>
      <c r="AS21" s="207">
        <f>IFERROR(IF(ISBLANK($D21),"",VLOOKUP($N21,'TABLE CHARGE RATE'!$A$30:$K$106,11,0)),"Check")</f>
        <v>6.09</v>
      </c>
      <c r="AT21" s="207">
        <f t="shared" si="9"/>
        <v>20</v>
      </c>
    </row>
    <row r="22" spans="1:46" x14ac:dyDescent="0.2">
      <c r="A22" s="207">
        <f t="shared" si="0"/>
        <v>3</v>
      </c>
      <c r="B22" s="208" t="str">
        <f>IF(ISBLANK(D22),"",VLOOKUP(WEEKDAY($C22,1),INDEX!$J$2:$K$8,2,0))</f>
        <v>TUE</v>
      </c>
      <c r="C22" s="209">
        <v>43907</v>
      </c>
      <c r="D22" s="207" t="s">
        <v>634</v>
      </c>
      <c r="E22" s="207" t="s">
        <v>551</v>
      </c>
      <c r="F22" s="207" t="s">
        <v>562</v>
      </c>
      <c r="G22" s="207">
        <v>1</v>
      </c>
      <c r="H22" s="207"/>
      <c r="I22" s="207"/>
      <c r="J22" s="207"/>
      <c r="K22" s="207" t="s">
        <v>586</v>
      </c>
      <c r="L22" s="207" t="s">
        <v>587</v>
      </c>
      <c r="M22" s="207" t="s">
        <v>585</v>
      </c>
      <c r="N22" s="207" t="s">
        <v>174</v>
      </c>
      <c r="O22" s="207"/>
      <c r="P22" s="207" t="s">
        <v>583</v>
      </c>
      <c r="Q22" s="207" t="s">
        <v>635</v>
      </c>
      <c r="R22" s="207"/>
      <c r="S22" s="207"/>
      <c r="T22" s="207">
        <v>121</v>
      </c>
      <c r="U22" s="209">
        <v>43908</v>
      </c>
      <c r="V22" s="207" t="s">
        <v>632</v>
      </c>
      <c r="W22" s="207" t="s">
        <v>584</v>
      </c>
      <c r="X22" s="209">
        <f t="shared" si="4"/>
        <v>43908</v>
      </c>
      <c r="Y22" s="209">
        <f t="shared" si="5"/>
        <v>43908</v>
      </c>
      <c r="Z22" s="207">
        <v>1</v>
      </c>
      <c r="AA22" s="209">
        <f t="shared" si="1"/>
        <v>43918</v>
      </c>
      <c r="AB22" s="209"/>
      <c r="AC22" s="207">
        <v>0</v>
      </c>
      <c r="AD22" s="207"/>
      <c r="AE22" s="207"/>
      <c r="AF22" s="208" t="str">
        <f>IF(ISBLANK(D22),"",VLOOKUP(F22,'SIZE CALCULATION'!$F:$G,2,0))</f>
        <v>M+</v>
      </c>
      <c r="AG22" s="207">
        <f t="shared" si="6"/>
        <v>111</v>
      </c>
      <c r="AH22" s="207">
        <f t="shared" si="7"/>
        <v>111</v>
      </c>
      <c r="AI22" s="210">
        <f>IF(ISBLANK(D22),"",VLOOKUP($A22,INDEX!$D$2:$F$13,3,0))</f>
        <v>0</v>
      </c>
      <c r="AJ22" s="207">
        <f t="shared" si="8"/>
        <v>111</v>
      </c>
      <c r="AK22" s="207"/>
      <c r="AL22" s="207"/>
      <c r="AM22" s="207">
        <f>IFERROR(IF(ISBLANK($D22),"",VLOOKUP($N22,'TABLE CHARGE RATE'!$A$30:$K$106,5,0)),"Check")</f>
        <v>46</v>
      </c>
      <c r="AN22" s="207">
        <f>IFERROR(IF(ISBLANK($D22),"",VLOOKUP($N22,'TABLE CHARGE RATE'!$A$30:$K$106,6,0)),"Check")</f>
        <v>58</v>
      </c>
      <c r="AO22" s="207">
        <f>IFERROR(IF(ISBLANK($D22),"",VLOOKUP($N22,'TABLE CHARGE RATE'!$A$30:$K$106,7,0)),"Check")</f>
        <v>109</v>
      </c>
      <c r="AP22" s="207">
        <f>IFERROR(IF(ISBLANK($D22),"",VLOOKUP($N22,'TABLE CHARGE RATE'!$A$30:$K$106,8,0)),"Check")</f>
        <v>163</v>
      </c>
      <c r="AQ22" s="207">
        <f>IFERROR(IF(ISBLANK($D22),"",VLOOKUP($N22,'TABLE CHARGE RATE'!$A$30:$K$106,9,0)),"Check")</f>
        <v>218</v>
      </c>
      <c r="AR22" s="207">
        <f>IFERROR(IF(ISBLANK($D22),"",VLOOKUP($N22,'TABLE CHARGE RATE'!$A$30:$K$106,10,0)),"Check")</f>
        <v>272</v>
      </c>
      <c r="AS22" s="207">
        <f>IFERROR(IF(ISBLANK($D22),"",VLOOKUP($N22,'TABLE CHARGE RATE'!$A$30:$K$106,11,0)),"Check")</f>
        <v>5.99</v>
      </c>
      <c r="AT22" s="207">
        <f t="shared" si="9"/>
        <v>21</v>
      </c>
    </row>
    <row r="23" spans="1:46" x14ac:dyDescent="0.2">
      <c r="A23" s="207">
        <f t="shared" si="0"/>
        <v>3</v>
      </c>
      <c r="B23" s="208" t="str">
        <f>IF(ISBLANK(D23),"",VLOOKUP(WEEKDAY($C23,1),INDEX!$J$2:$K$8,2,0))</f>
        <v>TUE</v>
      </c>
      <c r="C23" s="209">
        <v>43907</v>
      </c>
      <c r="D23" s="207" t="s">
        <v>634</v>
      </c>
      <c r="E23" s="207" t="s">
        <v>551</v>
      </c>
      <c r="F23" s="207" t="s">
        <v>562</v>
      </c>
      <c r="G23" s="207">
        <v>1</v>
      </c>
      <c r="H23" s="207"/>
      <c r="I23" s="207"/>
      <c r="J23" s="207"/>
      <c r="K23" s="207" t="s">
        <v>586</v>
      </c>
      <c r="L23" s="207" t="s">
        <v>587</v>
      </c>
      <c r="M23" s="207" t="s">
        <v>585</v>
      </c>
      <c r="N23" s="207" t="s">
        <v>174</v>
      </c>
      <c r="O23" s="207"/>
      <c r="P23" s="207" t="s">
        <v>583</v>
      </c>
      <c r="Q23" s="207" t="s">
        <v>636</v>
      </c>
      <c r="R23" s="207"/>
      <c r="S23" s="207"/>
      <c r="T23" s="207">
        <v>121</v>
      </c>
      <c r="U23" s="209">
        <v>43908</v>
      </c>
      <c r="V23" s="207" t="s">
        <v>632</v>
      </c>
      <c r="W23" s="207" t="s">
        <v>584</v>
      </c>
      <c r="X23" s="209">
        <f t="shared" si="4"/>
        <v>43908</v>
      </c>
      <c r="Y23" s="209">
        <f t="shared" si="5"/>
        <v>43908</v>
      </c>
      <c r="Z23" s="207">
        <v>1</v>
      </c>
      <c r="AA23" s="209">
        <f t="shared" si="1"/>
        <v>43918</v>
      </c>
      <c r="AB23" s="209"/>
      <c r="AC23" s="207">
        <v>0</v>
      </c>
      <c r="AD23" s="207"/>
      <c r="AE23" s="207"/>
      <c r="AF23" s="208" t="str">
        <f>IF(ISBLANK(D23),"",VLOOKUP(F23,'SIZE CALCULATION'!$F:$G,2,0))</f>
        <v>M+</v>
      </c>
      <c r="AG23" s="207">
        <f t="shared" si="6"/>
        <v>109</v>
      </c>
      <c r="AH23" s="207">
        <f t="shared" si="7"/>
        <v>109</v>
      </c>
      <c r="AI23" s="210">
        <f>IF(ISBLANK(D23),"",VLOOKUP($A23,INDEX!$D$2:$F$13,3,0))</f>
        <v>0</v>
      </c>
      <c r="AJ23" s="207">
        <f t="shared" si="8"/>
        <v>109</v>
      </c>
      <c r="AK23" s="207"/>
      <c r="AL23" s="207"/>
      <c r="AM23" s="207">
        <f>IFERROR(IF(ISBLANK($D23),"",VLOOKUP($N23,'TABLE CHARGE RATE'!$A$30:$K$106,5,0)),"Check")</f>
        <v>46</v>
      </c>
      <c r="AN23" s="207">
        <f>IFERROR(IF(ISBLANK($D23),"",VLOOKUP($N23,'TABLE CHARGE RATE'!$A$30:$K$106,6,0)),"Check")</f>
        <v>58</v>
      </c>
      <c r="AO23" s="207">
        <f>IFERROR(IF(ISBLANK($D23),"",VLOOKUP($N23,'TABLE CHARGE RATE'!$A$30:$K$106,7,0)),"Check")</f>
        <v>109</v>
      </c>
      <c r="AP23" s="207">
        <f>IFERROR(IF(ISBLANK($D23),"",VLOOKUP($N23,'TABLE CHARGE RATE'!$A$30:$K$106,8,0)),"Check")</f>
        <v>163</v>
      </c>
      <c r="AQ23" s="207">
        <f>IFERROR(IF(ISBLANK($D23),"",VLOOKUP($N23,'TABLE CHARGE RATE'!$A$30:$K$106,9,0)),"Check")</f>
        <v>218</v>
      </c>
      <c r="AR23" s="207">
        <f>IFERROR(IF(ISBLANK($D23),"",VLOOKUP($N23,'TABLE CHARGE RATE'!$A$30:$K$106,10,0)),"Check")</f>
        <v>272</v>
      </c>
      <c r="AS23" s="207">
        <f>IFERROR(IF(ISBLANK($D23),"",VLOOKUP($N23,'TABLE CHARGE RATE'!$A$30:$K$106,11,0)),"Check")</f>
        <v>5.99</v>
      </c>
      <c r="AT23" s="207">
        <f t="shared" si="9"/>
        <v>22</v>
      </c>
    </row>
    <row r="24" spans="1:46" x14ac:dyDescent="0.2">
      <c r="A24" s="207">
        <f t="shared" si="0"/>
        <v>3</v>
      </c>
      <c r="B24" s="208" t="str">
        <f>IF(ISBLANK(D24),"",VLOOKUP(WEEKDAY($C24,1),INDEX!$J$2:$K$8,2,0))</f>
        <v>TUE</v>
      </c>
      <c r="C24" s="209">
        <v>43907</v>
      </c>
      <c r="D24" s="207" t="s">
        <v>637</v>
      </c>
      <c r="E24" s="207" t="s">
        <v>638</v>
      </c>
      <c r="F24" s="207" t="s">
        <v>561</v>
      </c>
      <c r="G24" s="207">
        <v>1</v>
      </c>
      <c r="H24" s="207"/>
      <c r="I24" s="207"/>
      <c r="J24" s="207"/>
      <c r="K24" s="207" t="s">
        <v>639</v>
      </c>
      <c r="L24" s="207" t="s">
        <v>640</v>
      </c>
      <c r="M24" s="207" t="s">
        <v>641</v>
      </c>
      <c r="N24" s="207" t="s">
        <v>172</v>
      </c>
      <c r="O24" s="207"/>
      <c r="P24" s="207" t="s">
        <v>583</v>
      </c>
      <c r="Q24" s="207" t="s">
        <v>642</v>
      </c>
      <c r="R24" s="207"/>
      <c r="S24" s="207"/>
      <c r="T24" s="207">
        <v>121</v>
      </c>
      <c r="U24" s="209">
        <v>43908</v>
      </c>
      <c r="V24" s="207" t="s">
        <v>632</v>
      </c>
      <c r="W24" s="207" t="s">
        <v>584</v>
      </c>
      <c r="X24" s="209">
        <f t="shared" si="4"/>
        <v>43908</v>
      </c>
      <c r="Y24" s="209">
        <f t="shared" si="5"/>
        <v>43908</v>
      </c>
      <c r="Z24" s="207">
        <v>1</v>
      </c>
      <c r="AA24" s="209">
        <f t="shared" si="1"/>
        <v>43918</v>
      </c>
      <c r="AB24" s="209"/>
      <c r="AC24" s="207">
        <v>0</v>
      </c>
      <c r="AD24" s="207"/>
      <c r="AE24" s="207"/>
      <c r="AF24" s="208" t="str">
        <f>IF(ISBLANK(D24),"",VLOOKUP(F24,'SIZE CALCULATION'!$F:$G,2,0))</f>
        <v>M</v>
      </c>
      <c r="AG24" s="207">
        <f t="shared" si="6"/>
        <v>58</v>
      </c>
      <c r="AH24" s="207">
        <f t="shared" si="7"/>
        <v>58</v>
      </c>
      <c r="AI24" s="210">
        <f>IF(ISBLANK(D24),"",VLOOKUP($A24,INDEX!$D$2:$F$13,3,0))</f>
        <v>0</v>
      </c>
      <c r="AJ24" s="207">
        <f t="shared" si="8"/>
        <v>58</v>
      </c>
      <c r="AK24" s="207"/>
      <c r="AL24" s="207"/>
      <c r="AM24" s="207">
        <f>IFERROR(IF(ISBLANK($D24),"",VLOOKUP($N24,'TABLE CHARGE RATE'!$A$30:$K$106,5,0)),"Check")</f>
        <v>47</v>
      </c>
      <c r="AN24" s="207">
        <f>IFERROR(IF(ISBLANK($D24),"",VLOOKUP($N24,'TABLE CHARGE RATE'!$A$30:$K$106,6,0)),"Check")</f>
        <v>58</v>
      </c>
      <c r="AO24" s="207">
        <f>IFERROR(IF(ISBLANK($D24),"",VLOOKUP($N24,'TABLE CHARGE RATE'!$A$30:$K$106,7,0)),"Check")</f>
        <v>111</v>
      </c>
      <c r="AP24" s="207">
        <f>IFERROR(IF(ISBLANK($D24),"",VLOOKUP($N24,'TABLE CHARGE RATE'!$A$30:$K$106,8,0)),"Check")</f>
        <v>166</v>
      </c>
      <c r="AQ24" s="207">
        <f>IFERROR(IF(ISBLANK($D24),"",VLOOKUP($N24,'TABLE CHARGE RATE'!$A$30:$K$106,9,0)),"Check")</f>
        <v>221</v>
      </c>
      <c r="AR24" s="207">
        <f>IFERROR(IF(ISBLANK($D24),"",VLOOKUP($N24,'TABLE CHARGE RATE'!$A$30:$K$106,10,0)),"Check")</f>
        <v>277</v>
      </c>
      <c r="AS24" s="207">
        <f>IFERROR(IF(ISBLANK($D24),"",VLOOKUP($N24,'TABLE CHARGE RATE'!$A$30:$K$106,11,0)),"Check")</f>
        <v>6.09</v>
      </c>
      <c r="AT24" s="207">
        <f t="shared" si="9"/>
        <v>23</v>
      </c>
    </row>
    <row r="25" spans="1:46" x14ac:dyDescent="0.2">
      <c r="A25" s="207">
        <f t="shared" si="0"/>
        <v>3</v>
      </c>
      <c r="B25" s="208" t="str">
        <f>IF(ISBLANK(D25),"",VLOOKUP(WEEKDAY($C25,1),INDEX!$J$2:$K$8,2,0))</f>
        <v>TUE</v>
      </c>
      <c r="C25" s="209">
        <v>43907</v>
      </c>
      <c r="D25" s="207" t="s">
        <v>637</v>
      </c>
      <c r="E25" s="207" t="s">
        <v>638</v>
      </c>
      <c r="F25" s="207" t="s">
        <v>563</v>
      </c>
      <c r="G25" s="207">
        <v>1</v>
      </c>
      <c r="H25" s="207"/>
      <c r="I25" s="207"/>
      <c r="J25" s="207"/>
      <c r="K25" s="207" t="s">
        <v>639</v>
      </c>
      <c r="L25" s="207" t="s">
        <v>640</v>
      </c>
      <c r="M25" s="207" t="s">
        <v>641</v>
      </c>
      <c r="N25" s="207" t="s">
        <v>172</v>
      </c>
      <c r="O25" s="207"/>
      <c r="P25" s="207" t="s">
        <v>583</v>
      </c>
      <c r="Q25" s="207" t="s">
        <v>643</v>
      </c>
      <c r="R25" s="207"/>
      <c r="S25" s="207"/>
      <c r="T25" s="207">
        <v>121</v>
      </c>
      <c r="U25" s="209">
        <v>43908</v>
      </c>
      <c r="V25" s="207" t="s">
        <v>632</v>
      </c>
      <c r="W25" s="207" t="s">
        <v>584</v>
      </c>
      <c r="X25" s="209">
        <f t="shared" si="4"/>
        <v>43908</v>
      </c>
      <c r="Y25" s="209">
        <f t="shared" si="5"/>
        <v>43908</v>
      </c>
      <c r="Z25" s="207">
        <v>1</v>
      </c>
      <c r="AA25" s="209">
        <f t="shared" si="1"/>
        <v>43918</v>
      </c>
      <c r="AB25" s="209"/>
      <c r="AC25" s="207">
        <v>0</v>
      </c>
      <c r="AD25" s="207"/>
      <c r="AE25" s="207"/>
      <c r="AF25" s="208" t="str">
        <f>IF(ISBLANK(D25),"",VLOOKUP(F25,'SIZE CALCULATION'!$F:$G,2,0))</f>
        <v>L</v>
      </c>
      <c r="AG25" s="207">
        <f t="shared" si="6"/>
        <v>166</v>
      </c>
      <c r="AH25" s="207">
        <f t="shared" si="7"/>
        <v>166</v>
      </c>
      <c r="AI25" s="210">
        <f>IF(ISBLANK(D25),"",VLOOKUP($A25,INDEX!$D$2:$F$13,3,0))</f>
        <v>0</v>
      </c>
      <c r="AJ25" s="207">
        <f t="shared" si="8"/>
        <v>166</v>
      </c>
      <c r="AK25" s="207"/>
      <c r="AL25" s="207"/>
      <c r="AM25" s="207">
        <f>IFERROR(IF(ISBLANK($D25),"",VLOOKUP($N25,'TABLE CHARGE RATE'!$A$30:$K$106,5,0)),"Check")</f>
        <v>47</v>
      </c>
      <c r="AN25" s="207">
        <f>IFERROR(IF(ISBLANK($D25),"",VLOOKUP($N25,'TABLE CHARGE RATE'!$A$30:$K$106,6,0)),"Check")</f>
        <v>58</v>
      </c>
      <c r="AO25" s="207">
        <f>IFERROR(IF(ISBLANK($D25),"",VLOOKUP($N25,'TABLE CHARGE RATE'!$A$30:$K$106,7,0)),"Check")</f>
        <v>111</v>
      </c>
      <c r="AP25" s="207">
        <f>IFERROR(IF(ISBLANK($D25),"",VLOOKUP($N25,'TABLE CHARGE RATE'!$A$30:$K$106,8,0)),"Check")</f>
        <v>166</v>
      </c>
      <c r="AQ25" s="207">
        <f>IFERROR(IF(ISBLANK($D25),"",VLOOKUP($N25,'TABLE CHARGE RATE'!$A$30:$K$106,9,0)),"Check")</f>
        <v>221</v>
      </c>
      <c r="AR25" s="207">
        <f>IFERROR(IF(ISBLANK($D25),"",VLOOKUP($N25,'TABLE CHARGE RATE'!$A$30:$K$106,10,0)),"Check")</f>
        <v>277</v>
      </c>
      <c r="AS25" s="207">
        <f>IFERROR(IF(ISBLANK($D25),"",VLOOKUP($N25,'TABLE CHARGE RATE'!$A$30:$K$106,11,0)),"Check")</f>
        <v>6.09</v>
      </c>
      <c r="AT25" s="207">
        <f t="shared" si="9"/>
        <v>24</v>
      </c>
    </row>
    <row r="26" spans="1:46" x14ac:dyDescent="0.2">
      <c r="A26" s="207">
        <f t="shared" si="0"/>
        <v>3</v>
      </c>
      <c r="B26" s="208" t="str">
        <f>IF(ISBLANK(D26),"",VLOOKUP(WEEKDAY($C26,1),INDEX!$J$2:$K$8,2,0))</f>
        <v>TUE</v>
      </c>
      <c r="C26" s="209">
        <v>43907</v>
      </c>
      <c r="D26" s="207" t="s">
        <v>637</v>
      </c>
      <c r="E26" s="207" t="s">
        <v>638</v>
      </c>
      <c r="F26" s="207" t="s">
        <v>563</v>
      </c>
      <c r="G26" s="207">
        <v>1</v>
      </c>
      <c r="H26" s="207"/>
      <c r="I26" s="207"/>
      <c r="J26" s="207"/>
      <c r="K26" s="207" t="s">
        <v>639</v>
      </c>
      <c r="L26" s="207" t="s">
        <v>640</v>
      </c>
      <c r="M26" s="207" t="s">
        <v>641</v>
      </c>
      <c r="N26" s="207" t="s">
        <v>172</v>
      </c>
      <c r="O26" s="207"/>
      <c r="P26" s="207" t="s">
        <v>583</v>
      </c>
      <c r="Q26" s="207" t="s">
        <v>644</v>
      </c>
      <c r="R26" s="207"/>
      <c r="S26" s="207"/>
      <c r="T26" s="207">
        <v>121</v>
      </c>
      <c r="U26" s="209">
        <v>43908</v>
      </c>
      <c r="V26" s="207" t="s">
        <v>632</v>
      </c>
      <c r="W26" s="207" t="s">
        <v>584</v>
      </c>
      <c r="X26" s="209">
        <f t="shared" si="4"/>
        <v>43908</v>
      </c>
      <c r="Y26" s="209">
        <f t="shared" si="5"/>
        <v>43908</v>
      </c>
      <c r="Z26" s="207">
        <v>1</v>
      </c>
      <c r="AA26" s="209">
        <f t="shared" si="1"/>
        <v>43918</v>
      </c>
      <c r="AB26" s="209"/>
      <c r="AC26" s="207">
        <v>0</v>
      </c>
      <c r="AD26" s="207"/>
      <c r="AE26" s="207"/>
      <c r="AF26" s="208" t="str">
        <f>IF(ISBLANK(D26),"",VLOOKUP(F26,'SIZE CALCULATION'!$F:$G,2,0))</f>
        <v>L</v>
      </c>
      <c r="AG26" s="207">
        <f t="shared" si="6"/>
        <v>166</v>
      </c>
      <c r="AH26" s="207">
        <f t="shared" si="7"/>
        <v>166</v>
      </c>
      <c r="AI26" s="210">
        <f>IF(ISBLANK(D26),"",VLOOKUP($A26,INDEX!$D$2:$F$13,3,0))</f>
        <v>0</v>
      </c>
      <c r="AJ26" s="207">
        <f t="shared" si="8"/>
        <v>166</v>
      </c>
      <c r="AK26" s="207"/>
      <c r="AL26" s="207"/>
      <c r="AM26" s="207">
        <f>IFERROR(IF(ISBLANK($D26),"",VLOOKUP($N26,'TABLE CHARGE RATE'!$A$30:$K$106,5,0)),"Check")</f>
        <v>47</v>
      </c>
      <c r="AN26" s="207">
        <f>IFERROR(IF(ISBLANK($D26),"",VLOOKUP($N26,'TABLE CHARGE RATE'!$A$30:$K$106,6,0)),"Check")</f>
        <v>58</v>
      </c>
      <c r="AO26" s="207">
        <f>IFERROR(IF(ISBLANK($D26),"",VLOOKUP($N26,'TABLE CHARGE RATE'!$A$30:$K$106,7,0)),"Check")</f>
        <v>111</v>
      </c>
      <c r="AP26" s="207">
        <f>IFERROR(IF(ISBLANK($D26),"",VLOOKUP($N26,'TABLE CHARGE RATE'!$A$30:$K$106,8,0)),"Check")</f>
        <v>166</v>
      </c>
      <c r="AQ26" s="207">
        <f>IFERROR(IF(ISBLANK($D26),"",VLOOKUP($N26,'TABLE CHARGE RATE'!$A$30:$K$106,9,0)),"Check")</f>
        <v>221</v>
      </c>
      <c r="AR26" s="207">
        <f>IFERROR(IF(ISBLANK($D26),"",VLOOKUP($N26,'TABLE CHARGE RATE'!$A$30:$K$106,10,0)),"Check")</f>
        <v>277</v>
      </c>
      <c r="AS26" s="207">
        <f>IFERROR(IF(ISBLANK($D26),"",VLOOKUP($N26,'TABLE CHARGE RATE'!$A$30:$K$106,11,0)),"Check")</f>
        <v>6.09</v>
      </c>
      <c r="AT26" s="207">
        <f t="shared" si="9"/>
        <v>25</v>
      </c>
    </row>
    <row r="27" spans="1:46" x14ac:dyDescent="0.2">
      <c r="A27" s="207">
        <f t="shared" si="0"/>
        <v>3</v>
      </c>
      <c r="B27" s="208" t="str">
        <f>IF(ISBLANK(D27),"",VLOOKUP(WEEKDAY($C27,1),INDEX!$J$2:$K$8,2,0))</f>
        <v>TUE</v>
      </c>
      <c r="C27" s="209">
        <v>43907</v>
      </c>
      <c r="D27" s="207" t="s">
        <v>637</v>
      </c>
      <c r="E27" s="207" t="s">
        <v>638</v>
      </c>
      <c r="F27" s="207" t="s">
        <v>563</v>
      </c>
      <c r="G27" s="207">
        <v>1</v>
      </c>
      <c r="H27" s="207"/>
      <c r="I27" s="207"/>
      <c r="J27" s="207"/>
      <c r="K27" s="207" t="s">
        <v>639</v>
      </c>
      <c r="L27" s="207" t="s">
        <v>640</v>
      </c>
      <c r="M27" s="207" t="s">
        <v>641</v>
      </c>
      <c r="N27" s="207" t="s">
        <v>172</v>
      </c>
      <c r="O27" s="207"/>
      <c r="P27" s="207" t="s">
        <v>583</v>
      </c>
      <c r="Q27" s="207" t="s">
        <v>645</v>
      </c>
      <c r="R27" s="207"/>
      <c r="S27" s="207"/>
      <c r="T27" s="207">
        <v>121</v>
      </c>
      <c r="U27" s="209">
        <v>43908</v>
      </c>
      <c r="V27" s="207" t="s">
        <v>632</v>
      </c>
      <c r="W27" s="207" t="s">
        <v>584</v>
      </c>
      <c r="X27" s="209">
        <f t="shared" si="4"/>
        <v>43908</v>
      </c>
      <c r="Y27" s="209">
        <f t="shared" si="5"/>
        <v>43908</v>
      </c>
      <c r="Z27" s="207">
        <v>1</v>
      </c>
      <c r="AA27" s="209">
        <f t="shared" si="1"/>
        <v>43918</v>
      </c>
      <c r="AB27" s="209"/>
      <c r="AC27" s="207">
        <v>0</v>
      </c>
      <c r="AD27" s="207"/>
      <c r="AE27" s="207"/>
      <c r="AF27" s="208" t="str">
        <f>IF(ISBLANK(D27),"",VLOOKUP(F27,'SIZE CALCULATION'!$F:$G,2,0))</f>
        <v>L</v>
      </c>
      <c r="AG27" s="207">
        <f t="shared" si="6"/>
        <v>166</v>
      </c>
      <c r="AH27" s="207">
        <f t="shared" si="7"/>
        <v>166</v>
      </c>
      <c r="AI27" s="210">
        <f>IF(ISBLANK(D27),"",VLOOKUP($A27,INDEX!$D$2:$F$13,3,0))</f>
        <v>0</v>
      </c>
      <c r="AJ27" s="207">
        <f t="shared" si="8"/>
        <v>166</v>
      </c>
      <c r="AK27" s="207"/>
      <c r="AL27" s="207"/>
      <c r="AM27" s="207">
        <f>IFERROR(IF(ISBLANK($D27),"",VLOOKUP($N27,'TABLE CHARGE RATE'!$A$30:$K$106,5,0)),"Check")</f>
        <v>47</v>
      </c>
      <c r="AN27" s="207">
        <f>IFERROR(IF(ISBLANK($D27),"",VLOOKUP($N27,'TABLE CHARGE RATE'!$A$30:$K$106,6,0)),"Check")</f>
        <v>58</v>
      </c>
      <c r="AO27" s="207">
        <f>IFERROR(IF(ISBLANK($D27),"",VLOOKUP($N27,'TABLE CHARGE RATE'!$A$30:$K$106,7,0)),"Check")</f>
        <v>111</v>
      </c>
      <c r="AP27" s="207">
        <f>IFERROR(IF(ISBLANK($D27),"",VLOOKUP($N27,'TABLE CHARGE RATE'!$A$30:$K$106,8,0)),"Check")</f>
        <v>166</v>
      </c>
      <c r="AQ27" s="207">
        <f>IFERROR(IF(ISBLANK($D27),"",VLOOKUP($N27,'TABLE CHARGE RATE'!$A$30:$K$106,9,0)),"Check")</f>
        <v>221</v>
      </c>
      <c r="AR27" s="207">
        <f>IFERROR(IF(ISBLANK($D27),"",VLOOKUP($N27,'TABLE CHARGE RATE'!$A$30:$K$106,10,0)),"Check")</f>
        <v>277</v>
      </c>
      <c r="AS27" s="207">
        <f>IFERROR(IF(ISBLANK($D27),"",VLOOKUP($N27,'TABLE CHARGE RATE'!$A$30:$K$106,11,0)),"Check")</f>
        <v>6.09</v>
      </c>
      <c r="AT27" s="207">
        <f t="shared" si="9"/>
        <v>26</v>
      </c>
    </row>
    <row r="28" spans="1:46" x14ac:dyDescent="0.2">
      <c r="A28" s="207" t="str">
        <f t="shared" si="0"/>
        <v/>
      </c>
      <c r="B28" s="208" t="str">
        <f>IF(ISBLANK(D28),"",VLOOKUP(WEEKDAY($C28,1),INDEX!$J$2:$K$8,2,0))</f>
        <v/>
      </c>
      <c r="C28" s="209"/>
      <c r="D28" s="207"/>
      <c r="E28" s="207"/>
      <c r="F28" s="207"/>
      <c r="G28" s="207"/>
      <c r="H28" s="207"/>
      <c r="I28" s="207"/>
      <c r="J28" s="207"/>
      <c r="K28" s="207"/>
      <c r="L28" s="207"/>
      <c r="M28" s="207"/>
      <c r="N28" s="207"/>
      <c r="O28" s="207"/>
      <c r="P28" s="207"/>
      <c r="Q28" s="207"/>
      <c r="R28" s="207"/>
      <c r="S28" s="207"/>
      <c r="T28" s="207"/>
      <c r="U28" s="209"/>
      <c r="V28" s="207"/>
      <c r="W28" s="207"/>
      <c r="X28" s="209">
        <f t="shared" si="4"/>
        <v>0</v>
      </c>
      <c r="Y28" s="209">
        <f t="shared" si="5"/>
        <v>0</v>
      </c>
      <c r="Z28" s="207">
        <v>1</v>
      </c>
      <c r="AA28" s="209" t="str">
        <f t="shared" si="1"/>
        <v/>
      </c>
      <c r="AB28" s="209"/>
      <c r="AC28" s="207">
        <v>0</v>
      </c>
      <c r="AD28" s="207"/>
      <c r="AE28" s="207"/>
      <c r="AF28" s="208" t="str">
        <f>IF(ISBLANK(D28),"",VLOOKUP(F28,'SIZE CALCULATION'!$F:$G,2,0))</f>
        <v/>
      </c>
      <c r="AG28" s="207" t="str">
        <f t="shared" si="6"/>
        <v/>
      </c>
      <c r="AH28" s="207" t="str">
        <f t="shared" si="7"/>
        <v/>
      </c>
      <c r="AI28" s="210" t="str">
        <f>IF(ISBLANK(D28),"",VLOOKUP($A28,INDEX!$D$2:$F$13,3,0))</f>
        <v/>
      </c>
      <c r="AJ28" s="207" t="str">
        <f t="shared" si="8"/>
        <v/>
      </c>
      <c r="AK28" s="207"/>
      <c r="AL28" s="207"/>
      <c r="AM28" s="207" t="str">
        <f>IFERROR(IF(ISBLANK($D28),"",VLOOKUP($N28,'TABLE CHARGE RATE'!$A$30:$K$106,5,0)),"Check")</f>
        <v/>
      </c>
      <c r="AN28" s="207" t="str">
        <f>IFERROR(IF(ISBLANK($D28),"",VLOOKUP($N28,'TABLE CHARGE RATE'!$A$30:$K$106,6,0)),"Check")</f>
        <v/>
      </c>
      <c r="AO28" s="207" t="str">
        <f>IFERROR(IF(ISBLANK($D28),"",VLOOKUP($N28,'TABLE CHARGE RATE'!$A$30:$K$106,7,0)),"Check")</f>
        <v/>
      </c>
      <c r="AP28" s="207" t="str">
        <f>IFERROR(IF(ISBLANK($D28),"",VLOOKUP($N28,'TABLE CHARGE RATE'!$A$30:$K$106,8,0)),"Check")</f>
        <v/>
      </c>
      <c r="AQ28" s="207" t="str">
        <f>IFERROR(IF(ISBLANK($D28),"",VLOOKUP($N28,'TABLE CHARGE RATE'!$A$30:$K$106,9,0)),"Check")</f>
        <v/>
      </c>
      <c r="AR28" s="207" t="str">
        <f>IFERROR(IF(ISBLANK($D28),"",VLOOKUP($N28,'TABLE CHARGE RATE'!$A$30:$K$106,10,0)),"Check")</f>
        <v/>
      </c>
      <c r="AS28" s="207" t="str">
        <f>IFERROR(IF(ISBLANK($D28),"",VLOOKUP($N28,'TABLE CHARGE RATE'!$A$30:$K$106,11,0)),"Check")</f>
        <v/>
      </c>
      <c r="AT28" s="207">
        <f t="shared" si="9"/>
        <v>27</v>
      </c>
    </row>
    <row r="29" spans="1:46" x14ac:dyDescent="0.2">
      <c r="A29" s="207" t="str">
        <f t="shared" si="0"/>
        <v/>
      </c>
      <c r="B29" s="208" t="str">
        <f>IF(ISBLANK(D29),"",VLOOKUP(WEEKDAY($C29,1),INDEX!$J$2:$K$8,2,0))</f>
        <v/>
      </c>
      <c r="C29" s="209"/>
      <c r="D29" s="207"/>
      <c r="E29" s="207"/>
      <c r="F29" s="207"/>
      <c r="G29" s="207"/>
      <c r="H29" s="207"/>
      <c r="I29" s="207"/>
      <c r="J29" s="207"/>
      <c r="K29" s="207"/>
      <c r="L29" s="207"/>
      <c r="M29" s="207"/>
      <c r="N29" s="207"/>
      <c r="O29" s="207"/>
      <c r="P29" s="207"/>
      <c r="Q29" s="207"/>
      <c r="R29" s="207"/>
      <c r="S29" s="207"/>
      <c r="T29" s="207"/>
      <c r="U29" s="209"/>
      <c r="V29" s="207"/>
      <c r="W29" s="207"/>
      <c r="X29" s="209">
        <f t="shared" si="4"/>
        <v>0</v>
      </c>
      <c r="Y29" s="209">
        <f t="shared" si="5"/>
        <v>0</v>
      </c>
      <c r="Z29" s="207">
        <v>1</v>
      </c>
      <c r="AA29" s="209" t="str">
        <f t="shared" si="1"/>
        <v/>
      </c>
      <c r="AB29" s="209"/>
      <c r="AC29" s="207">
        <v>0</v>
      </c>
      <c r="AD29" s="207"/>
      <c r="AE29" s="207"/>
      <c r="AF29" s="208" t="str">
        <f>IF(ISBLANK(D29),"",VLOOKUP(F29,'SIZE CALCULATION'!$F:$G,2,0))</f>
        <v/>
      </c>
      <c r="AG29" s="207" t="str">
        <f t="shared" si="6"/>
        <v/>
      </c>
      <c r="AH29" s="207" t="str">
        <f t="shared" si="7"/>
        <v/>
      </c>
      <c r="AI29" s="210" t="str">
        <f>IF(ISBLANK(D29),"",VLOOKUP($A29,INDEX!$D$2:$F$13,3,0))</f>
        <v/>
      </c>
      <c r="AJ29" s="207" t="str">
        <f t="shared" si="8"/>
        <v/>
      </c>
      <c r="AK29" s="207"/>
      <c r="AL29" s="207"/>
      <c r="AM29" s="207" t="str">
        <f>IFERROR(IF(ISBLANK($D29),"",VLOOKUP($N29,'TABLE CHARGE RATE'!$A$30:$K$106,5,0)),"Check")</f>
        <v/>
      </c>
      <c r="AN29" s="207" t="str">
        <f>IFERROR(IF(ISBLANK($D29),"",VLOOKUP($N29,'TABLE CHARGE RATE'!$A$30:$K$106,6,0)),"Check")</f>
        <v/>
      </c>
      <c r="AO29" s="207" t="str">
        <f>IFERROR(IF(ISBLANK($D29),"",VLOOKUP($N29,'TABLE CHARGE RATE'!$A$30:$K$106,7,0)),"Check")</f>
        <v/>
      </c>
      <c r="AP29" s="207" t="str">
        <f>IFERROR(IF(ISBLANK($D29),"",VLOOKUP($N29,'TABLE CHARGE RATE'!$A$30:$K$106,8,0)),"Check")</f>
        <v/>
      </c>
      <c r="AQ29" s="207" t="str">
        <f>IFERROR(IF(ISBLANK($D29),"",VLOOKUP($N29,'TABLE CHARGE RATE'!$A$30:$K$106,9,0)),"Check")</f>
        <v/>
      </c>
      <c r="AR29" s="207" t="str">
        <f>IFERROR(IF(ISBLANK($D29),"",VLOOKUP($N29,'TABLE CHARGE RATE'!$A$30:$K$106,10,0)),"Check")</f>
        <v/>
      </c>
      <c r="AS29" s="207" t="str">
        <f>IFERROR(IF(ISBLANK($D29),"",VLOOKUP($N29,'TABLE CHARGE RATE'!$A$30:$K$106,11,0)),"Check")</f>
        <v/>
      </c>
      <c r="AT29" s="207">
        <f t="shared" si="9"/>
        <v>28</v>
      </c>
    </row>
    <row r="30" spans="1:46" x14ac:dyDescent="0.2">
      <c r="A30" s="207" t="str">
        <f t="shared" si="0"/>
        <v/>
      </c>
      <c r="B30" s="208" t="str">
        <f>IF(ISBLANK(D30),"",VLOOKUP(WEEKDAY($C30,1),INDEX!$J$2:$K$8,2,0))</f>
        <v/>
      </c>
      <c r="C30" s="209"/>
      <c r="D30" s="207"/>
      <c r="E30" s="207"/>
      <c r="F30" s="207"/>
      <c r="G30" s="207"/>
      <c r="H30" s="207"/>
      <c r="I30" s="207"/>
      <c r="J30" s="207"/>
      <c r="K30" s="207"/>
      <c r="L30" s="207"/>
      <c r="M30" s="207"/>
      <c r="N30" s="207"/>
      <c r="O30" s="207"/>
      <c r="P30" s="207"/>
      <c r="Q30" s="207"/>
      <c r="R30" s="207"/>
      <c r="S30" s="207"/>
      <c r="T30" s="207"/>
      <c r="U30" s="209"/>
      <c r="V30" s="207"/>
      <c r="W30" s="207"/>
      <c r="X30" s="209">
        <f t="shared" si="4"/>
        <v>0</v>
      </c>
      <c r="Y30" s="209">
        <f t="shared" si="5"/>
        <v>0</v>
      </c>
      <c r="Z30" s="207">
        <v>1</v>
      </c>
      <c r="AA30" s="209" t="str">
        <f t="shared" si="1"/>
        <v/>
      </c>
      <c r="AB30" s="209"/>
      <c r="AC30" s="207">
        <v>0</v>
      </c>
      <c r="AD30" s="207"/>
      <c r="AE30" s="207"/>
      <c r="AF30" s="208" t="str">
        <f>IF(ISBLANK(D30),"",VLOOKUP(F30,'SIZE CALCULATION'!$F:$G,2,0))</f>
        <v/>
      </c>
      <c r="AG30" s="207" t="str">
        <f t="shared" si="6"/>
        <v/>
      </c>
      <c r="AH30" s="207" t="str">
        <f t="shared" si="7"/>
        <v/>
      </c>
      <c r="AI30" s="210" t="str">
        <f>IF(ISBLANK(D30),"",VLOOKUP($A30,INDEX!$D$2:$F$13,3,0))</f>
        <v/>
      </c>
      <c r="AJ30" s="207" t="str">
        <f t="shared" si="8"/>
        <v/>
      </c>
      <c r="AK30" s="207"/>
      <c r="AL30" s="207"/>
      <c r="AM30" s="207" t="str">
        <f>IFERROR(IF(ISBLANK($D30),"",VLOOKUP($N30,'TABLE CHARGE RATE'!$A$30:$K$106,5,0)),"Check")</f>
        <v/>
      </c>
      <c r="AN30" s="207" t="str">
        <f>IFERROR(IF(ISBLANK($D30),"",VLOOKUP($N30,'TABLE CHARGE RATE'!$A$30:$K$106,6,0)),"Check")</f>
        <v/>
      </c>
      <c r="AO30" s="207" t="str">
        <f>IFERROR(IF(ISBLANK($D30),"",VLOOKUP($N30,'TABLE CHARGE RATE'!$A$30:$K$106,7,0)),"Check")</f>
        <v/>
      </c>
      <c r="AP30" s="207" t="str">
        <f>IFERROR(IF(ISBLANK($D30),"",VLOOKUP($N30,'TABLE CHARGE RATE'!$A$30:$K$106,8,0)),"Check")</f>
        <v/>
      </c>
      <c r="AQ30" s="207" t="str">
        <f>IFERROR(IF(ISBLANK($D30),"",VLOOKUP($N30,'TABLE CHARGE RATE'!$A$30:$K$106,9,0)),"Check")</f>
        <v/>
      </c>
      <c r="AR30" s="207" t="str">
        <f>IFERROR(IF(ISBLANK($D30),"",VLOOKUP($N30,'TABLE CHARGE RATE'!$A$30:$K$106,10,0)),"Check")</f>
        <v/>
      </c>
      <c r="AS30" s="207" t="str">
        <f>IFERROR(IF(ISBLANK($D30),"",VLOOKUP($N30,'TABLE CHARGE RATE'!$A$30:$K$106,11,0)),"Check")</f>
        <v/>
      </c>
      <c r="AT30" s="207">
        <f t="shared" si="9"/>
        <v>29</v>
      </c>
    </row>
    <row r="31" spans="1:46" x14ac:dyDescent="0.2">
      <c r="A31" s="207" t="str">
        <f t="shared" si="0"/>
        <v/>
      </c>
      <c r="B31" s="208" t="str">
        <f>IF(ISBLANK(D31),"",VLOOKUP(WEEKDAY($C31,1),INDEX!$J$2:$K$8,2,0))</f>
        <v/>
      </c>
      <c r="C31" s="209"/>
      <c r="D31" s="207"/>
      <c r="E31" s="207"/>
      <c r="F31" s="207"/>
      <c r="G31" s="207"/>
      <c r="H31" s="207"/>
      <c r="I31" s="207"/>
      <c r="J31" s="207"/>
      <c r="K31" s="207"/>
      <c r="L31" s="207"/>
      <c r="M31" s="207"/>
      <c r="N31" s="207"/>
      <c r="O31" s="207"/>
      <c r="P31" s="207"/>
      <c r="Q31" s="207"/>
      <c r="R31" s="207"/>
      <c r="S31" s="207"/>
      <c r="T31" s="207"/>
      <c r="U31" s="209"/>
      <c r="V31" s="207"/>
      <c r="W31" s="207"/>
      <c r="X31" s="209">
        <f t="shared" si="4"/>
        <v>0</v>
      </c>
      <c r="Y31" s="209">
        <f t="shared" si="5"/>
        <v>0</v>
      </c>
      <c r="Z31" s="207">
        <v>1</v>
      </c>
      <c r="AA31" s="209" t="str">
        <f t="shared" si="1"/>
        <v/>
      </c>
      <c r="AB31" s="209"/>
      <c r="AC31" s="207">
        <v>0</v>
      </c>
      <c r="AD31" s="207"/>
      <c r="AE31" s="207"/>
      <c r="AF31" s="208" t="str">
        <f>IF(ISBLANK(D31),"",VLOOKUP(F31,'SIZE CALCULATION'!$F:$G,2,0))</f>
        <v/>
      </c>
      <c r="AG31" s="207" t="str">
        <f t="shared" si="6"/>
        <v/>
      </c>
      <c r="AH31" s="207" t="str">
        <f t="shared" si="7"/>
        <v/>
      </c>
      <c r="AI31" s="210" t="str">
        <f>IF(ISBLANK(D31),"",VLOOKUP($A31,INDEX!$D$2:$F$13,3,0))</f>
        <v/>
      </c>
      <c r="AJ31" s="207" t="str">
        <f t="shared" si="8"/>
        <v/>
      </c>
      <c r="AK31" s="207"/>
      <c r="AL31" s="207"/>
      <c r="AM31" s="207" t="str">
        <f>IFERROR(IF(ISBLANK($D31),"",VLOOKUP($N31,'TABLE CHARGE RATE'!$A$30:$K$106,5,0)),"Check")</f>
        <v/>
      </c>
      <c r="AN31" s="207" t="str">
        <f>IFERROR(IF(ISBLANK($D31),"",VLOOKUP($N31,'TABLE CHARGE RATE'!$A$30:$K$106,6,0)),"Check")</f>
        <v/>
      </c>
      <c r="AO31" s="207" t="str">
        <f>IFERROR(IF(ISBLANK($D31),"",VLOOKUP($N31,'TABLE CHARGE RATE'!$A$30:$K$106,7,0)),"Check")</f>
        <v/>
      </c>
      <c r="AP31" s="207" t="str">
        <f>IFERROR(IF(ISBLANK($D31),"",VLOOKUP($N31,'TABLE CHARGE RATE'!$A$30:$K$106,8,0)),"Check")</f>
        <v/>
      </c>
      <c r="AQ31" s="207" t="str">
        <f>IFERROR(IF(ISBLANK($D31),"",VLOOKUP($N31,'TABLE CHARGE RATE'!$A$30:$K$106,9,0)),"Check")</f>
        <v/>
      </c>
      <c r="AR31" s="207" t="str">
        <f>IFERROR(IF(ISBLANK($D31),"",VLOOKUP($N31,'TABLE CHARGE RATE'!$A$30:$K$106,10,0)),"Check")</f>
        <v/>
      </c>
      <c r="AS31" s="207" t="str">
        <f>IFERROR(IF(ISBLANK($D31),"",VLOOKUP($N31,'TABLE CHARGE RATE'!$A$30:$K$106,11,0)),"Check")</f>
        <v/>
      </c>
      <c r="AT31" s="207">
        <f t="shared" si="9"/>
        <v>30</v>
      </c>
    </row>
    <row r="32" spans="1:46" x14ac:dyDescent="0.2">
      <c r="A32" s="207" t="str">
        <f t="shared" si="0"/>
        <v/>
      </c>
      <c r="B32" s="208" t="str">
        <f>IF(ISBLANK(D32),"",VLOOKUP(WEEKDAY($C32,1),INDEX!$J$2:$K$8,2,0))</f>
        <v/>
      </c>
      <c r="C32" s="209"/>
      <c r="D32" s="207"/>
      <c r="E32" s="207"/>
      <c r="F32" s="207"/>
      <c r="G32" s="207"/>
      <c r="H32" s="207"/>
      <c r="I32" s="207"/>
      <c r="J32" s="207"/>
      <c r="K32" s="207"/>
      <c r="L32" s="207"/>
      <c r="M32" s="207"/>
      <c r="N32" s="207"/>
      <c r="O32" s="207"/>
      <c r="P32" s="207"/>
      <c r="Q32" s="207"/>
      <c r="R32" s="207"/>
      <c r="S32" s="207"/>
      <c r="T32" s="207"/>
      <c r="U32" s="209"/>
      <c r="V32" s="207"/>
      <c r="W32" s="207"/>
      <c r="X32" s="209">
        <f t="shared" si="4"/>
        <v>0</v>
      </c>
      <c r="Y32" s="209">
        <f t="shared" si="5"/>
        <v>0</v>
      </c>
      <c r="Z32" s="207">
        <v>1</v>
      </c>
      <c r="AA32" s="209" t="str">
        <f t="shared" si="1"/>
        <v/>
      </c>
      <c r="AB32" s="209"/>
      <c r="AC32" s="207">
        <v>0</v>
      </c>
      <c r="AD32" s="207"/>
      <c r="AE32" s="207"/>
      <c r="AF32" s="208" t="str">
        <f>IF(ISBLANK(D32),"",VLOOKUP(F32,'SIZE CALCULATION'!$F:$G,2,0))</f>
        <v/>
      </c>
      <c r="AG32" s="207" t="str">
        <f t="shared" si="6"/>
        <v/>
      </c>
      <c r="AH32" s="207" t="str">
        <f t="shared" si="7"/>
        <v/>
      </c>
      <c r="AI32" s="210" t="str">
        <f>IF(ISBLANK(D32),"",VLOOKUP($A32,INDEX!$D$2:$F$13,3,0))</f>
        <v/>
      </c>
      <c r="AJ32" s="207" t="str">
        <f t="shared" si="8"/>
        <v/>
      </c>
      <c r="AK32" s="207"/>
      <c r="AL32" s="207"/>
      <c r="AM32" s="207" t="str">
        <f>IFERROR(IF(ISBLANK($D32),"",VLOOKUP($N32,'TABLE CHARGE RATE'!$A$30:$K$106,5,0)),"Check")</f>
        <v/>
      </c>
      <c r="AN32" s="207" t="str">
        <f>IFERROR(IF(ISBLANK($D32),"",VLOOKUP($N32,'TABLE CHARGE RATE'!$A$30:$K$106,6,0)),"Check")</f>
        <v/>
      </c>
      <c r="AO32" s="207" t="str">
        <f>IFERROR(IF(ISBLANK($D32),"",VLOOKUP($N32,'TABLE CHARGE RATE'!$A$30:$K$106,7,0)),"Check")</f>
        <v/>
      </c>
      <c r="AP32" s="207" t="str">
        <f>IFERROR(IF(ISBLANK($D32),"",VLOOKUP($N32,'TABLE CHARGE RATE'!$A$30:$K$106,8,0)),"Check")</f>
        <v/>
      </c>
      <c r="AQ32" s="207" t="str">
        <f>IFERROR(IF(ISBLANK($D32),"",VLOOKUP($N32,'TABLE CHARGE RATE'!$A$30:$K$106,9,0)),"Check")</f>
        <v/>
      </c>
      <c r="AR32" s="207" t="str">
        <f>IFERROR(IF(ISBLANK($D32),"",VLOOKUP($N32,'TABLE CHARGE RATE'!$A$30:$K$106,10,0)),"Check")</f>
        <v/>
      </c>
      <c r="AS32" s="207" t="str">
        <f>IFERROR(IF(ISBLANK($D32),"",VLOOKUP($N32,'TABLE CHARGE RATE'!$A$30:$K$106,11,0)),"Check")</f>
        <v/>
      </c>
      <c r="AT32" s="207">
        <f t="shared" si="9"/>
        <v>31</v>
      </c>
    </row>
    <row r="33" spans="1:46" x14ac:dyDescent="0.2">
      <c r="A33" s="207" t="str">
        <f t="shared" si="0"/>
        <v/>
      </c>
      <c r="B33" s="208" t="str">
        <f>IF(ISBLANK(D33),"",VLOOKUP(WEEKDAY($C33,1),INDEX!$J$2:$K$8,2,0))</f>
        <v/>
      </c>
      <c r="C33" s="209"/>
      <c r="D33" s="207"/>
      <c r="E33" s="207"/>
      <c r="F33" s="207"/>
      <c r="G33" s="207"/>
      <c r="H33" s="207"/>
      <c r="I33" s="207"/>
      <c r="J33" s="207"/>
      <c r="K33" s="207"/>
      <c r="L33" s="207"/>
      <c r="M33" s="207"/>
      <c r="N33" s="207"/>
      <c r="O33" s="207"/>
      <c r="P33" s="207"/>
      <c r="Q33" s="207"/>
      <c r="R33" s="207"/>
      <c r="S33" s="207"/>
      <c r="T33" s="207"/>
      <c r="U33" s="209"/>
      <c r="V33" s="207"/>
      <c r="W33" s="207"/>
      <c r="X33" s="209">
        <f t="shared" si="4"/>
        <v>0</v>
      </c>
      <c r="Y33" s="209">
        <f t="shared" si="5"/>
        <v>0</v>
      </c>
      <c r="Z33" s="207">
        <v>1</v>
      </c>
      <c r="AA33" s="209" t="str">
        <f t="shared" si="1"/>
        <v/>
      </c>
      <c r="AB33" s="209"/>
      <c r="AC33" s="207">
        <v>0</v>
      </c>
      <c r="AD33" s="207"/>
      <c r="AE33" s="207"/>
      <c r="AF33" s="208" t="str">
        <f>IF(ISBLANK(D33),"",VLOOKUP(F33,'SIZE CALCULATION'!$F:$G,2,0))</f>
        <v/>
      </c>
      <c r="AG33" s="207" t="str">
        <f t="shared" si="6"/>
        <v/>
      </c>
      <c r="AH33" s="207" t="str">
        <f t="shared" si="7"/>
        <v/>
      </c>
      <c r="AI33" s="210" t="str">
        <f>IF(ISBLANK(D33),"",VLOOKUP($A33,INDEX!$D$2:$F$13,3,0))</f>
        <v/>
      </c>
      <c r="AJ33" s="207" t="str">
        <f t="shared" si="8"/>
        <v/>
      </c>
      <c r="AK33" s="207"/>
      <c r="AL33" s="207"/>
      <c r="AM33" s="207" t="str">
        <f>IFERROR(IF(ISBLANK($D33),"",VLOOKUP($N33,'TABLE CHARGE RATE'!$A$30:$K$106,5,0)),"Check")</f>
        <v/>
      </c>
      <c r="AN33" s="207" t="str">
        <f>IFERROR(IF(ISBLANK($D33),"",VLOOKUP($N33,'TABLE CHARGE RATE'!$A$30:$K$106,6,0)),"Check")</f>
        <v/>
      </c>
      <c r="AO33" s="207" t="str">
        <f>IFERROR(IF(ISBLANK($D33),"",VLOOKUP($N33,'TABLE CHARGE RATE'!$A$30:$K$106,7,0)),"Check")</f>
        <v/>
      </c>
      <c r="AP33" s="207" t="str">
        <f>IFERROR(IF(ISBLANK($D33),"",VLOOKUP($N33,'TABLE CHARGE RATE'!$A$30:$K$106,8,0)),"Check")</f>
        <v/>
      </c>
      <c r="AQ33" s="207" t="str">
        <f>IFERROR(IF(ISBLANK($D33),"",VLOOKUP($N33,'TABLE CHARGE RATE'!$A$30:$K$106,9,0)),"Check")</f>
        <v/>
      </c>
      <c r="AR33" s="207" t="str">
        <f>IFERROR(IF(ISBLANK($D33),"",VLOOKUP($N33,'TABLE CHARGE RATE'!$A$30:$K$106,10,0)),"Check")</f>
        <v/>
      </c>
      <c r="AS33" s="207" t="str">
        <f>IFERROR(IF(ISBLANK($D33),"",VLOOKUP($N33,'TABLE CHARGE RATE'!$A$30:$K$106,11,0)),"Check")</f>
        <v/>
      </c>
      <c r="AT33" s="207">
        <f t="shared" si="9"/>
        <v>32</v>
      </c>
    </row>
    <row r="34" spans="1:46" x14ac:dyDescent="0.2">
      <c r="A34" s="207" t="str">
        <f t="shared" si="0"/>
        <v/>
      </c>
      <c r="B34" s="208" t="str">
        <f>IF(ISBLANK(D34),"",VLOOKUP(WEEKDAY($C34,1),INDEX!$J$2:$K$8,2,0))</f>
        <v/>
      </c>
      <c r="C34" s="209"/>
      <c r="D34" s="207"/>
      <c r="E34" s="207"/>
      <c r="F34" s="207"/>
      <c r="G34" s="207"/>
      <c r="H34" s="207"/>
      <c r="I34" s="207"/>
      <c r="J34" s="207"/>
      <c r="K34" s="207"/>
      <c r="L34" s="207"/>
      <c r="M34" s="207"/>
      <c r="N34" s="207"/>
      <c r="O34" s="207"/>
      <c r="P34" s="207"/>
      <c r="Q34" s="207"/>
      <c r="R34" s="207"/>
      <c r="S34" s="207"/>
      <c r="T34" s="207"/>
      <c r="U34" s="209"/>
      <c r="V34" s="207"/>
      <c r="W34" s="207"/>
      <c r="X34" s="209">
        <f t="shared" si="4"/>
        <v>0</v>
      </c>
      <c r="Y34" s="209">
        <f t="shared" si="5"/>
        <v>0</v>
      </c>
      <c r="Z34" s="207">
        <v>1</v>
      </c>
      <c r="AA34" s="209" t="str">
        <f t="shared" si="1"/>
        <v/>
      </c>
      <c r="AB34" s="209"/>
      <c r="AC34" s="207">
        <v>0</v>
      </c>
      <c r="AD34" s="207"/>
      <c r="AE34" s="207"/>
      <c r="AF34" s="208" t="str">
        <f>IF(ISBLANK(D34),"",VLOOKUP(F34,'SIZE CALCULATION'!$F:$G,2,0))</f>
        <v/>
      </c>
      <c r="AG34" s="207" t="str">
        <f t="shared" si="6"/>
        <v/>
      </c>
      <c r="AH34" s="207" t="str">
        <f t="shared" si="7"/>
        <v/>
      </c>
      <c r="AI34" s="210" t="str">
        <f>IF(ISBLANK(D34),"",VLOOKUP($A34,INDEX!$D$2:$F$13,3,0))</f>
        <v/>
      </c>
      <c r="AJ34" s="207" t="str">
        <f t="shared" si="8"/>
        <v/>
      </c>
      <c r="AK34" s="207"/>
      <c r="AL34" s="207"/>
      <c r="AM34" s="207" t="str">
        <f>IFERROR(IF(ISBLANK($D34),"",VLOOKUP($N34,'TABLE CHARGE RATE'!$A$30:$K$106,5,0)),"Check")</f>
        <v/>
      </c>
      <c r="AN34" s="207" t="str">
        <f>IFERROR(IF(ISBLANK($D34),"",VLOOKUP($N34,'TABLE CHARGE RATE'!$A$30:$K$106,6,0)),"Check")</f>
        <v/>
      </c>
      <c r="AO34" s="207" t="str">
        <f>IFERROR(IF(ISBLANK($D34),"",VLOOKUP($N34,'TABLE CHARGE RATE'!$A$30:$K$106,7,0)),"Check")</f>
        <v/>
      </c>
      <c r="AP34" s="207" t="str">
        <f>IFERROR(IF(ISBLANK($D34),"",VLOOKUP($N34,'TABLE CHARGE RATE'!$A$30:$K$106,8,0)),"Check")</f>
        <v/>
      </c>
      <c r="AQ34" s="207" t="str">
        <f>IFERROR(IF(ISBLANK($D34),"",VLOOKUP($N34,'TABLE CHARGE RATE'!$A$30:$K$106,9,0)),"Check")</f>
        <v/>
      </c>
      <c r="AR34" s="207" t="str">
        <f>IFERROR(IF(ISBLANK($D34),"",VLOOKUP($N34,'TABLE CHARGE RATE'!$A$30:$K$106,10,0)),"Check")</f>
        <v/>
      </c>
      <c r="AS34" s="207" t="str">
        <f>IFERROR(IF(ISBLANK($D34),"",VLOOKUP($N34,'TABLE CHARGE RATE'!$A$30:$K$106,11,0)),"Check")</f>
        <v/>
      </c>
      <c r="AT34" s="207">
        <f t="shared" si="9"/>
        <v>33</v>
      </c>
    </row>
    <row r="35" spans="1:46" x14ac:dyDescent="0.2">
      <c r="A35" s="207" t="str">
        <f t="shared" si="0"/>
        <v/>
      </c>
      <c r="B35" s="208" t="str">
        <f>IF(ISBLANK(D35),"",VLOOKUP(WEEKDAY($C35,1),INDEX!$J$2:$K$8,2,0))</f>
        <v/>
      </c>
      <c r="C35" s="209"/>
      <c r="D35" s="207"/>
      <c r="E35" s="207"/>
      <c r="F35" s="207"/>
      <c r="G35" s="207"/>
      <c r="H35" s="207"/>
      <c r="I35" s="207"/>
      <c r="J35" s="207"/>
      <c r="K35" s="207"/>
      <c r="L35" s="207"/>
      <c r="M35" s="207"/>
      <c r="N35" s="207"/>
      <c r="O35" s="207"/>
      <c r="P35" s="207"/>
      <c r="Q35" s="207"/>
      <c r="R35" s="207"/>
      <c r="S35" s="207"/>
      <c r="T35" s="207"/>
      <c r="U35" s="209"/>
      <c r="V35" s="207"/>
      <c r="W35" s="207"/>
      <c r="X35" s="209">
        <f t="shared" si="4"/>
        <v>0</v>
      </c>
      <c r="Y35" s="209">
        <f t="shared" si="5"/>
        <v>0</v>
      </c>
      <c r="Z35" s="207">
        <v>1</v>
      </c>
      <c r="AA35" s="209" t="str">
        <f t="shared" si="1"/>
        <v/>
      </c>
      <c r="AB35" s="209"/>
      <c r="AC35" s="207">
        <v>0</v>
      </c>
      <c r="AD35" s="207"/>
      <c r="AE35" s="207"/>
      <c r="AF35" s="208" t="str">
        <f>IF(ISBLANK(D35),"",VLOOKUP(F35,'SIZE CALCULATION'!$F:$G,2,0))</f>
        <v/>
      </c>
      <c r="AG35" s="207" t="str">
        <f t="shared" si="6"/>
        <v/>
      </c>
      <c r="AH35" s="207" t="str">
        <f t="shared" si="7"/>
        <v/>
      </c>
      <c r="AI35" s="210" t="str">
        <f>IF(ISBLANK(D35),"",VLOOKUP($A35,INDEX!$D$2:$F$13,3,0))</f>
        <v/>
      </c>
      <c r="AJ35" s="207" t="str">
        <f t="shared" si="8"/>
        <v/>
      </c>
      <c r="AK35" s="207"/>
      <c r="AL35" s="207"/>
      <c r="AM35" s="207" t="str">
        <f>IFERROR(IF(ISBLANK($D35),"",VLOOKUP($N35,'TABLE CHARGE RATE'!$A$30:$K$106,5,0)),"Check")</f>
        <v/>
      </c>
      <c r="AN35" s="207" t="str">
        <f>IFERROR(IF(ISBLANK($D35),"",VLOOKUP($N35,'TABLE CHARGE RATE'!$A$30:$K$106,6,0)),"Check")</f>
        <v/>
      </c>
      <c r="AO35" s="207" t="str">
        <f>IFERROR(IF(ISBLANK($D35),"",VLOOKUP($N35,'TABLE CHARGE RATE'!$A$30:$K$106,7,0)),"Check")</f>
        <v/>
      </c>
      <c r="AP35" s="207" t="str">
        <f>IFERROR(IF(ISBLANK($D35),"",VLOOKUP($N35,'TABLE CHARGE RATE'!$A$30:$K$106,8,0)),"Check")</f>
        <v/>
      </c>
      <c r="AQ35" s="207" t="str">
        <f>IFERROR(IF(ISBLANK($D35),"",VLOOKUP($N35,'TABLE CHARGE RATE'!$A$30:$K$106,9,0)),"Check")</f>
        <v/>
      </c>
      <c r="AR35" s="207" t="str">
        <f>IFERROR(IF(ISBLANK($D35),"",VLOOKUP($N35,'TABLE CHARGE RATE'!$A$30:$K$106,10,0)),"Check")</f>
        <v/>
      </c>
      <c r="AS35" s="207" t="str">
        <f>IFERROR(IF(ISBLANK($D35),"",VLOOKUP($N35,'TABLE CHARGE RATE'!$A$30:$K$106,11,0)),"Check")</f>
        <v/>
      </c>
      <c r="AT35" s="207">
        <f t="shared" si="9"/>
        <v>34</v>
      </c>
    </row>
    <row r="36" spans="1:46" x14ac:dyDescent="0.2">
      <c r="A36" s="207" t="str">
        <f t="shared" si="0"/>
        <v/>
      </c>
      <c r="B36" s="208" t="str">
        <f>IF(ISBLANK(D36),"",VLOOKUP(WEEKDAY($C36,1),INDEX!$J$2:$K$8,2,0))</f>
        <v/>
      </c>
      <c r="C36" s="209"/>
      <c r="D36" s="207"/>
      <c r="E36" s="207"/>
      <c r="F36" s="207"/>
      <c r="G36" s="207"/>
      <c r="H36" s="207"/>
      <c r="I36" s="207"/>
      <c r="J36" s="207"/>
      <c r="K36" s="207"/>
      <c r="L36" s="207"/>
      <c r="M36" s="207"/>
      <c r="N36" s="207"/>
      <c r="O36" s="207"/>
      <c r="P36" s="207"/>
      <c r="Q36" s="207"/>
      <c r="R36" s="207"/>
      <c r="S36" s="207"/>
      <c r="T36" s="207"/>
      <c r="U36" s="209"/>
      <c r="V36" s="207"/>
      <c r="W36" s="207"/>
      <c r="X36" s="209">
        <f t="shared" si="4"/>
        <v>0</v>
      </c>
      <c r="Y36" s="209">
        <f t="shared" si="5"/>
        <v>0</v>
      </c>
      <c r="Z36" s="207">
        <v>1</v>
      </c>
      <c r="AA36" s="209" t="str">
        <f t="shared" si="1"/>
        <v/>
      </c>
      <c r="AB36" s="209"/>
      <c r="AC36" s="207">
        <v>0</v>
      </c>
      <c r="AD36" s="207"/>
      <c r="AE36" s="207"/>
      <c r="AF36" s="208" t="str">
        <f>IF(ISBLANK(D36),"",VLOOKUP(F36,'SIZE CALCULATION'!$F:$G,2,0))</f>
        <v/>
      </c>
      <c r="AG36" s="207" t="str">
        <f t="shared" si="6"/>
        <v/>
      </c>
      <c r="AH36" s="207" t="str">
        <f t="shared" si="7"/>
        <v/>
      </c>
      <c r="AI36" s="210" t="str">
        <f>IF(ISBLANK(D36),"",VLOOKUP($A36,INDEX!$D$2:$F$13,3,0))</f>
        <v/>
      </c>
      <c r="AJ36" s="207" t="str">
        <f t="shared" si="8"/>
        <v/>
      </c>
      <c r="AK36" s="207"/>
      <c r="AL36" s="207"/>
      <c r="AM36" s="207" t="str">
        <f>IFERROR(IF(ISBLANK($D36),"",VLOOKUP($N36,'TABLE CHARGE RATE'!$A$30:$K$106,5,0)),"Check")</f>
        <v/>
      </c>
      <c r="AN36" s="207" t="str">
        <f>IFERROR(IF(ISBLANK($D36),"",VLOOKUP($N36,'TABLE CHARGE RATE'!$A$30:$K$106,6,0)),"Check")</f>
        <v/>
      </c>
      <c r="AO36" s="207" t="str">
        <f>IFERROR(IF(ISBLANK($D36),"",VLOOKUP($N36,'TABLE CHARGE RATE'!$A$30:$K$106,7,0)),"Check")</f>
        <v/>
      </c>
      <c r="AP36" s="207" t="str">
        <f>IFERROR(IF(ISBLANK($D36),"",VLOOKUP($N36,'TABLE CHARGE RATE'!$A$30:$K$106,8,0)),"Check")</f>
        <v/>
      </c>
      <c r="AQ36" s="207" t="str">
        <f>IFERROR(IF(ISBLANK($D36),"",VLOOKUP($N36,'TABLE CHARGE RATE'!$A$30:$K$106,9,0)),"Check")</f>
        <v/>
      </c>
      <c r="AR36" s="207" t="str">
        <f>IFERROR(IF(ISBLANK($D36),"",VLOOKUP($N36,'TABLE CHARGE RATE'!$A$30:$K$106,10,0)),"Check")</f>
        <v/>
      </c>
      <c r="AS36" s="207" t="str">
        <f>IFERROR(IF(ISBLANK($D36),"",VLOOKUP($N36,'TABLE CHARGE RATE'!$A$30:$K$106,11,0)),"Check")</f>
        <v/>
      </c>
      <c r="AT36" s="207">
        <f t="shared" si="9"/>
        <v>35</v>
      </c>
    </row>
    <row r="37" spans="1:46" x14ac:dyDescent="0.2">
      <c r="A37" s="207" t="str">
        <f t="shared" si="0"/>
        <v/>
      </c>
      <c r="B37" s="208" t="str">
        <f>IF(ISBLANK(D37),"",VLOOKUP(WEEKDAY($C37,1),INDEX!$J$2:$K$8,2,0))</f>
        <v/>
      </c>
      <c r="C37" s="209"/>
      <c r="D37" s="207"/>
      <c r="E37" s="207"/>
      <c r="F37" s="207"/>
      <c r="G37" s="207"/>
      <c r="H37" s="207"/>
      <c r="I37" s="207"/>
      <c r="J37" s="207"/>
      <c r="K37" s="207"/>
      <c r="L37" s="207"/>
      <c r="M37" s="207"/>
      <c r="N37" s="207"/>
      <c r="O37" s="207"/>
      <c r="P37" s="207"/>
      <c r="Q37" s="207"/>
      <c r="R37" s="207"/>
      <c r="S37" s="207"/>
      <c r="T37" s="207"/>
      <c r="U37" s="209"/>
      <c r="V37" s="207"/>
      <c r="W37" s="207"/>
      <c r="X37" s="209">
        <f t="shared" si="4"/>
        <v>0</v>
      </c>
      <c r="Y37" s="209">
        <f t="shared" si="5"/>
        <v>0</v>
      </c>
      <c r="Z37" s="207">
        <v>1</v>
      </c>
      <c r="AA37" s="209" t="str">
        <f t="shared" si="1"/>
        <v/>
      </c>
      <c r="AB37" s="209"/>
      <c r="AC37" s="207">
        <v>0</v>
      </c>
      <c r="AD37" s="207"/>
      <c r="AE37" s="207"/>
      <c r="AF37" s="208" t="str">
        <f>IF(ISBLANK(D37),"",VLOOKUP(F37,'SIZE CALCULATION'!$F:$G,2,0))</f>
        <v/>
      </c>
      <c r="AG37" s="207" t="str">
        <f t="shared" si="6"/>
        <v/>
      </c>
      <c r="AH37" s="207" t="str">
        <f t="shared" si="7"/>
        <v/>
      </c>
      <c r="AI37" s="210" t="str">
        <f>IF(ISBLANK(D37),"",VLOOKUP($A37,INDEX!$D$2:$F$13,3,0))</f>
        <v/>
      </c>
      <c r="AJ37" s="207" t="str">
        <f t="shared" si="8"/>
        <v/>
      </c>
      <c r="AK37" s="207"/>
      <c r="AL37" s="207"/>
      <c r="AM37" s="207" t="str">
        <f>IFERROR(IF(ISBLANK($D37),"",VLOOKUP($N37,'TABLE CHARGE RATE'!$A$30:$K$106,5,0)),"Check")</f>
        <v/>
      </c>
      <c r="AN37" s="207" t="str">
        <f>IFERROR(IF(ISBLANK($D37),"",VLOOKUP($N37,'TABLE CHARGE RATE'!$A$30:$K$106,6,0)),"Check")</f>
        <v/>
      </c>
      <c r="AO37" s="207" t="str">
        <f>IFERROR(IF(ISBLANK($D37),"",VLOOKUP($N37,'TABLE CHARGE RATE'!$A$30:$K$106,7,0)),"Check")</f>
        <v/>
      </c>
      <c r="AP37" s="207" t="str">
        <f>IFERROR(IF(ISBLANK($D37),"",VLOOKUP($N37,'TABLE CHARGE RATE'!$A$30:$K$106,8,0)),"Check")</f>
        <v/>
      </c>
      <c r="AQ37" s="207" t="str">
        <f>IFERROR(IF(ISBLANK($D37),"",VLOOKUP($N37,'TABLE CHARGE RATE'!$A$30:$K$106,9,0)),"Check")</f>
        <v/>
      </c>
      <c r="AR37" s="207" t="str">
        <f>IFERROR(IF(ISBLANK($D37),"",VLOOKUP($N37,'TABLE CHARGE RATE'!$A$30:$K$106,10,0)),"Check")</f>
        <v/>
      </c>
      <c r="AS37" s="207" t="str">
        <f>IFERROR(IF(ISBLANK($D37),"",VLOOKUP($N37,'TABLE CHARGE RATE'!$A$30:$K$106,11,0)),"Check")</f>
        <v/>
      </c>
      <c r="AT37" s="207">
        <f t="shared" si="9"/>
        <v>36</v>
      </c>
    </row>
    <row r="38" spans="1:46" x14ac:dyDescent="0.2">
      <c r="A38" s="207" t="str">
        <f t="shared" si="0"/>
        <v/>
      </c>
      <c r="B38" s="208" t="str">
        <f>IF(ISBLANK(D38),"",VLOOKUP(WEEKDAY($C38,1),INDEX!$J$2:$K$8,2,0))</f>
        <v/>
      </c>
      <c r="C38" s="209"/>
      <c r="D38" s="207"/>
      <c r="E38" s="207"/>
      <c r="F38" s="207"/>
      <c r="G38" s="207"/>
      <c r="H38" s="207"/>
      <c r="I38" s="207"/>
      <c r="J38" s="207"/>
      <c r="K38" s="207"/>
      <c r="L38" s="207"/>
      <c r="M38" s="207"/>
      <c r="N38" s="207"/>
      <c r="O38" s="207"/>
      <c r="P38" s="207"/>
      <c r="Q38" s="207"/>
      <c r="R38" s="207"/>
      <c r="S38" s="207"/>
      <c r="T38" s="207"/>
      <c r="U38" s="209"/>
      <c r="V38" s="207"/>
      <c r="W38" s="207"/>
      <c r="X38" s="209">
        <f t="shared" si="4"/>
        <v>0</v>
      </c>
      <c r="Y38" s="209">
        <f t="shared" si="5"/>
        <v>0</v>
      </c>
      <c r="Z38" s="207">
        <v>1</v>
      </c>
      <c r="AA38" s="209" t="str">
        <f t="shared" si="1"/>
        <v/>
      </c>
      <c r="AB38" s="209"/>
      <c r="AC38" s="207">
        <v>0</v>
      </c>
      <c r="AD38" s="207"/>
      <c r="AE38" s="207"/>
      <c r="AF38" s="208" t="str">
        <f>IF(ISBLANK(D38),"",VLOOKUP(F38,'SIZE CALCULATION'!$F:$G,2,0))</f>
        <v/>
      </c>
      <c r="AG38" s="207" t="str">
        <f t="shared" si="6"/>
        <v/>
      </c>
      <c r="AH38" s="207" t="str">
        <f t="shared" si="7"/>
        <v/>
      </c>
      <c r="AI38" s="210" t="str">
        <f>IF(ISBLANK(D38),"",VLOOKUP($A38,INDEX!$D$2:$F$13,3,0))</f>
        <v/>
      </c>
      <c r="AJ38" s="207" t="str">
        <f t="shared" si="8"/>
        <v/>
      </c>
      <c r="AK38" s="207"/>
      <c r="AL38" s="207"/>
      <c r="AM38" s="207" t="str">
        <f>IFERROR(IF(ISBLANK($D38),"",VLOOKUP($N38,'TABLE CHARGE RATE'!$A$30:$K$106,5,0)),"Check")</f>
        <v/>
      </c>
      <c r="AN38" s="207" t="str">
        <f>IFERROR(IF(ISBLANK($D38),"",VLOOKUP($N38,'TABLE CHARGE RATE'!$A$30:$K$106,6,0)),"Check")</f>
        <v/>
      </c>
      <c r="AO38" s="207" t="str">
        <f>IFERROR(IF(ISBLANK($D38),"",VLOOKUP($N38,'TABLE CHARGE RATE'!$A$30:$K$106,7,0)),"Check")</f>
        <v/>
      </c>
      <c r="AP38" s="207" t="str">
        <f>IFERROR(IF(ISBLANK($D38),"",VLOOKUP($N38,'TABLE CHARGE RATE'!$A$30:$K$106,8,0)),"Check")</f>
        <v/>
      </c>
      <c r="AQ38" s="207" t="str">
        <f>IFERROR(IF(ISBLANK($D38),"",VLOOKUP($N38,'TABLE CHARGE RATE'!$A$30:$K$106,9,0)),"Check")</f>
        <v/>
      </c>
      <c r="AR38" s="207" t="str">
        <f>IFERROR(IF(ISBLANK($D38),"",VLOOKUP($N38,'TABLE CHARGE RATE'!$A$30:$K$106,10,0)),"Check")</f>
        <v/>
      </c>
      <c r="AS38" s="207" t="str">
        <f>IFERROR(IF(ISBLANK($D38),"",VLOOKUP($N38,'TABLE CHARGE RATE'!$A$30:$K$106,11,0)),"Check")</f>
        <v/>
      </c>
      <c r="AT38" s="207">
        <f t="shared" si="9"/>
        <v>37</v>
      </c>
    </row>
    <row r="39" spans="1:46" x14ac:dyDescent="0.2">
      <c r="A39" s="207" t="str">
        <f t="shared" si="0"/>
        <v/>
      </c>
      <c r="B39" s="208" t="str">
        <f>IF(ISBLANK(D39),"",VLOOKUP(WEEKDAY($C39,1),INDEX!$J$2:$K$8,2,0))</f>
        <v/>
      </c>
      <c r="C39" s="209"/>
      <c r="D39" s="207"/>
      <c r="E39" s="207"/>
      <c r="F39" s="207"/>
      <c r="G39" s="207"/>
      <c r="H39" s="207"/>
      <c r="I39" s="207"/>
      <c r="J39" s="207"/>
      <c r="K39" s="207"/>
      <c r="L39" s="207"/>
      <c r="M39" s="207"/>
      <c r="N39" s="207"/>
      <c r="O39" s="207"/>
      <c r="P39" s="207"/>
      <c r="Q39" s="207"/>
      <c r="R39" s="207"/>
      <c r="S39" s="207"/>
      <c r="T39" s="207"/>
      <c r="U39" s="209"/>
      <c r="V39" s="207"/>
      <c r="W39" s="207"/>
      <c r="X39" s="209">
        <f t="shared" si="4"/>
        <v>0</v>
      </c>
      <c r="Y39" s="209">
        <f t="shared" si="5"/>
        <v>0</v>
      </c>
      <c r="Z39" s="207">
        <v>1</v>
      </c>
      <c r="AA39" s="209" t="str">
        <f t="shared" si="1"/>
        <v/>
      </c>
      <c r="AB39" s="209"/>
      <c r="AC39" s="207">
        <v>0</v>
      </c>
      <c r="AD39" s="207"/>
      <c r="AE39" s="207"/>
      <c r="AF39" s="208" t="str">
        <f>IF(ISBLANK(D39),"",VLOOKUP(F39,'SIZE CALCULATION'!$F:$G,2,0))</f>
        <v/>
      </c>
      <c r="AG39" s="207" t="str">
        <f t="shared" si="6"/>
        <v/>
      </c>
      <c r="AH39" s="207" t="str">
        <f t="shared" si="7"/>
        <v/>
      </c>
      <c r="AI39" s="210" t="str">
        <f>IF(ISBLANK(D39),"",VLOOKUP($A39,INDEX!$D$2:$F$13,3,0))</f>
        <v/>
      </c>
      <c r="AJ39" s="207" t="str">
        <f t="shared" si="8"/>
        <v/>
      </c>
      <c r="AK39" s="207"/>
      <c r="AL39" s="207"/>
      <c r="AM39" s="207" t="str">
        <f>IFERROR(IF(ISBLANK($D39),"",VLOOKUP($N39,'TABLE CHARGE RATE'!$A$30:$K$106,5,0)),"Check")</f>
        <v/>
      </c>
      <c r="AN39" s="207" t="str">
        <f>IFERROR(IF(ISBLANK($D39),"",VLOOKUP($N39,'TABLE CHARGE RATE'!$A$30:$K$106,6,0)),"Check")</f>
        <v/>
      </c>
      <c r="AO39" s="207" t="str">
        <f>IFERROR(IF(ISBLANK($D39),"",VLOOKUP($N39,'TABLE CHARGE RATE'!$A$30:$K$106,7,0)),"Check")</f>
        <v/>
      </c>
      <c r="AP39" s="207" t="str">
        <f>IFERROR(IF(ISBLANK($D39),"",VLOOKUP($N39,'TABLE CHARGE RATE'!$A$30:$K$106,8,0)),"Check")</f>
        <v/>
      </c>
      <c r="AQ39" s="207" t="str">
        <f>IFERROR(IF(ISBLANK($D39),"",VLOOKUP($N39,'TABLE CHARGE RATE'!$A$30:$K$106,9,0)),"Check")</f>
        <v/>
      </c>
      <c r="AR39" s="207" t="str">
        <f>IFERROR(IF(ISBLANK($D39),"",VLOOKUP($N39,'TABLE CHARGE RATE'!$A$30:$K$106,10,0)),"Check")</f>
        <v/>
      </c>
      <c r="AS39" s="207" t="str">
        <f>IFERROR(IF(ISBLANK($D39),"",VLOOKUP($N39,'TABLE CHARGE RATE'!$A$30:$K$106,11,0)),"Check")</f>
        <v/>
      </c>
      <c r="AT39" s="207">
        <f t="shared" si="9"/>
        <v>38</v>
      </c>
    </row>
    <row r="40" spans="1:46" x14ac:dyDescent="0.2">
      <c r="A40" s="207" t="str">
        <f t="shared" si="0"/>
        <v/>
      </c>
      <c r="B40" s="208" t="str">
        <f>IF(ISBLANK(D40),"",VLOOKUP(WEEKDAY($C40,1),INDEX!$J$2:$K$8,2,0))</f>
        <v/>
      </c>
      <c r="C40" s="209"/>
      <c r="D40" s="207"/>
      <c r="E40" s="207"/>
      <c r="F40" s="207"/>
      <c r="G40" s="207"/>
      <c r="H40" s="207"/>
      <c r="I40" s="207"/>
      <c r="J40" s="207"/>
      <c r="K40" s="207"/>
      <c r="L40" s="207"/>
      <c r="M40" s="207"/>
      <c r="N40" s="207"/>
      <c r="O40" s="207"/>
      <c r="P40" s="207"/>
      <c r="Q40" s="207"/>
      <c r="R40" s="207"/>
      <c r="S40" s="207"/>
      <c r="T40" s="207"/>
      <c r="U40" s="209"/>
      <c r="V40" s="207"/>
      <c r="W40" s="207"/>
      <c r="X40" s="209">
        <f t="shared" si="4"/>
        <v>0</v>
      </c>
      <c r="Y40" s="209">
        <f t="shared" si="5"/>
        <v>0</v>
      </c>
      <c r="Z40" s="207">
        <v>1</v>
      </c>
      <c r="AA40" s="209" t="str">
        <f t="shared" si="1"/>
        <v/>
      </c>
      <c r="AB40" s="209"/>
      <c r="AC40" s="207">
        <v>0</v>
      </c>
      <c r="AD40" s="207"/>
      <c r="AE40" s="207"/>
      <c r="AF40" s="208" t="str">
        <f>IF(ISBLANK(D40),"",VLOOKUP(F40,'SIZE CALCULATION'!$F:$G,2,0))</f>
        <v/>
      </c>
      <c r="AG40" s="207" t="str">
        <f t="shared" si="6"/>
        <v/>
      </c>
      <c r="AH40" s="207" t="str">
        <f t="shared" si="7"/>
        <v/>
      </c>
      <c r="AI40" s="210" t="str">
        <f>IF(ISBLANK(D40),"",VLOOKUP($A40,INDEX!$D$2:$F$13,3,0))</f>
        <v/>
      </c>
      <c r="AJ40" s="207" t="str">
        <f t="shared" si="8"/>
        <v/>
      </c>
      <c r="AK40" s="207"/>
      <c r="AL40" s="207"/>
      <c r="AM40" s="207" t="str">
        <f>IFERROR(IF(ISBLANK($D40),"",VLOOKUP($N40,'TABLE CHARGE RATE'!$A$30:$K$106,5,0)),"Check")</f>
        <v/>
      </c>
      <c r="AN40" s="207" t="str">
        <f>IFERROR(IF(ISBLANK($D40),"",VLOOKUP($N40,'TABLE CHARGE RATE'!$A$30:$K$106,6,0)),"Check")</f>
        <v/>
      </c>
      <c r="AO40" s="207" t="str">
        <f>IFERROR(IF(ISBLANK($D40),"",VLOOKUP($N40,'TABLE CHARGE RATE'!$A$30:$K$106,7,0)),"Check")</f>
        <v/>
      </c>
      <c r="AP40" s="207" t="str">
        <f>IFERROR(IF(ISBLANK($D40),"",VLOOKUP($N40,'TABLE CHARGE RATE'!$A$30:$K$106,8,0)),"Check")</f>
        <v/>
      </c>
      <c r="AQ40" s="207" t="str">
        <f>IFERROR(IF(ISBLANK($D40),"",VLOOKUP($N40,'TABLE CHARGE RATE'!$A$30:$K$106,9,0)),"Check")</f>
        <v/>
      </c>
      <c r="AR40" s="207" t="str">
        <f>IFERROR(IF(ISBLANK($D40),"",VLOOKUP($N40,'TABLE CHARGE RATE'!$A$30:$K$106,10,0)),"Check")</f>
        <v/>
      </c>
      <c r="AS40" s="207" t="str">
        <f>IFERROR(IF(ISBLANK($D40),"",VLOOKUP($N40,'TABLE CHARGE RATE'!$A$30:$K$106,11,0)),"Check")</f>
        <v/>
      </c>
      <c r="AT40" s="207">
        <f t="shared" si="9"/>
        <v>39</v>
      </c>
    </row>
    <row r="41" spans="1:46" x14ac:dyDescent="0.2">
      <c r="A41" s="207" t="str">
        <f t="shared" si="0"/>
        <v/>
      </c>
      <c r="B41" s="208" t="str">
        <f>IF(ISBLANK(D41),"",VLOOKUP(WEEKDAY($C41,1),INDEX!$J$2:$K$8,2,0))</f>
        <v/>
      </c>
      <c r="C41" s="209"/>
      <c r="D41" s="207"/>
      <c r="E41" s="207"/>
      <c r="F41" s="207"/>
      <c r="G41" s="207"/>
      <c r="H41" s="207"/>
      <c r="I41" s="207"/>
      <c r="J41" s="207"/>
      <c r="K41" s="207"/>
      <c r="L41" s="207"/>
      <c r="M41" s="207"/>
      <c r="N41" s="207"/>
      <c r="O41" s="207"/>
      <c r="P41" s="207"/>
      <c r="Q41" s="207"/>
      <c r="R41" s="207"/>
      <c r="S41" s="207"/>
      <c r="T41" s="207"/>
      <c r="U41" s="209"/>
      <c r="V41" s="207"/>
      <c r="W41" s="207"/>
      <c r="X41" s="209">
        <f t="shared" si="4"/>
        <v>0</v>
      </c>
      <c r="Y41" s="209">
        <f t="shared" si="5"/>
        <v>0</v>
      </c>
      <c r="Z41" s="207">
        <v>1</v>
      </c>
      <c r="AA41" s="209" t="str">
        <f t="shared" si="1"/>
        <v/>
      </c>
      <c r="AB41" s="209"/>
      <c r="AC41" s="207">
        <v>0</v>
      </c>
      <c r="AD41" s="207"/>
      <c r="AE41" s="207"/>
      <c r="AF41" s="208" t="str">
        <f>IF(ISBLANK(D41),"",VLOOKUP(F41,'SIZE CALCULATION'!$F:$G,2,0))</f>
        <v/>
      </c>
      <c r="AG41" s="207" t="str">
        <f t="shared" si="6"/>
        <v/>
      </c>
      <c r="AH41" s="207" t="str">
        <f t="shared" si="7"/>
        <v/>
      </c>
      <c r="AI41" s="210" t="str">
        <f>IF(ISBLANK(D41),"",VLOOKUP($A41,INDEX!$D$2:$F$13,3,0))</f>
        <v/>
      </c>
      <c r="AJ41" s="207" t="str">
        <f t="shared" si="8"/>
        <v/>
      </c>
      <c r="AK41" s="207"/>
      <c r="AL41" s="207"/>
      <c r="AM41" s="207" t="str">
        <f>IFERROR(IF(ISBLANK($D41),"",VLOOKUP($N41,'TABLE CHARGE RATE'!$A$30:$K$106,5,0)),"Check")</f>
        <v/>
      </c>
      <c r="AN41" s="207" t="str">
        <f>IFERROR(IF(ISBLANK($D41),"",VLOOKUP($N41,'TABLE CHARGE RATE'!$A$30:$K$106,6,0)),"Check")</f>
        <v/>
      </c>
      <c r="AO41" s="207" t="str">
        <f>IFERROR(IF(ISBLANK($D41),"",VLOOKUP($N41,'TABLE CHARGE RATE'!$A$30:$K$106,7,0)),"Check")</f>
        <v/>
      </c>
      <c r="AP41" s="207" t="str">
        <f>IFERROR(IF(ISBLANK($D41),"",VLOOKUP($N41,'TABLE CHARGE RATE'!$A$30:$K$106,8,0)),"Check")</f>
        <v/>
      </c>
      <c r="AQ41" s="207" t="str">
        <f>IFERROR(IF(ISBLANK($D41),"",VLOOKUP($N41,'TABLE CHARGE RATE'!$A$30:$K$106,9,0)),"Check")</f>
        <v/>
      </c>
      <c r="AR41" s="207" t="str">
        <f>IFERROR(IF(ISBLANK($D41),"",VLOOKUP($N41,'TABLE CHARGE RATE'!$A$30:$K$106,10,0)),"Check")</f>
        <v/>
      </c>
      <c r="AS41" s="207" t="str">
        <f>IFERROR(IF(ISBLANK($D41),"",VLOOKUP($N41,'TABLE CHARGE RATE'!$A$30:$K$106,11,0)),"Check")</f>
        <v/>
      </c>
      <c r="AT41" s="207">
        <f t="shared" si="9"/>
        <v>40</v>
      </c>
    </row>
    <row r="42" spans="1:46" x14ac:dyDescent="0.2">
      <c r="A42" s="207" t="str">
        <f t="shared" si="0"/>
        <v/>
      </c>
      <c r="B42" s="208" t="str">
        <f>IF(ISBLANK(D42),"",VLOOKUP(WEEKDAY($C42,1),INDEX!$J$2:$K$8,2,0))</f>
        <v/>
      </c>
      <c r="C42" s="209"/>
      <c r="D42" s="207"/>
      <c r="E42" s="207"/>
      <c r="F42" s="207"/>
      <c r="G42" s="207"/>
      <c r="H42" s="207"/>
      <c r="I42" s="207"/>
      <c r="J42" s="207"/>
      <c r="K42" s="207"/>
      <c r="L42" s="207"/>
      <c r="M42" s="207"/>
      <c r="N42" s="207"/>
      <c r="O42" s="207"/>
      <c r="P42" s="207"/>
      <c r="Q42" s="207"/>
      <c r="R42" s="207"/>
      <c r="S42" s="207"/>
      <c r="T42" s="207"/>
      <c r="U42" s="209"/>
      <c r="V42" s="207"/>
      <c r="W42" s="207"/>
      <c r="X42" s="209">
        <f t="shared" si="4"/>
        <v>0</v>
      </c>
      <c r="Y42" s="209">
        <f t="shared" si="5"/>
        <v>0</v>
      </c>
      <c r="Z42" s="207">
        <v>1</v>
      </c>
      <c r="AA42" s="209" t="str">
        <f t="shared" si="1"/>
        <v/>
      </c>
      <c r="AB42" s="209"/>
      <c r="AC42" s="207">
        <v>0</v>
      </c>
      <c r="AD42" s="207"/>
      <c r="AE42" s="207"/>
      <c r="AF42" s="208" t="str">
        <f>IF(ISBLANK(D42),"",VLOOKUP(F42,'SIZE CALCULATION'!$F:$G,2,0))</f>
        <v/>
      </c>
      <c r="AG42" s="207" t="str">
        <f t="shared" si="6"/>
        <v/>
      </c>
      <c r="AH42" s="207" t="str">
        <f t="shared" si="7"/>
        <v/>
      </c>
      <c r="AI42" s="210" t="str">
        <f>IF(ISBLANK(D42),"",VLOOKUP($A42,INDEX!$D$2:$F$13,3,0))</f>
        <v/>
      </c>
      <c r="AJ42" s="207" t="str">
        <f t="shared" si="8"/>
        <v/>
      </c>
      <c r="AK42" s="207"/>
      <c r="AL42" s="207"/>
      <c r="AM42" s="207" t="str">
        <f>IFERROR(IF(ISBLANK($D42),"",VLOOKUP($N42,'TABLE CHARGE RATE'!$A$30:$K$106,5,0)),"Check")</f>
        <v/>
      </c>
      <c r="AN42" s="207" t="str">
        <f>IFERROR(IF(ISBLANK($D42),"",VLOOKUP($N42,'TABLE CHARGE RATE'!$A$30:$K$106,6,0)),"Check")</f>
        <v/>
      </c>
      <c r="AO42" s="207" t="str">
        <f>IFERROR(IF(ISBLANK($D42),"",VLOOKUP($N42,'TABLE CHARGE RATE'!$A$30:$K$106,7,0)),"Check")</f>
        <v/>
      </c>
      <c r="AP42" s="207" t="str">
        <f>IFERROR(IF(ISBLANK($D42),"",VLOOKUP($N42,'TABLE CHARGE RATE'!$A$30:$K$106,8,0)),"Check")</f>
        <v/>
      </c>
      <c r="AQ42" s="207" t="str">
        <f>IFERROR(IF(ISBLANK($D42),"",VLOOKUP($N42,'TABLE CHARGE RATE'!$A$30:$K$106,9,0)),"Check")</f>
        <v/>
      </c>
      <c r="AR42" s="207" t="str">
        <f>IFERROR(IF(ISBLANK($D42),"",VLOOKUP($N42,'TABLE CHARGE RATE'!$A$30:$K$106,10,0)),"Check")</f>
        <v/>
      </c>
      <c r="AS42" s="207" t="str">
        <f>IFERROR(IF(ISBLANK($D42),"",VLOOKUP($N42,'TABLE CHARGE RATE'!$A$30:$K$106,11,0)),"Check")</f>
        <v/>
      </c>
      <c r="AT42" s="207">
        <f t="shared" si="9"/>
        <v>41</v>
      </c>
    </row>
    <row r="43" spans="1:46" x14ac:dyDescent="0.2">
      <c r="A43" s="207" t="str">
        <f t="shared" ref="A43:A61" si="10">IF(ISBLANK(D43),"",MONTH(C43))</f>
        <v/>
      </c>
      <c r="B43" s="208" t="str">
        <f>IF(ISBLANK(D43),"",VLOOKUP(WEEKDAY($C43,1),INDEX!$J$2:$K$8,2,0))</f>
        <v/>
      </c>
      <c r="C43" s="209"/>
      <c r="D43" s="207"/>
      <c r="E43" s="207"/>
      <c r="F43" s="207"/>
      <c r="G43" s="207"/>
      <c r="H43" s="207"/>
      <c r="I43" s="207"/>
      <c r="J43" s="207"/>
      <c r="K43" s="207"/>
      <c r="L43" s="207"/>
      <c r="M43" s="207"/>
      <c r="N43" s="207"/>
      <c r="O43" s="207"/>
      <c r="P43" s="207"/>
      <c r="Q43" s="207"/>
      <c r="R43" s="207"/>
      <c r="S43" s="207"/>
      <c r="T43" s="207"/>
      <c r="U43" s="209"/>
      <c r="V43" s="207"/>
      <c r="W43" s="207"/>
      <c r="X43" s="209">
        <f t="shared" si="4"/>
        <v>0</v>
      </c>
      <c r="Y43" s="209">
        <f t="shared" si="5"/>
        <v>0</v>
      </c>
      <c r="Z43" s="207">
        <v>1</v>
      </c>
      <c r="AA43" s="209" t="str">
        <f t="shared" si="1"/>
        <v/>
      </c>
      <c r="AB43" s="209"/>
      <c r="AC43" s="207">
        <v>0</v>
      </c>
      <c r="AD43" s="207"/>
      <c r="AE43" s="207"/>
      <c r="AF43" s="208" t="str">
        <f>IF(ISBLANK(D43),"",VLOOKUP(F43,'SIZE CALCULATION'!$F:$G,2,0))</f>
        <v/>
      </c>
      <c r="AG43" s="207" t="str">
        <f t="shared" si="6"/>
        <v/>
      </c>
      <c r="AH43" s="207" t="str">
        <f t="shared" si="7"/>
        <v/>
      </c>
      <c r="AI43" s="210" t="str">
        <f>IF(ISBLANK(D43),"",VLOOKUP($A43,INDEX!$D$2:$F$13,3,0))</f>
        <v/>
      </c>
      <c r="AJ43" s="207" t="str">
        <f t="shared" si="8"/>
        <v/>
      </c>
      <c r="AK43" s="207"/>
      <c r="AL43" s="207"/>
      <c r="AM43" s="207" t="str">
        <f>IFERROR(IF(ISBLANK($D43),"",VLOOKUP($N43,'TABLE CHARGE RATE'!$A$30:$K$106,5,0)),"Check")</f>
        <v/>
      </c>
      <c r="AN43" s="207" t="str">
        <f>IFERROR(IF(ISBLANK($D43),"",VLOOKUP($N43,'TABLE CHARGE RATE'!$A$30:$K$106,6,0)),"Check")</f>
        <v/>
      </c>
      <c r="AO43" s="207" t="str">
        <f>IFERROR(IF(ISBLANK($D43),"",VLOOKUP($N43,'TABLE CHARGE RATE'!$A$30:$K$106,7,0)),"Check")</f>
        <v/>
      </c>
      <c r="AP43" s="207" t="str">
        <f>IFERROR(IF(ISBLANK($D43),"",VLOOKUP($N43,'TABLE CHARGE RATE'!$A$30:$K$106,8,0)),"Check")</f>
        <v/>
      </c>
      <c r="AQ43" s="207" t="str">
        <f>IFERROR(IF(ISBLANK($D43),"",VLOOKUP($N43,'TABLE CHARGE RATE'!$A$30:$K$106,9,0)),"Check")</f>
        <v/>
      </c>
      <c r="AR43" s="207" t="str">
        <f>IFERROR(IF(ISBLANK($D43),"",VLOOKUP($N43,'TABLE CHARGE RATE'!$A$30:$K$106,10,0)),"Check")</f>
        <v/>
      </c>
      <c r="AS43" s="207" t="str">
        <f>IFERROR(IF(ISBLANK($D43),"",VLOOKUP($N43,'TABLE CHARGE RATE'!$A$30:$K$106,11,0)),"Check")</f>
        <v/>
      </c>
      <c r="AT43" s="207">
        <f t="shared" si="9"/>
        <v>42</v>
      </c>
    </row>
    <row r="44" spans="1:46" x14ac:dyDescent="0.2">
      <c r="A44" s="207" t="str">
        <f t="shared" si="10"/>
        <v/>
      </c>
      <c r="B44" s="208" t="str">
        <f>IF(ISBLANK(D44),"",VLOOKUP(WEEKDAY($C44,1),INDEX!$J$2:$K$8,2,0))</f>
        <v/>
      </c>
      <c r="C44" s="209"/>
      <c r="D44" s="207"/>
      <c r="E44" s="207"/>
      <c r="F44" s="207"/>
      <c r="G44" s="207"/>
      <c r="H44" s="207"/>
      <c r="I44" s="207"/>
      <c r="J44" s="207"/>
      <c r="K44" s="207"/>
      <c r="L44" s="207"/>
      <c r="M44" s="207"/>
      <c r="N44" s="207"/>
      <c r="O44" s="207"/>
      <c r="P44" s="207"/>
      <c r="Q44" s="207"/>
      <c r="R44" s="207"/>
      <c r="S44" s="207"/>
      <c r="T44" s="207"/>
      <c r="U44" s="209"/>
      <c r="V44" s="207"/>
      <c r="W44" s="207"/>
      <c r="X44" s="209">
        <f t="shared" si="4"/>
        <v>0</v>
      </c>
      <c r="Y44" s="209">
        <f t="shared" si="5"/>
        <v>0</v>
      </c>
      <c r="Z44" s="207">
        <v>1</v>
      </c>
      <c r="AA44" s="209" t="str">
        <f t="shared" si="1"/>
        <v/>
      </c>
      <c r="AB44" s="209"/>
      <c r="AC44" s="207">
        <v>0</v>
      </c>
      <c r="AD44" s="207"/>
      <c r="AE44" s="207"/>
      <c r="AF44" s="208" t="str">
        <f>IF(ISBLANK(D44),"",VLOOKUP(F44,'SIZE CALCULATION'!$F:$G,2,0))</f>
        <v/>
      </c>
      <c r="AG44" s="207" t="str">
        <f t="shared" si="6"/>
        <v/>
      </c>
      <c r="AH44" s="207" t="str">
        <f t="shared" si="7"/>
        <v/>
      </c>
      <c r="AI44" s="210" t="str">
        <f>IF(ISBLANK(D44),"",VLOOKUP($A44,INDEX!$D$2:$F$13,3,0))</f>
        <v/>
      </c>
      <c r="AJ44" s="207" t="str">
        <f t="shared" si="8"/>
        <v/>
      </c>
      <c r="AK44" s="207"/>
      <c r="AL44" s="207"/>
      <c r="AM44" s="207" t="str">
        <f>IFERROR(IF(ISBLANK($D44),"",VLOOKUP($N44,'TABLE CHARGE RATE'!$A$30:$K$106,5,0)),"Check")</f>
        <v/>
      </c>
      <c r="AN44" s="207" t="str">
        <f>IFERROR(IF(ISBLANK($D44),"",VLOOKUP($N44,'TABLE CHARGE RATE'!$A$30:$K$106,6,0)),"Check")</f>
        <v/>
      </c>
      <c r="AO44" s="207" t="str">
        <f>IFERROR(IF(ISBLANK($D44),"",VLOOKUP($N44,'TABLE CHARGE RATE'!$A$30:$K$106,7,0)),"Check")</f>
        <v/>
      </c>
      <c r="AP44" s="207" t="str">
        <f>IFERROR(IF(ISBLANK($D44),"",VLOOKUP($N44,'TABLE CHARGE RATE'!$A$30:$K$106,8,0)),"Check")</f>
        <v/>
      </c>
      <c r="AQ44" s="207" t="str">
        <f>IFERROR(IF(ISBLANK($D44),"",VLOOKUP($N44,'TABLE CHARGE RATE'!$A$30:$K$106,9,0)),"Check")</f>
        <v/>
      </c>
      <c r="AR44" s="207" t="str">
        <f>IFERROR(IF(ISBLANK($D44),"",VLOOKUP($N44,'TABLE CHARGE RATE'!$A$30:$K$106,10,0)),"Check")</f>
        <v/>
      </c>
      <c r="AS44" s="207" t="str">
        <f>IFERROR(IF(ISBLANK($D44),"",VLOOKUP($N44,'TABLE CHARGE RATE'!$A$30:$K$106,11,0)),"Check")</f>
        <v/>
      </c>
      <c r="AT44" s="207">
        <f t="shared" si="9"/>
        <v>43</v>
      </c>
    </row>
    <row r="45" spans="1:46" x14ac:dyDescent="0.2">
      <c r="A45" s="207" t="str">
        <f t="shared" si="10"/>
        <v/>
      </c>
      <c r="B45" s="208" t="str">
        <f>IF(ISBLANK(D45),"",VLOOKUP(WEEKDAY($C45,1),INDEX!$J$2:$K$8,2,0))</f>
        <v/>
      </c>
      <c r="C45" s="209"/>
      <c r="D45" s="207"/>
      <c r="E45" s="207"/>
      <c r="F45" s="207"/>
      <c r="G45" s="207"/>
      <c r="H45" s="207"/>
      <c r="I45" s="207"/>
      <c r="J45" s="207"/>
      <c r="K45" s="207"/>
      <c r="L45" s="207"/>
      <c r="M45" s="207"/>
      <c r="N45" s="207"/>
      <c r="O45" s="207"/>
      <c r="P45" s="207"/>
      <c r="Q45" s="207"/>
      <c r="R45" s="207"/>
      <c r="S45" s="207"/>
      <c r="T45" s="207"/>
      <c r="U45" s="209"/>
      <c r="V45" s="207"/>
      <c r="W45" s="207"/>
      <c r="X45" s="209">
        <f t="shared" si="4"/>
        <v>0</v>
      </c>
      <c r="Y45" s="209">
        <f t="shared" si="5"/>
        <v>0</v>
      </c>
      <c r="Z45" s="207">
        <v>1</v>
      </c>
      <c r="AA45" s="209" t="str">
        <f t="shared" si="1"/>
        <v/>
      </c>
      <c r="AB45" s="209"/>
      <c r="AC45" s="207">
        <v>0</v>
      </c>
      <c r="AD45" s="207"/>
      <c r="AE45" s="207"/>
      <c r="AF45" s="208" t="str">
        <f>IF(ISBLANK(D45),"",VLOOKUP(F45,'SIZE CALCULATION'!$F:$G,2,0))</f>
        <v/>
      </c>
      <c r="AG45" s="207" t="str">
        <f t="shared" si="6"/>
        <v/>
      </c>
      <c r="AH45" s="207" t="str">
        <f t="shared" si="7"/>
        <v/>
      </c>
      <c r="AI45" s="210" t="str">
        <f>IF(ISBLANK(D45),"",VLOOKUP($A45,INDEX!$D$2:$F$13,3,0))</f>
        <v/>
      </c>
      <c r="AJ45" s="207" t="str">
        <f t="shared" si="8"/>
        <v/>
      </c>
      <c r="AK45" s="207"/>
      <c r="AL45" s="207"/>
      <c r="AM45" s="207" t="str">
        <f>IFERROR(IF(ISBLANK($D45),"",VLOOKUP($N45,'TABLE CHARGE RATE'!$A$30:$K$106,5,0)),"Check")</f>
        <v/>
      </c>
      <c r="AN45" s="207" t="str">
        <f>IFERROR(IF(ISBLANK($D45),"",VLOOKUP($N45,'TABLE CHARGE RATE'!$A$30:$K$106,6,0)),"Check")</f>
        <v/>
      </c>
      <c r="AO45" s="207" t="str">
        <f>IFERROR(IF(ISBLANK($D45),"",VLOOKUP($N45,'TABLE CHARGE RATE'!$A$30:$K$106,7,0)),"Check")</f>
        <v/>
      </c>
      <c r="AP45" s="207" t="str">
        <f>IFERROR(IF(ISBLANK($D45),"",VLOOKUP($N45,'TABLE CHARGE RATE'!$A$30:$K$106,8,0)),"Check")</f>
        <v/>
      </c>
      <c r="AQ45" s="207" t="str">
        <f>IFERROR(IF(ISBLANK($D45),"",VLOOKUP($N45,'TABLE CHARGE RATE'!$A$30:$K$106,9,0)),"Check")</f>
        <v/>
      </c>
      <c r="AR45" s="207" t="str">
        <f>IFERROR(IF(ISBLANK($D45),"",VLOOKUP($N45,'TABLE CHARGE RATE'!$A$30:$K$106,10,0)),"Check")</f>
        <v/>
      </c>
      <c r="AS45" s="207" t="str">
        <f>IFERROR(IF(ISBLANK($D45),"",VLOOKUP($N45,'TABLE CHARGE RATE'!$A$30:$K$106,11,0)),"Check")</f>
        <v/>
      </c>
      <c r="AT45" s="207">
        <f t="shared" si="9"/>
        <v>44</v>
      </c>
    </row>
    <row r="46" spans="1:46" x14ac:dyDescent="0.2">
      <c r="A46" s="207" t="str">
        <f t="shared" si="10"/>
        <v/>
      </c>
      <c r="B46" s="208" t="str">
        <f>IF(ISBLANK(D46),"",VLOOKUP(WEEKDAY($C46,1),INDEX!$J$2:$K$8,2,0))</f>
        <v/>
      </c>
      <c r="C46" s="209"/>
      <c r="D46" s="207"/>
      <c r="E46" s="207"/>
      <c r="F46" s="207"/>
      <c r="G46" s="207"/>
      <c r="H46" s="207"/>
      <c r="I46" s="207"/>
      <c r="J46" s="207"/>
      <c r="K46" s="207"/>
      <c r="L46" s="207"/>
      <c r="M46" s="207"/>
      <c r="N46" s="207"/>
      <c r="O46" s="207"/>
      <c r="P46" s="207"/>
      <c r="Q46" s="207"/>
      <c r="R46" s="207"/>
      <c r="S46" s="207"/>
      <c r="T46" s="207"/>
      <c r="U46" s="209"/>
      <c r="V46" s="207"/>
      <c r="W46" s="207"/>
      <c r="X46" s="209">
        <f t="shared" si="4"/>
        <v>0</v>
      </c>
      <c r="Y46" s="209">
        <f t="shared" si="5"/>
        <v>0</v>
      </c>
      <c r="Z46" s="207">
        <v>1</v>
      </c>
      <c r="AA46" s="209" t="str">
        <f t="shared" si="1"/>
        <v/>
      </c>
      <c r="AB46" s="209"/>
      <c r="AC46" s="207">
        <v>0</v>
      </c>
      <c r="AD46" s="207"/>
      <c r="AE46" s="207"/>
      <c r="AF46" s="208" t="str">
        <f>IF(ISBLANK(D46),"",VLOOKUP(F46,'SIZE CALCULATION'!$F:$G,2,0))</f>
        <v/>
      </c>
      <c r="AG46" s="207" t="str">
        <f t="shared" si="6"/>
        <v/>
      </c>
      <c r="AH46" s="207" t="str">
        <f t="shared" si="7"/>
        <v/>
      </c>
      <c r="AI46" s="210" t="str">
        <f>IF(ISBLANK(D46),"",VLOOKUP($A46,INDEX!$D$2:$F$13,3,0))</f>
        <v/>
      </c>
      <c r="AJ46" s="207" t="str">
        <f t="shared" si="8"/>
        <v/>
      </c>
      <c r="AK46" s="207"/>
      <c r="AL46" s="207"/>
      <c r="AM46" s="207" t="str">
        <f>IFERROR(IF(ISBLANK($D46),"",VLOOKUP($N46,'TABLE CHARGE RATE'!$A$30:$K$106,5,0)),"Check")</f>
        <v/>
      </c>
      <c r="AN46" s="207" t="str">
        <f>IFERROR(IF(ISBLANK($D46),"",VLOOKUP($N46,'TABLE CHARGE RATE'!$A$30:$K$106,6,0)),"Check")</f>
        <v/>
      </c>
      <c r="AO46" s="207" t="str">
        <f>IFERROR(IF(ISBLANK($D46),"",VLOOKUP($N46,'TABLE CHARGE RATE'!$A$30:$K$106,7,0)),"Check")</f>
        <v/>
      </c>
      <c r="AP46" s="207" t="str">
        <f>IFERROR(IF(ISBLANK($D46),"",VLOOKUP($N46,'TABLE CHARGE RATE'!$A$30:$K$106,8,0)),"Check")</f>
        <v/>
      </c>
      <c r="AQ46" s="207" t="str">
        <f>IFERROR(IF(ISBLANK($D46),"",VLOOKUP($N46,'TABLE CHARGE RATE'!$A$30:$K$106,9,0)),"Check")</f>
        <v/>
      </c>
      <c r="AR46" s="207" t="str">
        <f>IFERROR(IF(ISBLANK($D46),"",VLOOKUP($N46,'TABLE CHARGE RATE'!$A$30:$K$106,10,0)),"Check")</f>
        <v/>
      </c>
      <c r="AS46" s="207" t="str">
        <f>IFERROR(IF(ISBLANK($D46),"",VLOOKUP($N46,'TABLE CHARGE RATE'!$A$30:$K$106,11,0)),"Check")</f>
        <v/>
      </c>
      <c r="AT46" s="207">
        <f t="shared" si="9"/>
        <v>45</v>
      </c>
    </row>
    <row r="47" spans="1:46" x14ac:dyDescent="0.2">
      <c r="A47" s="207" t="str">
        <f t="shared" ref="A47:A50" si="11">IF(ISBLANK(D47),"",MONTH(C47))</f>
        <v/>
      </c>
      <c r="B47" s="208" t="str">
        <f>IF(ISBLANK(D47),"",VLOOKUP(WEEKDAY($C47,1),INDEX!$J$2:$K$8,2,0))</f>
        <v/>
      </c>
      <c r="C47" s="209"/>
      <c r="D47" s="207"/>
      <c r="E47" s="207"/>
      <c r="F47" s="207"/>
      <c r="G47" s="207"/>
      <c r="H47" s="207"/>
      <c r="I47" s="207"/>
      <c r="J47" s="207"/>
      <c r="K47" s="207"/>
      <c r="L47" s="207"/>
      <c r="M47" s="207"/>
      <c r="N47" s="207"/>
      <c r="O47" s="207"/>
      <c r="P47" s="207"/>
      <c r="Q47" s="207"/>
      <c r="R47" s="207"/>
      <c r="S47" s="207"/>
      <c r="T47" s="207"/>
      <c r="U47" s="209"/>
      <c r="V47" s="207"/>
      <c r="W47" s="207"/>
      <c r="X47" s="209">
        <f t="shared" si="4"/>
        <v>0</v>
      </c>
      <c r="Y47" s="209">
        <f t="shared" si="5"/>
        <v>0</v>
      </c>
      <c r="Z47" s="207">
        <v>1</v>
      </c>
      <c r="AA47" s="209" t="str">
        <f t="shared" si="1"/>
        <v/>
      </c>
      <c r="AB47" s="209"/>
      <c r="AC47" s="207">
        <v>0</v>
      </c>
      <c r="AD47" s="207"/>
      <c r="AE47" s="207"/>
      <c r="AF47" s="208" t="str">
        <f>IF(ISBLANK(D47),"",VLOOKUP(F47,'SIZE CALCULATION'!$F:$G,2,0))</f>
        <v/>
      </c>
      <c r="AG47" s="207" t="str">
        <f t="shared" ref="AG47:AG49" si="12">IF(ISBLANK(D47),"",HLOOKUP($AF47,$AM$1:$AR$966,$AT47,0))</f>
        <v/>
      </c>
      <c r="AH47" s="207" t="str">
        <f t="shared" ref="AH47:AH49" si="13">IF(ISBLANK(D47),"",IFERROR(AG47*G47,0))</f>
        <v/>
      </c>
      <c r="AI47" s="210" t="str">
        <f>IF(ISBLANK(D47),"",VLOOKUP($A47,INDEX!$D$2:$F$13,3,0))</f>
        <v/>
      </c>
      <c r="AJ47" s="207" t="str">
        <f t="shared" ref="AJ47:AJ49" si="14">IF(ISBLANK(D47),"",AH47+(AH47*AI47))</f>
        <v/>
      </c>
      <c r="AK47" s="207"/>
      <c r="AL47" s="207"/>
      <c r="AM47" s="207" t="str">
        <f>IFERROR(IF(ISBLANK($D47),"",VLOOKUP($N47,'TABLE CHARGE RATE'!$A$30:$K$106,5,0)),"Check")</f>
        <v/>
      </c>
      <c r="AN47" s="207" t="str">
        <f>IFERROR(IF(ISBLANK($D47),"",VLOOKUP($N47,'TABLE CHARGE RATE'!$A$30:$K$106,6,0)),"Check")</f>
        <v/>
      </c>
      <c r="AO47" s="207" t="str">
        <f>IFERROR(IF(ISBLANK($D47),"",VLOOKUP($N47,'TABLE CHARGE RATE'!$A$30:$K$106,7,0)),"Check")</f>
        <v/>
      </c>
      <c r="AP47" s="207" t="str">
        <f>IFERROR(IF(ISBLANK($D47),"",VLOOKUP($N47,'TABLE CHARGE RATE'!$A$30:$K$106,8,0)),"Check")</f>
        <v/>
      </c>
      <c r="AQ47" s="207" t="str">
        <f>IFERROR(IF(ISBLANK($D47),"",VLOOKUP($N47,'TABLE CHARGE RATE'!$A$30:$K$106,9,0)),"Check")</f>
        <v/>
      </c>
      <c r="AR47" s="207" t="str">
        <f>IFERROR(IF(ISBLANK($D47),"",VLOOKUP($N47,'TABLE CHARGE RATE'!$A$30:$K$106,10,0)),"Check")</f>
        <v/>
      </c>
      <c r="AS47" s="207" t="str">
        <f>IFERROR(IF(ISBLANK($D47),"",VLOOKUP($N47,'TABLE CHARGE RATE'!$A$30:$K$106,11,0)),"Check")</f>
        <v/>
      </c>
      <c r="AT47" s="207">
        <f t="shared" si="9"/>
        <v>46</v>
      </c>
    </row>
    <row r="48" spans="1:46" x14ac:dyDescent="0.2">
      <c r="A48" s="207" t="str">
        <f t="shared" si="11"/>
        <v/>
      </c>
      <c r="B48" s="208" t="str">
        <f>IF(ISBLANK(D48),"",VLOOKUP(WEEKDAY($C48,1),INDEX!$J$2:$K$8,2,0))</f>
        <v/>
      </c>
      <c r="C48" s="209"/>
      <c r="D48" s="207"/>
      <c r="E48" s="207"/>
      <c r="F48" s="207"/>
      <c r="G48" s="207"/>
      <c r="H48" s="207"/>
      <c r="I48" s="207"/>
      <c r="J48" s="207"/>
      <c r="K48" s="207"/>
      <c r="L48" s="207"/>
      <c r="M48" s="207"/>
      <c r="N48" s="207"/>
      <c r="O48" s="207"/>
      <c r="P48" s="207"/>
      <c r="Q48" s="207"/>
      <c r="R48" s="207"/>
      <c r="S48" s="207"/>
      <c r="T48" s="207"/>
      <c r="U48" s="209"/>
      <c r="V48" s="207"/>
      <c r="W48" s="207"/>
      <c r="X48" s="209">
        <f t="shared" si="4"/>
        <v>0</v>
      </c>
      <c r="Y48" s="209">
        <f t="shared" si="5"/>
        <v>0</v>
      </c>
      <c r="Z48" s="207">
        <v>1</v>
      </c>
      <c r="AA48" s="209" t="str">
        <f t="shared" si="1"/>
        <v/>
      </c>
      <c r="AB48" s="209"/>
      <c r="AC48" s="207">
        <v>0</v>
      </c>
      <c r="AD48" s="207"/>
      <c r="AE48" s="207"/>
      <c r="AF48" s="208" t="str">
        <f>IF(ISBLANK(D48),"",VLOOKUP(F48,'SIZE CALCULATION'!$F:$G,2,0))</f>
        <v/>
      </c>
      <c r="AG48" s="207" t="str">
        <f t="shared" si="12"/>
        <v/>
      </c>
      <c r="AH48" s="207" t="str">
        <f t="shared" si="13"/>
        <v/>
      </c>
      <c r="AI48" s="210" t="str">
        <f>IF(ISBLANK(D48),"",VLOOKUP($A48,INDEX!$D$2:$F$13,3,0))</f>
        <v/>
      </c>
      <c r="AJ48" s="207" t="str">
        <f t="shared" si="14"/>
        <v/>
      </c>
      <c r="AK48" s="207"/>
      <c r="AL48" s="207"/>
      <c r="AM48" s="207" t="str">
        <f>IFERROR(IF(ISBLANK($D48),"",VLOOKUP($N48,'TABLE CHARGE RATE'!$A$30:$K$106,5,0)),"Check")</f>
        <v/>
      </c>
      <c r="AN48" s="207" t="str">
        <f>IFERROR(IF(ISBLANK($D48),"",VLOOKUP($N48,'TABLE CHARGE RATE'!$A$30:$K$106,6,0)),"Check")</f>
        <v/>
      </c>
      <c r="AO48" s="207" t="str">
        <f>IFERROR(IF(ISBLANK($D48),"",VLOOKUP($N48,'TABLE CHARGE RATE'!$A$30:$K$106,7,0)),"Check")</f>
        <v/>
      </c>
      <c r="AP48" s="207" t="str">
        <f>IFERROR(IF(ISBLANK($D48),"",VLOOKUP($N48,'TABLE CHARGE RATE'!$A$30:$K$106,8,0)),"Check")</f>
        <v/>
      </c>
      <c r="AQ48" s="207" t="str">
        <f>IFERROR(IF(ISBLANK($D48),"",VLOOKUP($N48,'TABLE CHARGE RATE'!$A$30:$K$106,9,0)),"Check")</f>
        <v/>
      </c>
      <c r="AR48" s="207" t="str">
        <f>IFERROR(IF(ISBLANK($D48),"",VLOOKUP($N48,'TABLE CHARGE RATE'!$A$30:$K$106,10,0)),"Check")</f>
        <v/>
      </c>
      <c r="AS48" s="207" t="str">
        <f>IFERROR(IF(ISBLANK($D48),"",VLOOKUP($N48,'TABLE CHARGE RATE'!$A$30:$K$106,11,0)),"Check")</f>
        <v/>
      </c>
      <c r="AT48" s="207">
        <f t="shared" si="9"/>
        <v>47</v>
      </c>
    </row>
    <row r="49" spans="1:46" x14ac:dyDescent="0.2">
      <c r="A49" s="207" t="str">
        <f t="shared" si="11"/>
        <v/>
      </c>
      <c r="B49" s="208" t="str">
        <f>IF(ISBLANK(D49),"",VLOOKUP(WEEKDAY($C49,1),INDEX!$J$2:$K$8,2,0))</f>
        <v/>
      </c>
      <c r="C49" s="209"/>
      <c r="D49" s="207"/>
      <c r="E49" s="207"/>
      <c r="F49" s="207"/>
      <c r="G49" s="207"/>
      <c r="H49" s="207"/>
      <c r="I49" s="207"/>
      <c r="J49" s="207"/>
      <c r="K49" s="207"/>
      <c r="L49" s="207"/>
      <c r="M49" s="207"/>
      <c r="N49" s="207"/>
      <c r="O49" s="207"/>
      <c r="P49" s="207"/>
      <c r="Q49" s="207"/>
      <c r="R49" s="207"/>
      <c r="S49" s="207"/>
      <c r="T49" s="207"/>
      <c r="U49" s="209"/>
      <c r="V49" s="207"/>
      <c r="W49" s="207"/>
      <c r="X49" s="209">
        <f t="shared" si="4"/>
        <v>0</v>
      </c>
      <c r="Y49" s="209">
        <f t="shared" si="5"/>
        <v>0</v>
      </c>
      <c r="Z49" s="207">
        <v>1</v>
      </c>
      <c r="AA49" s="209" t="str">
        <f t="shared" si="1"/>
        <v/>
      </c>
      <c r="AB49" s="209"/>
      <c r="AC49" s="207">
        <v>0</v>
      </c>
      <c r="AD49" s="207"/>
      <c r="AE49" s="207"/>
      <c r="AF49" s="208" t="str">
        <f>IF(ISBLANK(D49),"",VLOOKUP(F49,'SIZE CALCULATION'!$F:$G,2,0))</f>
        <v/>
      </c>
      <c r="AG49" s="207" t="str">
        <f t="shared" si="12"/>
        <v/>
      </c>
      <c r="AH49" s="207" t="str">
        <f t="shared" si="13"/>
        <v/>
      </c>
      <c r="AI49" s="210" t="str">
        <f>IF(ISBLANK(D49),"",VLOOKUP($A49,INDEX!$D$2:$F$13,3,0))</f>
        <v/>
      </c>
      <c r="AJ49" s="207" t="str">
        <f t="shared" si="14"/>
        <v/>
      </c>
      <c r="AK49" s="207"/>
      <c r="AL49" s="207"/>
      <c r="AM49" s="207" t="str">
        <f>IFERROR(IF(ISBLANK($D49),"",VLOOKUP($N49,'TABLE CHARGE RATE'!$A$30:$K$106,5,0)),"Check")</f>
        <v/>
      </c>
      <c r="AN49" s="207" t="str">
        <f>IFERROR(IF(ISBLANK($D49),"",VLOOKUP($N49,'TABLE CHARGE RATE'!$A$30:$K$106,6,0)),"Check")</f>
        <v/>
      </c>
      <c r="AO49" s="207" t="str">
        <f>IFERROR(IF(ISBLANK($D49),"",VLOOKUP($N49,'TABLE CHARGE RATE'!$A$30:$K$106,7,0)),"Check")</f>
        <v/>
      </c>
      <c r="AP49" s="207" t="str">
        <f>IFERROR(IF(ISBLANK($D49),"",VLOOKUP($N49,'TABLE CHARGE RATE'!$A$30:$K$106,8,0)),"Check")</f>
        <v/>
      </c>
      <c r="AQ49" s="207" t="str">
        <f>IFERROR(IF(ISBLANK($D49),"",VLOOKUP($N49,'TABLE CHARGE RATE'!$A$30:$K$106,9,0)),"Check")</f>
        <v/>
      </c>
      <c r="AR49" s="207" t="str">
        <f>IFERROR(IF(ISBLANK($D49),"",VLOOKUP($N49,'TABLE CHARGE RATE'!$A$30:$K$106,10,0)),"Check")</f>
        <v/>
      </c>
      <c r="AS49" s="207" t="str">
        <f>IFERROR(IF(ISBLANK($D49),"",VLOOKUP($N49,'TABLE CHARGE RATE'!$A$30:$K$106,11,0)),"Check")</f>
        <v/>
      </c>
      <c r="AT49" s="207">
        <f t="shared" si="9"/>
        <v>48</v>
      </c>
    </row>
    <row r="50" spans="1:46" x14ac:dyDescent="0.2">
      <c r="A50" s="207" t="str">
        <f t="shared" si="11"/>
        <v/>
      </c>
      <c r="B50" s="208" t="str">
        <f>IF(ISBLANK(D50),"",VLOOKUP(WEEKDAY($C50,1),INDEX!$J$2:$K$8,2,0))</f>
        <v/>
      </c>
      <c r="C50" s="209"/>
      <c r="D50" s="207"/>
      <c r="E50" s="207"/>
      <c r="F50" s="207"/>
      <c r="G50" s="207"/>
      <c r="H50" s="207"/>
      <c r="I50" s="207"/>
      <c r="J50" s="207"/>
      <c r="K50" s="207"/>
      <c r="L50" s="207"/>
      <c r="M50" s="207"/>
      <c r="N50" s="207"/>
      <c r="O50" s="207"/>
      <c r="P50" s="207"/>
      <c r="Q50" s="207"/>
      <c r="R50" s="207"/>
      <c r="S50" s="207"/>
      <c r="T50" s="207"/>
      <c r="U50" s="209"/>
      <c r="V50" s="207"/>
      <c r="W50" s="207"/>
      <c r="X50" s="209">
        <f t="shared" si="4"/>
        <v>0</v>
      </c>
      <c r="Y50" s="209">
        <f t="shared" si="5"/>
        <v>0</v>
      </c>
      <c r="Z50" s="207">
        <v>1</v>
      </c>
      <c r="AA50" s="209" t="str">
        <f t="shared" si="1"/>
        <v/>
      </c>
      <c r="AB50" s="209"/>
      <c r="AC50" s="207">
        <v>0</v>
      </c>
      <c r="AD50" s="207"/>
      <c r="AE50" s="207"/>
      <c r="AF50" s="208" t="str">
        <f>IF(ISBLANK(D50),"",VLOOKUP(F50,'SIZE CALCULATION'!$F:$G,2,0))</f>
        <v/>
      </c>
      <c r="AG50" s="207" t="str">
        <f t="shared" ref="AG50" si="15">IF(ISBLANK(D50),"",HLOOKUP($AF50,$AM$1:$AR$966,$AT50,0))</f>
        <v/>
      </c>
      <c r="AH50" s="207" t="str">
        <f t="shared" si="7"/>
        <v/>
      </c>
      <c r="AI50" s="210" t="str">
        <f>IF(ISBLANK(D50),"",VLOOKUP($A50,INDEX!$D$2:$F$13,3,0))</f>
        <v/>
      </c>
      <c r="AJ50" s="207" t="str">
        <f t="shared" si="8"/>
        <v/>
      </c>
      <c r="AK50" s="207"/>
      <c r="AL50" s="207"/>
      <c r="AM50" s="207" t="str">
        <f>IFERROR(IF(ISBLANK($D50),"",VLOOKUP($N50,'TABLE CHARGE RATE'!$A$30:$K$106,5,0)),"Check")</f>
        <v/>
      </c>
      <c r="AN50" s="207" t="str">
        <f>IFERROR(IF(ISBLANK($D50),"",VLOOKUP($N50,'TABLE CHARGE RATE'!$A$30:$K$106,6,0)),"Check")</f>
        <v/>
      </c>
      <c r="AO50" s="207" t="str">
        <f>IFERROR(IF(ISBLANK($D50),"",VLOOKUP($N50,'TABLE CHARGE RATE'!$A$30:$K$106,7,0)),"Check")</f>
        <v/>
      </c>
      <c r="AP50" s="207" t="str">
        <f>IFERROR(IF(ISBLANK($D50),"",VLOOKUP($N50,'TABLE CHARGE RATE'!$A$30:$K$106,8,0)),"Check")</f>
        <v/>
      </c>
      <c r="AQ50" s="207" t="str">
        <f>IFERROR(IF(ISBLANK($D50),"",VLOOKUP($N50,'TABLE CHARGE RATE'!$A$30:$K$106,9,0)),"Check")</f>
        <v/>
      </c>
      <c r="AR50" s="207" t="str">
        <f>IFERROR(IF(ISBLANK($D50),"",VLOOKUP($N50,'TABLE CHARGE RATE'!$A$30:$K$106,10,0)),"Check")</f>
        <v/>
      </c>
      <c r="AS50" s="207" t="str">
        <f>IFERROR(IF(ISBLANK($D50),"",VLOOKUP($N50,'TABLE CHARGE RATE'!$A$30:$K$106,11,0)),"Check")</f>
        <v/>
      </c>
      <c r="AT50" s="207">
        <f t="shared" si="9"/>
        <v>49</v>
      </c>
    </row>
    <row r="51" spans="1:46" x14ac:dyDescent="0.2">
      <c r="A51" s="207" t="str">
        <f t="shared" si="10"/>
        <v/>
      </c>
      <c r="B51" s="208" t="str">
        <f>IF(ISBLANK(D51),"",VLOOKUP(WEEKDAY($C51,1),INDEX!$J$2:$K$8,2,0))</f>
        <v/>
      </c>
      <c r="C51" s="209"/>
      <c r="D51" s="207"/>
      <c r="E51" s="207"/>
      <c r="F51" s="207"/>
      <c r="G51" s="207"/>
      <c r="H51" s="207"/>
      <c r="I51" s="207"/>
      <c r="J51" s="207"/>
      <c r="K51" s="207"/>
      <c r="L51" s="207"/>
      <c r="M51" s="207"/>
      <c r="N51" s="207"/>
      <c r="O51" s="207"/>
      <c r="P51" s="207"/>
      <c r="Q51" s="207"/>
      <c r="R51" s="207"/>
      <c r="S51" s="207"/>
      <c r="T51" s="207"/>
      <c r="U51" s="209"/>
      <c r="V51" s="207"/>
      <c r="W51" s="207"/>
      <c r="X51" s="209">
        <f t="shared" si="4"/>
        <v>0</v>
      </c>
      <c r="Y51" s="209">
        <f t="shared" si="5"/>
        <v>0</v>
      </c>
      <c r="Z51" s="207">
        <v>1</v>
      </c>
      <c r="AA51" s="209" t="str">
        <f t="shared" si="1"/>
        <v/>
      </c>
      <c r="AB51" s="209"/>
      <c r="AC51" s="207">
        <v>0</v>
      </c>
      <c r="AD51" s="207"/>
      <c r="AE51" s="207"/>
      <c r="AF51" s="208" t="str">
        <f>IF(ISBLANK(D51),"",VLOOKUP(F51,'SIZE CALCULATION'!$F:$G,2,0))</f>
        <v/>
      </c>
      <c r="AG51" s="207" t="str">
        <f t="shared" ref="AG51:AG114" si="16">IF(ISBLANK(D51),"",HLOOKUP($AF51,$AM$1:$AR$966,$AT51,0))</f>
        <v/>
      </c>
      <c r="AH51" s="207" t="str">
        <f t="shared" si="7"/>
        <v/>
      </c>
      <c r="AI51" s="210" t="str">
        <f>IF(ISBLANK(D51),"",VLOOKUP($A51,INDEX!$D$2:$F$13,3,0))</f>
        <v/>
      </c>
      <c r="AJ51" s="207" t="str">
        <f t="shared" si="8"/>
        <v/>
      </c>
      <c r="AK51" s="207"/>
      <c r="AL51" s="207"/>
      <c r="AM51" s="207" t="str">
        <f>IFERROR(IF(ISBLANK($D51),"",VLOOKUP($N51,'TABLE CHARGE RATE'!$A$30:$K$106,5,0)),"Check")</f>
        <v/>
      </c>
      <c r="AN51" s="207" t="str">
        <f>IFERROR(IF(ISBLANK($D51),"",VLOOKUP($N51,'TABLE CHARGE RATE'!$A$30:$K$106,6,0)),"Check")</f>
        <v/>
      </c>
      <c r="AO51" s="207" t="str">
        <f>IFERROR(IF(ISBLANK($D51),"",VLOOKUP($N51,'TABLE CHARGE RATE'!$A$30:$K$106,7,0)),"Check")</f>
        <v/>
      </c>
      <c r="AP51" s="207" t="str">
        <f>IFERROR(IF(ISBLANK($D51),"",VLOOKUP($N51,'TABLE CHARGE RATE'!$A$30:$K$106,8,0)),"Check")</f>
        <v/>
      </c>
      <c r="AQ51" s="207" t="str">
        <f>IFERROR(IF(ISBLANK($D51),"",VLOOKUP($N51,'TABLE CHARGE RATE'!$A$30:$K$106,9,0)),"Check")</f>
        <v/>
      </c>
      <c r="AR51" s="207" t="str">
        <f>IFERROR(IF(ISBLANK($D51),"",VLOOKUP($N51,'TABLE CHARGE RATE'!$A$30:$K$106,10,0)),"Check")</f>
        <v/>
      </c>
      <c r="AS51" s="207" t="str">
        <f>IFERROR(IF(ISBLANK($D51),"",VLOOKUP($N51,'TABLE CHARGE RATE'!$A$30:$K$106,11,0)),"Check")</f>
        <v/>
      </c>
      <c r="AT51" s="207">
        <f t="shared" si="9"/>
        <v>50</v>
      </c>
    </row>
    <row r="52" spans="1:46" x14ac:dyDescent="0.2">
      <c r="A52" s="207" t="str">
        <f t="shared" si="10"/>
        <v/>
      </c>
      <c r="B52" s="208" t="str">
        <f>IF(ISBLANK(D52),"",VLOOKUP(WEEKDAY($C52,1),INDEX!$J$2:$K$8,2,0))</f>
        <v/>
      </c>
      <c r="C52" s="209"/>
      <c r="D52" s="207"/>
      <c r="E52" s="207"/>
      <c r="F52" s="207"/>
      <c r="G52" s="207"/>
      <c r="H52" s="207"/>
      <c r="I52" s="207"/>
      <c r="J52" s="207"/>
      <c r="K52" s="207"/>
      <c r="L52" s="207"/>
      <c r="M52" s="207"/>
      <c r="N52" s="207"/>
      <c r="O52" s="207"/>
      <c r="P52" s="207"/>
      <c r="Q52" s="207"/>
      <c r="R52" s="207"/>
      <c r="S52" s="207"/>
      <c r="T52" s="207"/>
      <c r="U52" s="209"/>
      <c r="V52" s="207"/>
      <c r="W52" s="207"/>
      <c r="X52" s="209">
        <f t="shared" si="4"/>
        <v>0</v>
      </c>
      <c r="Y52" s="209">
        <f t="shared" si="5"/>
        <v>0</v>
      </c>
      <c r="Z52" s="207">
        <v>1</v>
      </c>
      <c r="AA52" s="209" t="str">
        <f t="shared" si="1"/>
        <v/>
      </c>
      <c r="AB52" s="209"/>
      <c r="AC52" s="207">
        <v>0</v>
      </c>
      <c r="AD52" s="207"/>
      <c r="AE52" s="207"/>
      <c r="AF52" s="208" t="str">
        <f>IF(ISBLANK(D52),"",VLOOKUP(F52,'SIZE CALCULATION'!$F:$G,2,0))</f>
        <v/>
      </c>
      <c r="AG52" s="207" t="str">
        <f t="shared" si="16"/>
        <v/>
      </c>
      <c r="AH52" s="207" t="str">
        <f t="shared" si="7"/>
        <v/>
      </c>
      <c r="AI52" s="210" t="str">
        <f>IF(ISBLANK(D52),"",VLOOKUP($A52,INDEX!$D$2:$F$13,3,0))</f>
        <v/>
      </c>
      <c r="AJ52" s="207" t="str">
        <f t="shared" si="8"/>
        <v/>
      </c>
      <c r="AK52" s="207"/>
      <c r="AL52" s="207"/>
      <c r="AM52" s="207" t="str">
        <f>IFERROR(IF(ISBLANK($D52),"",VLOOKUP($N52,'TABLE CHARGE RATE'!$A$30:$K$106,5,0)),"Check")</f>
        <v/>
      </c>
      <c r="AN52" s="207" t="str">
        <f>IFERROR(IF(ISBLANK($D52),"",VLOOKUP($N52,'TABLE CHARGE RATE'!$A$30:$K$106,6,0)),"Check")</f>
        <v/>
      </c>
      <c r="AO52" s="207" t="str">
        <f>IFERROR(IF(ISBLANK($D52),"",VLOOKUP($N52,'TABLE CHARGE RATE'!$A$30:$K$106,7,0)),"Check")</f>
        <v/>
      </c>
      <c r="AP52" s="207" t="str">
        <f>IFERROR(IF(ISBLANK($D52),"",VLOOKUP($N52,'TABLE CHARGE RATE'!$A$30:$K$106,8,0)),"Check")</f>
        <v/>
      </c>
      <c r="AQ52" s="207" t="str">
        <f>IFERROR(IF(ISBLANK($D52),"",VLOOKUP($N52,'TABLE CHARGE RATE'!$A$30:$K$106,9,0)),"Check")</f>
        <v/>
      </c>
      <c r="AR52" s="207" t="str">
        <f>IFERROR(IF(ISBLANK($D52),"",VLOOKUP($N52,'TABLE CHARGE RATE'!$A$30:$K$106,10,0)),"Check")</f>
        <v/>
      </c>
      <c r="AS52" s="207" t="str">
        <f>IFERROR(IF(ISBLANK($D52),"",VLOOKUP($N52,'TABLE CHARGE RATE'!$A$30:$K$106,11,0)),"Check")</f>
        <v/>
      </c>
      <c r="AT52" s="207">
        <f t="shared" si="9"/>
        <v>51</v>
      </c>
    </row>
    <row r="53" spans="1:46" x14ac:dyDescent="0.2">
      <c r="A53" s="207" t="str">
        <f t="shared" si="10"/>
        <v/>
      </c>
      <c r="B53" s="208" t="str">
        <f>IF(ISBLANK(D53),"",VLOOKUP(WEEKDAY($C53,1),INDEX!$J$2:$K$8,2,0))</f>
        <v/>
      </c>
      <c r="C53" s="209"/>
      <c r="D53" s="207"/>
      <c r="E53" s="207"/>
      <c r="F53" s="207"/>
      <c r="G53" s="207"/>
      <c r="H53" s="207"/>
      <c r="I53" s="207"/>
      <c r="J53" s="207"/>
      <c r="K53" s="207"/>
      <c r="L53" s="207"/>
      <c r="M53" s="207"/>
      <c r="N53" s="207"/>
      <c r="O53" s="207"/>
      <c r="P53" s="207"/>
      <c r="Q53" s="207"/>
      <c r="R53" s="207"/>
      <c r="S53" s="207"/>
      <c r="T53" s="207"/>
      <c r="U53" s="209"/>
      <c r="V53" s="207"/>
      <c r="W53" s="207"/>
      <c r="X53" s="209">
        <f t="shared" si="4"/>
        <v>0</v>
      </c>
      <c r="Y53" s="209">
        <f t="shared" si="5"/>
        <v>0</v>
      </c>
      <c r="Z53" s="207">
        <v>1</v>
      </c>
      <c r="AA53" s="209" t="str">
        <f t="shared" si="1"/>
        <v/>
      </c>
      <c r="AB53" s="209"/>
      <c r="AC53" s="207">
        <v>0</v>
      </c>
      <c r="AD53" s="207"/>
      <c r="AE53" s="207"/>
      <c r="AF53" s="208" t="str">
        <f>IF(ISBLANK(D53),"",VLOOKUP(F53,'SIZE CALCULATION'!$F:$G,2,0))</f>
        <v/>
      </c>
      <c r="AG53" s="207" t="str">
        <f t="shared" si="16"/>
        <v/>
      </c>
      <c r="AH53" s="207" t="str">
        <f t="shared" si="7"/>
        <v/>
      </c>
      <c r="AI53" s="210" t="str">
        <f>IF(ISBLANK(D53),"",VLOOKUP($A53,INDEX!$D$2:$F$13,3,0))</f>
        <v/>
      </c>
      <c r="AJ53" s="207" t="str">
        <f t="shared" si="8"/>
        <v/>
      </c>
      <c r="AK53" s="207"/>
      <c r="AL53" s="207"/>
      <c r="AM53" s="207" t="str">
        <f>IFERROR(IF(ISBLANK($D53),"",VLOOKUP($N53,'TABLE CHARGE RATE'!$A$30:$K$106,5,0)),"Check")</f>
        <v/>
      </c>
      <c r="AN53" s="207" t="str">
        <f>IFERROR(IF(ISBLANK($D53),"",VLOOKUP($N53,'TABLE CHARGE RATE'!$A$30:$K$106,6,0)),"Check")</f>
        <v/>
      </c>
      <c r="AO53" s="207" t="str">
        <f>IFERROR(IF(ISBLANK($D53),"",VLOOKUP($N53,'TABLE CHARGE RATE'!$A$30:$K$106,7,0)),"Check")</f>
        <v/>
      </c>
      <c r="AP53" s="207" t="str">
        <f>IFERROR(IF(ISBLANK($D53),"",VLOOKUP($N53,'TABLE CHARGE RATE'!$A$30:$K$106,8,0)),"Check")</f>
        <v/>
      </c>
      <c r="AQ53" s="207" t="str">
        <f>IFERROR(IF(ISBLANK($D53),"",VLOOKUP($N53,'TABLE CHARGE RATE'!$A$30:$K$106,9,0)),"Check")</f>
        <v/>
      </c>
      <c r="AR53" s="207" t="str">
        <f>IFERROR(IF(ISBLANK($D53),"",VLOOKUP($N53,'TABLE CHARGE RATE'!$A$30:$K$106,10,0)),"Check")</f>
        <v/>
      </c>
      <c r="AS53" s="207" t="str">
        <f>IFERROR(IF(ISBLANK($D53),"",VLOOKUP($N53,'TABLE CHARGE RATE'!$A$30:$K$106,11,0)),"Check")</f>
        <v/>
      </c>
      <c r="AT53" s="207">
        <f t="shared" si="9"/>
        <v>52</v>
      </c>
    </row>
    <row r="54" spans="1:46" x14ac:dyDescent="0.2">
      <c r="A54" s="207" t="str">
        <f t="shared" si="10"/>
        <v/>
      </c>
      <c r="B54" s="208" t="str">
        <f>IF(ISBLANK(D54),"",VLOOKUP(WEEKDAY($C54,1),INDEX!$J$2:$K$8,2,0))</f>
        <v/>
      </c>
      <c r="C54" s="209"/>
      <c r="D54" s="207"/>
      <c r="E54" s="207"/>
      <c r="F54" s="207"/>
      <c r="G54" s="207"/>
      <c r="H54" s="207"/>
      <c r="I54" s="207"/>
      <c r="J54" s="207"/>
      <c r="K54" s="207"/>
      <c r="L54" s="207"/>
      <c r="M54" s="207"/>
      <c r="N54" s="207"/>
      <c r="O54" s="207"/>
      <c r="P54" s="207"/>
      <c r="Q54" s="207"/>
      <c r="R54" s="207"/>
      <c r="S54" s="207"/>
      <c r="T54" s="207"/>
      <c r="U54" s="209"/>
      <c r="V54" s="207"/>
      <c r="W54" s="207"/>
      <c r="X54" s="209">
        <f t="shared" si="4"/>
        <v>0</v>
      </c>
      <c r="Y54" s="209">
        <f t="shared" si="5"/>
        <v>0</v>
      </c>
      <c r="Z54" s="207">
        <v>1</v>
      </c>
      <c r="AA54" s="209" t="str">
        <f t="shared" si="1"/>
        <v/>
      </c>
      <c r="AB54" s="209"/>
      <c r="AC54" s="207">
        <v>0</v>
      </c>
      <c r="AD54" s="207"/>
      <c r="AE54" s="207"/>
      <c r="AF54" s="208" t="str">
        <f>IF(ISBLANK(D54),"",VLOOKUP(F54,'SIZE CALCULATION'!$F:$G,2,0))</f>
        <v/>
      </c>
      <c r="AG54" s="207" t="str">
        <f t="shared" si="16"/>
        <v/>
      </c>
      <c r="AH54" s="207" t="str">
        <f t="shared" si="7"/>
        <v/>
      </c>
      <c r="AI54" s="210" t="str">
        <f>IF(ISBLANK(D54),"",VLOOKUP($A54,INDEX!$D$2:$F$13,3,0))</f>
        <v/>
      </c>
      <c r="AJ54" s="207" t="str">
        <f t="shared" si="8"/>
        <v/>
      </c>
      <c r="AK54" s="207"/>
      <c r="AL54" s="207"/>
      <c r="AM54" s="207" t="str">
        <f>IFERROR(IF(ISBLANK($D54),"",VLOOKUP($N54,'TABLE CHARGE RATE'!$A$30:$K$106,5,0)),"Check")</f>
        <v/>
      </c>
      <c r="AN54" s="207" t="str">
        <f>IFERROR(IF(ISBLANK($D54),"",VLOOKUP($N54,'TABLE CHARGE RATE'!$A$30:$K$106,6,0)),"Check")</f>
        <v/>
      </c>
      <c r="AO54" s="207" t="str">
        <f>IFERROR(IF(ISBLANK($D54),"",VLOOKUP($N54,'TABLE CHARGE RATE'!$A$30:$K$106,7,0)),"Check")</f>
        <v/>
      </c>
      <c r="AP54" s="207" t="str">
        <f>IFERROR(IF(ISBLANK($D54),"",VLOOKUP($N54,'TABLE CHARGE RATE'!$A$30:$K$106,8,0)),"Check")</f>
        <v/>
      </c>
      <c r="AQ54" s="207" t="str">
        <f>IFERROR(IF(ISBLANK($D54),"",VLOOKUP($N54,'TABLE CHARGE RATE'!$A$30:$K$106,9,0)),"Check")</f>
        <v/>
      </c>
      <c r="AR54" s="207" t="str">
        <f>IFERROR(IF(ISBLANK($D54),"",VLOOKUP($N54,'TABLE CHARGE RATE'!$A$30:$K$106,10,0)),"Check")</f>
        <v/>
      </c>
      <c r="AS54" s="207" t="str">
        <f>IFERROR(IF(ISBLANK($D54),"",VLOOKUP($N54,'TABLE CHARGE RATE'!$A$30:$K$106,11,0)),"Check")</f>
        <v/>
      </c>
      <c r="AT54" s="207">
        <f t="shared" si="9"/>
        <v>53</v>
      </c>
    </row>
    <row r="55" spans="1:46" x14ac:dyDescent="0.2">
      <c r="A55" s="207" t="str">
        <f t="shared" si="10"/>
        <v/>
      </c>
      <c r="B55" s="208" t="str">
        <f>IF(ISBLANK(D55),"",VLOOKUP(WEEKDAY($C55,1),INDEX!$J$2:$K$8,2,0))</f>
        <v/>
      </c>
      <c r="C55" s="209"/>
      <c r="D55" s="207"/>
      <c r="E55" s="207"/>
      <c r="F55" s="207"/>
      <c r="G55" s="207"/>
      <c r="H55" s="207"/>
      <c r="I55" s="207"/>
      <c r="J55" s="207"/>
      <c r="K55" s="207"/>
      <c r="L55" s="207"/>
      <c r="M55" s="207"/>
      <c r="N55" s="207"/>
      <c r="O55" s="207"/>
      <c r="P55" s="207"/>
      <c r="Q55" s="207"/>
      <c r="R55" s="207"/>
      <c r="S55" s="207"/>
      <c r="T55" s="207"/>
      <c r="U55" s="209"/>
      <c r="V55" s="207"/>
      <c r="W55" s="207"/>
      <c r="X55" s="209">
        <f t="shared" si="4"/>
        <v>0</v>
      </c>
      <c r="Y55" s="209">
        <f t="shared" si="5"/>
        <v>0</v>
      </c>
      <c r="Z55" s="207">
        <v>1</v>
      </c>
      <c r="AA55" s="209" t="str">
        <f t="shared" si="1"/>
        <v/>
      </c>
      <c r="AB55" s="209"/>
      <c r="AC55" s="207">
        <v>0</v>
      </c>
      <c r="AD55" s="207"/>
      <c r="AE55" s="207"/>
      <c r="AF55" s="208" t="str">
        <f>IF(ISBLANK(D55),"",VLOOKUP(F55,'SIZE CALCULATION'!$F:$G,2,0))</f>
        <v/>
      </c>
      <c r="AG55" s="207" t="str">
        <f t="shared" si="16"/>
        <v/>
      </c>
      <c r="AH55" s="207" t="str">
        <f t="shared" si="7"/>
        <v/>
      </c>
      <c r="AI55" s="210" t="str">
        <f>IF(ISBLANK(D55),"",VLOOKUP($A55,INDEX!$D$2:$F$13,3,0))</f>
        <v/>
      </c>
      <c r="AJ55" s="207" t="str">
        <f t="shared" si="8"/>
        <v/>
      </c>
      <c r="AK55" s="207"/>
      <c r="AL55" s="207"/>
      <c r="AM55" s="207" t="str">
        <f>IFERROR(IF(ISBLANK($D55),"",VLOOKUP($N55,'TABLE CHARGE RATE'!$A$30:$K$106,5,0)),"Check")</f>
        <v/>
      </c>
      <c r="AN55" s="207" t="str">
        <f>IFERROR(IF(ISBLANK($D55),"",VLOOKUP($N55,'TABLE CHARGE RATE'!$A$30:$K$106,6,0)),"Check")</f>
        <v/>
      </c>
      <c r="AO55" s="207" t="str">
        <f>IFERROR(IF(ISBLANK($D55),"",VLOOKUP($N55,'TABLE CHARGE RATE'!$A$30:$K$106,7,0)),"Check")</f>
        <v/>
      </c>
      <c r="AP55" s="207" t="str">
        <f>IFERROR(IF(ISBLANK($D55),"",VLOOKUP($N55,'TABLE CHARGE RATE'!$A$30:$K$106,8,0)),"Check")</f>
        <v/>
      </c>
      <c r="AQ55" s="207" t="str">
        <f>IFERROR(IF(ISBLANK($D55),"",VLOOKUP($N55,'TABLE CHARGE RATE'!$A$30:$K$106,9,0)),"Check")</f>
        <v/>
      </c>
      <c r="AR55" s="207" t="str">
        <f>IFERROR(IF(ISBLANK($D55),"",VLOOKUP($N55,'TABLE CHARGE RATE'!$A$30:$K$106,10,0)),"Check")</f>
        <v/>
      </c>
      <c r="AS55" s="207" t="str">
        <f>IFERROR(IF(ISBLANK($D55),"",VLOOKUP($N55,'TABLE CHARGE RATE'!$A$30:$K$106,11,0)),"Check")</f>
        <v/>
      </c>
      <c r="AT55" s="207">
        <f t="shared" si="9"/>
        <v>54</v>
      </c>
    </row>
    <row r="56" spans="1:46" x14ac:dyDescent="0.2">
      <c r="A56" s="207" t="str">
        <f t="shared" si="10"/>
        <v/>
      </c>
      <c r="B56" s="208" t="str">
        <f>IF(ISBLANK(D56),"",VLOOKUP(WEEKDAY($C56,1),INDEX!$J$2:$K$8,2,0))</f>
        <v/>
      </c>
      <c r="C56" s="209"/>
      <c r="D56" s="207"/>
      <c r="E56" s="207"/>
      <c r="F56" s="207"/>
      <c r="G56" s="207"/>
      <c r="H56" s="207"/>
      <c r="I56" s="207"/>
      <c r="J56" s="207"/>
      <c r="K56" s="207"/>
      <c r="L56" s="207"/>
      <c r="M56" s="207"/>
      <c r="N56" s="207"/>
      <c r="O56" s="207"/>
      <c r="P56" s="207"/>
      <c r="Q56" s="207"/>
      <c r="R56" s="207"/>
      <c r="S56" s="207"/>
      <c r="T56" s="207"/>
      <c r="U56" s="209"/>
      <c r="V56" s="207"/>
      <c r="W56" s="207"/>
      <c r="X56" s="209">
        <f t="shared" si="4"/>
        <v>0</v>
      </c>
      <c r="Y56" s="209">
        <f t="shared" si="5"/>
        <v>0</v>
      </c>
      <c r="Z56" s="207">
        <v>1</v>
      </c>
      <c r="AA56" s="209" t="str">
        <f t="shared" si="1"/>
        <v/>
      </c>
      <c r="AB56" s="209"/>
      <c r="AC56" s="207">
        <v>0</v>
      </c>
      <c r="AD56" s="207"/>
      <c r="AE56" s="207"/>
      <c r="AF56" s="208" t="str">
        <f>IF(ISBLANK(D56),"",VLOOKUP(F56,'SIZE CALCULATION'!$F:$G,2,0))</f>
        <v/>
      </c>
      <c r="AG56" s="207" t="str">
        <f t="shared" si="16"/>
        <v/>
      </c>
      <c r="AH56" s="207" t="str">
        <f t="shared" si="7"/>
        <v/>
      </c>
      <c r="AI56" s="210" t="str">
        <f>IF(ISBLANK(D56),"",VLOOKUP($A56,INDEX!$D$2:$F$13,3,0))</f>
        <v/>
      </c>
      <c r="AJ56" s="207" t="str">
        <f t="shared" si="8"/>
        <v/>
      </c>
      <c r="AK56" s="207"/>
      <c r="AL56" s="207"/>
      <c r="AM56" s="207" t="str">
        <f>IFERROR(IF(ISBLANK($D56),"",VLOOKUP($N56,'TABLE CHARGE RATE'!$A$30:$K$106,5,0)),"Check")</f>
        <v/>
      </c>
      <c r="AN56" s="207" t="str">
        <f>IFERROR(IF(ISBLANK($D56),"",VLOOKUP($N56,'TABLE CHARGE RATE'!$A$30:$K$106,6,0)),"Check")</f>
        <v/>
      </c>
      <c r="AO56" s="207" t="str">
        <f>IFERROR(IF(ISBLANK($D56),"",VLOOKUP($N56,'TABLE CHARGE RATE'!$A$30:$K$106,7,0)),"Check")</f>
        <v/>
      </c>
      <c r="AP56" s="207" t="str">
        <f>IFERROR(IF(ISBLANK($D56),"",VLOOKUP($N56,'TABLE CHARGE RATE'!$A$30:$K$106,8,0)),"Check")</f>
        <v/>
      </c>
      <c r="AQ56" s="207" t="str">
        <f>IFERROR(IF(ISBLANK($D56),"",VLOOKUP($N56,'TABLE CHARGE RATE'!$A$30:$K$106,9,0)),"Check")</f>
        <v/>
      </c>
      <c r="AR56" s="207" t="str">
        <f>IFERROR(IF(ISBLANK($D56),"",VLOOKUP($N56,'TABLE CHARGE RATE'!$A$30:$K$106,10,0)),"Check")</f>
        <v/>
      </c>
      <c r="AS56" s="207" t="str">
        <f>IFERROR(IF(ISBLANK($D56),"",VLOOKUP($N56,'TABLE CHARGE RATE'!$A$30:$K$106,11,0)),"Check")</f>
        <v/>
      </c>
      <c r="AT56" s="207">
        <f t="shared" si="9"/>
        <v>55</v>
      </c>
    </row>
    <row r="57" spans="1:46" x14ac:dyDescent="0.2">
      <c r="A57" s="207" t="str">
        <f t="shared" si="10"/>
        <v/>
      </c>
      <c r="B57" s="208" t="str">
        <f>IF(ISBLANK(D57),"",VLOOKUP(WEEKDAY($C57,1),INDEX!$J$2:$K$8,2,0))</f>
        <v/>
      </c>
      <c r="C57" s="209"/>
      <c r="D57" s="207"/>
      <c r="E57" s="207"/>
      <c r="F57" s="207"/>
      <c r="G57" s="207"/>
      <c r="H57" s="207"/>
      <c r="I57" s="207"/>
      <c r="J57" s="207"/>
      <c r="K57" s="207"/>
      <c r="L57" s="207"/>
      <c r="M57" s="207"/>
      <c r="N57" s="207"/>
      <c r="O57" s="207"/>
      <c r="P57" s="207"/>
      <c r="Q57" s="207"/>
      <c r="R57" s="207"/>
      <c r="S57" s="207"/>
      <c r="T57" s="207"/>
      <c r="U57" s="209"/>
      <c r="V57" s="207"/>
      <c r="W57" s="207"/>
      <c r="X57" s="209">
        <f t="shared" si="4"/>
        <v>0</v>
      </c>
      <c r="Y57" s="209">
        <f t="shared" si="5"/>
        <v>0</v>
      </c>
      <c r="Z57" s="207">
        <v>1</v>
      </c>
      <c r="AA57" s="209" t="str">
        <f t="shared" si="1"/>
        <v/>
      </c>
      <c r="AB57" s="209"/>
      <c r="AC57" s="207">
        <v>0</v>
      </c>
      <c r="AD57" s="207"/>
      <c r="AE57" s="207"/>
      <c r="AF57" s="208" t="str">
        <f>IF(ISBLANK(D57),"",VLOOKUP(F57,'SIZE CALCULATION'!$F:$G,2,0))</f>
        <v/>
      </c>
      <c r="AG57" s="207" t="str">
        <f t="shared" si="16"/>
        <v/>
      </c>
      <c r="AH57" s="207" t="str">
        <f t="shared" si="7"/>
        <v/>
      </c>
      <c r="AI57" s="210" t="str">
        <f>IF(ISBLANK(D57),"",VLOOKUP($A57,INDEX!$D$2:$F$13,3,0))</f>
        <v/>
      </c>
      <c r="AJ57" s="207" t="str">
        <f t="shared" si="8"/>
        <v/>
      </c>
      <c r="AK57" s="207"/>
      <c r="AL57" s="207"/>
      <c r="AM57" s="207" t="str">
        <f>IFERROR(IF(ISBLANK($D57),"",VLOOKUP($N57,'TABLE CHARGE RATE'!$A$30:$K$106,5,0)),"Check")</f>
        <v/>
      </c>
      <c r="AN57" s="207" t="str">
        <f>IFERROR(IF(ISBLANK($D57),"",VLOOKUP($N57,'TABLE CHARGE RATE'!$A$30:$K$106,6,0)),"Check")</f>
        <v/>
      </c>
      <c r="AO57" s="207" t="str">
        <f>IFERROR(IF(ISBLANK($D57),"",VLOOKUP($N57,'TABLE CHARGE RATE'!$A$30:$K$106,7,0)),"Check")</f>
        <v/>
      </c>
      <c r="AP57" s="207" t="str">
        <f>IFERROR(IF(ISBLANK($D57),"",VLOOKUP($N57,'TABLE CHARGE RATE'!$A$30:$K$106,8,0)),"Check")</f>
        <v/>
      </c>
      <c r="AQ57" s="207" t="str">
        <f>IFERROR(IF(ISBLANK($D57),"",VLOOKUP($N57,'TABLE CHARGE RATE'!$A$30:$K$106,9,0)),"Check")</f>
        <v/>
      </c>
      <c r="AR57" s="207" t="str">
        <f>IFERROR(IF(ISBLANK($D57),"",VLOOKUP($N57,'TABLE CHARGE RATE'!$A$30:$K$106,10,0)),"Check")</f>
        <v/>
      </c>
      <c r="AS57" s="207" t="str">
        <f>IFERROR(IF(ISBLANK($D57),"",VLOOKUP($N57,'TABLE CHARGE RATE'!$A$30:$K$106,11,0)),"Check")</f>
        <v/>
      </c>
      <c r="AT57" s="207">
        <f t="shared" si="9"/>
        <v>56</v>
      </c>
    </row>
    <row r="58" spans="1:46" x14ac:dyDescent="0.2">
      <c r="A58" s="207" t="str">
        <f t="shared" si="10"/>
        <v/>
      </c>
      <c r="B58" s="208" t="str">
        <f>IF(ISBLANK(D58),"",VLOOKUP(WEEKDAY($C58,1),INDEX!$J$2:$K$8,2,0))</f>
        <v/>
      </c>
      <c r="C58" s="209"/>
      <c r="D58" s="207"/>
      <c r="E58" s="207"/>
      <c r="F58" s="207"/>
      <c r="G58" s="207"/>
      <c r="H58" s="207"/>
      <c r="I58" s="207"/>
      <c r="J58" s="207"/>
      <c r="K58" s="207"/>
      <c r="L58" s="207"/>
      <c r="M58" s="207"/>
      <c r="N58" s="207"/>
      <c r="O58" s="207"/>
      <c r="P58" s="207"/>
      <c r="Q58" s="207"/>
      <c r="R58" s="207"/>
      <c r="S58" s="207"/>
      <c r="T58" s="207"/>
      <c r="U58" s="209"/>
      <c r="V58" s="207"/>
      <c r="W58" s="207"/>
      <c r="X58" s="209">
        <f t="shared" si="4"/>
        <v>0</v>
      </c>
      <c r="Y58" s="209">
        <f t="shared" si="5"/>
        <v>0</v>
      </c>
      <c r="Z58" s="207">
        <v>1</v>
      </c>
      <c r="AA58" s="209" t="str">
        <f t="shared" si="1"/>
        <v/>
      </c>
      <c r="AB58" s="209"/>
      <c r="AC58" s="207">
        <v>0</v>
      </c>
      <c r="AD58" s="207"/>
      <c r="AE58" s="207"/>
      <c r="AF58" s="208" t="str">
        <f>IF(ISBLANK(D58),"",VLOOKUP(F58,'SIZE CALCULATION'!$F:$G,2,0))</f>
        <v/>
      </c>
      <c r="AG58" s="207" t="str">
        <f t="shared" si="16"/>
        <v/>
      </c>
      <c r="AH58" s="207" t="str">
        <f t="shared" si="7"/>
        <v/>
      </c>
      <c r="AI58" s="210" t="str">
        <f>IF(ISBLANK(D58),"",VLOOKUP($A58,INDEX!$D$2:$F$13,3,0))</f>
        <v/>
      </c>
      <c r="AJ58" s="207" t="str">
        <f t="shared" si="8"/>
        <v/>
      </c>
      <c r="AK58" s="207"/>
      <c r="AL58" s="207"/>
      <c r="AM58" s="207" t="str">
        <f>IFERROR(IF(ISBLANK($D58),"",VLOOKUP($N58,'TABLE CHARGE RATE'!$A$30:$K$106,5,0)),"Check")</f>
        <v/>
      </c>
      <c r="AN58" s="207" t="str">
        <f>IFERROR(IF(ISBLANK($D58),"",VLOOKUP($N58,'TABLE CHARGE RATE'!$A$30:$K$106,6,0)),"Check")</f>
        <v/>
      </c>
      <c r="AO58" s="207" t="str">
        <f>IFERROR(IF(ISBLANK($D58),"",VLOOKUP($N58,'TABLE CHARGE RATE'!$A$30:$K$106,7,0)),"Check")</f>
        <v/>
      </c>
      <c r="AP58" s="207" t="str">
        <f>IFERROR(IF(ISBLANK($D58),"",VLOOKUP($N58,'TABLE CHARGE RATE'!$A$30:$K$106,8,0)),"Check")</f>
        <v/>
      </c>
      <c r="AQ58" s="207" t="str">
        <f>IFERROR(IF(ISBLANK($D58),"",VLOOKUP($N58,'TABLE CHARGE RATE'!$A$30:$K$106,9,0)),"Check")</f>
        <v/>
      </c>
      <c r="AR58" s="207" t="str">
        <f>IFERROR(IF(ISBLANK($D58),"",VLOOKUP($N58,'TABLE CHARGE RATE'!$A$30:$K$106,10,0)),"Check")</f>
        <v/>
      </c>
      <c r="AS58" s="207" t="str">
        <f>IFERROR(IF(ISBLANK($D58),"",VLOOKUP($N58,'TABLE CHARGE RATE'!$A$30:$K$106,11,0)),"Check")</f>
        <v/>
      </c>
      <c r="AT58" s="207">
        <f t="shared" si="9"/>
        <v>57</v>
      </c>
    </row>
    <row r="59" spans="1:46" x14ac:dyDescent="0.2">
      <c r="A59" s="207" t="str">
        <f t="shared" si="10"/>
        <v/>
      </c>
      <c r="B59" s="208" t="str">
        <f>IF(ISBLANK(D59),"",VLOOKUP(WEEKDAY($C59,1),INDEX!$J$2:$K$8,2,0))</f>
        <v/>
      </c>
      <c r="C59" s="209"/>
      <c r="D59" s="207"/>
      <c r="E59" s="207"/>
      <c r="F59" s="207"/>
      <c r="G59" s="207"/>
      <c r="H59" s="207"/>
      <c r="I59" s="207"/>
      <c r="J59" s="207"/>
      <c r="K59" s="207"/>
      <c r="L59" s="207"/>
      <c r="M59" s="207"/>
      <c r="N59" s="207"/>
      <c r="O59" s="207"/>
      <c r="P59" s="207"/>
      <c r="Q59" s="207"/>
      <c r="R59" s="207"/>
      <c r="S59" s="207"/>
      <c r="T59" s="207"/>
      <c r="U59" s="209"/>
      <c r="V59" s="207"/>
      <c r="W59" s="207"/>
      <c r="X59" s="209">
        <f t="shared" si="4"/>
        <v>0</v>
      </c>
      <c r="Y59" s="209">
        <f t="shared" si="5"/>
        <v>0</v>
      </c>
      <c r="Z59" s="207">
        <v>1</v>
      </c>
      <c r="AA59" s="209" t="str">
        <f t="shared" si="1"/>
        <v/>
      </c>
      <c r="AB59" s="209"/>
      <c r="AC59" s="207">
        <v>0</v>
      </c>
      <c r="AD59" s="207"/>
      <c r="AE59" s="207"/>
      <c r="AF59" s="208" t="str">
        <f>IF(ISBLANK(D59),"",VLOOKUP(F59,'SIZE CALCULATION'!$F:$G,2,0))</f>
        <v/>
      </c>
      <c r="AG59" s="207" t="str">
        <f t="shared" si="16"/>
        <v/>
      </c>
      <c r="AH59" s="207" t="str">
        <f t="shared" si="7"/>
        <v/>
      </c>
      <c r="AI59" s="210" t="str">
        <f>IF(ISBLANK(D59),"",VLOOKUP($A59,INDEX!$D$2:$F$13,3,0))</f>
        <v/>
      </c>
      <c r="AJ59" s="207" t="str">
        <f t="shared" si="8"/>
        <v/>
      </c>
      <c r="AK59" s="207"/>
      <c r="AL59" s="207"/>
      <c r="AM59" s="207" t="str">
        <f>IFERROR(IF(ISBLANK($D59),"",VLOOKUP($N59,'TABLE CHARGE RATE'!$A$30:$K$106,5,0)),"Check")</f>
        <v/>
      </c>
      <c r="AN59" s="207" t="str">
        <f>IFERROR(IF(ISBLANK($D59),"",VLOOKUP($N59,'TABLE CHARGE RATE'!$A$30:$K$106,6,0)),"Check")</f>
        <v/>
      </c>
      <c r="AO59" s="207" t="str">
        <f>IFERROR(IF(ISBLANK($D59),"",VLOOKUP($N59,'TABLE CHARGE RATE'!$A$30:$K$106,7,0)),"Check")</f>
        <v/>
      </c>
      <c r="AP59" s="207" t="str">
        <f>IFERROR(IF(ISBLANK($D59),"",VLOOKUP($N59,'TABLE CHARGE RATE'!$A$30:$K$106,8,0)),"Check")</f>
        <v/>
      </c>
      <c r="AQ59" s="207" t="str">
        <f>IFERROR(IF(ISBLANK($D59),"",VLOOKUP($N59,'TABLE CHARGE RATE'!$A$30:$K$106,9,0)),"Check")</f>
        <v/>
      </c>
      <c r="AR59" s="207" t="str">
        <f>IFERROR(IF(ISBLANK($D59),"",VLOOKUP($N59,'TABLE CHARGE RATE'!$A$30:$K$106,10,0)),"Check")</f>
        <v/>
      </c>
      <c r="AS59" s="207" t="str">
        <f>IFERROR(IF(ISBLANK($D59),"",VLOOKUP($N59,'TABLE CHARGE RATE'!$A$30:$K$106,11,0)),"Check")</f>
        <v/>
      </c>
      <c r="AT59" s="207">
        <f t="shared" si="9"/>
        <v>58</v>
      </c>
    </row>
    <row r="60" spans="1:46" x14ac:dyDescent="0.2">
      <c r="A60" s="207" t="str">
        <f t="shared" si="10"/>
        <v/>
      </c>
      <c r="B60" s="208" t="str">
        <f>IF(ISBLANK(D60),"",VLOOKUP(WEEKDAY($C60,1),INDEX!$J$2:$K$8,2,0))</f>
        <v/>
      </c>
      <c r="C60" s="209"/>
      <c r="D60" s="207"/>
      <c r="E60" s="207"/>
      <c r="F60" s="207"/>
      <c r="G60" s="207"/>
      <c r="H60" s="207"/>
      <c r="I60" s="207"/>
      <c r="J60" s="207"/>
      <c r="K60" s="207"/>
      <c r="L60" s="207"/>
      <c r="M60" s="207"/>
      <c r="N60" s="207"/>
      <c r="O60" s="207"/>
      <c r="P60" s="207"/>
      <c r="Q60" s="207"/>
      <c r="R60" s="207"/>
      <c r="S60" s="207"/>
      <c r="T60" s="207"/>
      <c r="U60" s="209"/>
      <c r="V60" s="207"/>
      <c r="W60" s="207"/>
      <c r="X60" s="209">
        <f t="shared" si="4"/>
        <v>0</v>
      </c>
      <c r="Y60" s="209">
        <f t="shared" si="5"/>
        <v>0</v>
      </c>
      <c r="Z60" s="207">
        <v>1</v>
      </c>
      <c r="AA60" s="209" t="str">
        <f t="shared" si="1"/>
        <v/>
      </c>
      <c r="AB60" s="209"/>
      <c r="AC60" s="207">
        <v>0</v>
      </c>
      <c r="AD60" s="207"/>
      <c r="AE60" s="207"/>
      <c r="AF60" s="208" t="str">
        <f>IF(ISBLANK(D60),"",VLOOKUP(F60,'SIZE CALCULATION'!$F:$G,2,0))</f>
        <v/>
      </c>
      <c r="AG60" s="207" t="str">
        <f t="shared" si="16"/>
        <v/>
      </c>
      <c r="AH60" s="207" t="str">
        <f t="shared" si="7"/>
        <v/>
      </c>
      <c r="AI60" s="210" t="str">
        <f>IF(ISBLANK(D60),"",VLOOKUP($A60,INDEX!$D$2:$F$13,3,0))</f>
        <v/>
      </c>
      <c r="AJ60" s="207" t="str">
        <f t="shared" si="8"/>
        <v/>
      </c>
      <c r="AK60" s="207"/>
      <c r="AL60" s="207"/>
      <c r="AM60" s="207" t="str">
        <f>IFERROR(IF(ISBLANK($D60),"",VLOOKUP($N60,'TABLE CHARGE RATE'!$A$30:$K$106,5,0)),"Check")</f>
        <v/>
      </c>
      <c r="AN60" s="207" t="str">
        <f>IFERROR(IF(ISBLANK($D60),"",VLOOKUP($N60,'TABLE CHARGE RATE'!$A$30:$K$106,6,0)),"Check")</f>
        <v/>
      </c>
      <c r="AO60" s="207" t="str">
        <f>IFERROR(IF(ISBLANK($D60),"",VLOOKUP($N60,'TABLE CHARGE RATE'!$A$30:$K$106,7,0)),"Check")</f>
        <v/>
      </c>
      <c r="AP60" s="207" t="str">
        <f>IFERROR(IF(ISBLANK($D60),"",VLOOKUP($N60,'TABLE CHARGE RATE'!$A$30:$K$106,8,0)),"Check")</f>
        <v/>
      </c>
      <c r="AQ60" s="207" t="str">
        <f>IFERROR(IF(ISBLANK($D60),"",VLOOKUP($N60,'TABLE CHARGE RATE'!$A$30:$K$106,9,0)),"Check")</f>
        <v/>
      </c>
      <c r="AR60" s="207" t="str">
        <f>IFERROR(IF(ISBLANK($D60),"",VLOOKUP($N60,'TABLE CHARGE RATE'!$A$30:$K$106,10,0)),"Check")</f>
        <v/>
      </c>
      <c r="AS60" s="207" t="str">
        <f>IFERROR(IF(ISBLANK($D60),"",VLOOKUP($N60,'TABLE CHARGE RATE'!$A$30:$K$106,11,0)),"Check")</f>
        <v/>
      </c>
      <c r="AT60" s="207">
        <f t="shared" si="9"/>
        <v>59</v>
      </c>
    </row>
    <row r="61" spans="1:46" x14ac:dyDescent="0.2">
      <c r="A61" s="207" t="str">
        <f t="shared" si="10"/>
        <v/>
      </c>
      <c r="B61" s="208" t="str">
        <f>IF(ISBLANK(D61),"",VLOOKUP(WEEKDAY($C61,1),INDEX!$J$2:$K$8,2,0))</f>
        <v/>
      </c>
      <c r="C61" s="209"/>
      <c r="D61" s="207"/>
      <c r="E61" s="207"/>
      <c r="F61" s="207"/>
      <c r="G61" s="207"/>
      <c r="H61" s="207"/>
      <c r="I61" s="207"/>
      <c r="J61" s="207"/>
      <c r="K61" s="276"/>
      <c r="L61" s="207"/>
      <c r="M61" s="207"/>
      <c r="N61" s="207"/>
      <c r="O61" s="207"/>
      <c r="P61" s="207"/>
      <c r="Q61" s="207"/>
      <c r="R61" s="207"/>
      <c r="S61" s="207"/>
      <c r="T61" s="207"/>
      <c r="U61" s="209"/>
      <c r="V61" s="207"/>
      <c r="W61" s="207"/>
      <c r="X61" s="209">
        <f t="shared" si="4"/>
        <v>0</v>
      </c>
      <c r="Y61" s="209">
        <f t="shared" si="5"/>
        <v>0</v>
      </c>
      <c r="Z61" s="207">
        <v>1</v>
      </c>
      <c r="AA61" s="209" t="str">
        <f t="shared" si="1"/>
        <v/>
      </c>
      <c r="AB61" s="209"/>
      <c r="AC61" s="207">
        <v>0</v>
      </c>
      <c r="AD61" s="207"/>
      <c r="AE61" s="207"/>
      <c r="AF61" s="208" t="str">
        <f>IF(ISBLANK(D61),"",VLOOKUP(F61,'SIZE CALCULATION'!$F:$G,2,0))</f>
        <v/>
      </c>
      <c r="AG61" s="207" t="str">
        <f t="shared" si="16"/>
        <v/>
      </c>
      <c r="AH61" s="207" t="str">
        <f t="shared" si="7"/>
        <v/>
      </c>
      <c r="AI61" s="210" t="str">
        <f>IF(ISBLANK(D61),"",VLOOKUP($A61,INDEX!$D$2:$F$13,3,0))</f>
        <v/>
      </c>
      <c r="AJ61" s="207" t="str">
        <f t="shared" si="8"/>
        <v/>
      </c>
      <c r="AK61" s="207"/>
      <c r="AL61" s="207"/>
      <c r="AM61" s="207" t="str">
        <f>IFERROR(IF(ISBLANK($D61),"",VLOOKUP($N61,'TABLE CHARGE RATE'!$A$30:$K$106,5,0)),"Check")</f>
        <v/>
      </c>
      <c r="AN61" s="207" t="str">
        <f>IFERROR(IF(ISBLANK($D61),"",VLOOKUP($N61,'TABLE CHARGE RATE'!$A$30:$K$106,6,0)),"Check")</f>
        <v/>
      </c>
      <c r="AO61" s="207" t="str">
        <f>IFERROR(IF(ISBLANK($D61),"",VLOOKUP($N61,'TABLE CHARGE RATE'!$A$30:$K$106,7,0)),"Check")</f>
        <v/>
      </c>
      <c r="AP61" s="207" t="str">
        <f>IFERROR(IF(ISBLANK($D61),"",VLOOKUP($N61,'TABLE CHARGE RATE'!$A$30:$K$106,8,0)),"Check")</f>
        <v/>
      </c>
      <c r="AQ61" s="207" t="str">
        <f>IFERROR(IF(ISBLANK($D61),"",VLOOKUP($N61,'TABLE CHARGE RATE'!$A$30:$K$106,9,0)),"Check")</f>
        <v/>
      </c>
      <c r="AR61" s="207" t="str">
        <f>IFERROR(IF(ISBLANK($D61),"",VLOOKUP($N61,'TABLE CHARGE RATE'!$A$30:$K$106,10,0)),"Check")</f>
        <v/>
      </c>
      <c r="AS61" s="207" t="str">
        <f>IFERROR(IF(ISBLANK($D61),"",VLOOKUP($N61,'TABLE CHARGE RATE'!$A$30:$K$106,11,0)),"Check")</f>
        <v/>
      </c>
      <c r="AT61" s="207">
        <f t="shared" si="9"/>
        <v>60</v>
      </c>
    </row>
    <row r="62" spans="1:46" x14ac:dyDescent="0.2">
      <c r="A62" s="207" t="str">
        <f t="shared" ref="A62:A93" si="17">IF(ISBLANK(D62),"",MONTH(C62))</f>
        <v/>
      </c>
      <c r="B62" s="208" t="str">
        <f>IF(ISBLANK(D62),"",VLOOKUP(WEEKDAY($C62,1),INDEX!$J$2:$K$8,2,0))</f>
        <v/>
      </c>
      <c r="C62" s="209"/>
      <c r="D62" s="207"/>
      <c r="E62" s="207"/>
      <c r="F62" s="207"/>
      <c r="G62" s="207"/>
      <c r="H62" s="207"/>
      <c r="I62" s="207"/>
      <c r="J62" s="207"/>
      <c r="K62" s="276"/>
      <c r="L62" s="207"/>
      <c r="M62" s="207"/>
      <c r="N62" s="207"/>
      <c r="O62" s="207"/>
      <c r="P62" s="207"/>
      <c r="Q62" s="207"/>
      <c r="R62" s="207"/>
      <c r="S62" s="207"/>
      <c r="T62" s="207"/>
      <c r="U62" s="209"/>
      <c r="V62" s="207"/>
      <c r="W62" s="207"/>
      <c r="X62" s="209">
        <f t="shared" si="4"/>
        <v>0</v>
      </c>
      <c r="Y62" s="209">
        <f t="shared" si="5"/>
        <v>0</v>
      </c>
      <c r="Z62" s="207">
        <v>1</v>
      </c>
      <c r="AA62" s="209" t="str">
        <f t="shared" si="1"/>
        <v/>
      </c>
      <c r="AB62" s="209"/>
      <c r="AC62" s="207">
        <v>0</v>
      </c>
      <c r="AD62" s="207"/>
      <c r="AE62" s="207"/>
      <c r="AF62" s="208" t="str">
        <f>IF(ISBLANK(D62),"",VLOOKUP(F62,'SIZE CALCULATION'!$F:$G,2,0))</f>
        <v/>
      </c>
      <c r="AG62" s="207" t="str">
        <f t="shared" si="16"/>
        <v/>
      </c>
      <c r="AH62" s="207" t="str">
        <f t="shared" si="7"/>
        <v/>
      </c>
      <c r="AI62" s="210" t="str">
        <f>IF(ISBLANK(D62),"",VLOOKUP($A62,INDEX!$D$2:$F$13,3,0))</f>
        <v/>
      </c>
      <c r="AJ62" s="207" t="str">
        <f t="shared" si="8"/>
        <v/>
      </c>
      <c r="AK62" s="207"/>
      <c r="AL62" s="207"/>
      <c r="AM62" s="207" t="str">
        <f>IFERROR(IF(ISBLANK($D62),"",VLOOKUP($N62,'TABLE CHARGE RATE'!$A$30:$K$106,5,0)),"Check")</f>
        <v/>
      </c>
      <c r="AN62" s="207" t="str">
        <f>IFERROR(IF(ISBLANK($D62),"",VLOOKUP($N62,'TABLE CHARGE RATE'!$A$30:$K$106,6,0)),"Check")</f>
        <v/>
      </c>
      <c r="AO62" s="207" t="str">
        <f>IFERROR(IF(ISBLANK($D62),"",VLOOKUP($N62,'TABLE CHARGE RATE'!$A$30:$K$106,7,0)),"Check")</f>
        <v/>
      </c>
      <c r="AP62" s="207" t="str">
        <f>IFERROR(IF(ISBLANK($D62),"",VLOOKUP($N62,'TABLE CHARGE RATE'!$A$30:$K$106,8,0)),"Check")</f>
        <v/>
      </c>
      <c r="AQ62" s="207" t="str">
        <f>IFERROR(IF(ISBLANK($D62),"",VLOOKUP($N62,'TABLE CHARGE RATE'!$A$30:$K$106,9,0)),"Check")</f>
        <v/>
      </c>
      <c r="AR62" s="207" t="str">
        <f>IFERROR(IF(ISBLANK($D62),"",VLOOKUP($N62,'TABLE CHARGE RATE'!$A$30:$K$106,10,0)),"Check")</f>
        <v/>
      </c>
      <c r="AS62" s="207" t="str">
        <f>IFERROR(IF(ISBLANK($D62),"",VLOOKUP($N62,'TABLE CHARGE RATE'!$A$30:$K$106,11,0)),"Check")</f>
        <v/>
      </c>
      <c r="AT62" s="207">
        <f t="shared" si="9"/>
        <v>61</v>
      </c>
    </row>
    <row r="63" spans="1:46" x14ac:dyDescent="0.2">
      <c r="A63" s="207" t="str">
        <f t="shared" si="17"/>
        <v/>
      </c>
      <c r="B63" s="208" t="str">
        <f>IF(ISBLANK(D63),"",VLOOKUP(WEEKDAY($C63,1),INDEX!$J$2:$K$8,2,0))</f>
        <v/>
      </c>
      <c r="C63" s="209"/>
      <c r="D63" s="207"/>
      <c r="E63" s="207"/>
      <c r="F63" s="207"/>
      <c r="G63" s="207"/>
      <c r="H63" s="207"/>
      <c r="I63" s="207"/>
      <c r="J63" s="207"/>
      <c r="K63" s="276"/>
      <c r="L63" s="207"/>
      <c r="M63" s="207"/>
      <c r="N63" s="207"/>
      <c r="O63" s="207"/>
      <c r="P63" s="207"/>
      <c r="Q63" s="207"/>
      <c r="R63" s="207"/>
      <c r="S63" s="207"/>
      <c r="T63" s="207"/>
      <c r="U63" s="209"/>
      <c r="V63" s="207"/>
      <c r="W63" s="207"/>
      <c r="X63" s="209">
        <f t="shared" si="4"/>
        <v>0</v>
      </c>
      <c r="Y63" s="209">
        <f t="shared" si="5"/>
        <v>0</v>
      </c>
      <c r="Z63" s="207">
        <v>1</v>
      </c>
      <c r="AA63" s="209" t="str">
        <f t="shared" si="1"/>
        <v/>
      </c>
      <c r="AB63" s="209"/>
      <c r="AC63" s="207">
        <v>0</v>
      </c>
      <c r="AD63" s="207"/>
      <c r="AE63" s="207"/>
      <c r="AF63" s="208" t="str">
        <f>IF(ISBLANK(D63),"",VLOOKUP(F63,'SIZE CALCULATION'!$F:$G,2,0))</f>
        <v/>
      </c>
      <c r="AG63" s="207" t="str">
        <f t="shared" si="16"/>
        <v/>
      </c>
      <c r="AH63" s="207" t="str">
        <f t="shared" si="7"/>
        <v/>
      </c>
      <c r="AI63" s="210" t="str">
        <f>IF(ISBLANK(D63),"",VLOOKUP($A63,INDEX!$D$2:$F$13,3,0))</f>
        <v/>
      </c>
      <c r="AJ63" s="207" t="str">
        <f t="shared" si="8"/>
        <v/>
      </c>
      <c r="AK63" s="207"/>
      <c r="AL63" s="207"/>
      <c r="AM63" s="207" t="str">
        <f>IFERROR(IF(ISBLANK($D63),"",VLOOKUP($N63,'TABLE CHARGE RATE'!$A$30:$K$106,5,0)),"Check")</f>
        <v/>
      </c>
      <c r="AN63" s="207" t="str">
        <f>IFERROR(IF(ISBLANK($D63),"",VLOOKUP($N63,'TABLE CHARGE RATE'!$A$30:$K$106,6,0)),"Check")</f>
        <v/>
      </c>
      <c r="AO63" s="207" t="str">
        <f>IFERROR(IF(ISBLANK($D63),"",VLOOKUP($N63,'TABLE CHARGE RATE'!$A$30:$K$106,7,0)),"Check")</f>
        <v/>
      </c>
      <c r="AP63" s="207" t="str">
        <f>IFERROR(IF(ISBLANK($D63),"",VLOOKUP($N63,'TABLE CHARGE RATE'!$A$30:$K$106,8,0)),"Check")</f>
        <v/>
      </c>
      <c r="AQ63" s="207" t="str">
        <f>IFERROR(IF(ISBLANK($D63),"",VLOOKUP($N63,'TABLE CHARGE RATE'!$A$30:$K$106,9,0)),"Check")</f>
        <v/>
      </c>
      <c r="AR63" s="207" t="str">
        <f>IFERROR(IF(ISBLANK($D63),"",VLOOKUP($N63,'TABLE CHARGE RATE'!$A$30:$K$106,10,0)),"Check")</f>
        <v/>
      </c>
      <c r="AS63" s="207" t="str">
        <f>IFERROR(IF(ISBLANK($D63),"",VLOOKUP($N63,'TABLE CHARGE RATE'!$A$30:$K$106,11,0)),"Check")</f>
        <v/>
      </c>
      <c r="AT63" s="207">
        <f t="shared" si="9"/>
        <v>62</v>
      </c>
    </row>
    <row r="64" spans="1:46" x14ac:dyDescent="0.2">
      <c r="A64" s="207" t="str">
        <f t="shared" si="17"/>
        <v/>
      </c>
      <c r="B64" s="208" t="str">
        <f>IF(ISBLANK(D64),"",VLOOKUP(WEEKDAY($C64,1),INDEX!$J$2:$K$8,2,0))</f>
        <v/>
      </c>
      <c r="C64" s="209"/>
      <c r="D64" s="207"/>
      <c r="E64" s="207"/>
      <c r="F64" s="207"/>
      <c r="G64" s="207"/>
      <c r="H64" s="207"/>
      <c r="I64" s="207"/>
      <c r="J64" s="207"/>
      <c r="K64" s="276"/>
      <c r="L64" s="207"/>
      <c r="M64" s="207"/>
      <c r="N64" s="207"/>
      <c r="O64" s="207"/>
      <c r="P64" s="207"/>
      <c r="Q64" s="207"/>
      <c r="R64" s="207"/>
      <c r="S64" s="207"/>
      <c r="T64" s="207"/>
      <c r="U64" s="209"/>
      <c r="V64" s="207"/>
      <c r="W64" s="207"/>
      <c r="X64" s="209">
        <f t="shared" si="4"/>
        <v>0</v>
      </c>
      <c r="Y64" s="209">
        <f t="shared" si="5"/>
        <v>0</v>
      </c>
      <c r="Z64" s="207">
        <v>1</v>
      </c>
      <c r="AA64" s="209" t="str">
        <f t="shared" si="1"/>
        <v/>
      </c>
      <c r="AB64" s="209"/>
      <c r="AC64" s="207">
        <v>0</v>
      </c>
      <c r="AD64" s="207"/>
      <c r="AE64" s="207"/>
      <c r="AF64" s="208" t="str">
        <f>IF(ISBLANK(D64),"",VLOOKUP(F64,'SIZE CALCULATION'!$F:$G,2,0))</f>
        <v/>
      </c>
      <c r="AG64" s="207" t="str">
        <f t="shared" si="16"/>
        <v/>
      </c>
      <c r="AH64" s="207" t="str">
        <f t="shared" si="7"/>
        <v/>
      </c>
      <c r="AI64" s="210" t="str">
        <f>IF(ISBLANK(D64),"",VLOOKUP($A64,INDEX!$D$2:$F$13,3,0))</f>
        <v/>
      </c>
      <c r="AJ64" s="207" t="str">
        <f t="shared" si="8"/>
        <v/>
      </c>
      <c r="AK64" s="207"/>
      <c r="AL64" s="207"/>
      <c r="AM64" s="207" t="str">
        <f>IFERROR(IF(ISBLANK($D64),"",VLOOKUP($N64,'TABLE CHARGE RATE'!$A$30:$K$106,5,0)),"Check")</f>
        <v/>
      </c>
      <c r="AN64" s="207" t="str">
        <f>IFERROR(IF(ISBLANK($D64),"",VLOOKUP($N64,'TABLE CHARGE RATE'!$A$30:$K$106,6,0)),"Check")</f>
        <v/>
      </c>
      <c r="AO64" s="207" t="str">
        <f>IFERROR(IF(ISBLANK($D64),"",VLOOKUP($N64,'TABLE CHARGE RATE'!$A$30:$K$106,7,0)),"Check")</f>
        <v/>
      </c>
      <c r="AP64" s="207" t="str">
        <f>IFERROR(IF(ISBLANK($D64),"",VLOOKUP($N64,'TABLE CHARGE RATE'!$A$30:$K$106,8,0)),"Check")</f>
        <v/>
      </c>
      <c r="AQ64" s="207" t="str">
        <f>IFERROR(IF(ISBLANK($D64),"",VLOOKUP($N64,'TABLE CHARGE RATE'!$A$30:$K$106,9,0)),"Check")</f>
        <v/>
      </c>
      <c r="AR64" s="207" t="str">
        <f>IFERROR(IF(ISBLANK($D64),"",VLOOKUP($N64,'TABLE CHARGE RATE'!$A$30:$K$106,10,0)),"Check")</f>
        <v/>
      </c>
      <c r="AS64" s="207" t="str">
        <f>IFERROR(IF(ISBLANK($D64),"",VLOOKUP($N64,'TABLE CHARGE RATE'!$A$30:$K$106,11,0)),"Check")</f>
        <v/>
      </c>
      <c r="AT64" s="207">
        <f t="shared" si="9"/>
        <v>63</v>
      </c>
    </row>
    <row r="65" spans="1:46" x14ac:dyDescent="0.2">
      <c r="A65" s="207" t="str">
        <f t="shared" si="17"/>
        <v/>
      </c>
      <c r="B65" s="208" t="str">
        <f>IF(ISBLANK(D65),"",VLOOKUP(WEEKDAY($C65,1),INDEX!$J$2:$K$8,2,0))</f>
        <v/>
      </c>
      <c r="C65" s="209"/>
      <c r="D65" s="207"/>
      <c r="E65" s="207"/>
      <c r="F65" s="207"/>
      <c r="G65" s="207"/>
      <c r="H65" s="207"/>
      <c r="I65" s="207"/>
      <c r="J65" s="207"/>
      <c r="K65" s="276"/>
      <c r="L65" s="207"/>
      <c r="M65" s="207"/>
      <c r="N65" s="207"/>
      <c r="O65" s="207"/>
      <c r="P65" s="207"/>
      <c r="Q65" s="207"/>
      <c r="R65" s="207"/>
      <c r="S65" s="207"/>
      <c r="T65" s="207"/>
      <c r="U65" s="209"/>
      <c r="V65" s="207"/>
      <c r="W65" s="207"/>
      <c r="X65" s="209">
        <f t="shared" si="4"/>
        <v>0</v>
      </c>
      <c r="Y65" s="209">
        <f t="shared" si="5"/>
        <v>0</v>
      </c>
      <c r="Z65" s="207">
        <v>1</v>
      </c>
      <c r="AA65" s="209" t="str">
        <f t="shared" si="1"/>
        <v/>
      </c>
      <c r="AB65" s="209"/>
      <c r="AC65" s="207">
        <v>0</v>
      </c>
      <c r="AD65" s="207"/>
      <c r="AE65" s="207"/>
      <c r="AF65" s="208" t="str">
        <f>IF(ISBLANK(D65),"",VLOOKUP(F65,'SIZE CALCULATION'!$F:$G,2,0))</f>
        <v/>
      </c>
      <c r="AG65" s="207" t="str">
        <f t="shared" si="16"/>
        <v/>
      </c>
      <c r="AH65" s="207" t="str">
        <f t="shared" si="7"/>
        <v/>
      </c>
      <c r="AI65" s="210" t="str">
        <f>IF(ISBLANK(D65),"",VLOOKUP($A65,INDEX!$D$2:$F$13,3,0))</f>
        <v/>
      </c>
      <c r="AJ65" s="207" t="str">
        <f t="shared" si="8"/>
        <v/>
      </c>
      <c r="AK65" s="207"/>
      <c r="AL65" s="207"/>
      <c r="AM65" s="207" t="str">
        <f>IFERROR(IF(ISBLANK($D65),"",VLOOKUP($N65,'TABLE CHARGE RATE'!$A$30:$K$106,5,0)),"Check")</f>
        <v/>
      </c>
      <c r="AN65" s="207" t="str">
        <f>IFERROR(IF(ISBLANK($D65),"",VLOOKUP($N65,'TABLE CHARGE RATE'!$A$30:$K$106,6,0)),"Check")</f>
        <v/>
      </c>
      <c r="AO65" s="207" t="str">
        <f>IFERROR(IF(ISBLANK($D65),"",VLOOKUP($N65,'TABLE CHARGE RATE'!$A$30:$K$106,7,0)),"Check")</f>
        <v/>
      </c>
      <c r="AP65" s="207" t="str">
        <f>IFERROR(IF(ISBLANK($D65),"",VLOOKUP($N65,'TABLE CHARGE RATE'!$A$30:$K$106,8,0)),"Check")</f>
        <v/>
      </c>
      <c r="AQ65" s="207" t="str">
        <f>IFERROR(IF(ISBLANK($D65),"",VLOOKUP($N65,'TABLE CHARGE RATE'!$A$30:$K$106,9,0)),"Check")</f>
        <v/>
      </c>
      <c r="AR65" s="207" t="str">
        <f>IFERROR(IF(ISBLANK($D65),"",VLOOKUP($N65,'TABLE CHARGE RATE'!$A$30:$K$106,10,0)),"Check")</f>
        <v/>
      </c>
      <c r="AS65" s="207" t="str">
        <f>IFERROR(IF(ISBLANK($D65),"",VLOOKUP($N65,'TABLE CHARGE RATE'!$A$30:$K$106,11,0)),"Check")</f>
        <v/>
      </c>
      <c r="AT65" s="207">
        <f t="shared" si="9"/>
        <v>64</v>
      </c>
    </row>
    <row r="66" spans="1:46" x14ac:dyDescent="0.2">
      <c r="A66" s="207" t="str">
        <f t="shared" si="17"/>
        <v/>
      </c>
      <c r="B66" s="208" t="str">
        <f>IF(ISBLANK(D66),"",VLOOKUP(WEEKDAY($C66,1),INDEX!$J$2:$K$8,2,0))</f>
        <v/>
      </c>
      <c r="C66" s="209"/>
      <c r="D66" s="207"/>
      <c r="E66" s="207"/>
      <c r="F66" s="207"/>
      <c r="G66" s="207"/>
      <c r="H66" s="207"/>
      <c r="I66" s="207"/>
      <c r="J66" s="207"/>
      <c r="K66" s="276"/>
      <c r="L66" s="207"/>
      <c r="M66" s="207"/>
      <c r="N66" s="207"/>
      <c r="O66" s="207"/>
      <c r="P66" s="207"/>
      <c r="Q66" s="207"/>
      <c r="R66" s="207"/>
      <c r="S66" s="207"/>
      <c r="T66" s="207"/>
      <c r="U66" s="209"/>
      <c r="V66" s="207"/>
      <c r="W66" s="207"/>
      <c r="X66" s="209">
        <f t="shared" si="4"/>
        <v>0</v>
      </c>
      <c r="Y66" s="209">
        <f t="shared" si="5"/>
        <v>0</v>
      </c>
      <c r="Z66" s="207">
        <v>1</v>
      </c>
      <c r="AA66" s="209" t="str">
        <f t="shared" ref="AA66:AA129" si="18">IF(ISBLANK(D66),"",Y66+10)</f>
        <v/>
      </c>
      <c r="AB66" s="209"/>
      <c r="AC66" s="207">
        <v>0</v>
      </c>
      <c r="AD66" s="207"/>
      <c r="AE66" s="207"/>
      <c r="AF66" s="208" t="str">
        <f>IF(ISBLANK(D66),"",VLOOKUP(F66,'SIZE CALCULATION'!$F:$G,2,0))</f>
        <v/>
      </c>
      <c r="AG66" s="207" t="str">
        <f t="shared" si="16"/>
        <v/>
      </c>
      <c r="AH66" s="207" t="str">
        <f t="shared" si="7"/>
        <v/>
      </c>
      <c r="AI66" s="210" t="str">
        <f>IF(ISBLANK(D66),"",VLOOKUP($A66,INDEX!$D$2:$F$13,3,0))</f>
        <v/>
      </c>
      <c r="AJ66" s="207" t="str">
        <f t="shared" si="8"/>
        <v/>
      </c>
      <c r="AK66" s="207"/>
      <c r="AL66" s="207"/>
      <c r="AM66" s="207" t="str">
        <f>IFERROR(IF(ISBLANK($D66),"",VLOOKUP($N66,'TABLE CHARGE RATE'!$A$30:$K$106,5,0)),"Check")</f>
        <v/>
      </c>
      <c r="AN66" s="207" t="str">
        <f>IFERROR(IF(ISBLANK($D66),"",VLOOKUP($N66,'TABLE CHARGE RATE'!$A$30:$K$106,6,0)),"Check")</f>
        <v/>
      </c>
      <c r="AO66" s="207" t="str">
        <f>IFERROR(IF(ISBLANK($D66),"",VLOOKUP($N66,'TABLE CHARGE RATE'!$A$30:$K$106,7,0)),"Check")</f>
        <v/>
      </c>
      <c r="AP66" s="207" t="str">
        <f>IFERROR(IF(ISBLANK($D66),"",VLOOKUP($N66,'TABLE CHARGE RATE'!$A$30:$K$106,8,0)),"Check")</f>
        <v/>
      </c>
      <c r="AQ66" s="207" t="str">
        <f>IFERROR(IF(ISBLANK($D66),"",VLOOKUP($N66,'TABLE CHARGE RATE'!$A$30:$K$106,9,0)),"Check")</f>
        <v/>
      </c>
      <c r="AR66" s="207" t="str">
        <f>IFERROR(IF(ISBLANK($D66),"",VLOOKUP($N66,'TABLE CHARGE RATE'!$A$30:$K$106,10,0)),"Check")</f>
        <v/>
      </c>
      <c r="AS66" s="207" t="str">
        <f>IFERROR(IF(ISBLANK($D66),"",VLOOKUP($N66,'TABLE CHARGE RATE'!$A$30:$K$106,11,0)),"Check")</f>
        <v/>
      </c>
      <c r="AT66" s="207">
        <f t="shared" si="9"/>
        <v>65</v>
      </c>
    </row>
    <row r="67" spans="1:46" x14ac:dyDescent="0.2">
      <c r="A67" s="207" t="str">
        <f t="shared" si="17"/>
        <v/>
      </c>
      <c r="B67" s="208" t="str">
        <f>IF(ISBLANK(D67),"",VLOOKUP(WEEKDAY($C67,1),INDEX!$J$2:$K$8,2,0))</f>
        <v/>
      </c>
      <c r="C67" s="209"/>
      <c r="D67" s="207"/>
      <c r="E67" s="207"/>
      <c r="F67" s="207"/>
      <c r="G67" s="207"/>
      <c r="H67" s="207"/>
      <c r="I67" s="207"/>
      <c r="J67" s="207"/>
      <c r="K67" s="276"/>
      <c r="L67" s="207"/>
      <c r="M67" s="207"/>
      <c r="N67" s="207"/>
      <c r="O67" s="207"/>
      <c r="P67" s="207"/>
      <c r="Q67" s="207"/>
      <c r="R67" s="207"/>
      <c r="S67" s="207"/>
      <c r="T67" s="207"/>
      <c r="U67" s="209"/>
      <c r="V67" s="207"/>
      <c r="W67" s="207"/>
      <c r="X67" s="209">
        <f t="shared" ref="X67:X130" si="19">U67</f>
        <v>0</v>
      </c>
      <c r="Y67" s="209">
        <f t="shared" ref="Y67:Y130" si="20">U67</f>
        <v>0</v>
      </c>
      <c r="Z67" s="207">
        <v>1</v>
      </c>
      <c r="AA67" s="209" t="str">
        <f t="shared" si="18"/>
        <v/>
      </c>
      <c r="AB67" s="209"/>
      <c r="AC67" s="207">
        <v>0</v>
      </c>
      <c r="AD67" s="207"/>
      <c r="AE67" s="207"/>
      <c r="AF67" s="208" t="str">
        <f>IF(ISBLANK(D67),"",VLOOKUP(F67,'SIZE CALCULATION'!$F:$G,2,0))</f>
        <v/>
      </c>
      <c r="AG67" s="207" t="str">
        <f t="shared" si="16"/>
        <v/>
      </c>
      <c r="AH67" s="207" t="str">
        <f t="shared" si="7"/>
        <v/>
      </c>
      <c r="AI67" s="210" t="str">
        <f>IF(ISBLANK(D67),"",VLOOKUP($A67,INDEX!$D$2:$F$13,3,0))</f>
        <v/>
      </c>
      <c r="AJ67" s="207" t="str">
        <f t="shared" si="8"/>
        <v/>
      </c>
      <c r="AK67" s="207"/>
      <c r="AL67" s="207"/>
      <c r="AM67" s="207" t="str">
        <f>IFERROR(IF(ISBLANK($D67),"",VLOOKUP($N67,'TABLE CHARGE RATE'!$A$30:$K$106,5,0)),"Check")</f>
        <v/>
      </c>
      <c r="AN67" s="207" t="str">
        <f>IFERROR(IF(ISBLANK($D67),"",VLOOKUP($N67,'TABLE CHARGE RATE'!$A$30:$K$106,6,0)),"Check")</f>
        <v/>
      </c>
      <c r="AO67" s="207" t="str">
        <f>IFERROR(IF(ISBLANK($D67),"",VLOOKUP($N67,'TABLE CHARGE RATE'!$A$30:$K$106,7,0)),"Check")</f>
        <v/>
      </c>
      <c r="AP67" s="207" t="str">
        <f>IFERROR(IF(ISBLANK($D67),"",VLOOKUP($N67,'TABLE CHARGE RATE'!$A$30:$K$106,8,0)),"Check")</f>
        <v/>
      </c>
      <c r="AQ67" s="207" t="str">
        <f>IFERROR(IF(ISBLANK($D67),"",VLOOKUP($N67,'TABLE CHARGE RATE'!$A$30:$K$106,9,0)),"Check")</f>
        <v/>
      </c>
      <c r="AR67" s="207" t="str">
        <f>IFERROR(IF(ISBLANK($D67),"",VLOOKUP($N67,'TABLE CHARGE RATE'!$A$30:$K$106,10,0)),"Check")</f>
        <v/>
      </c>
      <c r="AS67" s="207" t="str">
        <f>IFERROR(IF(ISBLANK($D67),"",VLOOKUP($N67,'TABLE CHARGE RATE'!$A$30:$K$106,11,0)),"Check")</f>
        <v/>
      </c>
      <c r="AT67" s="207">
        <f t="shared" si="9"/>
        <v>66</v>
      </c>
    </row>
    <row r="68" spans="1:46" x14ac:dyDescent="0.2">
      <c r="A68" s="207" t="str">
        <f t="shared" si="17"/>
        <v/>
      </c>
      <c r="B68" s="208" t="str">
        <f>IF(ISBLANK(D68),"",VLOOKUP(WEEKDAY($C68,1),INDEX!$J$2:$K$8,2,0))</f>
        <v/>
      </c>
      <c r="C68" s="209"/>
      <c r="D68" s="207"/>
      <c r="E68" s="207"/>
      <c r="F68" s="207"/>
      <c r="G68" s="207"/>
      <c r="H68" s="207"/>
      <c r="I68" s="207"/>
      <c r="J68" s="207"/>
      <c r="K68" s="276"/>
      <c r="L68" s="207"/>
      <c r="M68" s="207"/>
      <c r="N68" s="207"/>
      <c r="O68" s="207"/>
      <c r="P68" s="207"/>
      <c r="Q68" s="207"/>
      <c r="R68" s="207"/>
      <c r="S68" s="207"/>
      <c r="T68" s="207"/>
      <c r="U68" s="209"/>
      <c r="V68" s="207"/>
      <c r="W68" s="207"/>
      <c r="X68" s="209">
        <f t="shared" si="19"/>
        <v>0</v>
      </c>
      <c r="Y68" s="209">
        <f t="shared" si="20"/>
        <v>0</v>
      </c>
      <c r="Z68" s="207">
        <v>1</v>
      </c>
      <c r="AA68" s="209" t="str">
        <f t="shared" si="18"/>
        <v/>
      </c>
      <c r="AB68" s="209"/>
      <c r="AC68" s="207">
        <v>0</v>
      </c>
      <c r="AD68" s="207"/>
      <c r="AE68" s="207"/>
      <c r="AF68" s="208" t="str">
        <f>IF(ISBLANK(D68),"",VLOOKUP(F68,'SIZE CALCULATION'!$F:$G,2,0))</f>
        <v/>
      </c>
      <c r="AG68" s="207" t="str">
        <f t="shared" si="16"/>
        <v/>
      </c>
      <c r="AH68" s="207" t="str">
        <f t="shared" si="7"/>
        <v/>
      </c>
      <c r="AI68" s="210" t="str">
        <f>IF(ISBLANK(D68),"",VLOOKUP($A68,INDEX!$D$2:$F$13,3,0))</f>
        <v/>
      </c>
      <c r="AJ68" s="207" t="str">
        <f t="shared" si="8"/>
        <v/>
      </c>
      <c r="AK68" s="207"/>
      <c r="AL68" s="207"/>
      <c r="AM68" s="207" t="str">
        <f>IFERROR(IF(ISBLANK($D68),"",VLOOKUP($N68,'TABLE CHARGE RATE'!$A$30:$K$106,5,0)),"Check")</f>
        <v/>
      </c>
      <c r="AN68" s="207" t="str">
        <f>IFERROR(IF(ISBLANK($D68),"",VLOOKUP($N68,'TABLE CHARGE RATE'!$A$30:$K$106,6,0)),"Check")</f>
        <v/>
      </c>
      <c r="AO68" s="207" t="str">
        <f>IFERROR(IF(ISBLANK($D68),"",VLOOKUP($N68,'TABLE CHARGE RATE'!$A$30:$K$106,7,0)),"Check")</f>
        <v/>
      </c>
      <c r="AP68" s="207" t="str">
        <f>IFERROR(IF(ISBLANK($D68),"",VLOOKUP($N68,'TABLE CHARGE RATE'!$A$30:$K$106,8,0)),"Check")</f>
        <v/>
      </c>
      <c r="AQ68" s="207" t="str">
        <f>IFERROR(IF(ISBLANK($D68),"",VLOOKUP($N68,'TABLE CHARGE RATE'!$A$30:$K$106,9,0)),"Check")</f>
        <v/>
      </c>
      <c r="AR68" s="207" t="str">
        <f>IFERROR(IF(ISBLANK($D68),"",VLOOKUP($N68,'TABLE CHARGE RATE'!$A$30:$K$106,10,0)),"Check")</f>
        <v/>
      </c>
      <c r="AS68" s="207" t="str">
        <f>IFERROR(IF(ISBLANK($D68),"",VLOOKUP($N68,'TABLE CHARGE RATE'!$A$30:$K$106,11,0)),"Check")</f>
        <v/>
      </c>
      <c r="AT68" s="207">
        <f t="shared" si="9"/>
        <v>67</v>
      </c>
    </row>
    <row r="69" spans="1:46" x14ac:dyDescent="0.2">
      <c r="A69" s="207" t="str">
        <f t="shared" si="17"/>
        <v/>
      </c>
      <c r="B69" s="208" t="str">
        <f>IF(ISBLANK(D69),"",VLOOKUP(WEEKDAY($C69,1),INDEX!$J$2:$K$8,2,0))</f>
        <v/>
      </c>
      <c r="C69" s="209"/>
      <c r="D69" s="207"/>
      <c r="E69" s="207"/>
      <c r="F69" s="207"/>
      <c r="G69" s="207"/>
      <c r="H69" s="207"/>
      <c r="I69" s="207"/>
      <c r="J69" s="207"/>
      <c r="K69" s="276"/>
      <c r="L69" s="207"/>
      <c r="M69" s="207"/>
      <c r="N69" s="207"/>
      <c r="O69" s="207"/>
      <c r="P69" s="207"/>
      <c r="Q69" s="207"/>
      <c r="R69" s="207"/>
      <c r="S69" s="207"/>
      <c r="T69" s="207"/>
      <c r="U69" s="209"/>
      <c r="V69" s="207"/>
      <c r="W69" s="207"/>
      <c r="X69" s="209">
        <f t="shared" si="19"/>
        <v>0</v>
      </c>
      <c r="Y69" s="209">
        <f t="shared" si="20"/>
        <v>0</v>
      </c>
      <c r="Z69" s="207">
        <v>1</v>
      </c>
      <c r="AA69" s="209" t="str">
        <f t="shared" si="18"/>
        <v/>
      </c>
      <c r="AB69" s="209"/>
      <c r="AC69" s="207">
        <v>0</v>
      </c>
      <c r="AD69" s="207"/>
      <c r="AE69" s="207"/>
      <c r="AF69" s="208" t="str">
        <f>IF(ISBLANK(D69),"",VLOOKUP(F69,'SIZE CALCULATION'!$F:$G,2,0))</f>
        <v/>
      </c>
      <c r="AG69" s="207" t="str">
        <f t="shared" si="16"/>
        <v/>
      </c>
      <c r="AH69" s="207" t="str">
        <f t="shared" ref="AH69:AH132" si="21">IF(ISBLANK(D69),"",IFERROR(AG69*G69,0))</f>
        <v/>
      </c>
      <c r="AI69" s="210" t="str">
        <f>IF(ISBLANK(D69),"",VLOOKUP($A69,INDEX!$D$2:$F$13,3,0))</f>
        <v/>
      </c>
      <c r="AJ69" s="207" t="str">
        <f t="shared" ref="AJ69:AJ132" si="22">IF(ISBLANK(D69),"",AH69+(AH69*AI69))</f>
        <v/>
      </c>
      <c r="AK69" s="207"/>
      <c r="AL69" s="207"/>
      <c r="AM69" s="207" t="str">
        <f>IFERROR(IF(ISBLANK($D69),"",VLOOKUP($N69,'TABLE CHARGE RATE'!$A$30:$K$106,5,0)),"Check")</f>
        <v/>
      </c>
      <c r="AN69" s="207" t="str">
        <f>IFERROR(IF(ISBLANK($D69),"",VLOOKUP($N69,'TABLE CHARGE RATE'!$A$30:$K$106,6,0)),"Check")</f>
        <v/>
      </c>
      <c r="AO69" s="207" t="str">
        <f>IFERROR(IF(ISBLANK($D69),"",VLOOKUP($N69,'TABLE CHARGE RATE'!$A$30:$K$106,7,0)),"Check")</f>
        <v/>
      </c>
      <c r="AP69" s="207" t="str">
        <f>IFERROR(IF(ISBLANK($D69),"",VLOOKUP($N69,'TABLE CHARGE RATE'!$A$30:$K$106,8,0)),"Check")</f>
        <v/>
      </c>
      <c r="AQ69" s="207" t="str">
        <f>IFERROR(IF(ISBLANK($D69),"",VLOOKUP($N69,'TABLE CHARGE RATE'!$A$30:$K$106,9,0)),"Check")</f>
        <v/>
      </c>
      <c r="AR69" s="207" t="str">
        <f>IFERROR(IF(ISBLANK($D69),"",VLOOKUP($N69,'TABLE CHARGE RATE'!$A$30:$K$106,10,0)),"Check")</f>
        <v/>
      </c>
      <c r="AS69" s="207" t="str">
        <f>IFERROR(IF(ISBLANK($D69),"",VLOOKUP($N69,'TABLE CHARGE RATE'!$A$30:$K$106,11,0)),"Check")</f>
        <v/>
      </c>
      <c r="AT69" s="207">
        <f t="shared" ref="AT69:AT132" si="23">AT68+1</f>
        <v>68</v>
      </c>
    </row>
    <row r="70" spans="1:46" x14ac:dyDescent="0.2">
      <c r="A70" s="207" t="str">
        <f t="shared" si="17"/>
        <v/>
      </c>
      <c r="B70" s="208" t="str">
        <f>IF(ISBLANK(D70),"",VLOOKUP(WEEKDAY($C70,1),INDEX!$J$2:$K$8,2,0))</f>
        <v/>
      </c>
      <c r="C70" s="209"/>
      <c r="D70" s="207"/>
      <c r="E70" s="207"/>
      <c r="F70" s="207"/>
      <c r="G70" s="207"/>
      <c r="H70" s="207"/>
      <c r="I70" s="207"/>
      <c r="J70" s="207"/>
      <c r="K70" s="276"/>
      <c r="L70" s="207"/>
      <c r="M70" s="207"/>
      <c r="N70" s="207"/>
      <c r="O70" s="207"/>
      <c r="P70" s="207"/>
      <c r="Q70" s="207"/>
      <c r="R70" s="207"/>
      <c r="S70" s="207"/>
      <c r="T70" s="207"/>
      <c r="U70" s="209"/>
      <c r="V70" s="207"/>
      <c r="W70" s="207"/>
      <c r="X70" s="209">
        <f t="shared" si="19"/>
        <v>0</v>
      </c>
      <c r="Y70" s="209">
        <f t="shared" si="20"/>
        <v>0</v>
      </c>
      <c r="Z70" s="207">
        <v>1</v>
      </c>
      <c r="AA70" s="209" t="str">
        <f t="shared" si="18"/>
        <v/>
      </c>
      <c r="AB70" s="209"/>
      <c r="AC70" s="207">
        <v>0</v>
      </c>
      <c r="AD70" s="207"/>
      <c r="AE70" s="207"/>
      <c r="AF70" s="208" t="str">
        <f>IF(ISBLANK(D70),"",VLOOKUP(F70,'SIZE CALCULATION'!$F:$G,2,0))</f>
        <v/>
      </c>
      <c r="AG70" s="207" t="str">
        <f t="shared" si="16"/>
        <v/>
      </c>
      <c r="AH70" s="207" t="str">
        <f t="shared" si="21"/>
        <v/>
      </c>
      <c r="AI70" s="210" t="str">
        <f>IF(ISBLANK(D70),"",VLOOKUP($A70,INDEX!$D$2:$F$13,3,0))</f>
        <v/>
      </c>
      <c r="AJ70" s="207" t="str">
        <f t="shared" si="22"/>
        <v/>
      </c>
      <c r="AK70" s="207"/>
      <c r="AL70" s="207"/>
      <c r="AM70" s="207" t="str">
        <f>IFERROR(IF(ISBLANK($D70),"",VLOOKUP($N70,'TABLE CHARGE RATE'!$A$30:$K$106,5,0)),"Check")</f>
        <v/>
      </c>
      <c r="AN70" s="207" t="str">
        <f>IFERROR(IF(ISBLANK($D70),"",VLOOKUP($N70,'TABLE CHARGE RATE'!$A$30:$K$106,6,0)),"Check")</f>
        <v/>
      </c>
      <c r="AO70" s="207" t="str">
        <f>IFERROR(IF(ISBLANK($D70),"",VLOOKUP($N70,'TABLE CHARGE RATE'!$A$30:$K$106,7,0)),"Check")</f>
        <v/>
      </c>
      <c r="AP70" s="207" t="str">
        <f>IFERROR(IF(ISBLANK($D70),"",VLOOKUP($N70,'TABLE CHARGE RATE'!$A$30:$K$106,8,0)),"Check")</f>
        <v/>
      </c>
      <c r="AQ70" s="207" t="str">
        <f>IFERROR(IF(ISBLANK($D70),"",VLOOKUP($N70,'TABLE CHARGE RATE'!$A$30:$K$106,9,0)),"Check")</f>
        <v/>
      </c>
      <c r="AR70" s="207" t="str">
        <f>IFERROR(IF(ISBLANK($D70),"",VLOOKUP($N70,'TABLE CHARGE RATE'!$A$30:$K$106,10,0)),"Check")</f>
        <v/>
      </c>
      <c r="AS70" s="207" t="str">
        <f>IFERROR(IF(ISBLANK($D70),"",VLOOKUP($N70,'TABLE CHARGE RATE'!$A$30:$K$106,11,0)),"Check")</f>
        <v/>
      </c>
      <c r="AT70" s="207">
        <f t="shared" si="23"/>
        <v>69</v>
      </c>
    </row>
    <row r="71" spans="1:46" x14ac:dyDescent="0.2">
      <c r="A71" s="207" t="str">
        <f t="shared" si="17"/>
        <v/>
      </c>
      <c r="B71" s="208" t="str">
        <f>IF(ISBLANK(D71),"",VLOOKUP(WEEKDAY($C71,1),INDEX!$J$2:$K$8,2,0))</f>
        <v/>
      </c>
      <c r="C71" s="209"/>
      <c r="D71" s="207"/>
      <c r="E71" s="207"/>
      <c r="F71" s="207"/>
      <c r="G71" s="207"/>
      <c r="H71" s="207"/>
      <c r="I71" s="207"/>
      <c r="J71" s="207"/>
      <c r="K71" s="207"/>
      <c r="L71" s="207"/>
      <c r="M71" s="207"/>
      <c r="N71" s="207"/>
      <c r="O71" s="207"/>
      <c r="P71" s="207"/>
      <c r="Q71" s="207"/>
      <c r="R71" s="207"/>
      <c r="S71" s="207"/>
      <c r="T71" s="207"/>
      <c r="U71" s="209"/>
      <c r="V71" s="207"/>
      <c r="W71" s="207"/>
      <c r="X71" s="209">
        <f t="shared" si="19"/>
        <v>0</v>
      </c>
      <c r="Y71" s="209">
        <f t="shared" si="20"/>
        <v>0</v>
      </c>
      <c r="Z71" s="207">
        <v>1</v>
      </c>
      <c r="AA71" s="209" t="str">
        <f t="shared" si="18"/>
        <v/>
      </c>
      <c r="AB71" s="209"/>
      <c r="AC71" s="207">
        <v>0</v>
      </c>
      <c r="AD71" s="207"/>
      <c r="AE71" s="207"/>
      <c r="AF71" s="208" t="str">
        <f>IF(ISBLANK(D71),"",VLOOKUP(F71,'SIZE CALCULATION'!$F:$G,2,0))</f>
        <v/>
      </c>
      <c r="AG71" s="207" t="str">
        <f t="shared" si="16"/>
        <v/>
      </c>
      <c r="AH71" s="207" t="str">
        <f t="shared" si="21"/>
        <v/>
      </c>
      <c r="AI71" s="210" t="str">
        <f>IF(ISBLANK(D71),"",VLOOKUP($A71,INDEX!$D$2:$F$13,3,0))</f>
        <v/>
      </c>
      <c r="AJ71" s="207" t="str">
        <f t="shared" si="22"/>
        <v/>
      </c>
      <c r="AK71" s="207"/>
      <c r="AL71" s="207"/>
      <c r="AM71" s="207" t="str">
        <f>IFERROR(IF(ISBLANK($D71),"",VLOOKUP($N71,'TABLE CHARGE RATE'!$A$30:$K$106,5,0)),"Check")</f>
        <v/>
      </c>
      <c r="AN71" s="207" t="str">
        <f>IFERROR(IF(ISBLANK($D71),"",VLOOKUP($N71,'TABLE CHARGE RATE'!$A$30:$K$106,6,0)),"Check")</f>
        <v/>
      </c>
      <c r="AO71" s="207" t="str">
        <f>IFERROR(IF(ISBLANK($D71),"",VLOOKUP($N71,'TABLE CHARGE RATE'!$A$30:$K$106,7,0)),"Check")</f>
        <v/>
      </c>
      <c r="AP71" s="207" t="str">
        <f>IFERROR(IF(ISBLANK($D71),"",VLOOKUP($N71,'TABLE CHARGE RATE'!$A$30:$K$106,8,0)),"Check")</f>
        <v/>
      </c>
      <c r="AQ71" s="207" t="str">
        <f>IFERROR(IF(ISBLANK($D71),"",VLOOKUP($N71,'TABLE CHARGE RATE'!$A$30:$K$106,9,0)),"Check")</f>
        <v/>
      </c>
      <c r="AR71" s="207" t="str">
        <f>IFERROR(IF(ISBLANK($D71),"",VLOOKUP($N71,'TABLE CHARGE RATE'!$A$30:$K$106,10,0)),"Check")</f>
        <v/>
      </c>
      <c r="AS71" s="207" t="str">
        <f>IFERROR(IF(ISBLANK($D71),"",VLOOKUP($N71,'TABLE CHARGE RATE'!$A$30:$K$106,11,0)),"Check")</f>
        <v/>
      </c>
      <c r="AT71" s="207">
        <f t="shared" si="23"/>
        <v>70</v>
      </c>
    </row>
    <row r="72" spans="1:46" x14ac:dyDescent="0.2">
      <c r="A72" s="207" t="str">
        <f t="shared" si="17"/>
        <v/>
      </c>
      <c r="B72" s="208" t="str">
        <f>IF(ISBLANK(D72),"",VLOOKUP(WEEKDAY($C72,1),INDEX!$J$2:$K$8,2,0))</f>
        <v/>
      </c>
      <c r="C72" s="209"/>
      <c r="D72" s="207"/>
      <c r="E72" s="207"/>
      <c r="F72" s="207"/>
      <c r="G72" s="207"/>
      <c r="H72" s="207"/>
      <c r="I72" s="207"/>
      <c r="J72" s="207"/>
      <c r="K72" s="207"/>
      <c r="L72" s="207"/>
      <c r="M72" s="207"/>
      <c r="N72" s="207"/>
      <c r="O72" s="207"/>
      <c r="P72" s="207"/>
      <c r="Q72" s="207"/>
      <c r="R72" s="207"/>
      <c r="S72" s="207"/>
      <c r="T72" s="207"/>
      <c r="U72" s="209"/>
      <c r="V72" s="207"/>
      <c r="W72" s="207"/>
      <c r="X72" s="209">
        <f t="shared" si="19"/>
        <v>0</v>
      </c>
      <c r="Y72" s="209">
        <f t="shared" si="20"/>
        <v>0</v>
      </c>
      <c r="Z72" s="207">
        <v>1</v>
      </c>
      <c r="AA72" s="209" t="str">
        <f t="shared" si="18"/>
        <v/>
      </c>
      <c r="AB72" s="209"/>
      <c r="AC72" s="207">
        <v>0</v>
      </c>
      <c r="AD72" s="207"/>
      <c r="AE72" s="207"/>
      <c r="AF72" s="208" t="str">
        <f>IF(ISBLANK(D72),"",VLOOKUP(F72,'SIZE CALCULATION'!$F:$G,2,0))</f>
        <v/>
      </c>
      <c r="AG72" s="207" t="str">
        <f t="shared" si="16"/>
        <v/>
      </c>
      <c r="AH72" s="207" t="str">
        <f t="shared" si="21"/>
        <v/>
      </c>
      <c r="AI72" s="210" t="str">
        <f>IF(ISBLANK(D72),"",VLOOKUP($A72,INDEX!$D$2:$F$13,3,0))</f>
        <v/>
      </c>
      <c r="AJ72" s="207" t="str">
        <f t="shared" si="22"/>
        <v/>
      </c>
      <c r="AK72" s="207"/>
      <c r="AL72" s="207"/>
      <c r="AM72" s="207" t="str">
        <f>IFERROR(IF(ISBLANK($D72),"",VLOOKUP($N72,'TABLE CHARGE RATE'!$A$30:$K$106,5,0)),"Check")</f>
        <v/>
      </c>
      <c r="AN72" s="207" t="str">
        <f>IFERROR(IF(ISBLANK($D72),"",VLOOKUP($N72,'TABLE CHARGE RATE'!$A$30:$K$106,6,0)),"Check")</f>
        <v/>
      </c>
      <c r="AO72" s="207" t="str">
        <f>IFERROR(IF(ISBLANK($D72),"",VLOOKUP($N72,'TABLE CHARGE RATE'!$A$30:$K$106,7,0)),"Check")</f>
        <v/>
      </c>
      <c r="AP72" s="207" t="str">
        <f>IFERROR(IF(ISBLANK($D72),"",VLOOKUP($N72,'TABLE CHARGE RATE'!$A$30:$K$106,8,0)),"Check")</f>
        <v/>
      </c>
      <c r="AQ72" s="207" t="str">
        <f>IFERROR(IF(ISBLANK($D72),"",VLOOKUP($N72,'TABLE CHARGE RATE'!$A$30:$K$106,9,0)),"Check")</f>
        <v/>
      </c>
      <c r="AR72" s="207" t="str">
        <f>IFERROR(IF(ISBLANK($D72),"",VLOOKUP($N72,'TABLE CHARGE RATE'!$A$30:$K$106,10,0)),"Check")</f>
        <v/>
      </c>
      <c r="AS72" s="207" t="str">
        <f>IFERROR(IF(ISBLANK($D72),"",VLOOKUP($N72,'TABLE CHARGE RATE'!$A$30:$K$106,11,0)),"Check")</f>
        <v/>
      </c>
      <c r="AT72" s="207">
        <f t="shared" si="23"/>
        <v>71</v>
      </c>
    </row>
    <row r="73" spans="1:46" x14ac:dyDescent="0.2">
      <c r="A73" s="207" t="str">
        <f t="shared" si="17"/>
        <v/>
      </c>
      <c r="B73" s="208" t="str">
        <f>IF(ISBLANK(D73),"",VLOOKUP(WEEKDAY($C73,1),INDEX!$J$2:$K$8,2,0))</f>
        <v/>
      </c>
      <c r="C73" s="209"/>
      <c r="D73" s="207"/>
      <c r="E73" s="207"/>
      <c r="F73" s="207"/>
      <c r="G73" s="207"/>
      <c r="H73" s="207"/>
      <c r="I73" s="207"/>
      <c r="J73" s="207"/>
      <c r="K73" s="207"/>
      <c r="L73" s="207"/>
      <c r="M73" s="207"/>
      <c r="N73" s="207"/>
      <c r="O73" s="207"/>
      <c r="P73" s="207"/>
      <c r="Q73" s="207"/>
      <c r="R73" s="207"/>
      <c r="S73" s="207"/>
      <c r="T73" s="207"/>
      <c r="U73" s="209"/>
      <c r="V73" s="207"/>
      <c r="W73" s="207"/>
      <c r="X73" s="209">
        <f t="shared" si="19"/>
        <v>0</v>
      </c>
      <c r="Y73" s="209">
        <f t="shared" si="20"/>
        <v>0</v>
      </c>
      <c r="Z73" s="207">
        <v>1</v>
      </c>
      <c r="AA73" s="209" t="str">
        <f t="shared" si="18"/>
        <v/>
      </c>
      <c r="AB73" s="209"/>
      <c r="AC73" s="207">
        <v>0</v>
      </c>
      <c r="AD73" s="207"/>
      <c r="AE73" s="207"/>
      <c r="AF73" s="208" t="str">
        <f>IF(ISBLANK(D73),"",VLOOKUP(F73,'SIZE CALCULATION'!$F:$G,2,0))</f>
        <v/>
      </c>
      <c r="AG73" s="207" t="str">
        <f t="shared" si="16"/>
        <v/>
      </c>
      <c r="AH73" s="207" t="str">
        <f t="shared" si="21"/>
        <v/>
      </c>
      <c r="AI73" s="210" t="str">
        <f>IF(ISBLANK(D73),"",VLOOKUP($A73,INDEX!$D$2:$F$13,3,0))</f>
        <v/>
      </c>
      <c r="AJ73" s="207" t="str">
        <f t="shared" si="22"/>
        <v/>
      </c>
      <c r="AK73" s="207"/>
      <c r="AL73" s="207"/>
      <c r="AM73" s="207" t="str">
        <f>IFERROR(IF(ISBLANK($D73),"",VLOOKUP($N73,'TABLE CHARGE RATE'!$A$30:$K$106,5,0)),"Check")</f>
        <v/>
      </c>
      <c r="AN73" s="207" t="str">
        <f>IFERROR(IF(ISBLANK($D73),"",VLOOKUP($N73,'TABLE CHARGE RATE'!$A$30:$K$106,6,0)),"Check")</f>
        <v/>
      </c>
      <c r="AO73" s="207" t="str">
        <f>IFERROR(IF(ISBLANK($D73),"",VLOOKUP($N73,'TABLE CHARGE RATE'!$A$30:$K$106,7,0)),"Check")</f>
        <v/>
      </c>
      <c r="AP73" s="207" t="str">
        <f>IFERROR(IF(ISBLANK($D73),"",VLOOKUP($N73,'TABLE CHARGE RATE'!$A$30:$K$106,8,0)),"Check")</f>
        <v/>
      </c>
      <c r="AQ73" s="207" t="str">
        <f>IFERROR(IF(ISBLANK($D73),"",VLOOKUP($N73,'TABLE CHARGE RATE'!$A$30:$K$106,9,0)),"Check")</f>
        <v/>
      </c>
      <c r="AR73" s="207" t="str">
        <f>IFERROR(IF(ISBLANK($D73),"",VLOOKUP($N73,'TABLE CHARGE RATE'!$A$30:$K$106,10,0)),"Check")</f>
        <v/>
      </c>
      <c r="AS73" s="207" t="str">
        <f>IFERROR(IF(ISBLANK($D73),"",VLOOKUP($N73,'TABLE CHARGE RATE'!$A$30:$K$106,11,0)),"Check")</f>
        <v/>
      </c>
      <c r="AT73" s="207">
        <f t="shared" si="23"/>
        <v>72</v>
      </c>
    </row>
    <row r="74" spans="1:46" x14ac:dyDescent="0.2">
      <c r="A74" s="207" t="str">
        <f t="shared" si="17"/>
        <v/>
      </c>
      <c r="B74" s="208" t="str">
        <f>IF(ISBLANK(D74),"",VLOOKUP(WEEKDAY($C74,1),INDEX!$J$2:$K$8,2,0))</f>
        <v/>
      </c>
      <c r="C74" s="209"/>
      <c r="D74" s="207"/>
      <c r="E74" s="207"/>
      <c r="F74" s="207"/>
      <c r="G74" s="207"/>
      <c r="H74" s="207"/>
      <c r="I74" s="207"/>
      <c r="J74" s="207"/>
      <c r="K74" s="207"/>
      <c r="L74" s="207"/>
      <c r="M74" s="207"/>
      <c r="N74" s="207"/>
      <c r="O74" s="207"/>
      <c r="P74" s="207"/>
      <c r="Q74" s="207"/>
      <c r="R74" s="207"/>
      <c r="S74" s="207"/>
      <c r="T74" s="207"/>
      <c r="U74" s="209"/>
      <c r="V74" s="207"/>
      <c r="W74" s="207"/>
      <c r="X74" s="209">
        <f t="shared" si="19"/>
        <v>0</v>
      </c>
      <c r="Y74" s="209">
        <f t="shared" si="20"/>
        <v>0</v>
      </c>
      <c r="Z74" s="207">
        <v>1</v>
      </c>
      <c r="AA74" s="209" t="str">
        <f t="shared" si="18"/>
        <v/>
      </c>
      <c r="AB74" s="209"/>
      <c r="AC74" s="207">
        <v>0</v>
      </c>
      <c r="AD74" s="207"/>
      <c r="AE74" s="207"/>
      <c r="AF74" s="208" t="str">
        <f>IF(ISBLANK(D74),"",VLOOKUP(F74,'SIZE CALCULATION'!$F:$G,2,0))</f>
        <v/>
      </c>
      <c r="AG74" s="207" t="str">
        <f t="shared" si="16"/>
        <v/>
      </c>
      <c r="AH74" s="207" t="str">
        <f t="shared" si="21"/>
        <v/>
      </c>
      <c r="AI74" s="210" t="str">
        <f>IF(ISBLANK(D74),"",VLOOKUP($A74,INDEX!$D$2:$F$13,3,0))</f>
        <v/>
      </c>
      <c r="AJ74" s="207" t="str">
        <f t="shared" si="22"/>
        <v/>
      </c>
      <c r="AK74" s="207"/>
      <c r="AL74" s="207"/>
      <c r="AM74" s="207" t="str">
        <f>IFERROR(IF(ISBLANK($D74),"",VLOOKUP($N74,'TABLE CHARGE RATE'!$A$30:$K$106,5,0)),"Check")</f>
        <v/>
      </c>
      <c r="AN74" s="207" t="str">
        <f>IFERROR(IF(ISBLANK($D74),"",VLOOKUP($N74,'TABLE CHARGE RATE'!$A$30:$K$106,6,0)),"Check")</f>
        <v/>
      </c>
      <c r="AO74" s="207" t="str">
        <f>IFERROR(IF(ISBLANK($D74),"",VLOOKUP($N74,'TABLE CHARGE RATE'!$A$30:$K$106,7,0)),"Check")</f>
        <v/>
      </c>
      <c r="AP74" s="207" t="str">
        <f>IFERROR(IF(ISBLANK($D74),"",VLOOKUP($N74,'TABLE CHARGE RATE'!$A$30:$K$106,8,0)),"Check")</f>
        <v/>
      </c>
      <c r="AQ74" s="207" t="str">
        <f>IFERROR(IF(ISBLANK($D74),"",VLOOKUP($N74,'TABLE CHARGE RATE'!$A$30:$K$106,9,0)),"Check")</f>
        <v/>
      </c>
      <c r="AR74" s="207" t="str">
        <f>IFERROR(IF(ISBLANK($D74),"",VLOOKUP($N74,'TABLE CHARGE RATE'!$A$30:$K$106,10,0)),"Check")</f>
        <v/>
      </c>
      <c r="AS74" s="207" t="str">
        <f>IFERROR(IF(ISBLANK($D74),"",VLOOKUP($N74,'TABLE CHARGE RATE'!$A$30:$K$106,11,0)),"Check")</f>
        <v/>
      </c>
      <c r="AT74" s="207">
        <f t="shared" si="23"/>
        <v>73</v>
      </c>
    </row>
    <row r="75" spans="1:46" x14ac:dyDescent="0.2">
      <c r="A75" s="207" t="str">
        <f t="shared" si="17"/>
        <v/>
      </c>
      <c r="B75" s="208" t="str">
        <f>IF(ISBLANK(D75),"",VLOOKUP(WEEKDAY($C75,1),INDEX!$J$2:$K$8,2,0))</f>
        <v/>
      </c>
      <c r="C75" s="209"/>
      <c r="D75" s="207"/>
      <c r="E75" s="207"/>
      <c r="F75" s="207"/>
      <c r="G75" s="207"/>
      <c r="H75" s="207"/>
      <c r="I75" s="207"/>
      <c r="J75" s="207"/>
      <c r="K75" s="207"/>
      <c r="L75" s="207"/>
      <c r="M75" s="207"/>
      <c r="N75" s="207"/>
      <c r="O75" s="207"/>
      <c r="P75" s="207"/>
      <c r="Q75" s="207"/>
      <c r="R75" s="207"/>
      <c r="S75" s="207"/>
      <c r="T75" s="207"/>
      <c r="U75" s="209"/>
      <c r="V75" s="207"/>
      <c r="W75" s="207"/>
      <c r="X75" s="209">
        <f t="shared" si="19"/>
        <v>0</v>
      </c>
      <c r="Y75" s="209">
        <f t="shared" si="20"/>
        <v>0</v>
      </c>
      <c r="Z75" s="207">
        <v>1</v>
      </c>
      <c r="AA75" s="209" t="str">
        <f t="shared" si="18"/>
        <v/>
      </c>
      <c r="AB75" s="209"/>
      <c r="AC75" s="207">
        <v>0</v>
      </c>
      <c r="AD75" s="207"/>
      <c r="AE75" s="207"/>
      <c r="AF75" s="208" t="str">
        <f>IF(ISBLANK(D75),"",VLOOKUP(F75,'SIZE CALCULATION'!$F:$G,2,0))</f>
        <v/>
      </c>
      <c r="AG75" s="207" t="str">
        <f t="shared" si="16"/>
        <v/>
      </c>
      <c r="AH75" s="207" t="str">
        <f t="shared" si="21"/>
        <v/>
      </c>
      <c r="AI75" s="210" t="str">
        <f>IF(ISBLANK(D75),"",VLOOKUP($A75,INDEX!$D$2:$F$13,3,0))</f>
        <v/>
      </c>
      <c r="AJ75" s="207" t="str">
        <f t="shared" si="22"/>
        <v/>
      </c>
      <c r="AK75" s="207"/>
      <c r="AL75" s="207"/>
      <c r="AM75" s="207" t="str">
        <f>IFERROR(IF(ISBLANK($D75),"",VLOOKUP($N75,'TABLE CHARGE RATE'!$A$30:$K$106,5,0)),"Check")</f>
        <v/>
      </c>
      <c r="AN75" s="207" t="str">
        <f>IFERROR(IF(ISBLANK($D75),"",VLOOKUP($N75,'TABLE CHARGE RATE'!$A$30:$K$106,6,0)),"Check")</f>
        <v/>
      </c>
      <c r="AO75" s="207" t="str">
        <f>IFERROR(IF(ISBLANK($D75),"",VLOOKUP($N75,'TABLE CHARGE RATE'!$A$30:$K$106,7,0)),"Check")</f>
        <v/>
      </c>
      <c r="AP75" s="207" t="str">
        <f>IFERROR(IF(ISBLANK($D75),"",VLOOKUP($N75,'TABLE CHARGE RATE'!$A$30:$K$106,8,0)),"Check")</f>
        <v/>
      </c>
      <c r="AQ75" s="207" t="str">
        <f>IFERROR(IF(ISBLANK($D75),"",VLOOKUP($N75,'TABLE CHARGE RATE'!$A$30:$K$106,9,0)),"Check")</f>
        <v/>
      </c>
      <c r="AR75" s="207" t="str">
        <f>IFERROR(IF(ISBLANK($D75),"",VLOOKUP($N75,'TABLE CHARGE RATE'!$A$30:$K$106,10,0)),"Check")</f>
        <v/>
      </c>
      <c r="AS75" s="207" t="str">
        <f>IFERROR(IF(ISBLANK($D75),"",VLOOKUP($N75,'TABLE CHARGE RATE'!$A$30:$K$106,11,0)),"Check")</f>
        <v/>
      </c>
      <c r="AT75" s="207">
        <f t="shared" si="23"/>
        <v>74</v>
      </c>
    </row>
    <row r="76" spans="1:46" x14ac:dyDescent="0.2">
      <c r="A76" s="207" t="str">
        <f t="shared" si="17"/>
        <v/>
      </c>
      <c r="B76" s="208" t="str">
        <f>IF(ISBLANK(D76),"",VLOOKUP(WEEKDAY($C76,1),INDEX!$J$2:$K$8,2,0))</f>
        <v/>
      </c>
      <c r="C76" s="209"/>
      <c r="D76" s="207"/>
      <c r="E76" s="207"/>
      <c r="F76" s="207"/>
      <c r="G76" s="207"/>
      <c r="H76" s="207"/>
      <c r="I76" s="207"/>
      <c r="J76" s="207"/>
      <c r="K76" s="207"/>
      <c r="L76" s="207"/>
      <c r="M76" s="207"/>
      <c r="N76" s="207"/>
      <c r="O76" s="207"/>
      <c r="P76" s="207"/>
      <c r="Q76" s="207"/>
      <c r="R76" s="207"/>
      <c r="S76" s="207"/>
      <c r="T76" s="207"/>
      <c r="U76" s="209"/>
      <c r="V76" s="207"/>
      <c r="W76" s="207"/>
      <c r="X76" s="209">
        <f t="shared" si="19"/>
        <v>0</v>
      </c>
      <c r="Y76" s="209">
        <f t="shared" si="20"/>
        <v>0</v>
      </c>
      <c r="Z76" s="207">
        <v>1</v>
      </c>
      <c r="AA76" s="209" t="str">
        <f t="shared" si="18"/>
        <v/>
      </c>
      <c r="AB76" s="209"/>
      <c r="AC76" s="207">
        <v>0</v>
      </c>
      <c r="AD76" s="207"/>
      <c r="AE76" s="207"/>
      <c r="AF76" s="208" t="str">
        <f>IF(ISBLANK(D76),"",VLOOKUP(F76,'SIZE CALCULATION'!$F:$G,2,0))</f>
        <v/>
      </c>
      <c r="AG76" s="207" t="str">
        <f t="shared" si="16"/>
        <v/>
      </c>
      <c r="AH76" s="207" t="str">
        <f t="shared" si="21"/>
        <v/>
      </c>
      <c r="AI76" s="210" t="str">
        <f>IF(ISBLANK(D76),"",VLOOKUP($A76,INDEX!$D$2:$F$13,3,0))</f>
        <v/>
      </c>
      <c r="AJ76" s="207" t="str">
        <f t="shared" si="22"/>
        <v/>
      </c>
      <c r="AK76" s="207"/>
      <c r="AL76" s="207"/>
      <c r="AM76" s="207" t="str">
        <f>IFERROR(IF(ISBLANK($D76),"",VLOOKUP($N76,'TABLE CHARGE RATE'!$A$30:$K$106,5,0)),"Check")</f>
        <v/>
      </c>
      <c r="AN76" s="207" t="str">
        <f>IFERROR(IF(ISBLANK($D76),"",VLOOKUP($N76,'TABLE CHARGE RATE'!$A$30:$K$106,6,0)),"Check")</f>
        <v/>
      </c>
      <c r="AO76" s="207" t="str">
        <f>IFERROR(IF(ISBLANK($D76),"",VLOOKUP($N76,'TABLE CHARGE RATE'!$A$30:$K$106,7,0)),"Check")</f>
        <v/>
      </c>
      <c r="AP76" s="207" t="str">
        <f>IFERROR(IF(ISBLANK($D76),"",VLOOKUP($N76,'TABLE CHARGE RATE'!$A$30:$K$106,8,0)),"Check")</f>
        <v/>
      </c>
      <c r="AQ76" s="207" t="str">
        <f>IFERROR(IF(ISBLANK($D76),"",VLOOKUP($N76,'TABLE CHARGE RATE'!$A$30:$K$106,9,0)),"Check")</f>
        <v/>
      </c>
      <c r="AR76" s="207" t="str">
        <f>IFERROR(IF(ISBLANK($D76),"",VLOOKUP($N76,'TABLE CHARGE RATE'!$A$30:$K$106,10,0)),"Check")</f>
        <v/>
      </c>
      <c r="AS76" s="207" t="str">
        <f>IFERROR(IF(ISBLANK($D76),"",VLOOKUP($N76,'TABLE CHARGE RATE'!$A$30:$K$106,11,0)),"Check")</f>
        <v/>
      </c>
      <c r="AT76" s="207">
        <f t="shared" si="23"/>
        <v>75</v>
      </c>
    </row>
    <row r="77" spans="1:46" x14ac:dyDescent="0.2">
      <c r="A77" s="207" t="str">
        <f t="shared" si="17"/>
        <v/>
      </c>
      <c r="B77" s="208" t="str">
        <f>IF(ISBLANK(D77),"",VLOOKUP(WEEKDAY($C77,1),INDEX!$J$2:$K$8,2,0))</f>
        <v/>
      </c>
      <c r="C77" s="209"/>
      <c r="D77" s="207"/>
      <c r="E77" s="207"/>
      <c r="F77" s="207"/>
      <c r="G77" s="207"/>
      <c r="H77" s="207"/>
      <c r="I77" s="207"/>
      <c r="J77" s="207"/>
      <c r="K77" s="207"/>
      <c r="L77" s="207"/>
      <c r="M77" s="207"/>
      <c r="N77" s="207"/>
      <c r="O77" s="207"/>
      <c r="P77" s="207"/>
      <c r="Q77" s="207"/>
      <c r="R77" s="207"/>
      <c r="S77" s="207"/>
      <c r="T77" s="207"/>
      <c r="U77" s="209"/>
      <c r="V77" s="207"/>
      <c r="W77" s="207"/>
      <c r="X77" s="209">
        <f t="shared" si="19"/>
        <v>0</v>
      </c>
      <c r="Y77" s="209">
        <f t="shared" si="20"/>
        <v>0</v>
      </c>
      <c r="Z77" s="207">
        <v>1</v>
      </c>
      <c r="AA77" s="209" t="str">
        <f t="shared" si="18"/>
        <v/>
      </c>
      <c r="AB77" s="209"/>
      <c r="AC77" s="207">
        <v>0</v>
      </c>
      <c r="AD77" s="207"/>
      <c r="AE77" s="207"/>
      <c r="AF77" s="208" t="str">
        <f>IF(ISBLANK(D77),"",VLOOKUP(F77,'SIZE CALCULATION'!$F:$G,2,0))</f>
        <v/>
      </c>
      <c r="AG77" s="207" t="str">
        <f t="shared" si="16"/>
        <v/>
      </c>
      <c r="AH77" s="207" t="str">
        <f t="shared" si="21"/>
        <v/>
      </c>
      <c r="AI77" s="210" t="str">
        <f>IF(ISBLANK(D77),"",VLOOKUP($A77,INDEX!$D$2:$F$13,3,0))</f>
        <v/>
      </c>
      <c r="AJ77" s="207" t="str">
        <f t="shared" si="22"/>
        <v/>
      </c>
      <c r="AK77" s="207"/>
      <c r="AL77" s="207"/>
      <c r="AM77" s="207" t="str">
        <f>IFERROR(IF(ISBLANK($D77),"",VLOOKUP($N77,'TABLE CHARGE RATE'!$A$30:$K$106,5,0)),"Check")</f>
        <v/>
      </c>
      <c r="AN77" s="207" t="str">
        <f>IFERROR(IF(ISBLANK($D77),"",VLOOKUP($N77,'TABLE CHARGE RATE'!$A$30:$K$106,6,0)),"Check")</f>
        <v/>
      </c>
      <c r="AO77" s="207" t="str">
        <f>IFERROR(IF(ISBLANK($D77),"",VLOOKUP($N77,'TABLE CHARGE RATE'!$A$30:$K$106,7,0)),"Check")</f>
        <v/>
      </c>
      <c r="AP77" s="207" t="str">
        <f>IFERROR(IF(ISBLANK($D77),"",VLOOKUP($N77,'TABLE CHARGE RATE'!$A$30:$K$106,8,0)),"Check")</f>
        <v/>
      </c>
      <c r="AQ77" s="207" t="str">
        <f>IFERROR(IF(ISBLANK($D77),"",VLOOKUP($N77,'TABLE CHARGE RATE'!$A$30:$K$106,9,0)),"Check")</f>
        <v/>
      </c>
      <c r="AR77" s="207" t="str">
        <f>IFERROR(IF(ISBLANK($D77),"",VLOOKUP($N77,'TABLE CHARGE RATE'!$A$30:$K$106,10,0)),"Check")</f>
        <v/>
      </c>
      <c r="AS77" s="207" t="str">
        <f>IFERROR(IF(ISBLANK($D77),"",VLOOKUP($N77,'TABLE CHARGE RATE'!$A$30:$K$106,11,0)),"Check")</f>
        <v/>
      </c>
      <c r="AT77" s="207">
        <f t="shared" si="23"/>
        <v>76</v>
      </c>
    </row>
    <row r="78" spans="1:46" x14ac:dyDescent="0.2">
      <c r="A78" s="207" t="str">
        <f t="shared" si="17"/>
        <v/>
      </c>
      <c r="B78" s="208" t="str">
        <f>IF(ISBLANK(D78),"",VLOOKUP(WEEKDAY($C78,1),INDEX!$J$2:$K$8,2,0))</f>
        <v/>
      </c>
      <c r="C78" s="209"/>
      <c r="D78" s="207"/>
      <c r="E78" s="207"/>
      <c r="F78" s="207"/>
      <c r="G78" s="207"/>
      <c r="H78" s="207"/>
      <c r="I78" s="207"/>
      <c r="J78" s="207"/>
      <c r="K78" s="207"/>
      <c r="L78" s="207"/>
      <c r="M78" s="207"/>
      <c r="N78" s="207"/>
      <c r="O78" s="207"/>
      <c r="P78" s="207"/>
      <c r="Q78" s="207"/>
      <c r="R78" s="207"/>
      <c r="S78" s="207"/>
      <c r="T78" s="207"/>
      <c r="U78" s="209"/>
      <c r="V78" s="207"/>
      <c r="W78" s="207"/>
      <c r="X78" s="209">
        <f t="shared" si="19"/>
        <v>0</v>
      </c>
      <c r="Y78" s="209">
        <f t="shared" si="20"/>
        <v>0</v>
      </c>
      <c r="Z78" s="207">
        <v>1</v>
      </c>
      <c r="AA78" s="209" t="str">
        <f t="shared" si="18"/>
        <v/>
      </c>
      <c r="AB78" s="209"/>
      <c r="AC78" s="207">
        <v>0</v>
      </c>
      <c r="AD78" s="207"/>
      <c r="AE78" s="207"/>
      <c r="AF78" s="208" t="str">
        <f>IF(ISBLANK(D78),"",VLOOKUP(F78,'SIZE CALCULATION'!$F:$G,2,0))</f>
        <v/>
      </c>
      <c r="AG78" s="207" t="str">
        <f t="shared" si="16"/>
        <v/>
      </c>
      <c r="AH78" s="207" t="str">
        <f t="shared" si="21"/>
        <v/>
      </c>
      <c r="AI78" s="210" t="str">
        <f>IF(ISBLANK(D78),"",VLOOKUP($A78,INDEX!$D$2:$F$13,3,0))</f>
        <v/>
      </c>
      <c r="AJ78" s="207" t="str">
        <f t="shared" si="22"/>
        <v/>
      </c>
      <c r="AK78" s="207"/>
      <c r="AL78" s="207"/>
      <c r="AM78" s="207" t="str">
        <f>IFERROR(IF(ISBLANK($D78),"",VLOOKUP($N78,'TABLE CHARGE RATE'!$A$30:$K$106,5,0)),"Check")</f>
        <v/>
      </c>
      <c r="AN78" s="207" t="str">
        <f>IFERROR(IF(ISBLANK($D78),"",VLOOKUP($N78,'TABLE CHARGE RATE'!$A$30:$K$106,6,0)),"Check")</f>
        <v/>
      </c>
      <c r="AO78" s="207" t="str">
        <f>IFERROR(IF(ISBLANK($D78),"",VLOOKUP($N78,'TABLE CHARGE RATE'!$A$30:$K$106,7,0)),"Check")</f>
        <v/>
      </c>
      <c r="AP78" s="207" t="str">
        <f>IFERROR(IF(ISBLANK($D78),"",VLOOKUP($N78,'TABLE CHARGE RATE'!$A$30:$K$106,8,0)),"Check")</f>
        <v/>
      </c>
      <c r="AQ78" s="207" t="str">
        <f>IFERROR(IF(ISBLANK($D78),"",VLOOKUP($N78,'TABLE CHARGE RATE'!$A$30:$K$106,9,0)),"Check")</f>
        <v/>
      </c>
      <c r="AR78" s="207" t="str">
        <f>IFERROR(IF(ISBLANK($D78),"",VLOOKUP($N78,'TABLE CHARGE RATE'!$A$30:$K$106,10,0)),"Check")</f>
        <v/>
      </c>
      <c r="AS78" s="207" t="str">
        <f>IFERROR(IF(ISBLANK($D78),"",VLOOKUP($N78,'TABLE CHARGE RATE'!$A$30:$K$106,11,0)),"Check")</f>
        <v/>
      </c>
      <c r="AT78" s="207">
        <f t="shared" si="23"/>
        <v>77</v>
      </c>
    </row>
    <row r="79" spans="1:46" x14ac:dyDescent="0.2">
      <c r="A79" s="207" t="str">
        <f t="shared" si="17"/>
        <v/>
      </c>
      <c r="B79" s="208" t="str">
        <f>IF(ISBLANK(D79),"",VLOOKUP(WEEKDAY($C79,1),INDEX!$J$2:$K$8,2,0))</f>
        <v/>
      </c>
      <c r="C79" s="209"/>
      <c r="D79" s="207"/>
      <c r="E79" s="207"/>
      <c r="F79" s="207"/>
      <c r="G79" s="207"/>
      <c r="H79" s="207"/>
      <c r="I79" s="207"/>
      <c r="J79" s="207"/>
      <c r="K79" s="207"/>
      <c r="L79" s="207"/>
      <c r="M79" s="207"/>
      <c r="N79" s="207"/>
      <c r="O79" s="207"/>
      <c r="P79" s="207"/>
      <c r="Q79" s="207"/>
      <c r="R79" s="207"/>
      <c r="S79" s="207"/>
      <c r="T79" s="207"/>
      <c r="U79" s="209"/>
      <c r="V79" s="207"/>
      <c r="W79" s="207"/>
      <c r="X79" s="209">
        <f t="shared" si="19"/>
        <v>0</v>
      </c>
      <c r="Y79" s="209">
        <f t="shared" si="20"/>
        <v>0</v>
      </c>
      <c r="Z79" s="207">
        <v>1</v>
      </c>
      <c r="AA79" s="209" t="str">
        <f t="shared" si="18"/>
        <v/>
      </c>
      <c r="AB79" s="209"/>
      <c r="AC79" s="207">
        <v>0</v>
      </c>
      <c r="AD79" s="207"/>
      <c r="AE79" s="207"/>
      <c r="AF79" s="208" t="str">
        <f>IF(ISBLANK(D79),"",VLOOKUP(F79,'SIZE CALCULATION'!$F:$G,2,0))</f>
        <v/>
      </c>
      <c r="AG79" s="207" t="str">
        <f t="shared" si="16"/>
        <v/>
      </c>
      <c r="AH79" s="207" t="str">
        <f t="shared" si="21"/>
        <v/>
      </c>
      <c r="AI79" s="210" t="str">
        <f>IF(ISBLANK(D79),"",VLOOKUP($A79,INDEX!$D$2:$F$13,3,0))</f>
        <v/>
      </c>
      <c r="AJ79" s="207" t="str">
        <f t="shared" si="22"/>
        <v/>
      </c>
      <c r="AK79" s="207"/>
      <c r="AL79" s="207"/>
      <c r="AM79" s="207" t="str">
        <f>IFERROR(IF(ISBLANK($D79),"",VLOOKUP($N79,'TABLE CHARGE RATE'!$A$30:$K$106,5,0)),"Check")</f>
        <v/>
      </c>
      <c r="AN79" s="207" t="str">
        <f>IFERROR(IF(ISBLANK($D79),"",VLOOKUP($N79,'TABLE CHARGE RATE'!$A$30:$K$106,6,0)),"Check")</f>
        <v/>
      </c>
      <c r="AO79" s="207" t="str">
        <f>IFERROR(IF(ISBLANK($D79),"",VLOOKUP($N79,'TABLE CHARGE RATE'!$A$30:$K$106,7,0)),"Check")</f>
        <v/>
      </c>
      <c r="AP79" s="207" t="str">
        <f>IFERROR(IF(ISBLANK($D79),"",VLOOKUP($N79,'TABLE CHARGE RATE'!$A$30:$K$106,8,0)),"Check")</f>
        <v/>
      </c>
      <c r="AQ79" s="207" t="str">
        <f>IFERROR(IF(ISBLANK($D79),"",VLOOKUP($N79,'TABLE CHARGE RATE'!$A$30:$K$106,9,0)),"Check")</f>
        <v/>
      </c>
      <c r="AR79" s="207" t="str">
        <f>IFERROR(IF(ISBLANK($D79),"",VLOOKUP($N79,'TABLE CHARGE RATE'!$A$30:$K$106,10,0)),"Check")</f>
        <v/>
      </c>
      <c r="AS79" s="207" t="str">
        <f>IFERROR(IF(ISBLANK($D79),"",VLOOKUP($N79,'TABLE CHARGE RATE'!$A$30:$K$106,11,0)),"Check")</f>
        <v/>
      </c>
      <c r="AT79" s="207">
        <f t="shared" si="23"/>
        <v>78</v>
      </c>
    </row>
    <row r="80" spans="1:46" x14ac:dyDescent="0.2">
      <c r="A80" s="207" t="str">
        <f t="shared" si="17"/>
        <v/>
      </c>
      <c r="B80" s="208" t="str">
        <f>IF(ISBLANK(D80),"",VLOOKUP(WEEKDAY($C80,1),INDEX!$J$2:$K$8,2,0))</f>
        <v/>
      </c>
      <c r="C80" s="209"/>
      <c r="D80" s="207"/>
      <c r="E80" s="207"/>
      <c r="F80" s="207"/>
      <c r="G80" s="207"/>
      <c r="H80" s="207"/>
      <c r="I80" s="207"/>
      <c r="J80" s="207"/>
      <c r="K80" s="207"/>
      <c r="L80" s="207"/>
      <c r="M80" s="207"/>
      <c r="N80" s="207"/>
      <c r="O80" s="207"/>
      <c r="P80" s="207"/>
      <c r="Q80" s="207"/>
      <c r="R80" s="207"/>
      <c r="S80" s="207"/>
      <c r="T80" s="207"/>
      <c r="U80" s="209"/>
      <c r="V80" s="207"/>
      <c r="W80" s="207"/>
      <c r="X80" s="209">
        <f t="shared" si="19"/>
        <v>0</v>
      </c>
      <c r="Y80" s="209">
        <f t="shared" si="20"/>
        <v>0</v>
      </c>
      <c r="Z80" s="207">
        <v>1</v>
      </c>
      <c r="AA80" s="209" t="str">
        <f t="shared" si="18"/>
        <v/>
      </c>
      <c r="AB80" s="209"/>
      <c r="AC80" s="207">
        <v>0</v>
      </c>
      <c r="AD80" s="207"/>
      <c r="AE80" s="207"/>
      <c r="AF80" s="208" t="str">
        <f>IF(ISBLANK(D80),"",VLOOKUP(F80,'SIZE CALCULATION'!$F:$G,2,0))</f>
        <v/>
      </c>
      <c r="AG80" s="207" t="str">
        <f t="shared" si="16"/>
        <v/>
      </c>
      <c r="AH80" s="207" t="str">
        <f t="shared" si="21"/>
        <v/>
      </c>
      <c r="AI80" s="210" t="str">
        <f>IF(ISBLANK(D80),"",VLOOKUP($A80,INDEX!$D$2:$F$13,3,0))</f>
        <v/>
      </c>
      <c r="AJ80" s="207" t="str">
        <f t="shared" si="22"/>
        <v/>
      </c>
      <c r="AK80" s="207"/>
      <c r="AL80" s="207"/>
      <c r="AM80" s="207" t="str">
        <f>IFERROR(IF(ISBLANK($D80),"",VLOOKUP($N80,'TABLE CHARGE RATE'!$A$30:$K$106,5,0)),"Check")</f>
        <v/>
      </c>
      <c r="AN80" s="207" t="str">
        <f>IFERROR(IF(ISBLANK($D80),"",VLOOKUP($N80,'TABLE CHARGE RATE'!$A$30:$K$106,6,0)),"Check")</f>
        <v/>
      </c>
      <c r="AO80" s="207" t="str">
        <f>IFERROR(IF(ISBLANK($D80),"",VLOOKUP($N80,'TABLE CHARGE RATE'!$A$30:$K$106,7,0)),"Check")</f>
        <v/>
      </c>
      <c r="AP80" s="207" t="str">
        <f>IFERROR(IF(ISBLANK($D80),"",VLOOKUP($N80,'TABLE CHARGE RATE'!$A$30:$K$106,8,0)),"Check")</f>
        <v/>
      </c>
      <c r="AQ80" s="207" t="str">
        <f>IFERROR(IF(ISBLANK($D80),"",VLOOKUP($N80,'TABLE CHARGE RATE'!$A$30:$K$106,9,0)),"Check")</f>
        <v/>
      </c>
      <c r="AR80" s="207" t="str">
        <f>IFERROR(IF(ISBLANK($D80),"",VLOOKUP($N80,'TABLE CHARGE RATE'!$A$30:$K$106,10,0)),"Check")</f>
        <v/>
      </c>
      <c r="AS80" s="207" t="str">
        <f>IFERROR(IF(ISBLANK($D80),"",VLOOKUP($N80,'TABLE CHARGE RATE'!$A$30:$K$106,11,0)),"Check")</f>
        <v/>
      </c>
      <c r="AT80" s="207">
        <f t="shared" si="23"/>
        <v>79</v>
      </c>
    </row>
    <row r="81" spans="1:46" x14ac:dyDescent="0.2">
      <c r="A81" s="207" t="str">
        <f t="shared" si="17"/>
        <v/>
      </c>
      <c r="B81" s="208" t="str">
        <f>IF(ISBLANK(D81),"",VLOOKUP(WEEKDAY($C81,1),INDEX!$J$2:$K$8,2,0))</f>
        <v/>
      </c>
      <c r="C81" s="209"/>
      <c r="D81" s="207"/>
      <c r="E81" s="207"/>
      <c r="F81" s="207"/>
      <c r="G81" s="207"/>
      <c r="H81" s="207"/>
      <c r="I81" s="207"/>
      <c r="J81" s="207"/>
      <c r="K81" s="207"/>
      <c r="L81" s="207"/>
      <c r="M81" s="207"/>
      <c r="N81" s="207"/>
      <c r="O81" s="207"/>
      <c r="P81" s="207"/>
      <c r="Q81" s="207"/>
      <c r="R81" s="207"/>
      <c r="S81" s="207"/>
      <c r="T81" s="207"/>
      <c r="U81" s="209"/>
      <c r="V81" s="207"/>
      <c r="W81" s="207"/>
      <c r="X81" s="209">
        <f t="shared" si="19"/>
        <v>0</v>
      </c>
      <c r="Y81" s="209">
        <f t="shared" si="20"/>
        <v>0</v>
      </c>
      <c r="Z81" s="207">
        <v>1</v>
      </c>
      <c r="AA81" s="209" t="str">
        <f t="shared" si="18"/>
        <v/>
      </c>
      <c r="AB81" s="209"/>
      <c r="AC81" s="207">
        <v>0</v>
      </c>
      <c r="AD81" s="207"/>
      <c r="AE81" s="207"/>
      <c r="AF81" s="208" t="str">
        <f>IF(ISBLANK(D81),"",VLOOKUP(F81,'SIZE CALCULATION'!$F:$G,2,0))</f>
        <v/>
      </c>
      <c r="AG81" s="207" t="str">
        <f t="shared" si="16"/>
        <v/>
      </c>
      <c r="AH81" s="207" t="str">
        <f t="shared" si="21"/>
        <v/>
      </c>
      <c r="AI81" s="210" t="str">
        <f>IF(ISBLANK(D81),"",VLOOKUP($A81,INDEX!$D$2:$F$13,3,0))</f>
        <v/>
      </c>
      <c r="AJ81" s="207" t="str">
        <f t="shared" si="22"/>
        <v/>
      </c>
      <c r="AK81" s="207"/>
      <c r="AL81" s="207"/>
      <c r="AM81" s="207" t="str">
        <f>IFERROR(IF(ISBLANK($D81),"",VLOOKUP($N81,'TABLE CHARGE RATE'!$A$30:$K$106,5,0)),"Check")</f>
        <v/>
      </c>
      <c r="AN81" s="207" t="str">
        <f>IFERROR(IF(ISBLANK($D81),"",VLOOKUP($N81,'TABLE CHARGE RATE'!$A$30:$K$106,6,0)),"Check")</f>
        <v/>
      </c>
      <c r="AO81" s="207" t="str">
        <f>IFERROR(IF(ISBLANK($D81),"",VLOOKUP($N81,'TABLE CHARGE RATE'!$A$30:$K$106,7,0)),"Check")</f>
        <v/>
      </c>
      <c r="AP81" s="207" t="str">
        <f>IFERROR(IF(ISBLANK($D81),"",VLOOKUP($N81,'TABLE CHARGE RATE'!$A$30:$K$106,8,0)),"Check")</f>
        <v/>
      </c>
      <c r="AQ81" s="207" t="str">
        <f>IFERROR(IF(ISBLANK($D81),"",VLOOKUP($N81,'TABLE CHARGE RATE'!$A$30:$K$106,9,0)),"Check")</f>
        <v/>
      </c>
      <c r="AR81" s="207" t="str">
        <f>IFERROR(IF(ISBLANK($D81),"",VLOOKUP($N81,'TABLE CHARGE RATE'!$A$30:$K$106,10,0)),"Check")</f>
        <v/>
      </c>
      <c r="AS81" s="207" t="str">
        <f>IFERROR(IF(ISBLANK($D81),"",VLOOKUP($N81,'TABLE CHARGE RATE'!$A$30:$K$106,11,0)),"Check")</f>
        <v/>
      </c>
      <c r="AT81" s="207">
        <f t="shared" si="23"/>
        <v>80</v>
      </c>
    </row>
    <row r="82" spans="1:46" x14ac:dyDescent="0.2">
      <c r="A82" s="207" t="str">
        <f t="shared" si="17"/>
        <v/>
      </c>
      <c r="B82" s="208" t="str">
        <f>IF(ISBLANK(D82),"",VLOOKUP(WEEKDAY($C82,1),INDEX!$J$2:$K$8,2,0))</f>
        <v/>
      </c>
      <c r="C82" s="209"/>
      <c r="D82" s="207"/>
      <c r="E82" s="207"/>
      <c r="F82" s="207"/>
      <c r="G82" s="207"/>
      <c r="H82" s="207"/>
      <c r="I82" s="207"/>
      <c r="J82" s="207"/>
      <c r="K82" s="207"/>
      <c r="L82" s="207"/>
      <c r="M82" s="207"/>
      <c r="N82" s="207"/>
      <c r="O82" s="207"/>
      <c r="P82" s="207"/>
      <c r="Q82" s="207"/>
      <c r="R82" s="207"/>
      <c r="S82" s="207"/>
      <c r="T82" s="207"/>
      <c r="U82" s="209"/>
      <c r="V82" s="207"/>
      <c r="W82" s="207"/>
      <c r="X82" s="209">
        <f t="shared" si="19"/>
        <v>0</v>
      </c>
      <c r="Y82" s="209">
        <f t="shared" si="20"/>
        <v>0</v>
      </c>
      <c r="Z82" s="207">
        <v>1</v>
      </c>
      <c r="AA82" s="209" t="str">
        <f t="shared" si="18"/>
        <v/>
      </c>
      <c r="AB82" s="209"/>
      <c r="AC82" s="207">
        <v>0</v>
      </c>
      <c r="AD82" s="207"/>
      <c r="AE82" s="207"/>
      <c r="AF82" s="208" t="str">
        <f>IF(ISBLANK(D82),"",VLOOKUP(F82,'SIZE CALCULATION'!$F:$G,2,0))</f>
        <v/>
      </c>
      <c r="AG82" s="207" t="str">
        <f t="shared" si="16"/>
        <v/>
      </c>
      <c r="AH82" s="207" t="str">
        <f t="shared" si="21"/>
        <v/>
      </c>
      <c r="AI82" s="210" t="str">
        <f>IF(ISBLANK(D82),"",VLOOKUP($A82,INDEX!$D$2:$F$13,3,0))</f>
        <v/>
      </c>
      <c r="AJ82" s="207" t="str">
        <f t="shared" si="22"/>
        <v/>
      </c>
      <c r="AK82" s="207"/>
      <c r="AL82" s="207"/>
      <c r="AM82" s="207" t="str">
        <f>IFERROR(IF(ISBLANK($D82),"",VLOOKUP($N82,'TABLE CHARGE RATE'!$A$30:$K$106,5,0)),"Check")</f>
        <v/>
      </c>
      <c r="AN82" s="207" t="str">
        <f>IFERROR(IF(ISBLANK($D82),"",VLOOKUP($N82,'TABLE CHARGE RATE'!$A$30:$K$106,6,0)),"Check")</f>
        <v/>
      </c>
      <c r="AO82" s="207" t="str">
        <f>IFERROR(IF(ISBLANK($D82),"",VLOOKUP($N82,'TABLE CHARGE RATE'!$A$30:$K$106,7,0)),"Check")</f>
        <v/>
      </c>
      <c r="AP82" s="207" t="str">
        <f>IFERROR(IF(ISBLANK($D82),"",VLOOKUP($N82,'TABLE CHARGE RATE'!$A$30:$K$106,8,0)),"Check")</f>
        <v/>
      </c>
      <c r="AQ82" s="207" t="str">
        <f>IFERROR(IF(ISBLANK($D82),"",VLOOKUP($N82,'TABLE CHARGE RATE'!$A$30:$K$106,9,0)),"Check")</f>
        <v/>
      </c>
      <c r="AR82" s="207" t="str">
        <f>IFERROR(IF(ISBLANK($D82),"",VLOOKUP($N82,'TABLE CHARGE RATE'!$A$30:$K$106,10,0)),"Check")</f>
        <v/>
      </c>
      <c r="AS82" s="207" t="str">
        <f>IFERROR(IF(ISBLANK($D82),"",VLOOKUP($N82,'TABLE CHARGE RATE'!$A$30:$K$106,11,0)),"Check")</f>
        <v/>
      </c>
      <c r="AT82" s="207">
        <f t="shared" si="23"/>
        <v>81</v>
      </c>
    </row>
    <row r="83" spans="1:46" x14ac:dyDescent="0.2">
      <c r="A83" s="207" t="str">
        <f t="shared" si="17"/>
        <v/>
      </c>
      <c r="B83" s="208" t="str">
        <f>IF(ISBLANK(D83),"",VLOOKUP(WEEKDAY($C83,1),INDEX!$J$2:$K$8,2,0))</f>
        <v/>
      </c>
      <c r="C83" s="209"/>
      <c r="D83" s="207"/>
      <c r="E83" s="207"/>
      <c r="F83" s="207"/>
      <c r="G83" s="207"/>
      <c r="H83" s="207"/>
      <c r="I83" s="207"/>
      <c r="J83" s="207"/>
      <c r="K83" s="207"/>
      <c r="L83" s="207"/>
      <c r="M83" s="207"/>
      <c r="N83" s="207"/>
      <c r="O83" s="207"/>
      <c r="P83" s="207"/>
      <c r="Q83" s="207"/>
      <c r="R83" s="207"/>
      <c r="S83" s="207"/>
      <c r="T83" s="207"/>
      <c r="U83" s="209"/>
      <c r="V83" s="207"/>
      <c r="W83" s="207"/>
      <c r="X83" s="209">
        <f t="shared" si="19"/>
        <v>0</v>
      </c>
      <c r="Y83" s="209">
        <f t="shared" si="20"/>
        <v>0</v>
      </c>
      <c r="Z83" s="207">
        <v>1</v>
      </c>
      <c r="AA83" s="209" t="str">
        <f t="shared" si="18"/>
        <v/>
      </c>
      <c r="AB83" s="209"/>
      <c r="AC83" s="207">
        <v>0</v>
      </c>
      <c r="AD83" s="207"/>
      <c r="AE83" s="207"/>
      <c r="AF83" s="208" t="str">
        <f>IF(ISBLANK(D83),"",VLOOKUP(F83,'SIZE CALCULATION'!$F:$G,2,0))</f>
        <v/>
      </c>
      <c r="AG83" s="207" t="str">
        <f t="shared" si="16"/>
        <v/>
      </c>
      <c r="AH83" s="207" t="str">
        <f t="shared" si="21"/>
        <v/>
      </c>
      <c r="AI83" s="210" t="str">
        <f>IF(ISBLANK(D83),"",VLOOKUP($A83,INDEX!$D$2:$F$13,3,0))</f>
        <v/>
      </c>
      <c r="AJ83" s="207" t="str">
        <f t="shared" si="22"/>
        <v/>
      </c>
      <c r="AK83" s="207"/>
      <c r="AL83" s="207"/>
      <c r="AM83" s="207" t="str">
        <f>IFERROR(IF(ISBLANK($D83),"",VLOOKUP($N83,'TABLE CHARGE RATE'!$A$30:$K$106,5,0)),"Check")</f>
        <v/>
      </c>
      <c r="AN83" s="207" t="str">
        <f>IFERROR(IF(ISBLANK($D83),"",VLOOKUP($N83,'TABLE CHARGE RATE'!$A$30:$K$106,6,0)),"Check")</f>
        <v/>
      </c>
      <c r="AO83" s="207" t="str">
        <f>IFERROR(IF(ISBLANK($D83),"",VLOOKUP($N83,'TABLE CHARGE RATE'!$A$30:$K$106,7,0)),"Check")</f>
        <v/>
      </c>
      <c r="AP83" s="207" t="str">
        <f>IFERROR(IF(ISBLANK($D83),"",VLOOKUP($N83,'TABLE CHARGE RATE'!$A$30:$K$106,8,0)),"Check")</f>
        <v/>
      </c>
      <c r="AQ83" s="207" t="str">
        <f>IFERROR(IF(ISBLANK($D83),"",VLOOKUP($N83,'TABLE CHARGE RATE'!$A$30:$K$106,9,0)),"Check")</f>
        <v/>
      </c>
      <c r="AR83" s="207" t="str">
        <f>IFERROR(IF(ISBLANK($D83),"",VLOOKUP($N83,'TABLE CHARGE RATE'!$A$30:$K$106,10,0)),"Check")</f>
        <v/>
      </c>
      <c r="AS83" s="207" t="str">
        <f>IFERROR(IF(ISBLANK($D83),"",VLOOKUP($N83,'TABLE CHARGE RATE'!$A$30:$K$106,11,0)),"Check")</f>
        <v/>
      </c>
      <c r="AT83" s="207">
        <f t="shared" si="23"/>
        <v>82</v>
      </c>
    </row>
    <row r="84" spans="1:46" x14ac:dyDescent="0.2">
      <c r="A84" s="207" t="str">
        <f t="shared" si="17"/>
        <v/>
      </c>
      <c r="B84" s="208" t="str">
        <f>IF(ISBLANK(D84),"",VLOOKUP(WEEKDAY($C84,1),INDEX!$J$2:$K$8,2,0))</f>
        <v/>
      </c>
      <c r="C84" s="209"/>
      <c r="D84" s="207"/>
      <c r="E84" s="207"/>
      <c r="F84" s="207"/>
      <c r="G84" s="207"/>
      <c r="H84" s="207"/>
      <c r="I84" s="207"/>
      <c r="J84" s="207"/>
      <c r="K84" s="207"/>
      <c r="L84" s="207"/>
      <c r="M84" s="207"/>
      <c r="N84" s="207"/>
      <c r="O84" s="207"/>
      <c r="P84" s="207"/>
      <c r="Q84" s="207"/>
      <c r="R84" s="207"/>
      <c r="S84" s="207"/>
      <c r="T84" s="207"/>
      <c r="U84" s="209"/>
      <c r="V84" s="207"/>
      <c r="W84" s="207"/>
      <c r="X84" s="209">
        <f t="shared" si="19"/>
        <v>0</v>
      </c>
      <c r="Y84" s="209">
        <f t="shared" si="20"/>
        <v>0</v>
      </c>
      <c r="Z84" s="207">
        <v>1</v>
      </c>
      <c r="AA84" s="209" t="str">
        <f t="shared" si="18"/>
        <v/>
      </c>
      <c r="AB84" s="209"/>
      <c r="AC84" s="207">
        <v>0</v>
      </c>
      <c r="AD84" s="207"/>
      <c r="AE84" s="207"/>
      <c r="AF84" s="208" t="str">
        <f>IF(ISBLANK(D84),"",VLOOKUP(F84,'SIZE CALCULATION'!$F:$G,2,0))</f>
        <v/>
      </c>
      <c r="AG84" s="207" t="str">
        <f t="shared" si="16"/>
        <v/>
      </c>
      <c r="AH84" s="207" t="str">
        <f t="shared" si="21"/>
        <v/>
      </c>
      <c r="AI84" s="210" t="str">
        <f>IF(ISBLANK(D84),"",VLOOKUP($A84,INDEX!$D$2:$F$13,3,0))</f>
        <v/>
      </c>
      <c r="AJ84" s="207" t="str">
        <f t="shared" si="22"/>
        <v/>
      </c>
      <c r="AK84" s="207"/>
      <c r="AL84" s="207"/>
      <c r="AM84" s="207" t="str">
        <f>IFERROR(IF(ISBLANK($D84),"",VLOOKUP($N84,'TABLE CHARGE RATE'!$A$30:$K$106,5,0)),"Check")</f>
        <v/>
      </c>
      <c r="AN84" s="207" t="str">
        <f>IFERROR(IF(ISBLANK($D84),"",VLOOKUP($N84,'TABLE CHARGE RATE'!$A$30:$K$106,6,0)),"Check")</f>
        <v/>
      </c>
      <c r="AO84" s="207" t="str">
        <f>IFERROR(IF(ISBLANK($D84),"",VLOOKUP($N84,'TABLE CHARGE RATE'!$A$30:$K$106,7,0)),"Check")</f>
        <v/>
      </c>
      <c r="AP84" s="207" t="str">
        <f>IFERROR(IF(ISBLANK($D84),"",VLOOKUP($N84,'TABLE CHARGE RATE'!$A$30:$K$106,8,0)),"Check")</f>
        <v/>
      </c>
      <c r="AQ84" s="207" t="str">
        <f>IFERROR(IF(ISBLANK($D84),"",VLOOKUP($N84,'TABLE CHARGE RATE'!$A$30:$K$106,9,0)),"Check")</f>
        <v/>
      </c>
      <c r="AR84" s="207" t="str">
        <f>IFERROR(IF(ISBLANK($D84),"",VLOOKUP($N84,'TABLE CHARGE RATE'!$A$30:$K$106,10,0)),"Check")</f>
        <v/>
      </c>
      <c r="AS84" s="207" t="str">
        <f>IFERROR(IF(ISBLANK($D84),"",VLOOKUP($N84,'TABLE CHARGE RATE'!$A$30:$K$106,11,0)),"Check")</f>
        <v/>
      </c>
      <c r="AT84" s="207">
        <f t="shared" si="23"/>
        <v>83</v>
      </c>
    </row>
    <row r="85" spans="1:46" x14ac:dyDescent="0.2">
      <c r="A85" s="207" t="str">
        <f t="shared" si="17"/>
        <v/>
      </c>
      <c r="B85" s="208" t="str">
        <f>IF(ISBLANK(D85),"",VLOOKUP(WEEKDAY($C85,1),INDEX!$J$2:$K$8,2,0))</f>
        <v/>
      </c>
      <c r="C85" s="209"/>
      <c r="D85" s="207"/>
      <c r="E85" s="207"/>
      <c r="F85" s="207"/>
      <c r="G85" s="207"/>
      <c r="H85" s="207"/>
      <c r="I85" s="207"/>
      <c r="J85" s="207"/>
      <c r="K85" s="207"/>
      <c r="L85" s="207"/>
      <c r="M85" s="207"/>
      <c r="N85" s="207"/>
      <c r="O85" s="207"/>
      <c r="P85" s="207"/>
      <c r="Q85" s="207"/>
      <c r="R85" s="207"/>
      <c r="S85" s="207"/>
      <c r="T85" s="207"/>
      <c r="U85" s="209"/>
      <c r="V85" s="207"/>
      <c r="W85" s="207"/>
      <c r="X85" s="209">
        <f t="shared" si="19"/>
        <v>0</v>
      </c>
      <c r="Y85" s="209">
        <f t="shared" si="20"/>
        <v>0</v>
      </c>
      <c r="Z85" s="207">
        <v>1</v>
      </c>
      <c r="AA85" s="209" t="str">
        <f t="shared" si="18"/>
        <v/>
      </c>
      <c r="AB85" s="209"/>
      <c r="AC85" s="207">
        <v>0</v>
      </c>
      <c r="AD85" s="207"/>
      <c r="AE85" s="207"/>
      <c r="AF85" s="208" t="str">
        <f>IF(ISBLANK(D85),"",VLOOKUP(F85,'SIZE CALCULATION'!$F:$G,2,0))</f>
        <v/>
      </c>
      <c r="AG85" s="207" t="str">
        <f t="shared" si="16"/>
        <v/>
      </c>
      <c r="AH85" s="207" t="str">
        <f t="shared" si="21"/>
        <v/>
      </c>
      <c r="AI85" s="210" t="str">
        <f>IF(ISBLANK(D85),"",VLOOKUP($A85,INDEX!$D$2:$F$13,3,0))</f>
        <v/>
      </c>
      <c r="AJ85" s="207" t="str">
        <f t="shared" si="22"/>
        <v/>
      </c>
      <c r="AK85" s="207"/>
      <c r="AL85" s="207"/>
      <c r="AM85" s="207" t="str">
        <f>IFERROR(IF(ISBLANK($D85),"",VLOOKUP($N85,'TABLE CHARGE RATE'!$A$30:$K$106,5,0)),"Check")</f>
        <v/>
      </c>
      <c r="AN85" s="207" t="str">
        <f>IFERROR(IF(ISBLANK($D85),"",VLOOKUP($N85,'TABLE CHARGE RATE'!$A$30:$K$106,6,0)),"Check")</f>
        <v/>
      </c>
      <c r="AO85" s="207" t="str">
        <f>IFERROR(IF(ISBLANK($D85),"",VLOOKUP($N85,'TABLE CHARGE RATE'!$A$30:$K$106,7,0)),"Check")</f>
        <v/>
      </c>
      <c r="AP85" s="207" t="str">
        <f>IFERROR(IF(ISBLANK($D85),"",VLOOKUP($N85,'TABLE CHARGE RATE'!$A$30:$K$106,8,0)),"Check")</f>
        <v/>
      </c>
      <c r="AQ85" s="207" t="str">
        <f>IFERROR(IF(ISBLANK($D85),"",VLOOKUP($N85,'TABLE CHARGE RATE'!$A$30:$K$106,9,0)),"Check")</f>
        <v/>
      </c>
      <c r="AR85" s="207" t="str">
        <f>IFERROR(IF(ISBLANK($D85),"",VLOOKUP($N85,'TABLE CHARGE RATE'!$A$30:$K$106,10,0)),"Check")</f>
        <v/>
      </c>
      <c r="AS85" s="207" t="str">
        <f>IFERROR(IF(ISBLANK($D85),"",VLOOKUP($N85,'TABLE CHARGE RATE'!$A$30:$K$106,11,0)),"Check")</f>
        <v/>
      </c>
      <c r="AT85" s="207">
        <f t="shared" si="23"/>
        <v>84</v>
      </c>
    </row>
    <row r="86" spans="1:46" x14ac:dyDescent="0.2">
      <c r="A86" s="207" t="str">
        <f t="shared" si="17"/>
        <v/>
      </c>
      <c r="B86" s="208" t="str">
        <f>IF(ISBLANK(D86),"",VLOOKUP(WEEKDAY($C86,1),INDEX!$J$2:$K$8,2,0))</f>
        <v/>
      </c>
      <c r="C86" s="209"/>
      <c r="D86" s="207"/>
      <c r="E86" s="207"/>
      <c r="F86" s="207"/>
      <c r="G86" s="207"/>
      <c r="H86" s="207"/>
      <c r="I86" s="207"/>
      <c r="J86" s="207"/>
      <c r="K86" s="207"/>
      <c r="L86" s="207"/>
      <c r="M86" s="207"/>
      <c r="N86" s="207"/>
      <c r="O86" s="207"/>
      <c r="P86" s="207"/>
      <c r="Q86" s="207"/>
      <c r="R86" s="207"/>
      <c r="S86" s="207"/>
      <c r="T86" s="207"/>
      <c r="U86" s="209"/>
      <c r="V86" s="207"/>
      <c r="W86" s="207"/>
      <c r="X86" s="209">
        <f t="shared" si="19"/>
        <v>0</v>
      </c>
      <c r="Y86" s="209">
        <f t="shared" si="20"/>
        <v>0</v>
      </c>
      <c r="Z86" s="207">
        <v>1</v>
      </c>
      <c r="AA86" s="209" t="str">
        <f t="shared" si="18"/>
        <v/>
      </c>
      <c r="AB86" s="209"/>
      <c r="AC86" s="207">
        <v>0</v>
      </c>
      <c r="AD86" s="207"/>
      <c r="AE86" s="207"/>
      <c r="AF86" s="208" t="str">
        <f>IF(ISBLANK(D86),"",VLOOKUP(F86,'SIZE CALCULATION'!$F:$G,2,0))</f>
        <v/>
      </c>
      <c r="AG86" s="207" t="str">
        <f t="shared" si="16"/>
        <v/>
      </c>
      <c r="AH86" s="207" t="str">
        <f t="shared" si="21"/>
        <v/>
      </c>
      <c r="AI86" s="210" t="str">
        <f>IF(ISBLANK(D86),"",VLOOKUP($A86,INDEX!$D$2:$F$13,3,0))</f>
        <v/>
      </c>
      <c r="AJ86" s="207" t="str">
        <f t="shared" si="22"/>
        <v/>
      </c>
      <c r="AK86" s="207"/>
      <c r="AL86" s="207"/>
      <c r="AM86" s="207" t="str">
        <f>IFERROR(IF(ISBLANK($D86),"",VLOOKUP($N86,'TABLE CHARGE RATE'!$A$30:$K$106,5,0)),"Check")</f>
        <v/>
      </c>
      <c r="AN86" s="207" t="str">
        <f>IFERROR(IF(ISBLANK($D86),"",VLOOKUP($N86,'TABLE CHARGE RATE'!$A$30:$K$106,6,0)),"Check")</f>
        <v/>
      </c>
      <c r="AO86" s="207" t="str">
        <f>IFERROR(IF(ISBLANK($D86),"",VLOOKUP($N86,'TABLE CHARGE RATE'!$A$30:$K$106,7,0)),"Check")</f>
        <v/>
      </c>
      <c r="AP86" s="207" t="str">
        <f>IFERROR(IF(ISBLANK($D86),"",VLOOKUP($N86,'TABLE CHARGE RATE'!$A$30:$K$106,8,0)),"Check")</f>
        <v/>
      </c>
      <c r="AQ86" s="207" t="str">
        <f>IFERROR(IF(ISBLANK($D86),"",VLOOKUP($N86,'TABLE CHARGE RATE'!$A$30:$K$106,9,0)),"Check")</f>
        <v/>
      </c>
      <c r="AR86" s="207" t="str">
        <f>IFERROR(IF(ISBLANK($D86),"",VLOOKUP($N86,'TABLE CHARGE RATE'!$A$30:$K$106,10,0)),"Check")</f>
        <v/>
      </c>
      <c r="AS86" s="207" t="str">
        <f>IFERROR(IF(ISBLANK($D86),"",VLOOKUP($N86,'TABLE CHARGE RATE'!$A$30:$K$106,11,0)),"Check")</f>
        <v/>
      </c>
      <c r="AT86" s="207">
        <f t="shared" si="23"/>
        <v>85</v>
      </c>
    </row>
    <row r="87" spans="1:46" x14ac:dyDescent="0.2">
      <c r="A87" s="207" t="str">
        <f t="shared" si="17"/>
        <v/>
      </c>
      <c r="B87" s="208" t="str">
        <f>IF(ISBLANK(D87),"",VLOOKUP(WEEKDAY($C87,1),INDEX!$J$2:$K$8,2,0))</f>
        <v/>
      </c>
      <c r="C87" s="209"/>
      <c r="D87" s="207"/>
      <c r="E87" s="207"/>
      <c r="F87" s="207"/>
      <c r="G87" s="207"/>
      <c r="H87" s="207"/>
      <c r="I87" s="207"/>
      <c r="J87" s="207"/>
      <c r="K87" s="207"/>
      <c r="L87" s="207"/>
      <c r="M87" s="207"/>
      <c r="N87" s="207"/>
      <c r="O87" s="207"/>
      <c r="P87" s="207"/>
      <c r="Q87" s="207"/>
      <c r="R87" s="207"/>
      <c r="S87" s="207"/>
      <c r="T87" s="207"/>
      <c r="U87" s="209"/>
      <c r="V87" s="207"/>
      <c r="W87" s="207"/>
      <c r="X87" s="209">
        <f t="shared" si="19"/>
        <v>0</v>
      </c>
      <c r="Y87" s="209">
        <f t="shared" si="20"/>
        <v>0</v>
      </c>
      <c r="Z87" s="207">
        <v>1</v>
      </c>
      <c r="AA87" s="209" t="str">
        <f t="shared" si="18"/>
        <v/>
      </c>
      <c r="AB87" s="209"/>
      <c r="AC87" s="207">
        <v>0</v>
      </c>
      <c r="AD87" s="207"/>
      <c r="AE87" s="207"/>
      <c r="AF87" s="208" t="str">
        <f>IF(ISBLANK(D87),"",VLOOKUP(F87,'SIZE CALCULATION'!$F:$G,2,0))</f>
        <v/>
      </c>
      <c r="AG87" s="207" t="str">
        <f t="shared" si="16"/>
        <v/>
      </c>
      <c r="AH87" s="207" t="str">
        <f t="shared" si="21"/>
        <v/>
      </c>
      <c r="AI87" s="210" t="str">
        <f>IF(ISBLANK(D87),"",VLOOKUP($A87,INDEX!$D$2:$F$13,3,0))</f>
        <v/>
      </c>
      <c r="AJ87" s="207" t="str">
        <f t="shared" si="22"/>
        <v/>
      </c>
      <c r="AK87" s="207"/>
      <c r="AL87" s="207"/>
      <c r="AM87" s="207" t="str">
        <f>IFERROR(IF(ISBLANK($D87),"",VLOOKUP($N87,'TABLE CHARGE RATE'!$A$30:$K$106,5,0)),"Check")</f>
        <v/>
      </c>
      <c r="AN87" s="207" t="str">
        <f>IFERROR(IF(ISBLANK($D87),"",VLOOKUP($N87,'TABLE CHARGE RATE'!$A$30:$K$106,6,0)),"Check")</f>
        <v/>
      </c>
      <c r="AO87" s="207" t="str">
        <f>IFERROR(IF(ISBLANK($D87),"",VLOOKUP($N87,'TABLE CHARGE RATE'!$A$30:$K$106,7,0)),"Check")</f>
        <v/>
      </c>
      <c r="AP87" s="207" t="str">
        <f>IFERROR(IF(ISBLANK($D87),"",VLOOKUP($N87,'TABLE CHARGE RATE'!$A$30:$K$106,8,0)),"Check")</f>
        <v/>
      </c>
      <c r="AQ87" s="207" t="str">
        <f>IFERROR(IF(ISBLANK($D87),"",VLOOKUP($N87,'TABLE CHARGE RATE'!$A$30:$K$106,9,0)),"Check")</f>
        <v/>
      </c>
      <c r="AR87" s="207" t="str">
        <f>IFERROR(IF(ISBLANK($D87),"",VLOOKUP($N87,'TABLE CHARGE RATE'!$A$30:$K$106,10,0)),"Check")</f>
        <v/>
      </c>
      <c r="AS87" s="207" t="str">
        <f>IFERROR(IF(ISBLANK($D87),"",VLOOKUP($N87,'TABLE CHARGE RATE'!$A$30:$K$106,11,0)),"Check")</f>
        <v/>
      </c>
      <c r="AT87" s="207">
        <f t="shared" si="23"/>
        <v>86</v>
      </c>
    </row>
    <row r="88" spans="1:46" x14ac:dyDescent="0.2">
      <c r="A88" s="207" t="str">
        <f t="shared" si="17"/>
        <v/>
      </c>
      <c r="B88" s="208" t="str">
        <f>IF(ISBLANK(D88),"",VLOOKUP(WEEKDAY($C88,1),INDEX!$J$2:$K$8,2,0))</f>
        <v/>
      </c>
      <c r="C88" s="209"/>
      <c r="D88" s="207"/>
      <c r="E88" s="207"/>
      <c r="F88" s="207"/>
      <c r="G88" s="207"/>
      <c r="H88" s="207"/>
      <c r="I88" s="207"/>
      <c r="J88" s="207"/>
      <c r="K88" s="207"/>
      <c r="L88" s="207"/>
      <c r="M88" s="207"/>
      <c r="N88" s="207"/>
      <c r="O88" s="207"/>
      <c r="P88" s="207"/>
      <c r="Q88" s="207"/>
      <c r="R88" s="207"/>
      <c r="S88" s="207"/>
      <c r="T88" s="207"/>
      <c r="U88" s="209"/>
      <c r="V88" s="207"/>
      <c r="W88" s="207"/>
      <c r="X88" s="209">
        <f t="shared" si="19"/>
        <v>0</v>
      </c>
      <c r="Y88" s="209">
        <f t="shared" si="20"/>
        <v>0</v>
      </c>
      <c r="Z88" s="207">
        <v>1</v>
      </c>
      <c r="AA88" s="209" t="str">
        <f t="shared" si="18"/>
        <v/>
      </c>
      <c r="AB88" s="209"/>
      <c r="AC88" s="207">
        <v>0</v>
      </c>
      <c r="AD88" s="207"/>
      <c r="AE88" s="207"/>
      <c r="AF88" s="208" t="str">
        <f>IF(ISBLANK(D88),"",VLOOKUP(F88,'SIZE CALCULATION'!$F:$G,2,0))</f>
        <v/>
      </c>
      <c r="AG88" s="207" t="str">
        <f t="shared" si="16"/>
        <v/>
      </c>
      <c r="AH88" s="207" t="str">
        <f t="shared" si="21"/>
        <v/>
      </c>
      <c r="AI88" s="210" t="str">
        <f>IF(ISBLANK(D88),"",VLOOKUP($A88,INDEX!$D$2:$F$13,3,0))</f>
        <v/>
      </c>
      <c r="AJ88" s="207" t="str">
        <f t="shared" si="22"/>
        <v/>
      </c>
      <c r="AK88" s="207"/>
      <c r="AL88" s="207"/>
      <c r="AM88" s="207" t="str">
        <f>IFERROR(IF(ISBLANK($D88),"",VLOOKUP($N88,'TABLE CHARGE RATE'!$A$30:$K$106,5,0)),"Check")</f>
        <v/>
      </c>
      <c r="AN88" s="207" t="str">
        <f>IFERROR(IF(ISBLANK($D88),"",VLOOKUP($N88,'TABLE CHARGE RATE'!$A$30:$K$106,6,0)),"Check")</f>
        <v/>
      </c>
      <c r="AO88" s="207" t="str">
        <f>IFERROR(IF(ISBLANK($D88),"",VLOOKUP($N88,'TABLE CHARGE RATE'!$A$30:$K$106,7,0)),"Check")</f>
        <v/>
      </c>
      <c r="AP88" s="207" t="str">
        <f>IFERROR(IF(ISBLANK($D88),"",VLOOKUP($N88,'TABLE CHARGE RATE'!$A$30:$K$106,8,0)),"Check")</f>
        <v/>
      </c>
      <c r="AQ88" s="207" t="str">
        <f>IFERROR(IF(ISBLANK($D88),"",VLOOKUP($N88,'TABLE CHARGE RATE'!$A$30:$K$106,9,0)),"Check")</f>
        <v/>
      </c>
      <c r="AR88" s="207" t="str">
        <f>IFERROR(IF(ISBLANK($D88),"",VLOOKUP($N88,'TABLE CHARGE RATE'!$A$30:$K$106,10,0)),"Check")</f>
        <v/>
      </c>
      <c r="AS88" s="207" t="str">
        <f>IFERROR(IF(ISBLANK($D88),"",VLOOKUP($N88,'TABLE CHARGE RATE'!$A$30:$K$106,11,0)),"Check")</f>
        <v/>
      </c>
      <c r="AT88" s="207">
        <f t="shared" si="23"/>
        <v>87</v>
      </c>
    </row>
    <row r="89" spans="1:46" x14ac:dyDescent="0.2">
      <c r="A89" s="207" t="str">
        <f t="shared" si="17"/>
        <v/>
      </c>
      <c r="B89" s="208" t="str">
        <f>IF(ISBLANK(D89),"",VLOOKUP(WEEKDAY($C89,1),INDEX!$J$2:$K$8,2,0))</f>
        <v/>
      </c>
      <c r="C89" s="209"/>
      <c r="D89" s="207"/>
      <c r="E89" s="207"/>
      <c r="F89" s="207"/>
      <c r="G89" s="207"/>
      <c r="H89" s="207"/>
      <c r="I89" s="207"/>
      <c r="J89" s="207"/>
      <c r="K89" s="207"/>
      <c r="L89" s="207"/>
      <c r="M89" s="207"/>
      <c r="N89" s="207"/>
      <c r="O89" s="207"/>
      <c r="P89" s="207"/>
      <c r="Q89" s="207"/>
      <c r="R89" s="207"/>
      <c r="S89" s="207"/>
      <c r="T89" s="207"/>
      <c r="U89" s="209"/>
      <c r="V89" s="207"/>
      <c r="W89" s="207"/>
      <c r="X89" s="209">
        <f t="shared" si="19"/>
        <v>0</v>
      </c>
      <c r="Y89" s="209">
        <f t="shared" si="20"/>
        <v>0</v>
      </c>
      <c r="Z89" s="207">
        <v>1</v>
      </c>
      <c r="AA89" s="209" t="str">
        <f t="shared" si="18"/>
        <v/>
      </c>
      <c r="AB89" s="209"/>
      <c r="AC89" s="207">
        <v>0</v>
      </c>
      <c r="AD89" s="207"/>
      <c r="AE89" s="207"/>
      <c r="AF89" s="208" t="str">
        <f>IF(ISBLANK(D89),"",VLOOKUP(F89,'SIZE CALCULATION'!$F:$G,2,0))</f>
        <v/>
      </c>
      <c r="AG89" s="207" t="str">
        <f t="shared" si="16"/>
        <v/>
      </c>
      <c r="AH89" s="207" t="str">
        <f t="shared" si="21"/>
        <v/>
      </c>
      <c r="AI89" s="210" t="str">
        <f>IF(ISBLANK(D89),"",VLOOKUP($A89,INDEX!$D$2:$F$13,3,0))</f>
        <v/>
      </c>
      <c r="AJ89" s="207" t="str">
        <f t="shared" si="22"/>
        <v/>
      </c>
      <c r="AK89" s="207"/>
      <c r="AL89" s="207"/>
      <c r="AM89" s="207" t="str">
        <f>IFERROR(IF(ISBLANK($D89),"",VLOOKUP($N89,'TABLE CHARGE RATE'!$A$30:$K$106,5,0)),"Check")</f>
        <v/>
      </c>
      <c r="AN89" s="207" t="str">
        <f>IFERROR(IF(ISBLANK($D89),"",VLOOKUP($N89,'TABLE CHARGE RATE'!$A$30:$K$106,6,0)),"Check")</f>
        <v/>
      </c>
      <c r="AO89" s="207" t="str">
        <f>IFERROR(IF(ISBLANK($D89),"",VLOOKUP($N89,'TABLE CHARGE RATE'!$A$30:$K$106,7,0)),"Check")</f>
        <v/>
      </c>
      <c r="AP89" s="207" t="str">
        <f>IFERROR(IF(ISBLANK($D89),"",VLOOKUP($N89,'TABLE CHARGE RATE'!$A$30:$K$106,8,0)),"Check")</f>
        <v/>
      </c>
      <c r="AQ89" s="207" t="str">
        <f>IFERROR(IF(ISBLANK($D89),"",VLOOKUP($N89,'TABLE CHARGE RATE'!$A$30:$K$106,9,0)),"Check")</f>
        <v/>
      </c>
      <c r="AR89" s="207" t="str">
        <f>IFERROR(IF(ISBLANK($D89),"",VLOOKUP($N89,'TABLE CHARGE RATE'!$A$30:$K$106,10,0)),"Check")</f>
        <v/>
      </c>
      <c r="AS89" s="207" t="str">
        <f>IFERROR(IF(ISBLANK($D89),"",VLOOKUP($N89,'TABLE CHARGE RATE'!$A$30:$K$106,11,0)),"Check")</f>
        <v/>
      </c>
      <c r="AT89" s="207">
        <f t="shared" si="23"/>
        <v>88</v>
      </c>
    </row>
    <row r="90" spans="1:46" x14ac:dyDescent="0.2">
      <c r="A90" s="207" t="str">
        <f t="shared" si="17"/>
        <v/>
      </c>
      <c r="B90" s="208" t="str">
        <f>IF(ISBLANK(D90),"",VLOOKUP(WEEKDAY($C90,1),INDEX!$J$2:$K$8,2,0))</f>
        <v/>
      </c>
      <c r="C90" s="209"/>
      <c r="D90" s="207"/>
      <c r="E90" s="207"/>
      <c r="F90" s="207"/>
      <c r="G90" s="207"/>
      <c r="H90" s="207"/>
      <c r="I90" s="207"/>
      <c r="J90" s="207"/>
      <c r="K90" s="207"/>
      <c r="L90" s="207"/>
      <c r="M90" s="207"/>
      <c r="N90" s="207"/>
      <c r="O90" s="207"/>
      <c r="P90" s="207"/>
      <c r="Q90" s="207"/>
      <c r="R90" s="207"/>
      <c r="S90" s="207"/>
      <c r="T90" s="207"/>
      <c r="U90" s="209"/>
      <c r="V90" s="207"/>
      <c r="W90" s="207"/>
      <c r="X90" s="209">
        <f t="shared" si="19"/>
        <v>0</v>
      </c>
      <c r="Y90" s="209">
        <f t="shared" si="20"/>
        <v>0</v>
      </c>
      <c r="Z90" s="207">
        <v>1</v>
      </c>
      <c r="AA90" s="209" t="str">
        <f t="shared" si="18"/>
        <v/>
      </c>
      <c r="AB90" s="209"/>
      <c r="AC90" s="207">
        <v>0</v>
      </c>
      <c r="AD90" s="207"/>
      <c r="AE90" s="207"/>
      <c r="AF90" s="208" t="str">
        <f>IF(ISBLANK(D90),"",VLOOKUP(F90,'SIZE CALCULATION'!$F:$G,2,0))</f>
        <v/>
      </c>
      <c r="AG90" s="207" t="str">
        <f t="shared" si="16"/>
        <v/>
      </c>
      <c r="AH90" s="207" t="str">
        <f t="shared" si="21"/>
        <v/>
      </c>
      <c r="AI90" s="210" t="str">
        <f>IF(ISBLANK(D90),"",VLOOKUP($A90,INDEX!$D$2:$F$13,3,0))</f>
        <v/>
      </c>
      <c r="AJ90" s="207" t="str">
        <f t="shared" si="22"/>
        <v/>
      </c>
      <c r="AK90" s="207"/>
      <c r="AL90" s="207"/>
      <c r="AM90" s="207" t="str">
        <f>IFERROR(IF(ISBLANK($D90),"",VLOOKUP($N90,'TABLE CHARGE RATE'!$A$30:$K$106,5,0)),"Check")</f>
        <v/>
      </c>
      <c r="AN90" s="207" t="str">
        <f>IFERROR(IF(ISBLANK($D90),"",VLOOKUP($N90,'TABLE CHARGE RATE'!$A$30:$K$106,6,0)),"Check")</f>
        <v/>
      </c>
      <c r="AO90" s="207" t="str">
        <f>IFERROR(IF(ISBLANK($D90),"",VLOOKUP($N90,'TABLE CHARGE RATE'!$A$30:$K$106,7,0)),"Check")</f>
        <v/>
      </c>
      <c r="AP90" s="207" t="str">
        <f>IFERROR(IF(ISBLANK($D90),"",VLOOKUP($N90,'TABLE CHARGE RATE'!$A$30:$K$106,8,0)),"Check")</f>
        <v/>
      </c>
      <c r="AQ90" s="207" t="str">
        <f>IFERROR(IF(ISBLANK($D90),"",VLOOKUP($N90,'TABLE CHARGE RATE'!$A$30:$K$106,9,0)),"Check")</f>
        <v/>
      </c>
      <c r="AR90" s="207" t="str">
        <f>IFERROR(IF(ISBLANK($D90),"",VLOOKUP($N90,'TABLE CHARGE RATE'!$A$30:$K$106,10,0)),"Check")</f>
        <v/>
      </c>
      <c r="AS90" s="207" t="str">
        <f>IFERROR(IF(ISBLANK($D90),"",VLOOKUP($N90,'TABLE CHARGE RATE'!$A$30:$K$106,11,0)),"Check")</f>
        <v/>
      </c>
      <c r="AT90" s="207">
        <f t="shared" si="23"/>
        <v>89</v>
      </c>
    </row>
    <row r="91" spans="1:46" x14ac:dyDescent="0.2">
      <c r="A91" s="207" t="str">
        <f t="shared" si="17"/>
        <v/>
      </c>
      <c r="B91" s="208" t="str">
        <f>IF(ISBLANK(D91),"",VLOOKUP(WEEKDAY($C91,1),INDEX!$J$2:$K$8,2,0))</f>
        <v/>
      </c>
      <c r="C91" s="209"/>
      <c r="D91" s="207"/>
      <c r="E91" s="207"/>
      <c r="F91" s="207"/>
      <c r="G91" s="207"/>
      <c r="H91" s="207"/>
      <c r="I91" s="207"/>
      <c r="J91" s="207"/>
      <c r="K91" s="207"/>
      <c r="L91" s="207"/>
      <c r="M91" s="207"/>
      <c r="N91" s="207"/>
      <c r="O91" s="207"/>
      <c r="P91" s="207"/>
      <c r="Q91" s="207"/>
      <c r="R91" s="207"/>
      <c r="S91" s="207"/>
      <c r="T91" s="207"/>
      <c r="U91" s="209"/>
      <c r="V91" s="207"/>
      <c r="W91" s="207"/>
      <c r="X91" s="209">
        <f t="shared" si="19"/>
        <v>0</v>
      </c>
      <c r="Y91" s="209">
        <f t="shared" si="20"/>
        <v>0</v>
      </c>
      <c r="Z91" s="207">
        <v>1</v>
      </c>
      <c r="AA91" s="209" t="str">
        <f t="shared" si="18"/>
        <v/>
      </c>
      <c r="AB91" s="209"/>
      <c r="AC91" s="207">
        <v>0</v>
      </c>
      <c r="AD91" s="207"/>
      <c r="AE91" s="207"/>
      <c r="AF91" s="208" t="str">
        <f>IF(ISBLANK(D91),"",VLOOKUP(F91,'SIZE CALCULATION'!$F:$G,2,0))</f>
        <v/>
      </c>
      <c r="AG91" s="207" t="str">
        <f t="shared" si="16"/>
        <v/>
      </c>
      <c r="AH91" s="207" t="str">
        <f t="shared" si="21"/>
        <v/>
      </c>
      <c r="AI91" s="210" t="str">
        <f>IF(ISBLANK(D91),"",VLOOKUP($A91,INDEX!$D$2:$F$13,3,0))</f>
        <v/>
      </c>
      <c r="AJ91" s="207" t="str">
        <f t="shared" si="22"/>
        <v/>
      </c>
      <c r="AK91" s="207"/>
      <c r="AL91" s="207"/>
      <c r="AM91" s="207" t="str">
        <f>IFERROR(IF(ISBLANK($D91),"",VLOOKUP($N91,'TABLE CHARGE RATE'!$A$30:$K$106,5,0)),"Check")</f>
        <v/>
      </c>
      <c r="AN91" s="207" t="str">
        <f>IFERROR(IF(ISBLANK($D91),"",VLOOKUP($N91,'TABLE CHARGE RATE'!$A$30:$K$106,6,0)),"Check")</f>
        <v/>
      </c>
      <c r="AO91" s="207" t="str">
        <f>IFERROR(IF(ISBLANK($D91),"",VLOOKUP($N91,'TABLE CHARGE RATE'!$A$30:$K$106,7,0)),"Check")</f>
        <v/>
      </c>
      <c r="AP91" s="207" t="str">
        <f>IFERROR(IF(ISBLANK($D91),"",VLOOKUP($N91,'TABLE CHARGE RATE'!$A$30:$K$106,8,0)),"Check")</f>
        <v/>
      </c>
      <c r="AQ91" s="207" t="str">
        <f>IFERROR(IF(ISBLANK($D91),"",VLOOKUP($N91,'TABLE CHARGE RATE'!$A$30:$K$106,9,0)),"Check")</f>
        <v/>
      </c>
      <c r="AR91" s="207" t="str">
        <f>IFERROR(IF(ISBLANK($D91),"",VLOOKUP($N91,'TABLE CHARGE RATE'!$A$30:$K$106,10,0)),"Check")</f>
        <v/>
      </c>
      <c r="AS91" s="207" t="str">
        <f>IFERROR(IF(ISBLANK($D91),"",VLOOKUP($N91,'TABLE CHARGE RATE'!$A$30:$K$106,11,0)),"Check")</f>
        <v/>
      </c>
      <c r="AT91" s="207">
        <f t="shared" si="23"/>
        <v>90</v>
      </c>
    </row>
    <row r="92" spans="1:46" x14ac:dyDescent="0.2">
      <c r="A92" s="207" t="str">
        <f t="shared" si="17"/>
        <v/>
      </c>
      <c r="B92" s="208" t="str">
        <f>IF(ISBLANK(D92),"",VLOOKUP(WEEKDAY($C92,1),INDEX!$J$2:$K$8,2,0))</f>
        <v/>
      </c>
      <c r="C92" s="209"/>
      <c r="D92" s="207"/>
      <c r="E92" s="207"/>
      <c r="F92" s="207"/>
      <c r="G92" s="207"/>
      <c r="H92" s="207"/>
      <c r="I92" s="207"/>
      <c r="J92" s="207"/>
      <c r="K92" s="207"/>
      <c r="L92" s="207"/>
      <c r="M92" s="207"/>
      <c r="N92" s="207"/>
      <c r="O92" s="207"/>
      <c r="P92" s="207"/>
      <c r="Q92" s="207"/>
      <c r="R92" s="207"/>
      <c r="S92" s="207"/>
      <c r="T92" s="207"/>
      <c r="U92" s="209"/>
      <c r="V92" s="207"/>
      <c r="W92" s="207"/>
      <c r="X92" s="209">
        <f t="shared" si="19"/>
        <v>0</v>
      </c>
      <c r="Y92" s="209">
        <f t="shared" si="20"/>
        <v>0</v>
      </c>
      <c r="Z92" s="207">
        <v>1</v>
      </c>
      <c r="AA92" s="209" t="str">
        <f t="shared" si="18"/>
        <v/>
      </c>
      <c r="AB92" s="209"/>
      <c r="AC92" s="207">
        <v>0</v>
      </c>
      <c r="AD92" s="207"/>
      <c r="AE92" s="207"/>
      <c r="AF92" s="208" t="str">
        <f>IF(ISBLANK(D92),"",VLOOKUP(F92,'SIZE CALCULATION'!$F:$G,2,0))</f>
        <v/>
      </c>
      <c r="AG92" s="207" t="str">
        <f t="shared" si="16"/>
        <v/>
      </c>
      <c r="AH92" s="207" t="str">
        <f t="shared" si="21"/>
        <v/>
      </c>
      <c r="AI92" s="210" t="str">
        <f>IF(ISBLANK(D92),"",VLOOKUP($A92,INDEX!$D$2:$F$13,3,0))</f>
        <v/>
      </c>
      <c r="AJ92" s="207" t="str">
        <f t="shared" si="22"/>
        <v/>
      </c>
      <c r="AK92" s="207"/>
      <c r="AL92" s="207"/>
      <c r="AM92" s="207" t="str">
        <f>IFERROR(IF(ISBLANK($D92),"",VLOOKUP($N92,'TABLE CHARGE RATE'!$A$30:$K$106,5,0)),"Check")</f>
        <v/>
      </c>
      <c r="AN92" s="207" t="str">
        <f>IFERROR(IF(ISBLANK($D92),"",VLOOKUP($N92,'TABLE CHARGE RATE'!$A$30:$K$106,6,0)),"Check")</f>
        <v/>
      </c>
      <c r="AO92" s="207" t="str">
        <f>IFERROR(IF(ISBLANK($D92),"",VLOOKUP($N92,'TABLE CHARGE RATE'!$A$30:$K$106,7,0)),"Check")</f>
        <v/>
      </c>
      <c r="AP92" s="207" t="str">
        <f>IFERROR(IF(ISBLANK($D92),"",VLOOKUP($N92,'TABLE CHARGE RATE'!$A$30:$K$106,8,0)),"Check")</f>
        <v/>
      </c>
      <c r="AQ92" s="207" t="str">
        <f>IFERROR(IF(ISBLANK($D92),"",VLOOKUP($N92,'TABLE CHARGE RATE'!$A$30:$K$106,9,0)),"Check")</f>
        <v/>
      </c>
      <c r="AR92" s="207" t="str">
        <f>IFERROR(IF(ISBLANK($D92),"",VLOOKUP($N92,'TABLE CHARGE RATE'!$A$30:$K$106,10,0)),"Check")</f>
        <v/>
      </c>
      <c r="AS92" s="207" t="str">
        <f>IFERROR(IF(ISBLANK($D92),"",VLOOKUP($N92,'TABLE CHARGE RATE'!$A$30:$K$106,11,0)),"Check")</f>
        <v/>
      </c>
      <c r="AT92" s="207">
        <f t="shared" si="23"/>
        <v>91</v>
      </c>
    </row>
    <row r="93" spans="1:46" x14ac:dyDescent="0.2">
      <c r="A93" s="207" t="str">
        <f t="shared" si="17"/>
        <v/>
      </c>
      <c r="B93" s="208" t="str">
        <f>IF(ISBLANK(D93),"",VLOOKUP(WEEKDAY($C93,1),INDEX!$J$2:$K$8,2,0))</f>
        <v/>
      </c>
      <c r="C93" s="209"/>
      <c r="D93" s="207"/>
      <c r="E93" s="207"/>
      <c r="F93" s="207"/>
      <c r="G93" s="207"/>
      <c r="H93" s="207"/>
      <c r="I93" s="207"/>
      <c r="J93" s="207"/>
      <c r="K93" s="207"/>
      <c r="L93" s="207"/>
      <c r="M93" s="207"/>
      <c r="N93" s="207"/>
      <c r="O93" s="207"/>
      <c r="P93" s="207"/>
      <c r="Q93" s="207"/>
      <c r="R93" s="207"/>
      <c r="S93" s="207"/>
      <c r="T93" s="207"/>
      <c r="U93" s="209"/>
      <c r="V93" s="207"/>
      <c r="W93" s="207"/>
      <c r="X93" s="209">
        <f t="shared" si="19"/>
        <v>0</v>
      </c>
      <c r="Y93" s="209">
        <f t="shared" si="20"/>
        <v>0</v>
      </c>
      <c r="Z93" s="207">
        <v>1</v>
      </c>
      <c r="AA93" s="209" t="str">
        <f t="shared" si="18"/>
        <v/>
      </c>
      <c r="AB93" s="209"/>
      <c r="AC93" s="207">
        <v>0</v>
      </c>
      <c r="AD93" s="207"/>
      <c r="AE93" s="207"/>
      <c r="AF93" s="208" t="str">
        <f>IF(ISBLANK(D93),"",VLOOKUP(F93,'SIZE CALCULATION'!$F:$G,2,0))</f>
        <v/>
      </c>
      <c r="AG93" s="207" t="str">
        <f t="shared" si="16"/>
        <v/>
      </c>
      <c r="AH93" s="207" t="str">
        <f t="shared" si="21"/>
        <v/>
      </c>
      <c r="AI93" s="210" t="str">
        <f>IF(ISBLANK(D93),"",VLOOKUP($A93,INDEX!$D$2:$F$13,3,0))</f>
        <v/>
      </c>
      <c r="AJ93" s="207" t="str">
        <f t="shared" si="22"/>
        <v/>
      </c>
      <c r="AK93" s="207"/>
      <c r="AL93" s="207"/>
      <c r="AM93" s="207" t="str">
        <f>IFERROR(IF(ISBLANK($D93),"",VLOOKUP($N93,'TABLE CHARGE RATE'!$A$30:$K$106,5,0)),"Check")</f>
        <v/>
      </c>
      <c r="AN93" s="207" t="str">
        <f>IFERROR(IF(ISBLANK($D93),"",VLOOKUP($N93,'TABLE CHARGE RATE'!$A$30:$K$106,6,0)),"Check")</f>
        <v/>
      </c>
      <c r="AO93" s="207" t="str">
        <f>IFERROR(IF(ISBLANK($D93),"",VLOOKUP($N93,'TABLE CHARGE RATE'!$A$30:$K$106,7,0)),"Check")</f>
        <v/>
      </c>
      <c r="AP93" s="207" t="str">
        <f>IFERROR(IF(ISBLANK($D93),"",VLOOKUP($N93,'TABLE CHARGE RATE'!$A$30:$K$106,8,0)),"Check")</f>
        <v/>
      </c>
      <c r="AQ93" s="207" t="str">
        <f>IFERROR(IF(ISBLANK($D93),"",VLOOKUP($N93,'TABLE CHARGE RATE'!$A$30:$K$106,9,0)),"Check")</f>
        <v/>
      </c>
      <c r="AR93" s="207" t="str">
        <f>IFERROR(IF(ISBLANK($D93),"",VLOOKUP($N93,'TABLE CHARGE RATE'!$A$30:$K$106,10,0)),"Check")</f>
        <v/>
      </c>
      <c r="AS93" s="207" t="str">
        <f>IFERROR(IF(ISBLANK($D93),"",VLOOKUP($N93,'TABLE CHARGE RATE'!$A$30:$K$106,11,0)),"Check")</f>
        <v/>
      </c>
      <c r="AT93" s="207">
        <f t="shared" si="23"/>
        <v>92</v>
      </c>
    </row>
    <row r="94" spans="1:46" x14ac:dyDescent="0.2">
      <c r="A94" s="207" t="str">
        <f t="shared" ref="A94:A105" si="24">IF(ISBLANK(D94),"",MONTH(C94))</f>
        <v/>
      </c>
      <c r="B94" s="208" t="str">
        <f>IF(ISBLANK(D94),"",VLOOKUP(WEEKDAY($C94,1),INDEX!$J$2:$K$8,2,0))</f>
        <v/>
      </c>
      <c r="C94" s="209"/>
      <c r="D94" s="207"/>
      <c r="E94" s="207"/>
      <c r="F94" s="207"/>
      <c r="G94" s="207"/>
      <c r="H94" s="207"/>
      <c r="I94" s="207"/>
      <c r="J94" s="207"/>
      <c r="K94" s="207"/>
      <c r="L94" s="207"/>
      <c r="M94" s="207"/>
      <c r="N94" s="207"/>
      <c r="O94" s="207"/>
      <c r="P94" s="207"/>
      <c r="Q94" s="207"/>
      <c r="R94" s="207"/>
      <c r="S94" s="207"/>
      <c r="T94" s="207"/>
      <c r="U94" s="209"/>
      <c r="V94" s="207"/>
      <c r="W94" s="207"/>
      <c r="X94" s="209">
        <f t="shared" si="19"/>
        <v>0</v>
      </c>
      <c r="Y94" s="209">
        <f t="shared" si="20"/>
        <v>0</v>
      </c>
      <c r="Z94" s="207">
        <v>1</v>
      </c>
      <c r="AA94" s="209" t="str">
        <f t="shared" si="18"/>
        <v/>
      </c>
      <c r="AB94" s="209"/>
      <c r="AC94" s="207">
        <v>0</v>
      </c>
      <c r="AD94" s="207"/>
      <c r="AE94" s="207"/>
      <c r="AF94" s="208" t="str">
        <f>IF(ISBLANK(D94),"",VLOOKUP(F94,'SIZE CALCULATION'!$F:$G,2,0))</f>
        <v/>
      </c>
      <c r="AG94" s="207" t="str">
        <f t="shared" si="16"/>
        <v/>
      </c>
      <c r="AH94" s="207" t="str">
        <f t="shared" si="21"/>
        <v/>
      </c>
      <c r="AI94" s="210" t="str">
        <f>IF(ISBLANK(D94),"",VLOOKUP($A94,INDEX!$D$2:$F$13,3,0))</f>
        <v/>
      </c>
      <c r="AJ94" s="207" t="str">
        <f t="shared" si="22"/>
        <v/>
      </c>
      <c r="AK94" s="207"/>
      <c r="AL94" s="207"/>
      <c r="AM94" s="207" t="str">
        <f>IFERROR(IF(ISBLANK($D94),"",VLOOKUP($N94,'TABLE CHARGE RATE'!$A$30:$K$106,5,0)),"Check")</f>
        <v/>
      </c>
      <c r="AN94" s="207" t="str">
        <f>IFERROR(IF(ISBLANK($D94),"",VLOOKUP($N94,'TABLE CHARGE RATE'!$A$30:$K$106,6,0)),"Check")</f>
        <v/>
      </c>
      <c r="AO94" s="207" t="str">
        <f>IFERROR(IF(ISBLANK($D94),"",VLOOKUP($N94,'TABLE CHARGE RATE'!$A$30:$K$106,7,0)),"Check")</f>
        <v/>
      </c>
      <c r="AP94" s="207" t="str">
        <f>IFERROR(IF(ISBLANK($D94),"",VLOOKUP($N94,'TABLE CHARGE RATE'!$A$30:$K$106,8,0)),"Check")</f>
        <v/>
      </c>
      <c r="AQ94" s="207" t="str">
        <f>IFERROR(IF(ISBLANK($D94),"",VLOOKUP($N94,'TABLE CHARGE RATE'!$A$30:$K$106,9,0)),"Check")</f>
        <v/>
      </c>
      <c r="AR94" s="207" t="str">
        <f>IFERROR(IF(ISBLANK($D94),"",VLOOKUP($N94,'TABLE CHARGE RATE'!$A$30:$K$106,10,0)),"Check")</f>
        <v/>
      </c>
      <c r="AS94" s="207" t="str">
        <f>IFERROR(IF(ISBLANK($D94),"",VLOOKUP($N94,'TABLE CHARGE RATE'!$A$30:$K$106,11,0)),"Check")</f>
        <v/>
      </c>
      <c r="AT94" s="207">
        <f t="shared" si="23"/>
        <v>93</v>
      </c>
    </row>
    <row r="95" spans="1:46" x14ac:dyDescent="0.2">
      <c r="A95" s="207" t="str">
        <f t="shared" si="24"/>
        <v/>
      </c>
      <c r="B95" s="208" t="str">
        <f>IF(ISBLANK(D95),"",VLOOKUP(WEEKDAY($C95,1),INDEX!$J$2:$K$8,2,0))</f>
        <v/>
      </c>
      <c r="C95" s="209"/>
      <c r="D95" s="207"/>
      <c r="E95" s="207"/>
      <c r="F95" s="207"/>
      <c r="G95" s="207"/>
      <c r="H95" s="207"/>
      <c r="I95" s="207"/>
      <c r="J95" s="207"/>
      <c r="K95" s="207"/>
      <c r="L95" s="207"/>
      <c r="M95" s="207"/>
      <c r="N95" s="207"/>
      <c r="O95" s="207"/>
      <c r="P95" s="207"/>
      <c r="Q95" s="207"/>
      <c r="R95" s="207"/>
      <c r="S95" s="207"/>
      <c r="T95" s="207"/>
      <c r="U95" s="209"/>
      <c r="V95" s="207"/>
      <c r="W95" s="207"/>
      <c r="X95" s="209">
        <f t="shared" si="19"/>
        <v>0</v>
      </c>
      <c r="Y95" s="209">
        <f t="shared" si="20"/>
        <v>0</v>
      </c>
      <c r="Z95" s="207">
        <v>1</v>
      </c>
      <c r="AA95" s="209" t="str">
        <f t="shared" si="18"/>
        <v/>
      </c>
      <c r="AB95" s="209"/>
      <c r="AC95" s="207">
        <v>0</v>
      </c>
      <c r="AD95" s="207"/>
      <c r="AE95" s="207"/>
      <c r="AF95" s="208" t="str">
        <f>IF(ISBLANK(D95),"",VLOOKUP(F95,'SIZE CALCULATION'!$F:$G,2,0))</f>
        <v/>
      </c>
      <c r="AG95" s="207" t="str">
        <f t="shared" si="16"/>
        <v/>
      </c>
      <c r="AH95" s="207" t="str">
        <f t="shared" si="21"/>
        <v/>
      </c>
      <c r="AI95" s="210" t="str">
        <f>IF(ISBLANK(D95),"",VLOOKUP($A95,INDEX!$D$2:$F$13,3,0))</f>
        <v/>
      </c>
      <c r="AJ95" s="207" t="str">
        <f t="shared" si="22"/>
        <v/>
      </c>
      <c r="AK95" s="207"/>
      <c r="AL95" s="207"/>
      <c r="AM95" s="207" t="str">
        <f>IFERROR(IF(ISBLANK($D95),"",VLOOKUP($N95,'TABLE CHARGE RATE'!$A$30:$K$106,5,0)),"Check")</f>
        <v/>
      </c>
      <c r="AN95" s="207" t="str">
        <f>IFERROR(IF(ISBLANK($D95),"",VLOOKUP($N95,'TABLE CHARGE RATE'!$A$30:$K$106,6,0)),"Check")</f>
        <v/>
      </c>
      <c r="AO95" s="207" t="str">
        <f>IFERROR(IF(ISBLANK($D95),"",VLOOKUP($N95,'TABLE CHARGE RATE'!$A$30:$K$106,7,0)),"Check")</f>
        <v/>
      </c>
      <c r="AP95" s="207" t="str">
        <f>IFERROR(IF(ISBLANK($D95),"",VLOOKUP($N95,'TABLE CHARGE RATE'!$A$30:$K$106,8,0)),"Check")</f>
        <v/>
      </c>
      <c r="AQ95" s="207" t="str">
        <f>IFERROR(IF(ISBLANK($D95),"",VLOOKUP($N95,'TABLE CHARGE RATE'!$A$30:$K$106,9,0)),"Check")</f>
        <v/>
      </c>
      <c r="AR95" s="207" t="str">
        <f>IFERROR(IF(ISBLANK($D95),"",VLOOKUP($N95,'TABLE CHARGE RATE'!$A$30:$K$106,10,0)),"Check")</f>
        <v/>
      </c>
      <c r="AS95" s="207" t="str">
        <f>IFERROR(IF(ISBLANK($D95),"",VLOOKUP($N95,'TABLE CHARGE RATE'!$A$30:$K$106,11,0)),"Check")</f>
        <v/>
      </c>
      <c r="AT95" s="207">
        <f t="shared" si="23"/>
        <v>94</v>
      </c>
    </row>
    <row r="96" spans="1:46" x14ac:dyDescent="0.2">
      <c r="A96" s="207" t="str">
        <f t="shared" si="24"/>
        <v/>
      </c>
      <c r="B96" s="208" t="str">
        <f>IF(ISBLANK(D96),"",VLOOKUP(WEEKDAY($C96,1),INDEX!$J$2:$K$8,2,0))</f>
        <v/>
      </c>
      <c r="C96" s="209"/>
      <c r="D96" s="207"/>
      <c r="E96" s="207"/>
      <c r="F96" s="207"/>
      <c r="G96" s="207"/>
      <c r="H96" s="207"/>
      <c r="I96" s="207"/>
      <c r="J96" s="207"/>
      <c r="K96" s="207"/>
      <c r="L96" s="207"/>
      <c r="M96" s="207"/>
      <c r="N96" s="207"/>
      <c r="O96" s="207"/>
      <c r="P96" s="207"/>
      <c r="Q96" s="207"/>
      <c r="R96" s="207"/>
      <c r="S96" s="207"/>
      <c r="T96" s="207"/>
      <c r="U96" s="209"/>
      <c r="V96" s="207"/>
      <c r="W96" s="207"/>
      <c r="X96" s="209">
        <f t="shared" si="19"/>
        <v>0</v>
      </c>
      <c r="Y96" s="209">
        <f t="shared" si="20"/>
        <v>0</v>
      </c>
      <c r="Z96" s="207">
        <v>1</v>
      </c>
      <c r="AA96" s="209" t="str">
        <f t="shared" si="18"/>
        <v/>
      </c>
      <c r="AB96" s="209"/>
      <c r="AC96" s="207">
        <v>0</v>
      </c>
      <c r="AD96" s="207"/>
      <c r="AE96" s="207"/>
      <c r="AF96" s="208" t="str">
        <f>IF(ISBLANK(D96),"",VLOOKUP(F96,'SIZE CALCULATION'!$F:$G,2,0))</f>
        <v/>
      </c>
      <c r="AG96" s="207" t="str">
        <f t="shared" si="16"/>
        <v/>
      </c>
      <c r="AH96" s="207" t="str">
        <f t="shared" si="21"/>
        <v/>
      </c>
      <c r="AI96" s="210" t="str">
        <f>IF(ISBLANK(D96),"",VLOOKUP($A96,INDEX!$D$2:$F$13,3,0))</f>
        <v/>
      </c>
      <c r="AJ96" s="207" t="str">
        <f t="shared" si="22"/>
        <v/>
      </c>
      <c r="AK96" s="207"/>
      <c r="AL96" s="207"/>
      <c r="AM96" s="207" t="str">
        <f>IFERROR(IF(ISBLANK($D96),"",VLOOKUP($N96,'TABLE CHARGE RATE'!$A$30:$K$106,5,0)),"Check")</f>
        <v/>
      </c>
      <c r="AN96" s="207" t="str">
        <f>IFERROR(IF(ISBLANK($D96),"",VLOOKUP($N96,'TABLE CHARGE RATE'!$A$30:$K$106,6,0)),"Check")</f>
        <v/>
      </c>
      <c r="AO96" s="207" t="str">
        <f>IFERROR(IF(ISBLANK($D96),"",VLOOKUP($N96,'TABLE CHARGE RATE'!$A$30:$K$106,7,0)),"Check")</f>
        <v/>
      </c>
      <c r="AP96" s="207" t="str">
        <f>IFERROR(IF(ISBLANK($D96),"",VLOOKUP($N96,'TABLE CHARGE RATE'!$A$30:$K$106,8,0)),"Check")</f>
        <v/>
      </c>
      <c r="AQ96" s="207" t="str">
        <f>IFERROR(IF(ISBLANK($D96),"",VLOOKUP($N96,'TABLE CHARGE RATE'!$A$30:$K$106,9,0)),"Check")</f>
        <v/>
      </c>
      <c r="AR96" s="207" t="str">
        <f>IFERROR(IF(ISBLANK($D96),"",VLOOKUP($N96,'TABLE CHARGE RATE'!$A$30:$K$106,10,0)),"Check")</f>
        <v/>
      </c>
      <c r="AS96" s="207" t="str">
        <f>IFERROR(IF(ISBLANK($D96),"",VLOOKUP($N96,'TABLE CHARGE RATE'!$A$30:$K$106,11,0)),"Check")</f>
        <v/>
      </c>
      <c r="AT96" s="207">
        <f t="shared" si="23"/>
        <v>95</v>
      </c>
    </row>
    <row r="97" spans="1:46" x14ac:dyDescent="0.2">
      <c r="A97" s="207" t="str">
        <f t="shared" si="24"/>
        <v/>
      </c>
      <c r="B97" s="208" t="str">
        <f>IF(ISBLANK(D97),"",VLOOKUP(WEEKDAY($C97,1),INDEX!$J$2:$K$8,2,0))</f>
        <v/>
      </c>
      <c r="C97" s="209"/>
      <c r="D97" s="207"/>
      <c r="E97" s="207"/>
      <c r="F97" s="207"/>
      <c r="G97" s="207"/>
      <c r="H97" s="207"/>
      <c r="I97" s="207"/>
      <c r="J97" s="207"/>
      <c r="K97" s="207"/>
      <c r="L97" s="207"/>
      <c r="M97" s="207"/>
      <c r="N97" s="207"/>
      <c r="O97" s="207"/>
      <c r="P97" s="207"/>
      <c r="Q97" s="207"/>
      <c r="R97" s="207"/>
      <c r="S97" s="207"/>
      <c r="T97" s="207"/>
      <c r="U97" s="209"/>
      <c r="V97" s="207"/>
      <c r="W97" s="207"/>
      <c r="X97" s="209">
        <f t="shared" si="19"/>
        <v>0</v>
      </c>
      <c r="Y97" s="209">
        <f t="shared" si="20"/>
        <v>0</v>
      </c>
      <c r="Z97" s="207">
        <v>1</v>
      </c>
      <c r="AA97" s="209" t="str">
        <f t="shared" si="18"/>
        <v/>
      </c>
      <c r="AB97" s="209"/>
      <c r="AC97" s="207">
        <v>0</v>
      </c>
      <c r="AD97" s="207"/>
      <c r="AE97" s="207"/>
      <c r="AF97" s="208" t="str">
        <f>IF(ISBLANK(D97),"",VLOOKUP(F97,'SIZE CALCULATION'!$F:$G,2,0))</f>
        <v/>
      </c>
      <c r="AG97" s="207" t="str">
        <f t="shared" si="16"/>
        <v/>
      </c>
      <c r="AH97" s="207" t="str">
        <f t="shared" si="21"/>
        <v/>
      </c>
      <c r="AI97" s="210" t="str">
        <f>IF(ISBLANK(D97),"",VLOOKUP($A97,INDEX!$D$2:$F$13,3,0))</f>
        <v/>
      </c>
      <c r="AJ97" s="207" t="str">
        <f t="shared" si="22"/>
        <v/>
      </c>
      <c r="AK97" s="207"/>
      <c r="AL97" s="207"/>
      <c r="AM97" s="207" t="str">
        <f>IFERROR(IF(ISBLANK($D97),"",VLOOKUP($N97,'TABLE CHARGE RATE'!$A$30:$K$106,5,0)),"Check")</f>
        <v/>
      </c>
      <c r="AN97" s="207" t="str">
        <f>IFERROR(IF(ISBLANK($D97),"",VLOOKUP($N97,'TABLE CHARGE RATE'!$A$30:$K$106,6,0)),"Check")</f>
        <v/>
      </c>
      <c r="AO97" s="207" t="str">
        <f>IFERROR(IF(ISBLANK($D97),"",VLOOKUP($N97,'TABLE CHARGE RATE'!$A$30:$K$106,7,0)),"Check")</f>
        <v/>
      </c>
      <c r="AP97" s="207" t="str">
        <f>IFERROR(IF(ISBLANK($D97),"",VLOOKUP($N97,'TABLE CHARGE RATE'!$A$30:$K$106,8,0)),"Check")</f>
        <v/>
      </c>
      <c r="AQ97" s="207" t="str">
        <f>IFERROR(IF(ISBLANK($D97),"",VLOOKUP($N97,'TABLE CHARGE RATE'!$A$30:$K$106,9,0)),"Check")</f>
        <v/>
      </c>
      <c r="AR97" s="207" t="str">
        <f>IFERROR(IF(ISBLANK($D97),"",VLOOKUP($N97,'TABLE CHARGE RATE'!$A$30:$K$106,10,0)),"Check")</f>
        <v/>
      </c>
      <c r="AS97" s="207" t="str">
        <f>IFERROR(IF(ISBLANK($D97),"",VLOOKUP($N97,'TABLE CHARGE RATE'!$A$30:$K$106,11,0)),"Check")</f>
        <v/>
      </c>
      <c r="AT97" s="207">
        <f t="shared" si="23"/>
        <v>96</v>
      </c>
    </row>
    <row r="98" spans="1:46" x14ac:dyDescent="0.2">
      <c r="A98" s="207" t="str">
        <f t="shared" si="24"/>
        <v/>
      </c>
      <c r="B98" s="208" t="str">
        <f>IF(ISBLANK(D98),"",VLOOKUP(WEEKDAY($C98,1),INDEX!$J$2:$K$8,2,0))</f>
        <v/>
      </c>
      <c r="C98" s="209"/>
      <c r="D98" s="207"/>
      <c r="E98" s="207"/>
      <c r="F98" s="207"/>
      <c r="G98" s="207"/>
      <c r="H98" s="207"/>
      <c r="I98" s="207"/>
      <c r="J98" s="207"/>
      <c r="K98" s="207"/>
      <c r="L98" s="207"/>
      <c r="M98" s="207"/>
      <c r="N98" s="207"/>
      <c r="O98" s="207"/>
      <c r="P98" s="207"/>
      <c r="Q98" s="207"/>
      <c r="R98" s="207"/>
      <c r="S98" s="207"/>
      <c r="T98" s="207"/>
      <c r="U98" s="209"/>
      <c r="V98" s="207"/>
      <c r="W98" s="207"/>
      <c r="X98" s="209">
        <f t="shared" si="19"/>
        <v>0</v>
      </c>
      <c r="Y98" s="209">
        <f t="shared" si="20"/>
        <v>0</v>
      </c>
      <c r="Z98" s="207">
        <v>1</v>
      </c>
      <c r="AA98" s="209" t="str">
        <f t="shared" si="18"/>
        <v/>
      </c>
      <c r="AB98" s="209"/>
      <c r="AC98" s="207">
        <v>0</v>
      </c>
      <c r="AD98" s="207"/>
      <c r="AE98" s="207"/>
      <c r="AF98" s="208" t="str">
        <f>IF(ISBLANK(D98),"",VLOOKUP(F98,'SIZE CALCULATION'!$F:$G,2,0))</f>
        <v/>
      </c>
      <c r="AG98" s="207" t="str">
        <f t="shared" si="16"/>
        <v/>
      </c>
      <c r="AH98" s="207" t="str">
        <f t="shared" si="21"/>
        <v/>
      </c>
      <c r="AI98" s="210" t="str">
        <f>IF(ISBLANK(D98),"",VLOOKUP($A98,INDEX!$D$2:$F$13,3,0))</f>
        <v/>
      </c>
      <c r="AJ98" s="207" t="str">
        <f t="shared" si="22"/>
        <v/>
      </c>
      <c r="AK98" s="207"/>
      <c r="AL98" s="207"/>
      <c r="AM98" s="207" t="str">
        <f>IFERROR(IF(ISBLANK($D98),"",VLOOKUP($N98,'TABLE CHARGE RATE'!$A$30:$K$106,5,0)),"Check")</f>
        <v/>
      </c>
      <c r="AN98" s="207" t="str">
        <f>IFERROR(IF(ISBLANK($D98),"",VLOOKUP($N98,'TABLE CHARGE RATE'!$A$30:$K$106,6,0)),"Check")</f>
        <v/>
      </c>
      <c r="AO98" s="207" t="str">
        <f>IFERROR(IF(ISBLANK($D98),"",VLOOKUP($N98,'TABLE CHARGE RATE'!$A$30:$K$106,7,0)),"Check")</f>
        <v/>
      </c>
      <c r="AP98" s="207" t="str">
        <f>IFERROR(IF(ISBLANK($D98),"",VLOOKUP($N98,'TABLE CHARGE RATE'!$A$30:$K$106,8,0)),"Check")</f>
        <v/>
      </c>
      <c r="AQ98" s="207" t="str">
        <f>IFERROR(IF(ISBLANK($D98),"",VLOOKUP($N98,'TABLE CHARGE RATE'!$A$30:$K$106,9,0)),"Check")</f>
        <v/>
      </c>
      <c r="AR98" s="207" t="str">
        <f>IFERROR(IF(ISBLANK($D98),"",VLOOKUP($N98,'TABLE CHARGE RATE'!$A$30:$K$106,10,0)),"Check")</f>
        <v/>
      </c>
      <c r="AS98" s="207" t="str">
        <f>IFERROR(IF(ISBLANK($D98),"",VLOOKUP($N98,'TABLE CHARGE RATE'!$A$30:$K$106,11,0)),"Check")</f>
        <v/>
      </c>
      <c r="AT98" s="207">
        <f t="shared" si="23"/>
        <v>97</v>
      </c>
    </row>
    <row r="99" spans="1:46" x14ac:dyDescent="0.2">
      <c r="A99" s="207" t="str">
        <f t="shared" si="24"/>
        <v/>
      </c>
      <c r="B99" s="208" t="str">
        <f>IF(ISBLANK(D99),"",VLOOKUP(WEEKDAY($C99,1),INDEX!$J$2:$K$8,2,0))</f>
        <v/>
      </c>
      <c r="C99" s="209"/>
      <c r="D99" s="207"/>
      <c r="E99" s="207"/>
      <c r="F99" s="207"/>
      <c r="G99" s="207"/>
      <c r="H99" s="207"/>
      <c r="I99" s="207"/>
      <c r="J99" s="207"/>
      <c r="K99" s="207"/>
      <c r="L99" s="207"/>
      <c r="M99" s="207"/>
      <c r="N99" s="207"/>
      <c r="O99" s="207"/>
      <c r="P99" s="207"/>
      <c r="Q99" s="207"/>
      <c r="R99" s="207"/>
      <c r="S99" s="207"/>
      <c r="T99" s="207"/>
      <c r="U99" s="209"/>
      <c r="V99" s="207"/>
      <c r="W99" s="207"/>
      <c r="X99" s="209">
        <f t="shared" si="19"/>
        <v>0</v>
      </c>
      <c r="Y99" s="209">
        <f t="shared" si="20"/>
        <v>0</v>
      </c>
      <c r="Z99" s="207">
        <v>1</v>
      </c>
      <c r="AA99" s="209" t="str">
        <f t="shared" si="18"/>
        <v/>
      </c>
      <c r="AB99" s="209"/>
      <c r="AC99" s="207">
        <v>0</v>
      </c>
      <c r="AD99" s="207"/>
      <c r="AE99" s="207"/>
      <c r="AF99" s="208" t="str">
        <f>IF(ISBLANK(D99),"",VLOOKUP(F99,'SIZE CALCULATION'!$F:$G,2,0))</f>
        <v/>
      </c>
      <c r="AG99" s="207" t="str">
        <f t="shared" si="16"/>
        <v/>
      </c>
      <c r="AH99" s="207" t="str">
        <f t="shared" si="21"/>
        <v/>
      </c>
      <c r="AI99" s="210" t="str">
        <f>IF(ISBLANK(D99),"",VLOOKUP($A99,INDEX!$D$2:$F$13,3,0))</f>
        <v/>
      </c>
      <c r="AJ99" s="207" t="str">
        <f t="shared" si="22"/>
        <v/>
      </c>
      <c r="AK99" s="207"/>
      <c r="AL99" s="207"/>
      <c r="AM99" s="207" t="str">
        <f>IFERROR(IF(ISBLANK($D99),"",VLOOKUP($N99,'TABLE CHARGE RATE'!$A$30:$K$106,5,0)),"Check")</f>
        <v/>
      </c>
      <c r="AN99" s="207" t="str">
        <f>IFERROR(IF(ISBLANK($D99),"",VLOOKUP($N99,'TABLE CHARGE RATE'!$A$30:$K$106,6,0)),"Check")</f>
        <v/>
      </c>
      <c r="AO99" s="207" t="str">
        <f>IFERROR(IF(ISBLANK($D99),"",VLOOKUP($N99,'TABLE CHARGE RATE'!$A$30:$K$106,7,0)),"Check")</f>
        <v/>
      </c>
      <c r="AP99" s="207" t="str">
        <f>IFERROR(IF(ISBLANK($D99),"",VLOOKUP($N99,'TABLE CHARGE RATE'!$A$30:$K$106,8,0)),"Check")</f>
        <v/>
      </c>
      <c r="AQ99" s="207" t="str">
        <f>IFERROR(IF(ISBLANK($D99),"",VLOOKUP($N99,'TABLE CHARGE RATE'!$A$30:$K$106,9,0)),"Check")</f>
        <v/>
      </c>
      <c r="AR99" s="207" t="str">
        <f>IFERROR(IF(ISBLANK($D99),"",VLOOKUP($N99,'TABLE CHARGE RATE'!$A$30:$K$106,10,0)),"Check")</f>
        <v/>
      </c>
      <c r="AS99" s="207" t="str">
        <f>IFERROR(IF(ISBLANK($D99),"",VLOOKUP($N99,'TABLE CHARGE RATE'!$A$30:$K$106,11,0)),"Check")</f>
        <v/>
      </c>
      <c r="AT99" s="207">
        <f t="shared" si="23"/>
        <v>98</v>
      </c>
    </row>
    <row r="100" spans="1:46" x14ac:dyDescent="0.2">
      <c r="A100" s="207" t="str">
        <f t="shared" si="24"/>
        <v/>
      </c>
      <c r="B100" s="208" t="str">
        <f>IF(ISBLANK(D100),"",VLOOKUP(WEEKDAY($C100,1),INDEX!$J$2:$K$8,2,0))</f>
        <v/>
      </c>
      <c r="C100" s="209"/>
      <c r="D100" s="207"/>
      <c r="E100" s="207"/>
      <c r="F100" s="207"/>
      <c r="G100" s="207"/>
      <c r="H100" s="207"/>
      <c r="I100" s="207"/>
      <c r="J100" s="207"/>
      <c r="K100" s="207"/>
      <c r="L100" s="207"/>
      <c r="M100" s="207"/>
      <c r="N100" s="207"/>
      <c r="O100" s="207"/>
      <c r="P100" s="207"/>
      <c r="Q100" s="207"/>
      <c r="R100" s="207"/>
      <c r="S100" s="207"/>
      <c r="T100" s="207"/>
      <c r="U100" s="209"/>
      <c r="V100" s="207"/>
      <c r="W100" s="207"/>
      <c r="X100" s="209">
        <f t="shared" si="19"/>
        <v>0</v>
      </c>
      <c r="Y100" s="209">
        <f t="shared" si="20"/>
        <v>0</v>
      </c>
      <c r="Z100" s="207">
        <v>1</v>
      </c>
      <c r="AA100" s="209" t="str">
        <f t="shared" si="18"/>
        <v/>
      </c>
      <c r="AB100" s="209"/>
      <c r="AC100" s="207">
        <v>0</v>
      </c>
      <c r="AD100" s="207"/>
      <c r="AE100" s="207"/>
      <c r="AF100" s="208" t="str">
        <f>IF(ISBLANK(D100),"",VLOOKUP(F100,'SIZE CALCULATION'!$F:$G,2,0))</f>
        <v/>
      </c>
      <c r="AG100" s="207" t="str">
        <f t="shared" si="16"/>
        <v/>
      </c>
      <c r="AH100" s="207" t="str">
        <f t="shared" si="21"/>
        <v/>
      </c>
      <c r="AI100" s="210" t="str">
        <f>IF(ISBLANK(D100),"",VLOOKUP($A100,INDEX!$D$2:$F$13,3,0))</f>
        <v/>
      </c>
      <c r="AJ100" s="207" t="str">
        <f t="shared" si="22"/>
        <v/>
      </c>
      <c r="AK100" s="207"/>
      <c r="AL100" s="207"/>
      <c r="AM100" s="207" t="str">
        <f>IFERROR(IF(ISBLANK($D100),"",VLOOKUP($N100,'TABLE CHARGE RATE'!$A$30:$K$106,5,0)),"Check")</f>
        <v/>
      </c>
      <c r="AN100" s="207" t="str">
        <f>IFERROR(IF(ISBLANK($D100),"",VLOOKUP($N100,'TABLE CHARGE RATE'!$A$30:$K$106,6,0)),"Check")</f>
        <v/>
      </c>
      <c r="AO100" s="207" t="str">
        <f>IFERROR(IF(ISBLANK($D100),"",VLOOKUP($N100,'TABLE CHARGE RATE'!$A$30:$K$106,7,0)),"Check")</f>
        <v/>
      </c>
      <c r="AP100" s="207" t="str">
        <f>IFERROR(IF(ISBLANK($D100),"",VLOOKUP($N100,'TABLE CHARGE RATE'!$A$30:$K$106,8,0)),"Check")</f>
        <v/>
      </c>
      <c r="AQ100" s="207" t="str">
        <f>IFERROR(IF(ISBLANK($D100),"",VLOOKUP($N100,'TABLE CHARGE RATE'!$A$30:$K$106,9,0)),"Check")</f>
        <v/>
      </c>
      <c r="AR100" s="207" t="str">
        <f>IFERROR(IF(ISBLANK($D100),"",VLOOKUP($N100,'TABLE CHARGE RATE'!$A$30:$K$106,10,0)),"Check")</f>
        <v/>
      </c>
      <c r="AS100" s="207" t="str">
        <f>IFERROR(IF(ISBLANK($D100),"",VLOOKUP($N100,'TABLE CHARGE RATE'!$A$30:$K$106,11,0)),"Check")</f>
        <v/>
      </c>
      <c r="AT100" s="207">
        <f t="shared" si="23"/>
        <v>99</v>
      </c>
    </row>
    <row r="101" spans="1:46" x14ac:dyDescent="0.2">
      <c r="A101" s="207" t="str">
        <f t="shared" si="24"/>
        <v/>
      </c>
      <c r="B101" s="208" t="str">
        <f>IF(ISBLANK(D101),"",VLOOKUP(WEEKDAY($C101,1),INDEX!$J$2:$K$8,2,0))</f>
        <v/>
      </c>
      <c r="C101" s="209"/>
      <c r="D101" s="207"/>
      <c r="E101" s="207"/>
      <c r="F101" s="207"/>
      <c r="G101" s="207"/>
      <c r="H101" s="207"/>
      <c r="I101" s="207"/>
      <c r="J101" s="207"/>
      <c r="K101" s="207"/>
      <c r="L101" s="207"/>
      <c r="M101" s="207"/>
      <c r="N101" s="207"/>
      <c r="O101" s="207"/>
      <c r="P101" s="207"/>
      <c r="Q101" s="207"/>
      <c r="R101" s="207"/>
      <c r="S101" s="207"/>
      <c r="T101" s="207"/>
      <c r="U101" s="209"/>
      <c r="V101" s="207"/>
      <c r="W101" s="207"/>
      <c r="X101" s="209">
        <f t="shared" si="19"/>
        <v>0</v>
      </c>
      <c r="Y101" s="209">
        <f t="shared" si="20"/>
        <v>0</v>
      </c>
      <c r="Z101" s="207">
        <v>1</v>
      </c>
      <c r="AA101" s="209" t="str">
        <f t="shared" si="18"/>
        <v/>
      </c>
      <c r="AB101" s="209"/>
      <c r="AC101" s="207">
        <v>0</v>
      </c>
      <c r="AD101" s="207"/>
      <c r="AE101" s="207"/>
      <c r="AF101" s="208" t="str">
        <f>IF(ISBLANK(D101),"",VLOOKUP(F101,'SIZE CALCULATION'!$F:$G,2,0))</f>
        <v/>
      </c>
      <c r="AG101" s="207" t="str">
        <f t="shared" si="16"/>
        <v/>
      </c>
      <c r="AH101" s="207" t="str">
        <f t="shared" si="21"/>
        <v/>
      </c>
      <c r="AI101" s="210" t="str">
        <f>IF(ISBLANK(D101),"",VLOOKUP($A101,INDEX!$D$2:$F$13,3,0))</f>
        <v/>
      </c>
      <c r="AJ101" s="207" t="str">
        <f t="shared" si="22"/>
        <v/>
      </c>
      <c r="AK101" s="207"/>
      <c r="AL101" s="207"/>
      <c r="AM101" s="207" t="str">
        <f>IFERROR(IF(ISBLANK($D101),"",VLOOKUP($N101,'TABLE CHARGE RATE'!$A$30:$K$106,5,0)),"Check")</f>
        <v/>
      </c>
      <c r="AN101" s="207" t="str">
        <f>IFERROR(IF(ISBLANK($D101),"",VLOOKUP($N101,'TABLE CHARGE RATE'!$A$30:$K$106,6,0)),"Check")</f>
        <v/>
      </c>
      <c r="AO101" s="207" t="str">
        <f>IFERROR(IF(ISBLANK($D101),"",VLOOKUP($N101,'TABLE CHARGE RATE'!$A$30:$K$106,7,0)),"Check")</f>
        <v/>
      </c>
      <c r="AP101" s="207" t="str">
        <f>IFERROR(IF(ISBLANK($D101),"",VLOOKUP($N101,'TABLE CHARGE RATE'!$A$30:$K$106,8,0)),"Check")</f>
        <v/>
      </c>
      <c r="AQ101" s="207" t="str">
        <f>IFERROR(IF(ISBLANK($D101),"",VLOOKUP($N101,'TABLE CHARGE RATE'!$A$30:$K$106,9,0)),"Check")</f>
        <v/>
      </c>
      <c r="AR101" s="207" t="str">
        <f>IFERROR(IF(ISBLANK($D101),"",VLOOKUP($N101,'TABLE CHARGE RATE'!$A$30:$K$106,10,0)),"Check")</f>
        <v/>
      </c>
      <c r="AS101" s="207" t="str">
        <f>IFERROR(IF(ISBLANK($D101),"",VLOOKUP($N101,'TABLE CHARGE RATE'!$A$30:$K$106,11,0)),"Check")</f>
        <v/>
      </c>
      <c r="AT101" s="207">
        <f t="shared" si="23"/>
        <v>100</v>
      </c>
    </row>
    <row r="102" spans="1:46" x14ac:dyDescent="0.2">
      <c r="A102" s="207" t="str">
        <f t="shared" si="24"/>
        <v/>
      </c>
      <c r="B102" s="208" t="str">
        <f>IF(ISBLANK(D102),"",VLOOKUP(WEEKDAY($C102,1),INDEX!$J$2:$K$8,2,0))</f>
        <v/>
      </c>
      <c r="C102" s="209"/>
      <c r="D102" s="207"/>
      <c r="E102" s="207"/>
      <c r="F102" s="207"/>
      <c r="G102" s="207"/>
      <c r="H102" s="207"/>
      <c r="I102" s="207"/>
      <c r="J102" s="207"/>
      <c r="K102" s="207"/>
      <c r="L102" s="207"/>
      <c r="M102" s="207"/>
      <c r="N102" s="207"/>
      <c r="O102" s="207"/>
      <c r="P102" s="207"/>
      <c r="Q102" s="207"/>
      <c r="R102" s="207"/>
      <c r="S102" s="207"/>
      <c r="T102" s="207"/>
      <c r="U102" s="209"/>
      <c r="V102" s="207"/>
      <c r="W102" s="207"/>
      <c r="X102" s="209">
        <f t="shared" si="19"/>
        <v>0</v>
      </c>
      <c r="Y102" s="209">
        <f t="shared" si="20"/>
        <v>0</v>
      </c>
      <c r="Z102" s="207">
        <v>1</v>
      </c>
      <c r="AA102" s="209" t="str">
        <f t="shared" si="18"/>
        <v/>
      </c>
      <c r="AB102" s="209"/>
      <c r="AC102" s="207">
        <v>0</v>
      </c>
      <c r="AD102" s="207"/>
      <c r="AE102" s="207"/>
      <c r="AF102" s="208" t="str">
        <f>IF(ISBLANK(D102),"",VLOOKUP(F102,'SIZE CALCULATION'!$F:$G,2,0))</f>
        <v/>
      </c>
      <c r="AG102" s="207" t="str">
        <f t="shared" si="16"/>
        <v/>
      </c>
      <c r="AH102" s="207" t="str">
        <f t="shared" si="21"/>
        <v/>
      </c>
      <c r="AI102" s="210" t="str">
        <f>IF(ISBLANK(D102),"",VLOOKUP($A102,INDEX!$D$2:$F$13,3,0))</f>
        <v/>
      </c>
      <c r="AJ102" s="207" t="str">
        <f t="shared" si="22"/>
        <v/>
      </c>
      <c r="AK102" s="207"/>
      <c r="AL102" s="207"/>
      <c r="AM102" s="207" t="str">
        <f>IFERROR(IF(ISBLANK($D102),"",VLOOKUP($N102,'TABLE CHARGE RATE'!$A$30:$K$106,5,0)),"Check")</f>
        <v/>
      </c>
      <c r="AN102" s="207" t="str">
        <f>IFERROR(IF(ISBLANK($D102),"",VLOOKUP($N102,'TABLE CHARGE RATE'!$A$30:$K$106,6,0)),"Check")</f>
        <v/>
      </c>
      <c r="AO102" s="207" t="str">
        <f>IFERROR(IF(ISBLANK($D102),"",VLOOKUP($N102,'TABLE CHARGE RATE'!$A$30:$K$106,7,0)),"Check")</f>
        <v/>
      </c>
      <c r="AP102" s="207" t="str">
        <f>IFERROR(IF(ISBLANK($D102),"",VLOOKUP($N102,'TABLE CHARGE RATE'!$A$30:$K$106,8,0)),"Check")</f>
        <v/>
      </c>
      <c r="AQ102" s="207" t="str">
        <f>IFERROR(IF(ISBLANK($D102),"",VLOOKUP($N102,'TABLE CHARGE RATE'!$A$30:$K$106,9,0)),"Check")</f>
        <v/>
      </c>
      <c r="AR102" s="207" t="str">
        <f>IFERROR(IF(ISBLANK($D102),"",VLOOKUP($N102,'TABLE CHARGE RATE'!$A$30:$K$106,10,0)),"Check")</f>
        <v/>
      </c>
      <c r="AS102" s="207" t="str">
        <f>IFERROR(IF(ISBLANK($D102),"",VLOOKUP($N102,'TABLE CHARGE RATE'!$A$30:$K$106,11,0)),"Check")</f>
        <v/>
      </c>
      <c r="AT102" s="207">
        <f t="shared" si="23"/>
        <v>101</v>
      </c>
    </row>
    <row r="103" spans="1:46" x14ac:dyDescent="0.2">
      <c r="A103" s="207" t="str">
        <f t="shared" si="24"/>
        <v/>
      </c>
      <c r="B103" s="208" t="str">
        <f>IF(ISBLANK(D103),"",VLOOKUP(WEEKDAY($C103,1),INDEX!$J$2:$K$8,2,0))</f>
        <v/>
      </c>
      <c r="C103" s="209"/>
      <c r="D103" s="207"/>
      <c r="E103" s="207"/>
      <c r="F103" s="207"/>
      <c r="G103" s="207"/>
      <c r="H103" s="207"/>
      <c r="I103" s="207"/>
      <c r="J103" s="207"/>
      <c r="K103" s="207"/>
      <c r="L103" s="207"/>
      <c r="M103" s="207"/>
      <c r="N103" s="207"/>
      <c r="O103" s="207"/>
      <c r="P103" s="207"/>
      <c r="Q103" s="207"/>
      <c r="R103" s="207"/>
      <c r="S103" s="207"/>
      <c r="T103" s="207"/>
      <c r="U103" s="209"/>
      <c r="V103" s="207"/>
      <c r="W103" s="207"/>
      <c r="X103" s="209">
        <f t="shared" si="19"/>
        <v>0</v>
      </c>
      <c r="Y103" s="209">
        <f t="shared" si="20"/>
        <v>0</v>
      </c>
      <c r="Z103" s="207">
        <v>1</v>
      </c>
      <c r="AA103" s="209" t="str">
        <f t="shared" si="18"/>
        <v/>
      </c>
      <c r="AB103" s="209"/>
      <c r="AC103" s="207">
        <v>0</v>
      </c>
      <c r="AD103" s="207"/>
      <c r="AE103" s="207"/>
      <c r="AF103" s="208" t="str">
        <f>IF(ISBLANK(D103),"",VLOOKUP(F103,'SIZE CALCULATION'!$F:$G,2,0))</f>
        <v/>
      </c>
      <c r="AG103" s="207" t="str">
        <f t="shared" si="16"/>
        <v/>
      </c>
      <c r="AH103" s="207" t="str">
        <f t="shared" si="21"/>
        <v/>
      </c>
      <c r="AI103" s="210" t="str">
        <f>IF(ISBLANK(D103),"",VLOOKUP($A103,INDEX!$D$2:$F$13,3,0))</f>
        <v/>
      </c>
      <c r="AJ103" s="207" t="str">
        <f t="shared" si="22"/>
        <v/>
      </c>
      <c r="AK103" s="207"/>
      <c r="AL103" s="207"/>
      <c r="AM103" s="207" t="str">
        <f>IFERROR(IF(ISBLANK($D103),"",VLOOKUP($N103,'TABLE CHARGE RATE'!$A$30:$K$106,5,0)),"Check")</f>
        <v/>
      </c>
      <c r="AN103" s="207" t="str">
        <f>IFERROR(IF(ISBLANK($D103),"",VLOOKUP($N103,'TABLE CHARGE RATE'!$A$30:$K$106,6,0)),"Check")</f>
        <v/>
      </c>
      <c r="AO103" s="207" t="str">
        <f>IFERROR(IF(ISBLANK($D103),"",VLOOKUP($N103,'TABLE CHARGE RATE'!$A$30:$K$106,7,0)),"Check")</f>
        <v/>
      </c>
      <c r="AP103" s="207" t="str">
        <f>IFERROR(IF(ISBLANK($D103),"",VLOOKUP($N103,'TABLE CHARGE RATE'!$A$30:$K$106,8,0)),"Check")</f>
        <v/>
      </c>
      <c r="AQ103" s="207" t="str">
        <f>IFERROR(IF(ISBLANK($D103),"",VLOOKUP($N103,'TABLE CHARGE RATE'!$A$30:$K$106,9,0)),"Check")</f>
        <v/>
      </c>
      <c r="AR103" s="207" t="str">
        <f>IFERROR(IF(ISBLANK($D103),"",VLOOKUP($N103,'TABLE CHARGE RATE'!$A$30:$K$106,10,0)),"Check")</f>
        <v/>
      </c>
      <c r="AS103" s="207" t="str">
        <f>IFERROR(IF(ISBLANK($D103),"",VLOOKUP($N103,'TABLE CHARGE RATE'!$A$30:$K$106,11,0)),"Check")</f>
        <v/>
      </c>
      <c r="AT103" s="207">
        <f t="shared" si="23"/>
        <v>102</v>
      </c>
    </row>
    <row r="104" spans="1:46" x14ac:dyDescent="0.2">
      <c r="A104" s="207" t="str">
        <f t="shared" si="24"/>
        <v/>
      </c>
      <c r="B104" s="208" t="str">
        <f>IF(ISBLANK(D104),"",VLOOKUP(WEEKDAY($C104,1),INDEX!$J$2:$K$8,2,0))</f>
        <v/>
      </c>
      <c r="C104" s="209"/>
      <c r="D104" s="207"/>
      <c r="E104" s="207"/>
      <c r="F104" s="207"/>
      <c r="G104" s="207"/>
      <c r="H104" s="207"/>
      <c r="I104" s="207"/>
      <c r="J104" s="207"/>
      <c r="K104" s="207"/>
      <c r="L104" s="207"/>
      <c r="M104" s="207"/>
      <c r="N104" s="207"/>
      <c r="O104" s="207"/>
      <c r="P104" s="207"/>
      <c r="Q104" s="207"/>
      <c r="R104" s="207"/>
      <c r="S104" s="207"/>
      <c r="T104" s="207"/>
      <c r="U104" s="209"/>
      <c r="V104" s="207"/>
      <c r="W104" s="207"/>
      <c r="X104" s="209">
        <f t="shared" si="19"/>
        <v>0</v>
      </c>
      <c r="Y104" s="209">
        <f t="shared" si="20"/>
        <v>0</v>
      </c>
      <c r="Z104" s="207">
        <v>1</v>
      </c>
      <c r="AA104" s="209" t="str">
        <f t="shared" si="18"/>
        <v/>
      </c>
      <c r="AB104" s="209"/>
      <c r="AC104" s="207">
        <v>0</v>
      </c>
      <c r="AD104" s="207"/>
      <c r="AE104" s="207"/>
      <c r="AF104" s="208" t="str">
        <f>IF(ISBLANK(D104),"",VLOOKUP(F104,'SIZE CALCULATION'!$F:$G,2,0))</f>
        <v/>
      </c>
      <c r="AG104" s="207" t="str">
        <f t="shared" si="16"/>
        <v/>
      </c>
      <c r="AH104" s="207" t="str">
        <f t="shared" si="21"/>
        <v/>
      </c>
      <c r="AI104" s="210" t="str">
        <f>IF(ISBLANK(D104),"",VLOOKUP($A104,INDEX!$D$2:$F$13,3,0))</f>
        <v/>
      </c>
      <c r="AJ104" s="207" t="str">
        <f t="shared" si="22"/>
        <v/>
      </c>
      <c r="AK104" s="207"/>
      <c r="AL104" s="207"/>
      <c r="AM104" s="207" t="str">
        <f>IFERROR(IF(ISBLANK($D104),"",VLOOKUP($N104,'TABLE CHARGE RATE'!$A$30:$K$106,5,0)),"Check")</f>
        <v/>
      </c>
      <c r="AN104" s="207" t="str">
        <f>IFERROR(IF(ISBLANK($D104),"",VLOOKUP($N104,'TABLE CHARGE RATE'!$A$30:$K$106,6,0)),"Check")</f>
        <v/>
      </c>
      <c r="AO104" s="207" t="str">
        <f>IFERROR(IF(ISBLANK($D104),"",VLOOKUP($N104,'TABLE CHARGE RATE'!$A$30:$K$106,7,0)),"Check")</f>
        <v/>
      </c>
      <c r="AP104" s="207" t="str">
        <f>IFERROR(IF(ISBLANK($D104),"",VLOOKUP($N104,'TABLE CHARGE RATE'!$A$30:$K$106,8,0)),"Check")</f>
        <v/>
      </c>
      <c r="AQ104" s="207" t="str">
        <f>IFERROR(IF(ISBLANK($D104),"",VLOOKUP($N104,'TABLE CHARGE RATE'!$A$30:$K$106,9,0)),"Check")</f>
        <v/>
      </c>
      <c r="AR104" s="207" t="str">
        <f>IFERROR(IF(ISBLANK($D104),"",VLOOKUP($N104,'TABLE CHARGE RATE'!$A$30:$K$106,10,0)),"Check")</f>
        <v/>
      </c>
      <c r="AS104" s="207" t="str">
        <f>IFERROR(IF(ISBLANK($D104),"",VLOOKUP($N104,'TABLE CHARGE RATE'!$A$30:$K$106,11,0)),"Check")</f>
        <v/>
      </c>
      <c r="AT104" s="207">
        <f t="shared" si="23"/>
        <v>103</v>
      </c>
    </row>
    <row r="105" spans="1:46" x14ac:dyDescent="0.2">
      <c r="A105" s="207" t="str">
        <f t="shared" si="24"/>
        <v/>
      </c>
      <c r="B105" s="208" t="str">
        <f>IF(ISBLANK(D105),"",VLOOKUP(WEEKDAY($C105,1),INDEX!$J$2:$K$8,2,0))</f>
        <v/>
      </c>
      <c r="C105" s="209"/>
      <c r="D105" s="207"/>
      <c r="E105" s="207"/>
      <c r="F105" s="207"/>
      <c r="G105" s="207"/>
      <c r="H105" s="207"/>
      <c r="I105" s="207"/>
      <c r="J105" s="207"/>
      <c r="K105" s="207"/>
      <c r="L105" s="207"/>
      <c r="M105" s="207"/>
      <c r="N105" s="207"/>
      <c r="O105" s="207"/>
      <c r="P105" s="207"/>
      <c r="Q105" s="207"/>
      <c r="R105" s="207"/>
      <c r="S105" s="207"/>
      <c r="T105" s="207"/>
      <c r="U105" s="209"/>
      <c r="V105" s="207"/>
      <c r="W105" s="207"/>
      <c r="X105" s="209">
        <f t="shared" si="19"/>
        <v>0</v>
      </c>
      <c r="Y105" s="209">
        <f t="shared" si="20"/>
        <v>0</v>
      </c>
      <c r="Z105" s="207">
        <v>1</v>
      </c>
      <c r="AA105" s="209" t="str">
        <f t="shared" si="18"/>
        <v/>
      </c>
      <c r="AB105" s="209"/>
      <c r="AC105" s="207">
        <v>0</v>
      </c>
      <c r="AD105" s="207"/>
      <c r="AE105" s="207"/>
      <c r="AF105" s="208" t="str">
        <f>IF(ISBLANK(D105),"",VLOOKUP(F105,'SIZE CALCULATION'!$F:$G,2,0))</f>
        <v/>
      </c>
      <c r="AG105" s="207" t="str">
        <f t="shared" si="16"/>
        <v/>
      </c>
      <c r="AH105" s="207" t="str">
        <f t="shared" si="21"/>
        <v/>
      </c>
      <c r="AI105" s="210" t="str">
        <f>IF(ISBLANK(D105),"",VLOOKUP($A105,INDEX!$D$2:$F$13,3,0))</f>
        <v/>
      </c>
      <c r="AJ105" s="207" t="str">
        <f t="shared" si="22"/>
        <v/>
      </c>
      <c r="AK105" s="207"/>
      <c r="AL105" s="207"/>
      <c r="AM105" s="207" t="str">
        <f>IFERROR(IF(ISBLANK($D105),"",VLOOKUP($N105,'TABLE CHARGE RATE'!$A$30:$K$106,5,0)),"Check")</f>
        <v/>
      </c>
      <c r="AN105" s="207" t="str">
        <f>IFERROR(IF(ISBLANK($D105),"",VLOOKUP($N105,'TABLE CHARGE RATE'!$A$30:$K$106,6,0)),"Check")</f>
        <v/>
      </c>
      <c r="AO105" s="207" t="str">
        <f>IFERROR(IF(ISBLANK($D105),"",VLOOKUP($N105,'TABLE CHARGE RATE'!$A$30:$K$106,7,0)),"Check")</f>
        <v/>
      </c>
      <c r="AP105" s="207" t="str">
        <f>IFERROR(IF(ISBLANK($D105),"",VLOOKUP($N105,'TABLE CHARGE RATE'!$A$30:$K$106,8,0)),"Check")</f>
        <v/>
      </c>
      <c r="AQ105" s="207" t="str">
        <f>IFERROR(IF(ISBLANK($D105),"",VLOOKUP($N105,'TABLE CHARGE RATE'!$A$30:$K$106,9,0)),"Check")</f>
        <v/>
      </c>
      <c r="AR105" s="207" t="str">
        <f>IFERROR(IF(ISBLANK($D105),"",VLOOKUP($N105,'TABLE CHARGE RATE'!$A$30:$K$106,10,0)),"Check")</f>
        <v/>
      </c>
      <c r="AS105" s="207" t="str">
        <f>IFERROR(IF(ISBLANK($D105),"",VLOOKUP($N105,'TABLE CHARGE RATE'!$A$30:$K$106,11,0)),"Check")</f>
        <v/>
      </c>
      <c r="AT105" s="207">
        <f t="shared" si="23"/>
        <v>104</v>
      </c>
    </row>
    <row r="106" spans="1:46" x14ac:dyDescent="0.2">
      <c r="A106" s="207" t="str">
        <f t="shared" ref="A106:A111" si="25">IF(ISBLANK(D106),"",MONTH(C106))</f>
        <v/>
      </c>
      <c r="B106" s="208" t="str">
        <f>IF(ISBLANK(D106),"",VLOOKUP(WEEKDAY($C106,1),INDEX!$J$2:$K$8,2,0))</f>
        <v/>
      </c>
      <c r="C106" s="209"/>
      <c r="D106" s="207"/>
      <c r="E106" s="207"/>
      <c r="F106" s="207"/>
      <c r="G106" s="207"/>
      <c r="H106" s="207"/>
      <c r="I106" s="207"/>
      <c r="J106" s="207"/>
      <c r="K106" s="207"/>
      <c r="L106" s="207"/>
      <c r="M106" s="207"/>
      <c r="N106" s="207"/>
      <c r="O106" s="207"/>
      <c r="P106" s="207"/>
      <c r="Q106" s="207"/>
      <c r="R106" s="207"/>
      <c r="S106" s="207"/>
      <c r="T106" s="207"/>
      <c r="U106" s="209"/>
      <c r="V106" s="207"/>
      <c r="W106" s="207"/>
      <c r="X106" s="209">
        <f t="shared" si="19"/>
        <v>0</v>
      </c>
      <c r="Y106" s="209">
        <f t="shared" si="20"/>
        <v>0</v>
      </c>
      <c r="Z106" s="207">
        <v>1</v>
      </c>
      <c r="AA106" s="209" t="str">
        <f t="shared" si="18"/>
        <v/>
      </c>
      <c r="AB106" s="209"/>
      <c r="AC106" s="207">
        <v>0</v>
      </c>
      <c r="AD106" s="207"/>
      <c r="AE106" s="207"/>
      <c r="AF106" s="208" t="str">
        <f>IF(ISBLANK(D106),"",VLOOKUP(F106,'SIZE CALCULATION'!$F:$G,2,0))</f>
        <v/>
      </c>
      <c r="AG106" s="207" t="str">
        <f t="shared" si="16"/>
        <v/>
      </c>
      <c r="AH106" s="207" t="str">
        <f t="shared" si="21"/>
        <v/>
      </c>
      <c r="AI106" s="210" t="str">
        <f>IF(ISBLANK(D106),"",VLOOKUP($A106,INDEX!$D$2:$F$13,3,0))</f>
        <v/>
      </c>
      <c r="AJ106" s="207" t="str">
        <f t="shared" si="22"/>
        <v/>
      </c>
      <c r="AK106" s="207"/>
      <c r="AL106" s="207"/>
      <c r="AM106" s="207" t="str">
        <f>IFERROR(IF(ISBLANK($D106),"",VLOOKUP($N106,'TABLE CHARGE RATE'!$A$30:$K$106,5,0)),"Check")</f>
        <v/>
      </c>
      <c r="AN106" s="207" t="str">
        <f>IFERROR(IF(ISBLANK($D106),"",VLOOKUP($N106,'TABLE CHARGE RATE'!$A$30:$K$106,6,0)),"Check")</f>
        <v/>
      </c>
      <c r="AO106" s="207" t="str">
        <f>IFERROR(IF(ISBLANK($D106),"",VLOOKUP($N106,'TABLE CHARGE RATE'!$A$30:$K$106,7,0)),"Check")</f>
        <v/>
      </c>
      <c r="AP106" s="207" t="str">
        <f>IFERROR(IF(ISBLANK($D106),"",VLOOKUP($N106,'TABLE CHARGE RATE'!$A$30:$K$106,8,0)),"Check")</f>
        <v/>
      </c>
      <c r="AQ106" s="207" t="str">
        <f>IFERROR(IF(ISBLANK($D106),"",VLOOKUP($N106,'TABLE CHARGE RATE'!$A$30:$K$106,9,0)),"Check")</f>
        <v/>
      </c>
      <c r="AR106" s="207" t="str">
        <f>IFERROR(IF(ISBLANK($D106),"",VLOOKUP($N106,'TABLE CHARGE RATE'!$A$30:$K$106,10,0)),"Check")</f>
        <v/>
      </c>
      <c r="AS106" s="207" t="str">
        <f>IFERROR(IF(ISBLANK($D106),"",VLOOKUP($N106,'TABLE CHARGE RATE'!$A$30:$K$106,11,0)),"Check")</f>
        <v/>
      </c>
      <c r="AT106" s="207">
        <f t="shared" si="23"/>
        <v>105</v>
      </c>
    </row>
    <row r="107" spans="1:46" x14ac:dyDescent="0.2">
      <c r="A107" s="207" t="str">
        <f t="shared" si="25"/>
        <v/>
      </c>
      <c r="B107" s="208" t="str">
        <f>IF(ISBLANK(D107),"",VLOOKUP(WEEKDAY($C107,1),INDEX!$J$2:$K$8,2,0))</f>
        <v/>
      </c>
      <c r="C107" s="209"/>
      <c r="D107" s="207"/>
      <c r="E107" s="207"/>
      <c r="F107" s="207"/>
      <c r="G107" s="207"/>
      <c r="H107" s="207"/>
      <c r="I107" s="207"/>
      <c r="J107" s="207"/>
      <c r="K107" s="207"/>
      <c r="L107" s="207"/>
      <c r="M107" s="207"/>
      <c r="N107" s="207"/>
      <c r="O107" s="207"/>
      <c r="P107" s="207"/>
      <c r="Q107" s="207"/>
      <c r="R107" s="207"/>
      <c r="S107" s="207"/>
      <c r="T107" s="207"/>
      <c r="U107" s="209"/>
      <c r="V107" s="207"/>
      <c r="W107" s="207"/>
      <c r="X107" s="209">
        <f t="shared" si="19"/>
        <v>0</v>
      </c>
      <c r="Y107" s="209">
        <f t="shared" si="20"/>
        <v>0</v>
      </c>
      <c r="Z107" s="207">
        <v>1</v>
      </c>
      <c r="AA107" s="209" t="str">
        <f t="shared" si="18"/>
        <v/>
      </c>
      <c r="AB107" s="209"/>
      <c r="AC107" s="207">
        <v>0</v>
      </c>
      <c r="AD107" s="207"/>
      <c r="AE107" s="207"/>
      <c r="AF107" s="208" t="str">
        <f>IF(ISBLANK(D107),"",VLOOKUP(F107,'SIZE CALCULATION'!$F:$G,2,0))</f>
        <v/>
      </c>
      <c r="AG107" s="207" t="str">
        <f t="shared" si="16"/>
        <v/>
      </c>
      <c r="AH107" s="207" t="str">
        <f t="shared" si="21"/>
        <v/>
      </c>
      <c r="AI107" s="210" t="str">
        <f>IF(ISBLANK(D107),"",VLOOKUP($A107,INDEX!$D$2:$F$13,3,0))</f>
        <v/>
      </c>
      <c r="AJ107" s="207" t="str">
        <f t="shared" si="22"/>
        <v/>
      </c>
      <c r="AK107" s="207"/>
      <c r="AL107" s="207"/>
      <c r="AM107" s="207" t="str">
        <f>IFERROR(IF(ISBLANK($D107),"",VLOOKUP($N107,'TABLE CHARGE RATE'!$A$30:$K$106,5,0)),"Check")</f>
        <v/>
      </c>
      <c r="AN107" s="207" t="str">
        <f>IFERROR(IF(ISBLANK($D107),"",VLOOKUP($N107,'TABLE CHARGE RATE'!$A$30:$K$106,6,0)),"Check")</f>
        <v/>
      </c>
      <c r="AO107" s="207" t="str">
        <f>IFERROR(IF(ISBLANK($D107),"",VLOOKUP($N107,'TABLE CHARGE RATE'!$A$30:$K$106,7,0)),"Check")</f>
        <v/>
      </c>
      <c r="AP107" s="207" t="str">
        <f>IFERROR(IF(ISBLANK($D107),"",VLOOKUP($N107,'TABLE CHARGE RATE'!$A$30:$K$106,8,0)),"Check")</f>
        <v/>
      </c>
      <c r="AQ107" s="207" t="str">
        <f>IFERROR(IF(ISBLANK($D107),"",VLOOKUP($N107,'TABLE CHARGE RATE'!$A$30:$K$106,9,0)),"Check")</f>
        <v/>
      </c>
      <c r="AR107" s="207" t="str">
        <f>IFERROR(IF(ISBLANK($D107),"",VLOOKUP($N107,'TABLE CHARGE RATE'!$A$30:$K$106,10,0)),"Check")</f>
        <v/>
      </c>
      <c r="AS107" s="207" t="str">
        <f>IFERROR(IF(ISBLANK($D107),"",VLOOKUP($N107,'TABLE CHARGE RATE'!$A$30:$K$106,11,0)),"Check")</f>
        <v/>
      </c>
      <c r="AT107" s="207">
        <f t="shared" si="23"/>
        <v>106</v>
      </c>
    </row>
    <row r="108" spans="1:46" x14ac:dyDescent="0.2">
      <c r="A108" s="207" t="str">
        <f t="shared" si="25"/>
        <v/>
      </c>
      <c r="B108" s="208" t="str">
        <f>IF(ISBLANK(D108),"",VLOOKUP(WEEKDAY($C108,1),INDEX!$J$2:$K$8,2,0))</f>
        <v/>
      </c>
      <c r="C108" s="209"/>
      <c r="D108" s="207"/>
      <c r="E108" s="207"/>
      <c r="F108" s="207"/>
      <c r="G108" s="207"/>
      <c r="H108" s="207"/>
      <c r="I108" s="207"/>
      <c r="J108" s="207"/>
      <c r="K108" s="207"/>
      <c r="L108" s="207"/>
      <c r="M108" s="207"/>
      <c r="N108" s="207"/>
      <c r="O108" s="207"/>
      <c r="P108" s="207"/>
      <c r="Q108" s="207"/>
      <c r="R108" s="207"/>
      <c r="S108" s="207"/>
      <c r="T108" s="207"/>
      <c r="U108" s="209"/>
      <c r="V108" s="207"/>
      <c r="W108" s="207"/>
      <c r="X108" s="209">
        <f t="shared" si="19"/>
        <v>0</v>
      </c>
      <c r="Y108" s="209">
        <f t="shared" si="20"/>
        <v>0</v>
      </c>
      <c r="Z108" s="207">
        <v>1</v>
      </c>
      <c r="AA108" s="209" t="str">
        <f t="shared" si="18"/>
        <v/>
      </c>
      <c r="AB108" s="209"/>
      <c r="AC108" s="207">
        <v>0</v>
      </c>
      <c r="AD108" s="207"/>
      <c r="AE108" s="207"/>
      <c r="AF108" s="208" t="str">
        <f>IF(ISBLANK(D108),"",VLOOKUP(F108,'SIZE CALCULATION'!$F:$G,2,0))</f>
        <v/>
      </c>
      <c r="AG108" s="207" t="str">
        <f t="shared" si="16"/>
        <v/>
      </c>
      <c r="AH108" s="207" t="str">
        <f t="shared" si="21"/>
        <v/>
      </c>
      <c r="AI108" s="210" t="str">
        <f>IF(ISBLANK(D108),"",VLOOKUP($A108,INDEX!$D$2:$F$13,3,0))</f>
        <v/>
      </c>
      <c r="AJ108" s="207" t="str">
        <f t="shared" si="22"/>
        <v/>
      </c>
      <c r="AK108" s="207"/>
      <c r="AL108" s="207"/>
      <c r="AM108" s="207" t="str">
        <f>IFERROR(IF(ISBLANK($D108),"",VLOOKUP($N108,'TABLE CHARGE RATE'!$A$30:$K$106,5,0)),"Check")</f>
        <v/>
      </c>
      <c r="AN108" s="207" t="str">
        <f>IFERROR(IF(ISBLANK($D108),"",VLOOKUP($N108,'TABLE CHARGE RATE'!$A$30:$K$106,6,0)),"Check")</f>
        <v/>
      </c>
      <c r="AO108" s="207" t="str">
        <f>IFERROR(IF(ISBLANK($D108),"",VLOOKUP($N108,'TABLE CHARGE RATE'!$A$30:$K$106,7,0)),"Check")</f>
        <v/>
      </c>
      <c r="AP108" s="207" t="str">
        <f>IFERROR(IF(ISBLANK($D108),"",VLOOKUP($N108,'TABLE CHARGE RATE'!$A$30:$K$106,8,0)),"Check")</f>
        <v/>
      </c>
      <c r="AQ108" s="207" t="str">
        <f>IFERROR(IF(ISBLANK($D108),"",VLOOKUP($N108,'TABLE CHARGE RATE'!$A$30:$K$106,9,0)),"Check")</f>
        <v/>
      </c>
      <c r="AR108" s="207" t="str">
        <f>IFERROR(IF(ISBLANK($D108),"",VLOOKUP($N108,'TABLE CHARGE RATE'!$A$30:$K$106,10,0)),"Check")</f>
        <v/>
      </c>
      <c r="AS108" s="207" t="str">
        <f>IFERROR(IF(ISBLANK($D108),"",VLOOKUP($N108,'TABLE CHARGE RATE'!$A$30:$K$106,11,0)),"Check")</f>
        <v/>
      </c>
      <c r="AT108" s="207">
        <f t="shared" si="23"/>
        <v>107</v>
      </c>
    </row>
    <row r="109" spans="1:46" x14ac:dyDescent="0.2">
      <c r="A109" s="207" t="str">
        <f t="shared" si="25"/>
        <v/>
      </c>
      <c r="B109" s="208" t="str">
        <f>IF(ISBLANK(D109),"",VLOOKUP(WEEKDAY($C109,1),INDEX!$J$2:$K$8,2,0))</f>
        <v/>
      </c>
      <c r="C109" s="209"/>
      <c r="D109" s="207"/>
      <c r="E109" s="207"/>
      <c r="F109" s="207"/>
      <c r="G109" s="207"/>
      <c r="H109" s="207"/>
      <c r="I109" s="207"/>
      <c r="J109" s="207"/>
      <c r="K109" s="207"/>
      <c r="L109" s="207"/>
      <c r="M109" s="207"/>
      <c r="N109" s="207"/>
      <c r="O109" s="207"/>
      <c r="P109" s="207"/>
      <c r="Q109" s="207"/>
      <c r="R109" s="207"/>
      <c r="S109" s="207"/>
      <c r="T109" s="207"/>
      <c r="U109" s="209"/>
      <c r="V109" s="207"/>
      <c r="W109" s="207"/>
      <c r="X109" s="209">
        <f t="shared" si="19"/>
        <v>0</v>
      </c>
      <c r="Y109" s="209">
        <f t="shared" si="20"/>
        <v>0</v>
      </c>
      <c r="Z109" s="207">
        <v>1</v>
      </c>
      <c r="AA109" s="209" t="str">
        <f t="shared" si="18"/>
        <v/>
      </c>
      <c r="AB109" s="209"/>
      <c r="AC109" s="207">
        <v>0</v>
      </c>
      <c r="AD109" s="207"/>
      <c r="AE109" s="207"/>
      <c r="AF109" s="208" t="str">
        <f>IF(ISBLANK(D109),"",VLOOKUP(F109,'SIZE CALCULATION'!$F:$G,2,0))</f>
        <v/>
      </c>
      <c r="AG109" s="207" t="str">
        <f t="shared" si="16"/>
        <v/>
      </c>
      <c r="AH109" s="207" t="str">
        <f t="shared" si="21"/>
        <v/>
      </c>
      <c r="AI109" s="210" t="str">
        <f>IF(ISBLANK(D109),"",VLOOKUP($A109,INDEX!$D$2:$F$13,3,0))</f>
        <v/>
      </c>
      <c r="AJ109" s="207" t="str">
        <f t="shared" si="22"/>
        <v/>
      </c>
      <c r="AK109" s="207"/>
      <c r="AL109" s="207"/>
      <c r="AM109" s="207" t="str">
        <f>IFERROR(IF(ISBLANK($D109),"",VLOOKUP($N109,'TABLE CHARGE RATE'!$A$30:$K$106,5,0)),"Check")</f>
        <v/>
      </c>
      <c r="AN109" s="207" t="str">
        <f>IFERROR(IF(ISBLANK($D109),"",VLOOKUP($N109,'TABLE CHARGE RATE'!$A$30:$K$106,6,0)),"Check")</f>
        <v/>
      </c>
      <c r="AO109" s="207" t="str">
        <f>IFERROR(IF(ISBLANK($D109),"",VLOOKUP($N109,'TABLE CHARGE RATE'!$A$30:$K$106,7,0)),"Check")</f>
        <v/>
      </c>
      <c r="AP109" s="207" t="str">
        <f>IFERROR(IF(ISBLANK($D109),"",VLOOKUP($N109,'TABLE CHARGE RATE'!$A$30:$K$106,8,0)),"Check")</f>
        <v/>
      </c>
      <c r="AQ109" s="207" t="str">
        <f>IFERROR(IF(ISBLANK($D109),"",VLOOKUP($N109,'TABLE CHARGE RATE'!$A$30:$K$106,9,0)),"Check")</f>
        <v/>
      </c>
      <c r="AR109" s="207" t="str">
        <f>IFERROR(IF(ISBLANK($D109),"",VLOOKUP($N109,'TABLE CHARGE RATE'!$A$30:$K$106,10,0)),"Check")</f>
        <v/>
      </c>
      <c r="AS109" s="207" t="str">
        <f>IFERROR(IF(ISBLANK($D109),"",VLOOKUP($N109,'TABLE CHARGE RATE'!$A$30:$K$106,11,0)),"Check")</f>
        <v/>
      </c>
      <c r="AT109" s="207">
        <f t="shared" si="23"/>
        <v>108</v>
      </c>
    </row>
    <row r="110" spans="1:46" x14ac:dyDescent="0.2">
      <c r="A110" s="207" t="str">
        <f t="shared" si="25"/>
        <v/>
      </c>
      <c r="B110" s="208" t="str">
        <f>IF(ISBLANK(D110),"",VLOOKUP(WEEKDAY($C110,1),INDEX!$J$2:$K$8,2,0))</f>
        <v/>
      </c>
      <c r="C110" s="209"/>
      <c r="D110" s="207"/>
      <c r="E110" s="207"/>
      <c r="F110" s="207"/>
      <c r="G110" s="207"/>
      <c r="H110" s="207"/>
      <c r="I110" s="207"/>
      <c r="J110" s="207"/>
      <c r="K110" s="207"/>
      <c r="L110" s="207"/>
      <c r="M110" s="207"/>
      <c r="N110" s="207"/>
      <c r="O110" s="207"/>
      <c r="P110" s="207"/>
      <c r="Q110" s="207"/>
      <c r="R110" s="207"/>
      <c r="S110" s="207"/>
      <c r="T110" s="207"/>
      <c r="U110" s="209"/>
      <c r="V110" s="207"/>
      <c r="W110" s="207"/>
      <c r="X110" s="209">
        <f t="shared" si="19"/>
        <v>0</v>
      </c>
      <c r="Y110" s="209">
        <f t="shared" si="20"/>
        <v>0</v>
      </c>
      <c r="Z110" s="207">
        <v>1</v>
      </c>
      <c r="AA110" s="209" t="str">
        <f t="shared" si="18"/>
        <v/>
      </c>
      <c r="AB110" s="209"/>
      <c r="AC110" s="207">
        <v>0</v>
      </c>
      <c r="AD110" s="207"/>
      <c r="AE110" s="207"/>
      <c r="AF110" s="208" t="str">
        <f>IF(ISBLANK(D110),"",VLOOKUP(F110,'SIZE CALCULATION'!$F:$G,2,0))</f>
        <v/>
      </c>
      <c r="AG110" s="207" t="str">
        <f t="shared" si="16"/>
        <v/>
      </c>
      <c r="AH110" s="207" t="str">
        <f t="shared" si="21"/>
        <v/>
      </c>
      <c r="AI110" s="210" t="str">
        <f>IF(ISBLANK(D110),"",VLOOKUP($A110,INDEX!$D$2:$F$13,3,0))</f>
        <v/>
      </c>
      <c r="AJ110" s="207" t="str">
        <f t="shared" si="22"/>
        <v/>
      </c>
      <c r="AK110" s="207"/>
      <c r="AL110" s="207"/>
      <c r="AM110" s="207" t="str">
        <f>IFERROR(IF(ISBLANK($D110),"",VLOOKUP($N110,'TABLE CHARGE RATE'!$A$30:$K$106,5,0)),"Check")</f>
        <v/>
      </c>
      <c r="AN110" s="207" t="str">
        <f>IFERROR(IF(ISBLANK($D110),"",VLOOKUP($N110,'TABLE CHARGE RATE'!$A$30:$K$106,6,0)),"Check")</f>
        <v/>
      </c>
      <c r="AO110" s="207" t="str">
        <f>IFERROR(IF(ISBLANK($D110),"",VLOOKUP($N110,'TABLE CHARGE RATE'!$A$30:$K$106,7,0)),"Check")</f>
        <v/>
      </c>
      <c r="AP110" s="207" t="str">
        <f>IFERROR(IF(ISBLANK($D110),"",VLOOKUP($N110,'TABLE CHARGE RATE'!$A$30:$K$106,8,0)),"Check")</f>
        <v/>
      </c>
      <c r="AQ110" s="207" t="str">
        <f>IFERROR(IF(ISBLANK($D110),"",VLOOKUP($N110,'TABLE CHARGE RATE'!$A$30:$K$106,9,0)),"Check")</f>
        <v/>
      </c>
      <c r="AR110" s="207" t="str">
        <f>IFERROR(IF(ISBLANK($D110),"",VLOOKUP($N110,'TABLE CHARGE RATE'!$A$30:$K$106,10,0)),"Check")</f>
        <v/>
      </c>
      <c r="AS110" s="207" t="str">
        <f>IFERROR(IF(ISBLANK($D110),"",VLOOKUP($N110,'TABLE CHARGE RATE'!$A$30:$K$106,11,0)),"Check")</f>
        <v/>
      </c>
      <c r="AT110" s="207">
        <f t="shared" si="23"/>
        <v>109</v>
      </c>
    </row>
    <row r="111" spans="1:46" x14ac:dyDescent="0.2">
      <c r="A111" s="207" t="str">
        <f t="shared" si="25"/>
        <v/>
      </c>
      <c r="B111" s="208" t="str">
        <f>IF(ISBLANK(D111),"",VLOOKUP(WEEKDAY($C111,1),INDEX!$J$2:$K$8,2,0))</f>
        <v/>
      </c>
      <c r="C111" s="209"/>
      <c r="D111" s="207"/>
      <c r="E111" s="207"/>
      <c r="F111" s="207"/>
      <c r="G111" s="207"/>
      <c r="H111" s="207"/>
      <c r="I111" s="207"/>
      <c r="J111" s="207"/>
      <c r="K111" s="207"/>
      <c r="L111" s="207"/>
      <c r="M111" s="207"/>
      <c r="N111" s="207"/>
      <c r="O111" s="207"/>
      <c r="P111" s="207"/>
      <c r="Q111" s="207"/>
      <c r="R111" s="207"/>
      <c r="S111" s="207"/>
      <c r="T111" s="207"/>
      <c r="U111" s="209"/>
      <c r="V111" s="207"/>
      <c r="W111" s="207"/>
      <c r="X111" s="209">
        <f t="shared" si="19"/>
        <v>0</v>
      </c>
      <c r="Y111" s="209">
        <f t="shared" si="20"/>
        <v>0</v>
      </c>
      <c r="Z111" s="207">
        <v>1</v>
      </c>
      <c r="AA111" s="209" t="str">
        <f t="shared" si="18"/>
        <v/>
      </c>
      <c r="AB111" s="209"/>
      <c r="AC111" s="207">
        <v>0</v>
      </c>
      <c r="AD111" s="207"/>
      <c r="AE111" s="207"/>
      <c r="AF111" s="208" t="str">
        <f>IF(ISBLANK(D111),"",VLOOKUP(F111,'SIZE CALCULATION'!$F:$G,2,0))</f>
        <v/>
      </c>
      <c r="AG111" s="207" t="str">
        <f t="shared" si="16"/>
        <v/>
      </c>
      <c r="AH111" s="207" t="str">
        <f t="shared" si="21"/>
        <v/>
      </c>
      <c r="AI111" s="210" t="str">
        <f>IF(ISBLANK(D111),"",VLOOKUP($A111,INDEX!$D$2:$F$13,3,0))</f>
        <v/>
      </c>
      <c r="AJ111" s="207" t="str">
        <f t="shared" si="22"/>
        <v/>
      </c>
      <c r="AK111" s="207"/>
      <c r="AL111" s="207"/>
      <c r="AM111" s="207" t="str">
        <f>IFERROR(IF(ISBLANK($D111),"",VLOOKUP($N111,'TABLE CHARGE RATE'!$A$30:$K$106,5,0)),"Check")</f>
        <v/>
      </c>
      <c r="AN111" s="207" t="str">
        <f>IFERROR(IF(ISBLANK($D111),"",VLOOKUP($N111,'TABLE CHARGE RATE'!$A$30:$K$106,6,0)),"Check")</f>
        <v/>
      </c>
      <c r="AO111" s="207" t="str">
        <f>IFERROR(IF(ISBLANK($D111),"",VLOOKUP($N111,'TABLE CHARGE RATE'!$A$30:$K$106,7,0)),"Check")</f>
        <v/>
      </c>
      <c r="AP111" s="207" t="str">
        <f>IFERROR(IF(ISBLANK($D111),"",VLOOKUP($N111,'TABLE CHARGE RATE'!$A$30:$K$106,8,0)),"Check")</f>
        <v/>
      </c>
      <c r="AQ111" s="207" t="str">
        <f>IFERROR(IF(ISBLANK($D111),"",VLOOKUP($N111,'TABLE CHARGE RATE'!$A$30:$K$106,9,0)),"Check")</f>
        <v/>
      </c>
      <c r="AR111" s="207" t="str">
        <f>IFERROR(IF(ISBLANK($D111),"",VLOOKUP($N111,'TABLE CHARGE RATE'!$A$30:$K$106,10,0)),"Check")</f>
        <v/>
      </c>
      <c r="AS111" s="207" t="str">
        <f>IFERROR(IF(ISBLANK($D111),"",VLOOKUP($N111,'TABLE CHARGE RATE'!$A$30:$K$106,11,0)),"Check")</f>
        <v/>
      </c>
      <c r="AT111" s="207">
        <f t="shared" si="23"/>
        <v>110</v>
      </c>
    </row>
    <row r="112" spans="1:46" x14ac:dyDescent="0.2">
      <c r="A112" s="207" t="str">
        <f t="shared" ref="A112" si="26">IF(ISBLANK(D112),"",MONTH(C112))</f>
        <v/>
      </c>
      <c r="B112" s="208" t="str">
        <f>IF(ISBLANK(D112),"",VLOOKUP(WEEKDAY($C112,1),INDEX!$J$2:$K$8,2,0))</f>
        <v/>
      </c>
      <c r="C112" s="209"/>
      <c r="D112" s="207"/>
      <c r="E112" s="207"/>
      <c r="F112" s="207"/>
      <c r="G112" s="207"/>
      <c r="H112" s="207"/>
      <c r="I112" s="207"/>
      <c r="J112" s="207"/>
      <c r="K112" s="207"/>
      <c r="L112" s="207"/>
      <c r="M112" s="207"/>
      <c r="N112" s="207"/>
      <c r="O112" s="207"/>
      <c r="P112" s="207"/>
      <c r="Q112" s="207"/>
      <c r="R112" s="207"/>
      <c r="S112" s="207"/>
      <c r="T112" s="207"/>
      <c r="U112" s="209"/>
      <c r="V112" s="207"/>
      <c r="W112" s="207"/>
      <c r="X112" s="209">
        <f t="shared" si="19"/>
        <v>0</v>
      </c>
      <c r="Y112" s="209">
        <f t="shared" si="20"/>
        <v>0</v>
      </c>
      <c r="Z112" s="207">
        <v>1</v>
      </c>
      <c r="AA112" s="209" t="str">
        <f t="shared" si="18"/>
        <v/>
      </c>
      <c r="AB112" s="209"/>
      <c r="AC112" s="207">
        <v>0</v>
      </c>
      <c r="AD112" s="207"/>
      <c r="AE112" s="207"/>
      <c r="AF112" s="208" t="str">
        <f>IF(ISBLANK(D112),"",VLOOKUP(F112,'SIZE CALCULATION'!$F:$G,2,0))</f>
        <v/>
      </c>
      <c r="AG112" s="207" t="str">
        <f t="shared" si="16"/>
        <v/>
      </c>
      <c r="AH112" s="207" t="str">
        <f t="shared" si="21"/>
        <v/>
      </c>
      <c r="AI112" s="210" t="str">
        <f>IF(ISBLANK(D112),"",VLOOKUP($A112,INDEX!$D$2:$F$13,3,0))</f>
        <v/>
      </c>
      <c r="AJ112" s="207" t="str">
        <f t="shared" si="22"/>
        <v/>
      </c>
      <c r="AK112" s="207"/>
      <c r="AL112" s="207"/>
      <c r="AM112" s="207" t="str">
        <f>IFERROR(IF(ISBLANK($D112),"",VLOOKUP($N112,'TABLE CHARGE RATE'!$A$30:$K$106,5,0)),"Check")</f>
        <v/>
      </c>
      <c r="AN112" s="207" t="str">
        <f>IFERROR(IF(ISBLANK($D112),"",VLOOKUP($N112,'TABLE CHARGE RATE'!$A$30:$K$106,6,0)),"Check")</f>
        <v/>
      </c>
      <c r="AO112" s="207" t="str">
        <f>IFERROR(IF(ISBLANK($D112),"",VLOOKUP($N112,'TABLE CHARGE RATE'!$A$30:$K$106,7,0)),"Check")</f>
        <v/>
      </c>
      <c r="AP112" s="207" t="str">
        <f>IFERROR(IF(ISBLANK($D112),"",VLOOKUP($N112,'TABLE CHARGE RATE'!$A$30:$K$106,8,0)),"Check")</f>
        <v/>
      </c>
      <c r="AQ112" s="207" t="str">
        <f>IFERROR(IF(ISBLANK($D112),"",VLOOKUP($N112,'TABLE CHARGE RATE'!$A$30:$K$106,9,0)),"Check")</f>
        <v/>
      </c>
      <c r="AR112" s="207" t="str">
        <f>IFERROR(IF(ISBLANK($D112),"",VLOOKUP($N112,'TABLE CHARGE RATE'!$A$30:$K$106,10,0)),"Check")</f>
        <v/>
      </c>
      <c r="AS112" s="207" t="str">
        <f>IFERROR(IF(ISBLANK($D112),"",VLOOKUP($N112,'TABLE CHARGE RATE'!$A$30:$K$106,11,0)),"Check")</f>
        <v/>
      </c>
      <c r="AT112" s="207">
        <f t="shared" si="23"/>
        <v>111</v>
      </c>
    </row>
    <row r="113" spans="1:46" x14ac:dyDescent="0.2">
      <c r="A113" s="207" t="str">
        <f t="shared" ref="A113:A129" si="27">IF(ISBLANK(D113),"",MONTH(C113))</f>
        <v/>
      </c>
      <c r="B113" s="208" t="str">
        <f>IF(ISBLANK(D113),"",VLOOKUP(WEEKDAY($C113,1),INDEX!$J$2:$K$8,2,0))</f>
        <v/>
      </c>
      <c r="C113" s="209"/>
      <c r="D113" s="207"/>
      <c r="E113" s="207"/>
      <c r="F113" s="207"/>
      <c r="G113" s="207"/>
      <c r="H113" s="207"/>
      <c r="I113" s="207"/>
      <c r="J113" s="207"/>
      <c r="K113" s="207"/>
      <c r="L113" s="207"/>
      <c r="M113" s="207"/>
      <c r="N113" s="207"/>
      <c r="O113" s="207"/>
      <c r="P113" s="207"/>
      <c r="Q113" s="207"/>
      <c r="R113" s="207"/>
      <c r="S113" s="207"/>
      <c r="T113" s="207"/>
      <c r="U113" s="209"/>
      <c r="V113" s="207"/>
      <c r="W113" s="207"/>
      <c r="X113" s="209">
        <f t="shared" si="19"/>
        <v>0</v>
      </c>
      <c r="Y113" s="209">
        <f t="shared" si="20"/>
        <v>0</v>
      </c>
      <c r="Z113" s="207">
        <v>1</v>
      </c>
      <c r="AA113" s="209" t="str">
        <f t="shared" si="18"/>
        <v/>
      </c>
      <c r="AB113" s="209"/>
      <c r="AC113" s="207">
        <v>0</v>
      </c>
      <c r="AD113" s="207"/>
      <c r="AE113" s="207"/>
      <c r="AF113" s="208" t="str">
        <f>IF(ISBLANK(D113),"",VLOOKUP(F113,'SIZE CALCULATION'!$F:$G,2,0))</f>
        <v/>
      </c>
      <c r="AG113" s="207" t="str">
        <f t="shared" si="16"/>
        <v/>
      </c>
      <c r="AH113" s="207" t="str">
        <f t="shared" si="21"/>
        <v/>
      </c>
      <c r="AI113" s="210" t="str">
        <f>IF(ISBLANK(D113),"",VLOOKUP($A113,INDEX!$D$2:$F$13,3,0))</f>
        <v/>
      </c>
      <c r="AJ113" s="207" t="str">
        <f t="shared" si="22"/>
        <v/>
      </c>
      <c r="AK113" s="207"/>
      <c r="AL113" s="207"/>
      <c r="AM113" s="207" t="str">
        <f>IFERROR(IF(ISBLANK($D113),"",VLOOKUP($N113,'TABLE CHARGE RATE'!$A$30:$K$106,5,0)),"Check")</f>
        <v/>
      </c>
      <c r="AN113" s="207" t="str">
        <f>IFERROR(IF(ISBLANK($D113),"",VLOOKUP($N113,'TABLE CHARGE RATE'!$A$30:$K$106,6,0)),"Check")</f>
        <v/>
      </c>
      <c r="AO113" s="207" t="str">
        <f>IFERROR(IF(ISBLANK($D113),"",VLOOKUP($N113,'TABLE CHARGE RATE'!$A$30:$K$106,7,0)),"Check")</f>
        <v/>
      </c>
      <c r="AP113" s="207" t="str">
        <f>IFERROR(IF(ISBLANK($D113),"",VLOOKUP($N113,'TABLE CHARGE RATE'!$A$30:$K$106,8,0)),"Check")</f>
        <v/>
      </c>
      <c r="AQ113" s="207" t="str">
        <f>IFERROR(IF(ISBLANK($D113),"",VLOOKUP($N113,'TABLE CHARGE RATE'!$A$30:$K$106,9,0)),"Check")</f>
        <v/>
      </c>
      <c r="AR113" s="207" t="str">
        <f>IFERROR(IF(ISBLANK($D113),"",VLOOKUP($N113,'TABLE CHARGE RATE'!$A$30:$K$106,10,0)),"Check")</f>
        <v/>
      </c>
      <c r="AS113" s="207" t="str">
        <f>IFERROR(IF(ISBLANK($D113),"",VLOOKUP($N113,'TABLE CHARGE RATE'!$A$30:$K$106,11,0)),"Check")</f>
        <v/>
      </c>
      <c r="AT113" s="207">
        <f t="shared" si="23"/>
        <v>112</v>
      </c>
    </row>
    <row r="114" spans="1:46" x14ac:dyDescent="0.2">
      <c r="A114" s="207" t="str">
        <f t="shared" si="27"/>
        <v/>
      </c>
      <c r="B114" s="208" t="str">
        <f>IF(ISBLANK(D114),"",VLOOKUP(WEEKDAY($C114,1),INDEX!$J$2:$K$8,2,0))</f>
        <v/>
      </c>
      <c r="C114" s="209"/>
      <c r="D114" s="207"/>
      <c r="E114" s="207"/>
      <c r="F114" s="207"/>
      <c r="G114" s="207"/>
      <c r="H114" s="207"/>
      <c r="I114" s="207"/>
      <c r="J114" s="207"/>
      <c r="K114" s="207"/>
      <c r="L114" s="207"/>
      <c r="M114" s="207"/>
      <c r="N114" s="207"/>
      <c r="O114" s="207"/>
      <c r="P114" s="207"/>
      <c r="Q114" s="207"/>
      <c r="R114" s="207"/>
      <c r="S114" s="207"/>
      <c r="T114" s="207"/>
      <c r="U114" s="209"/>
      <c r="V114" s="207"/>
      <c r="W114" s="207"/>
      <c r="X114" s="209">
        <f t="shared" si="19"/>
        <v>0</v>
      </c>
      <c r="Y114" s="209">
        <f t="shared" si="20"/>
        <v>0</v>
      </c>
      <c r="Z114" s="207">
        <v>1</v>
      </c>
      <c r="AA114" s="209" t="str">
        <f t="shared" si="18"/>
        <v/>
      </c>
      <c r="AB114" s="209"/>
      <c r="AC114" s="207">
        <v>0</v>
      </c>
      <c r="AD114" s="207"/>
      <c r="AE114" s="207"/>
      <c r="AF114" s="208" t="str">
        <f>IF(ISBLANK(D114),"",VLOOKUP(F114,'SIZE CALCULATION'!$F:$G,2,0))</f>
        <v/>
      </c>
      <c r="AG114" s="207" t="str">
        <f t="shared" si="16"/>
        <v/>
      </c>
      <c r="AH114" s="207" t="str">
        <f t="shared" si="21"/>
        <v/>
      </c>
      <c r="AI114" s="210" t="str">
        <f>IF(ISBLANK(D114),"",VLOOKUP($A114,INDEX!$D$2:$F$13,3,0))</f>
        <v/>
      </c>
      <c r="AJ114" s="207" t="str">
        <f t="shared" si="22"/>
        <v/>
      </c>
      <c r="AK114" s="207"/>
      <c r="AL114" s="207"/>
      <c r="AM114" s="207" t="str">
        <f>IFERROR(IF(ISBLANK($D114),"",VLOOKUP($N114,'TABLE CHARGE RATE'!$A$30:$K$106,5,0)),"Check")</f>
        <v/>
      </c>
      <c r="AN114" s="207" t="str">
        <f>IFERROR(IF(ISBLANK($D114),"",VLOOKUP($N114,'TABLE CHARGE RATE'!$A$30:$K$106,6,0)),"Check")</f>
        <v/>
      </c>
      <c r="AO114" s="207" t="str">
        <f>IFERROR(IF(ISBLANK($D114),"",VLOOKUP($N114,'TABLE CHARGE RATE'!$A$30:$K$106,7,0)),"Check")</f>
        <v/>
      </c>
      <c r="AP114" s="207" t="str">
        <f>IFERROR(IF(ISBLANK($D114),"",VLOOKUP($N114,'TABLE CHARGE RATE'!$A$30:$K$106,8,0)),"Check")</f>
        <v/>
      </c>
      <c r="AQ114" s="207" t="str">
        <f>IFERROR(IF(ISBLANK($D114),"",VLOOKUP($N114,'TABLE CHARGE RATE'!$A$30:$K$106,9,0)),"Check")</f>
        <v/>
      </c>
      <c r="AR114" s="207" t="str">
        <f>IFERROR(IF(ISBLANK($D114),"",VLOOKUP($N114,'TABLE CHARGE RATE'!$A$30:$K$106,10,0)),"Check")</f>
        <v/>
      </c>
      <c r="AS114" s="207" t="str">
        <f>IFERROR(IF(ISBLANK($D114),"",VLOOKUP($N114,'TABLE CHARGE RATE'!$A$30:$K$106,11,0)),"Check")</f>
        <v/>
      </c>
      <c r="AT114" s="207">
        <f t="shared" si="23"/>
        <v>113</v>
      </c>
    </row>
    <row r="115" spans="1:46" x14ac:dyDescent="0.2">
      <c r="A115" s="207" t="str">
        <f t="shared" si="27"/>
        <v/>
      </c>
      <c r="B115" s="208" t="str">
        <f>IF(ISBLANK(D115),"",VLOOKUP(WEEKDAY($C115,1),INDEX!$J$2:$K$8,2,0))</f>
        <v/>
      </c>
      <c r="C115" s="209"/>
      <c r="D115" s="207"/>
      <c r="E115" s="207"/>
      <c r="F115" s="207"/>
      <c r="G115" s="207"/>
      <c r="H115" s="207"/>
      <c r="I115" s="207"/>
      <c r="J115" s="207"/>
      <c r="K115" s="207"/>
      <c r="L115" s="207"/>
      <c r="M115" s="207"/>
      <c r="N115" s="207"/>
      <c r="O115" s="207"/>
      <c r="P115" s="207"/>
      <c r="Q115" s="207"/>
      <c r="R115" s="207"/>
      <c r="S115" s="207"/>
      <c r="T115" s="207"/>
      <c r="U115" s="209"/>
      <c r="V115" s="207"/>
      <c r="W115" s="207"/>
      <c r="X115" s="209">
        <f t="shared" si="19"/>
        <v>0</v>
      </c>
      <c r="Y115" s="209">
        <f t="shared" si="20"/>
        <v>0</v>
      </c>
      <c r="Z115" s="207">
        <v>1</v>
      </c>
      <c r="AA115" s="209" t="str">
        <f t="shared" si="18"/>
        <v/>
      </c>
      <c r="AB115" s="209"/>
      <c r="AC115" s="207">
        <v>0</v>
      </c>
      <c r="AD115" s="207"/>
      <c r="AE115" s="207"/>
      <c r="AF115" s="208" t="str">
        <f>IF(ISBLANK(D115),"",VLOOKUP(F115,'SIZE CALCULATION'!$F:$G,2,0))</f>
        <v/>
      </c>
      <c r="AG115" s="207" t="str">
        <f t="shared" ref="AG115:AG178" si="28">IF(ISBLANK(D115),"",HLOOKUP($AF115,$AM$1:$AR$966,$AT115,0))</f>
        <v/>
      </c>
      <c r="AH115" s="207" t="str">
        <f t="shared" si="21"/>
        <v/>
      </c>
      <c r="AI115" s="210" t="str">
        <f>IF(ISBLANK(D115),"",VLOOKUP($A115,INDEX!$D$2:$F$13,3,0))</f>
        <v/>
      </c>
      <c r="AJ115" s="207" t="str">
        <f t="shared" si="22"/>
        <v/>
      </c>
      <c r="AK115" s="207"/>
      <c r="AL115" s="207"/>
      <c r="AM115" s="207" t="str">
        <f>IFERROR(IF(ISBLANK($D115),"",VLOOKUP($N115,'TABLE CHARGE RATE'!$A$30:$K$106,5,0)),"Check")</f>
        <v/>
      </c>
      <c r="AN115" s="207" t="str">
        <f>IFERROR(IF(ISBLANK($D115),"",VLOOKUP($N115,'TABLE CHARGE RATE'!$A$30:$K$106,6,0)),"Check")</f>
        <v/>
      </c>
      <c r="AO115" s="207" t="str">
        <f>IFERROR(IF(ISBLANK($D115),"",VLOOKUP($N115,'TABLE CHARGE RATE'!$A$30:$K$106,7,0)),"Check")</f>
        <v/>
      </c>
      <c r="AP115" s="207" t="str">
        <f>IFERROR(IF(ISBLANK($D115),"",VLOOKUP($N115,'TABLE CHARGE RATE'!$A$30:$K$106,8,0)),"Check")</f>
        <v/>
      </c>
      <c r="AQ115" s="207" t="str">
        <f>IFERROR(IF(ISBLANK($D115),"",VLOOKUP($N115,'TABLE CHARGE RATE'!$A$30:$K$106,9,0)),"Check")</f>
        <v/>
      </c>
      <c r="AR115" s="207" t="str">
        <f>IFERROR(IF(ISBLANK($D115),"",VLOOKUP($N115,'TABLE CHARGE RATE'!$A$30:$K$106,10,0)),"Check")</f>
        <v/>
      </c>
      <c r="AS115" s="207" t="str">
        <f>IFERROR(IF(ISBLANK($D115),"",VLOOKUP($N115,'TABLE CHARGE RATE'!$A$30:$K$106,11,0)),"Check")</f>
        <v/>
      </c>
      <c r="AT115" s="207">
        <f t="shared" si="23"/>
        <v>114</v>
      </c>
    </row>
    <row r="116" spans="1:46" x14ac:dyDescent="0.2">
      <c r="A116" s="207" t="str">
        <f t="shared" si="27"/>
        <v/>
      </c>
      <c r="B116" s="208" t="str">
        <f>IF(ISBLANK(D116),"",VLOOKUP(WEEKDAY($C116,1),INDEX!$J$2:$K$8,2,0))</f>
        <v/>
      </c>
      <c r="C116" s="209"/>
      <c r="D116" s="207"/>
      <c r="E116" s="207"/>
      <c r="F116" s="207"/>
      <c r="G116" s="207"/>
      <c r="H116" s="207"/>
      <c r="I116" s="207"/>
      <c r="J116" s="207"/>
      <c r="K116" s="207"/>
      <c r="L116" s="207"/>
      <c r="M116" s="207"/>
      <c r="N116" s="207"/>
      <c r="O116" s="207"/>
      <c r="P116" s="207"/>
      <c r="Q116" s="207"/>
      <c r="R116" s="207"/>
      <c r="S116" s="207"/>
      <c r="T116" s="207"/>
      <c r="U116" s="209"/>
      <c r="V116" s="207"/>
      <c r="W116" s="207"/>
      <c r="X116" s="209">
        <f t="shared" si="19"/>
        <v>0</v>
      </c>
      <c r="Y116" s="209">
        <f t="shared" si="20"/>
        <v>0</v>
      </c>
      <c r="Z116" s="207">
        <v>1</v>
      </c>
      <c r="AA116" s="209" t="str">
        <f t="shared" si="18"/>
        <v/>
      </c>
      <c r="AB116" s="209"/>
      <c r="AC116" s="207">
        <v>0</v>
      </c>
      <c r="AD116" s="207"/>
      <c r="AE116" s="207"/>
      <c r="AF116" s="208" t="str">
        <f>IF(ISBLANK(D116),"",VLOOKUP(F116,'SIZE CALCULATION'!$F:$G,2,0))</f>
        <v/>
      </c>
      <c r="AG116" s="207" t="str">
        <f t="shared" si="28"/>
        <v/>
      </c>
      <c r="AH116" s="207" t="str">
        <f t="shared" si="21"/>
        <v/>
      </c>
      <c r="AI116" s="210" t="str">
        <f>IF(ISBLANK(D116),"",VLOOKUP($A116,INDEX!$D$2:$F$13,3,0))</f>
        <v/>
      </c>
      <c r="AJ116" s="207" t="str">
        <f t="shared" si="22"/>
        <v/>
      </c>
      <c r="AK116" s="207"/>
      <c r="AL116" s="207"/>
      <c r="AM116" s="207" t="str">
        <f>IFERROR(IF(ISBLANK($D116),"",VLOOKUP($N116,'TABLE CHARGE RATE'!$A$30:$K$106,5,0)),"Check")</f>
        <v/>
      </c>
      <c r="AN116" s="207" t="str">
        <f>IFERROR(IF(ISBLANK($D116),"",VLOOKUP($N116,'TABLE CHARGE RATE'!$A$30:$K$106,6,0)),"Check")</f>
        <v/>
      </c>
      <c r="AO116" s="207" t="str">
        <f>IFERROR(IF(ISBLANK($D116),"",VLOOKUP($N116,'TABLE CHARGE RATE'!$A$30:$K$106,7,0)),"Check")</f>
        <v/>
      </c>
      <c r="AP116" s="207" t="str">
        <f>IFERROR(IF(ISBLANK($D116),"",VLOOKUP($N116,'TABLE CHARGE RATE'!$A$30:$K$106,8,0)),"Check")</f>
        <v/>
      </c>
      <c r="AQ116" s="207" t="str">
        <f>IFERROR(IF(ISBLANK($D116),"",VLOOKUP($N116,'TABLE CHARGE RATE'!$A$30:$K$106,9,0)),"Check")</f>
        <v/>
      </c>
      <c r="AR116" s="207" t="str">
        <f>IFERROR(IF(ISBLANK($D116),"",VLOOKUP($N116,'TABLE CHARGE RATE'!$A$30:$K$106,10,0)),"Check")</f>
        <v/>
      </c>
      <c r="AS116" s="207" t="str">
        <f>IFERROR(IF(ISBLANK($D116),"",VLOOKUP($N116,'TABLE CHARGE RATE'!$A$30:$K$106,11,0)),"Check")</f>
        <v/>
      </c>
      <c r="AT116" s="207">
        <f t="shared" si="23"/>
        <v>115</v>
      </c>
    </row>
    <row r="117" spans="1:46" x14ac:dyDescent="0.2">
      <c r="A117" s="207" t="str">
        <f t="shared" si="27"/>
        <v/>
      </c>
      <c r="B117" s="208" t="str">
        <f>IF(ISBLANK(D117),"",VLOOKUP(WEEKDAY($C117,1),INDEX!$J$2:$K$8,2,0))</f>
        <v/>
      </c>
      <c r="C117" s="209"/>
      <c r="D117" s="207"/>
      <c r="E117" s="207"/>
      <c r="F117" s="207"/>
      <c r="G117" s="207"/>
      <c r="H117" s="207"/>
      <c r="I117" s="207"/>
      <c r="J117" s="207"/>
      <c r="K117" s="207"/>
      <c r="L117" s="207"/>
      <c r="M117" s="207"/>
      <c r="N117" s="207"/>
      <c r="O117" s="207"/>
      <c r="P117" s="207"/>
      <c r="Q117" s="207"/>
      <c r="R117" s="207"/>
      <c r="S117" s="207"/>
      <c r="T117" s="207"/>
      <c r="U117" s="209"/>
      <c r="V117" s="207"/>
      <c r="W117" s="207"/>
      <c r="X117" s="209">
        <f t="shared" si="19"/>
        <v>0</v>
      </c>
      <c r="Y117" s="209">
        <f t="shared" si="20"/>
        <v>0</v>
      </c>
      <c r="Z117" s="207">
        <v>1</v>
      </c>
      <c r="AA117" s="209" t="str">
        <f t="shared" si="18"/>
        <v/>
      </c>
      <c r="AB117" s="209"/>
      <c r="AC117" s="207">
        <v>0</v>
      </c>
      <c r="AD117" s="207"/>
      <c r="AE117" s="207"/>
      <c r="AF117" s="208" t="str">
        <f>IF(ISBLANK(D117),"",VLOOKUP(F117,'SIZE CALCULATION'!$F:$G,2,0))</f>
        <v/>
      </c>
      <c r="AG117" s="207" t="str">
        <f t="shared" si="28"/>
        <v/>
      </c>
      <c r="AH117" s="207" t="str">
        <f t="shared" si="21"/>
        <v/>
      </c>
      <c r="AI117" s="210" t="str">
        <f>IF(ISBLANK(D117),"",VLOOKUP($A117,INDEX!$D$2:$F$13,3,0))</f>
        <v/>
      </c>
      <c r="AJ117" s="207" t="str">
        <f t="shared" si="22"/>
        <v/>
      </c>
      <c r="AK117" s="207"/>
      <c r="AL117" s="207"/>
      <c r="AM117" s="207" t="str">
        <f>IFERROR(IF(ISBLANK($D117),"",VLOOKUP($N117,'TABLE CHARGE RATE'!$A$30:$K$106,5,0)),"Check")</f>
        <v/>
      </c>
      <c r="AN117" s="207" t="str">
        <f>IFERROR(IF(ISBLANK($D117),"",VLOOKUP($N117,'TABLE CHARGE RATE'!$A$30:$K$106,6,0)),"Check")</f>
        <v/>
      </c>
      <c r="AO117" s="207" t="str">
        <f>IFERROR(IF(ISBLANK($D117),"",VLOOKUP($N117,'TABLE CHARGE RATE'!$A$30:$K$106,7,0)),"Check")</f>
        <v/>
      </c>
      <c r="AP117" s="207" t="str">
        <f>IFERROR(IF(ISBLANK($D117),"",VLOOKUP($N117,'TABLE CHARGE RATE'!$A$30:$K$106,8,0)),"Check")</f>
        <v/>
      </c>
      <c r="AQ117" s="207" t="str">
        <f>IFERROR(IF(ISBLANK($D117),"",VLOOKUP($N117,'TABLE CHARGE RATE'!$A$30:$K$106,9,0)),"Check")</f>
        <v/>
      </c>
      <c r="AR117" s="207" t="str">
        <f>IFERROR(IF(ISBLANK($D117),"",VLOOKUP($N117,'TABLE CHARGE RATE'!$A$30:$K$106,10,0)),"Check")</f>
        <v/>
      </c>
      <c r="AS117" s="207" t="str">
        <f>IFERROR(IF(ISBLANK($D117),"",VLOOKUP($N117,'TABLE CHARGE RATE'!$A$30:$K$106,11,0)),"Check")</f>
        <v/>
      </c>
      <c r="AT117" s="207">
        <f t="shared" si="23"/>
        <v>116</v>
      </c>
    </row>
    <row r="118" spans="1:46" x14ac:dyDescent="0.2">
      <c r="A118" s="207" t="str">
        <f t="shared" si="27"/>
        <v/>
      </c>
      <c r="B118" s="208" t="str">
        <f>IF(ISBLANK(D118),"",VLOOKUP(WEEKDAY($C118,1),INDEX!$J$2:$K$8,2,0))</f>
        <v/>
      </c>
      <c r="C118" s="209"/>
      <c r="D118" s="207"/>
      <c r="E118" s="207"/>
      <c r="F118" s="207"/>
      <c r="G118" s="207"/>
      <c r="H118" s="207"/>
      <c r="I118" s="207"/>
      <c r="J118" s="207"/>
      <c r="K118" s="207"/>
      <c r="L118" s="207"/>
      <c r="M118" s="207"/>
      <c r="N118" s="207"/>
      <c r="O118" s="207"/>
      <c r="P118" s="207"/>
      <c r="Q118" s="207"/>
      <c r="R118" s="207"/>
      <c r="S118" s="207"/>
      <c r="T118" s="207"/>
      <c r="U118" s="209"/>
      <c r="V118" s="207"/>
      <c r="W118" s="207"/>
      <c r="X118" s="209">
        <f t="shared" si="19"/>
        <v>0</v>
      </c>
      <c r="Y118" s="209">
        <f t="shared" si="20"/>
        <v>0</v>
      </c>
      <c r="Z118" s="207">
        <v>1</v>
      </c>
      <c r="AA118" s="209" t="str">
        <f t="shared" si="18"/>
        <v/>
      </c>
      <c r="AB118" s="209"/>
      <c r="AC118" s="207">
        <v>0</v>
      </c>
      <c r="AD118" s="207"/>
      <c r="AE118" s="207"/>
      <c r="AF118" s="208" t="str">
        <f>IF(ISBLANK(D118),"",VLOOKUP(F118,'SIZE CALCULATION'!$F:$G,2,0))</f>
        <v/>
      </c>
      <c r="AG118" s="207" t="str">
        <f t="shared" si="28"/>
        <v/>
      </c>
      <c r="AH118" s="207" t="str">
        <f t="shared" si="21"/>
        <v/>
      </c>
      <c r="AI118" s="210" t="str">
        <f>IF(ISBLANK(D118),"",VLOOKUP($A118,INDEX!$D$2:$F$13,3,0))</f>
        <v/>
      </c>
      <c r="AJ118" s="207" t="str">
        <f t="shared" si="22"/>
        <v/>
      </c>
      <c r="AK118" s="207"/>
      <c r="AL118" s="207"/>
      <c r="AM118" s="207" t="str">
        <f>IFERROR(IF(ISBLANK($D118),"",VLOOKUP($N118,'TABLE CHARGE RATE'!$A$30:$K$106,5,0)),"Check")</f>
        <v/>
      </c>
      <c r="AN118" s="207" t="str">
        <f>IFERROR(IF(ISBLANK($D118),"",VLOOKUP($N118,'TABLE CHARGE RATE'!$A$30:$K$106,6,0)),"Check")</f>
        <v/>
      </c>
      <c r="AO118" s="207" t="str">
        <f>IFERROR(IF(ISBLANK($D118),"",VLOOKUP($N118,'TABLE CHARGE RATE'!$A$30:$K$106,7,0)),"Check")</f>
        <v/>
      </c>
      <c r="AP118" s="207" t="str">
        <f>IFERROR(IF(ISBLANK($D118),"",VLOOKUP($N118,'TABLE CHARGE RATE'!$A$30:$K$106,8,0)),"Check")</f>
        <v/>
      </c>
      <c r="AQ118" s="207" t="str">
        <f>IFERROR(IF(ISBLANK($D118),"",VLOOKUP($N118,'TABLE CHARGE RATE'!$A$30:$K$106,9,0)),"Check")</f>
        <v/>
      </c>
      <c r="AR118" s="207" t="str">
        <f>IFERROR(IF(ISBLANK($D118),"",VLOOKUP($N118,'TABLE CHARGE RATE'!$A$30:$K$106,10,0)),"Check")</f>
        <v/>
      </c>
      <c r="AS118" s="207" t="str">
        <f>IFERROR(IF(ISBLANK($D118),"",VLOOKUP($N118,'TABLE CHARGE RATE'!$A$30:$K$106,11,0)),"Check")</f>
        <v/>
      </c>
      <c r="AT118" s="207">
        <f t="shared" si="23"/>
        <v>117</v>
      </c>
    </row>
    <row r="119" spans="1:46" x14ac:dyDescent="0.2">
      <c r="A119" s="207" t="str">
        <f t="shared" si="27"/>
        <v/>
      </c>
      <c r="B119" s="208" t="str">
        <f>IF(ISBLANK(D119),"",VLOOKUP(WEEKDAY($C119,1),INDEX!$J$2:$K$8,2,0))</f>
        <v/>
      </c>
      <c r="C119" s="209"/>
      <c r="D119" s="207"/>
      <c r="E119" s="207"/>
      <c r="F119" s="207"/>
      <c r="G119" s="207"/>
      <c r="H119" s="207"/>
      <c r="I119" s="207"/>
      <c r="J119" s="207"/>
      <c r="K119" s="207"/>
      <c r="L119" s="207"/>
      <c r="M119" s="207"/>
      <c r="N119" s="207"/>
      <c r="O119" s="207"/>
      <c r="P119" s="207"/>
      <c r="Q119" s="207"/>
      <c r="R119" s="207"/>
      <c r="S119" s="207"/>
      <c r="T119" s="207"/>
      <c r="U119" s="209"/>
      <c r="V119" s="207"/>
      <c r="W119" s="207"/>
      <c r="X119" s="209">
        <f t="shared" si="19"/>
        <v>0</v>
      </c>
      <c r="Y119" s="209">
        <f t="shared" si="20"/>
        <v>0</v>
      </c>
      <c r="Z119" s="207">
        <v>1</v>
      </c>
      <c r="AA119" s="209" t="str">
        <f t="shared" si="18"/>
        <v/>
      </c>
      <c r="AB119" s="209"/>
      <c r="AC119" s="207">
        <v>0</v>
      </c>
      <c r="AD119" s="207"/>
      <c r="AE119" s="207"/>
      <c r="AF119" s="208" t="str">
        <f>IF(ISBLANK(D119),"",VLOOKUP(F119,'SIZE CALCULATION'!$F:$G,2,0))</f>
        <v/>
      </c>
      <c r="AG119" s="207" t="str">
        <f t="shared" si="28"/>
        <v/>
      </c>
      <c r="AH119" s="207" t="str">
        <f t="shared" si="21"/>
        <v/>
      </c>
      <c r="AI119" s="210" t="str">
        <f>IF(ISBLANK(D119),"",VLOOKUP($A119,INDEX!$D$2:$F$13,3,0))</f>
        <v/>
      </c>
      <c r="AJ119" s="207" t="str">
        <f t="shared" si="22"/>
        <v/>
      </c>
      <c r="AK119" s="207"/>
      <c r="AL119" s="207"/>
      <c r="AM119" s="207" t="str">
        <f>IFERROR(IF(ISBLANK($D119),"",VLOOKUP($N119,'TABLE CHARGE RATE'!$A$30:$K$106,5,0)),"Check")</f>
        <v/>
      </c>
      <c r="AN119" s="207" t="str">
        <f>IFERROR(IF(ISBLANK($D119),"",VLOOKUP($N119,'TABLE CHARGE RATE'!$A$30:$K$106,6,0)),"Check")</f>
        <v/>
      </c>
      <c r="AO119" s="207" t="str">
        <f>IFERROR(IF(ISBLANK($D119),"",VLOOKUP($N119,'TABLE CHARGE RATE'!$A$30:$K$106,7,0)),"Check")</f>
        <v/>
      </c>
      <c r="AP119" s="207" t="str">
        <f>IFERROR(IF(ISBLANK($D119),"",VLOOKUP($N119,'TABLE CHARGE RATE'!$A$30:$K$106,8,0)),"Check")</f>
        <v/>
      </c>
      <c r="AQ119" s="207" t="str">
        <f>IFERROR(IF(ISBLANK($D119),"",VLOOKUP($N119,'TABLE CHARGE RATE'!$A$30:$K$106,9,0)),"Check")</f>
        <v/>
      </c>
      <c r="AR119" s="207" t="str">
        <f>IFERROR(IF(ISBLANK($D119),"",VLOOKUP($N119,'TABLE CHARGE RATE'!$A$30:$K$106,10,0)),"Check")</f>
        <v/>
      </c>
      <c r="AS119" s="207" t="str">
        <f>IFERROR(IF(ISBLANK($D119),"",VLOOKUP($N119,'TABLE CHARGE RATE'!$A$30:$K$106,11,0)),"Check")</f>
        <v/>
      </c>
      <c r="AT119" s="207">
        <f t="shared" si="23"/>
        <v>118</v>
      </c>
    </row>
    <row r="120" spans="1:46" x14ac:dyDescent="0.2">
      <c r="A120" s="207" t="str">
        <f t="shared" si="27"/>
        <v/>
      </c>
      <c r="B120" s="208" t="str">
        <f>IF(ISBLANK(D120),"",VLOOKUP(WEEKDAY($C120,1),INDEX!$J$2:$K$8,2,0))</f>
        <v/>
      </c>
      <c r="C120" s="209"/>
      <c r="D120" s="207"/>
      <c r="E120" s="207"/>
      <c r="F120" s="207"/>
      <c r="G120" s="207"/>
      <c r="H120" s="207"/>
      <c r="I120" s="207"/>
      <c r="J120" s="207"/>
      <c r="K120" s="207"/>
      <c r="L120" s="207"/>
      <c r="M120" s="207"/>
      <c r="N120" s="207"/>
      <c r="O120" s="207"/>
      <c r="P120" s="207"/>
      <c r="Q120" s="207"/>
      <c r="R120" s="207"/>
      <c r="S120" s="207"/>
      <c r="T120" s="207"/>
      <c r="U120" s="209"/>
      <c r="V120" s="207"/>
      <c r="W120" s="207"/>
      <c r="X120" s="209">
        <f t="shared" si="19"/>
        <v>0</v>
      </c>
      <c r="Y120" s="209">
        <f t="shared" si="20"/>
        <v>0</v>
      </c>
      <c r="Z120" s="207">
        <v>1</v>
      </c>
      <c r="AA120" s="209" t="str">
        <f t="shared" si="18"/>
        <v/>
      </c>
      <c r="AB120" s="209"/>
      <c r="AC120" s="207">
        <v>0</v>
      </c>
      <c r="AD120" s="207"/>
      <c r="AE120" s="207"/>
      <c r="AF120" s="208" t="str">
        <f>IF(ISBLANK(D120),"",VLOOKUP(F120,'SIZE CALCULATION'!$F:$G,2,0))</f>
        <v/>
      </c>
      <c r="AG120" s="207" t="str">
        <f t="shared" si="28"/>
        <v/>
      </c>
      <c r="AH120" s="207" t="str">
        <f t="shared" si="21"/>
        <v/>
      </c>
      <c r="AI120" s="210" t="str">
        <f>IF(ISBLANK(D120),"",VLOOKUP($A120,INDEX!$D$2:$F$13,3,0))</f>
        <v/>
      </c>
      <c r="AJ120" s="207" t="str">
        <f t="shared" si="22"/>
        <v/>
      </c>
      <c r="AK120" s="207"/>
      <c r="AL120" s="207"/>
      <c r="AM120" s="207" t="str">
        <f>IFERROR(IF(ISBLANK($D120),"",VLOOKUP($N120,'TABLE CHARGE RATE'!$A$30:$K$106,5,0)),"Check")</f>
        <v/>
      </c>
      <c r="AN120" s="207" t="str">
        <f>IFERROR(IF(ISBLANK($D120),"",VLOOKUP($N120,'TABLE CHARGE RATE'!$A$30:$K$106,6,0)),"Check")</f>
        <v/>
      </c>
      <c r="AO120" s="207" t="str">
        <f>IFERROR(IF(ISBLANK($D120),"",VLOOKUP($N120,'TABLE CHARGE RATE'!$A$30:$K$106,7,0)),"Check")</f>
        <v/>
      </c>
      <c r="AP120" s="207" t="str">
        <f>IFERROR(IF(ISBLANK($D120),"",VLOOKUP($N120,'TABLE CHARGE RATE'!$A$30:$K$106,8,0)),"Check")</f>
        <v/>
      </c>
      <c r="AQ120" s="207" t="str">
        <f>IFERROR(IF(ISBLANK($D120),"",VLOOKUP($N120,'TABLE CHARGE RATE'!$A$30:$K$106,9,0)),"Check")</f>
        <v/>
      </c>
      <c r="AR120" s="207" t="str">
        <f>IFERROR(IF(ISBLANK($D120),"",VLOOKUP($N120,'TABLE CHARGE RATE'!$A$30:$K$106,10,0)),"Check")</f>
        <v/>
      </c>
      <c r="AS120" s="207" t="str">
        <f>IFERROR(IF(ISBLANK($D120),"",VLOOKUP($N120,'TABLE CHARGE RATE'!$A$30:$K$106,11,0)),"Check")</f>
        <v/>
      </c>
      <c r="AT120" s="207">
        <f t="shared" si="23"/>
        <v>119</v>
      </c>
    </row>
    <row r="121" spans="1:46" x14ac:dyDescent="0.2">
      <c r="A121" s="207" t="str">
        <f t="shared" si="27"/>
        <v/>
      </c>
      <c r="B121" s="208" t="str">
        <f>IF(ISBLANK(D121),"",VLOOKUP(WEEKDAY($C121,1),INDEX!$J$2:$K$8,2,0))</f>
        <v/>
      </c>
      <c r="C121" s="209"/>
      <c r="D121" s="207"/>
      <c r="E121" s="207"/>
      <c r="F121" s="207"/>
      <c r="G121" s="207"/>
      <c r="H121" s="207"/>
      <c r="I121" s="207"/>
      <c r="J121" s="207"/>
      <c r="K121" s="207"/>
      <c r="L121" s="207"/>
      <c r="M121" s="207"/>
      <c r="N121" s="207"/>
      <c r="O121" s="207"/>
      <c r="P121" s="207"/>
      <c r="Q121" s="207"/>
      <c r="R121" s="207"/>
      <c r="S121" s="207"/>
      <c r="T121" s="207"/>
      <c r="U121" s="209"/>
      <c r="V121" s="207"/>
      <c r="W121" s="207"/>
      <c r="X121" s="209">
        <f t="shared" si="19"/>
        <v>0</v>
      </c>
      <c r="Y121" s="209">
        <f t="shared" si="20"/>
        <v>0</v>
      </c>
      <c r="Z121" s="207">
        <v>1</v>
      </c>
      <c r="AA121" s="209" t="str">
        <f t="shared" si="18"/>
        <v/>
      </c>
      <c r="AB121" s="209"/>
      <c r="AC121" s="207">
        <v>0</v>
      </c>
      <c r="AD121" s="207"/>
      <c r="AE121" s="207"/>
      <c r="AF121" s="208" t="str">
        <f>IF(ISBLANK(D121),"",VLOOKUP(F121,'SIZE CALCULATION'!$F:$G,2,0))</f>
        <v/>
      </c>
      <c r="AG121" s="207" t="str">
        <f t="shared" si="28"/>
        <v/>
      </c>
      <c r="AH121" s="207" t="str">
        <f t="shared" si="21"/>
        <v/>
      </c>
      <c r="AI121" s="210" t="str">
        <f>IF(ISBLANK(D121),"",VLOOKUP($A121,INDEX!$D$2:$F$13,3,0))</f>
        <v/>
      </c>
      <c r="AJ121" s="207" t="str">
        <f t="shared" si="22"/>
        <v/>
      </c>
      <c r="AK121" s="207"/>
      <c r="AL121" s="207"/>
      <c r="AM121" s="207" t="str">
        <f>IFERROR(IF(ISBLANK($D121),"",VLOOKUP($N121,'TABLE CHARGE RATE'!$A$30:$K$106,5,0)),"Check")</f>
        <v/>
      </c>
      <c r="AN121" s="207" t="str">
        <f>IFERROR(IF(ISBLANK($D121),"",VLOOKUP($N121,'TABLE CHARGE RATE'!$A$30:$K$106,6,0)),"Check")</f>
        <v/>
      </c>
      <c r="AO121" s="207" t="str">
        <f>IFERROR(IF(ISBLANK($D121),"",VLOOKUP($N121,'TABLE CHARGE RATE'!$A$30:$K$106,7,0)),"Check")</f>
        <v/>
      </c>
      <c r="AP121" s="207" t="str">
        <f>IFERROR(IF(ISBLANK($D121),"",VLOOKUP($N121,'TABLE CHARGE RATE'!$A$30:$K$106,8,0)),"Check")</f>
        <v/>
      </c>
      <c r="AQ121" s="207" t="str">
        <f>IFERROR(IF(ISBLANK($D121),"",VLOOKUP($N121,'TABLE CHARGE RATE'!$A$30:$K$106,9,0)),"Check")</f>
        <v/>
      </c>
      <c r="AR121" s="207" t="str">
        <f>IFERROR(IF(ISBLANK($D121),"",VLOOKUP($N121,'TABLE CHARGE RATE'!$A$30:$K$106,10,0)),"Check")</f>
        <v/>
      </c>
      <c r="AS121" s="207" t="str">
        <f>IFERROR(IF(ISBLANK($D121),"",VLOOKUP($N121,'TABLE CHARGE RATE'!$A$30:$K$106,11,0)),"Check")</f>
        <v/>
      </c>
      <c r="AT121" s="207">
        <f t="shared" si="23"/>
        <v>120</v>
      </c>
    </row>
    <row r="122" spans="1:46" x14ac:dyDescent="0.2">
      <c r="A122" s="207" t="str">
        <f t="shared" si="27"/>
        <v/>
      </c>
      <c r="B122" s="208" t="str">
        <f>IF(ISBLANK(D122),"",VLOOKUP(WEEKDAY($C122,1),INDEX!$J$2:$K$8,2,0))</f>
        <v/>
      </c>
      <c r="C122" s="209"/>
      <c r="D122" s="207"/>
      <c r="E122" s="207"/>
      <c r="F122" s="207"/>
      <c r="G122" s="207"/>
      <c r="H122" s="207"/>
      <c r="I122" s="207"/>
      <c r="J122" s="207"/>
      <c r="K122" s="207"/>
      <c r="L122" s="207"/>
      <c r="M122" s="207"/>
      <c r="N122" s="207"/>
      <c r="O122" s="207"/>
      <c r="P122" s="207"/>
      <c r="Q122" s="207"/>
      <c r="R122" s="207"/>
      <c r="S122" s="207"/>
      <c r="T122" s="207"/>
      <c r="U122" s="209"/>
      <c r="V122" s="207"/>
      <c r="W122" s="207"/>
      <c r="X122" s="209">
        <f t="shared" si="19"/>
        <v>0</v>
      </c>
      <c r="Y122" s="209">
        <f t="shared" si="20"/>
        <v>0</v>
      </c>
      <c r="Z122" s="207">
        <v>1</v>
      </c>
      <c r="AA122" s="209" t="str">
        <f t="shared" si="18"/>
        <v/>
      </c>
      <c r="AB122" s="209"/>
      <c r="AC122" s="207">
        <v>0</v>
      </c>
      <c r="AD122" s="207"/>
      <c r="AE122" s="207"/>
      <c r="AF122" s="208" t="str">
        <f>IF(ISBLANK(D122),"",VLOOKUP(F122,'SIZE CALCULATION'!$F:$G,2,0))</f>
        <v/>
      </c>
      <c r="AG122" s="207" t="str">
        <f t="shared" si="28"/>
        <v/>
      </c>
      <c r="AH122" s="207" t="str">
        <f t="shared" si="21"/>
        <v/>
      </c>
      <c r="AI122" s="210" t="str">
        <f>IF(ISBLANK(D122),"",VLOOKUP($A122,INDEX!$D$2:$F$13,3,0))</f>
        <v/>
      </c>
      <c r="AJ122" s="207" t="str">
        <f t="shared" si="22"/>
        <v/>
      </c>
      <c r="AK122" s="207"/>
      <c r="AL122" s="207"/>
      <c r="AM122" s="207" t="str">
        <f>IFERROR(IF(ISBLANK($D122),"",VLOOKUP($N122,'TABLE CHARGE RATE'!$A$30:$K$106,5,0)),"Check")</f>
        <v/>
      </c>
      <c r="AN122" s="207" t="str">
        <f>IFERROR(IF(ISBLANK($D122),"",VLOOKUP($N122,'TABLE CHARGE RATE'!$A$30:$K$106,6,0)),"Check")</f>
        <v/>
      </c>
      <c r="AO122" s="207" t="str">
        <f>IFERROR(IF(ISBLANK($D122),"",VLOOKUP($N122,'TABLE CHARGE RATE'!$A$30:$K$106,7,0)),"Check")</f>
        <v/>
      </c>
      <c r="AP122" s="207" t="str">
        <f>IFERROR(IF(ISBLANK($D122),"",VLOOKUP($N122,'TABLE CHARGE RATE'!$A$30:$K$106,8,0)),"Check")</f>
        <v/>
      </c>
      <c r="AQ122" s="207" t="str">
        <f>IFERROR(IF(ISBLANK($D122),"",VLOOKUP($N122,'TABLE CHARGE RATE'!$A$30:$K$106,9,0)),"Check")</f>
        <v/>
      </c>
      <c r="AR122" s="207" t="str">
        <f>IFERROR(IF(ISBLANK($D122),"",VLOOKUP($N122,'TABLE CHARGE RATE'!$A$30:$K$106,10,0)),"Check")</f>
        <v/>
      </c>
      <c r="AS122" s="207" t="str">
        <f>IFERROR(IF(ISBLANK($D122),"",VLOOKUP($N122,'TABLE CHARGE RATE'!$A$30:$K$106,11,0)),"Check")</f>
        <v/>
      </c>
      <c r="AT122" s="207">
        <f t="shared" si="23"/>
        <v>121</v>
      </c>
    </row>
    <row r="123" spans="1:46" x14ac:dyDescent="0.2">
      <c r="A123" s="207" t="str">
        <f t="shared" si="27"/>
        <v/>
      </c>
      <c r="B123" s="208" t="str">
        <f>IF(ISBLANK(D123),"",VLOOKUP(WEEKDAY($C123,1),INDEX!$J$2:$K$8,2,0))</f>
        <v/>
      </c>
      <c r="C123" s="209"/>
      <c r="D123" s="207"/>
      <c r="E123" s="207"/>
      <c r="F123" s="207"/>
      <c r="G123" s="207"/>
      <c r="H123" s="207"/>
      <c r="I123" s="207"/>
      <c r="J123" s="207"/>
      <c r="K123" s="207"/>
      <c r="L123" s="207"/>
      <c r="M123" s="207"/>
      <c r="N123" s="207"/>
      <c r="O123" s="207"/>
      <c r="P123" s="207"/>
      <c r="Q123" s="207"/>
      <c r="R123" s="207"/>
      <c r="S123" s="207"/>
      <c r="T123" s="207"/>
      <c r="U123" s="209"/>
      <c r="V123" s="207"/>
      <c r="W123" s="207"/>
      <c r="X123" s="209">
        <f t="shared" si="19"/>
        <v>0</v>
      </c>
      <c r="Y123" s="209">
        <f t="shared" si="20"/>
        <v>0</v>
      </c>
      <c r="Z123" s="207">
        <v>1</v>
      </c>
      <c r="AA123" s="209" t="str">
        <f t="shared" si="18"/>
        <v/>
      </c>
      <c r="AB123" s="209"/>
      <c r="AC123" s="207">
        <v>0</v>
      </c>
      <c r="AD123" s="207"/>
      <c r="AE123" s="207"/>
      <c r="AF123" s="208" t="str">
        <f>IF(ISBLANK(D123),"",VLOOKUP(F123,'SIZE CALCULATION'!$F:$G,2,0))</f>
        <v/>
      </c>
      <c r="AG123" s="207" t="str">
        <f t="shared" si="28"/>
        <v/>
      </c>
      <c r="AH123" s="207" t="str">
        <f t="shared" si="21"/>
        <v/>
      </c>
      <c r="AI123" s="210" t="str">
        <f>IF(ISBLANK(D123),"",VLOOKUP($A123,INDEX!$D$2:$F$13,3,0))</f>
        <v/>
      </c>
      <c r="AJ123" s="207" t="str">
        <f t="shared" si="22"/>
        <v/>
      </c>
      <c r="AK123" s="207"/>
      <c r="AL123" s="207"/>
      <c r="AM123" s="207" t="str">
        <f>IFERROR(IF(ISBLANK($D123),"",VLOOKUP($N123,'TABLE CHARGE RATE'!$A$30:$K$106,5,0)),"Check")</f>
        <v/>
      </c>
      <c r="AN123" s="207" t="str">
        <f>IFERROR(IF(ISBLANK($D123),"",VLOOKUP($N123,'TABLE CHARGE RATE'!$A$30:$K$106,6,0)),"Check")</f>
        <v/>
      </c>
      <c r="AO123" s="207" t="str">
        <f>IFERROR(IF(ISBLANK($D123),"",VLOOKUP($N123,'TABLE CHARGE RATE'!$A$30:$K$106,7,0)),"Check")</f>
        <v/>
      </c>
      <c r="AP123" s="207" t="str">
        <f>IFERROR(IF(ISBLANK($D123),"",VLOOKUP($N123,'TABLE CHARGE RATE'!$A$30:$K$106,8,0)),"Check")</f>
        <v/>
      </c>
      <c r="AQ123" s="207" t="str">
        <f>IFERROR(IF(ISBLANK($D123),"",VLOOKUP($N123,'TABLE CHARGE RATE'!$A$30:$K$106,9,0)),"Check")</f>
        <v/>
      </c>
      <c r="AR123" s="207" t="str">
        <f>IFERROR(IF(ISBLANK($D123),"",VLOOKUP($N123,'TABLE CHARGE RATE'!$A$30:$K$106,10,0)),"Check")</f>
        <v/>
      </c>
      <c r="AS123" s="207" t="str">
        <f>IFERROR(IF(ISBLANK($D123),"",VLOOKUP($N123,'TABLE CHARGE RATE'!$A$30:$K$106,11,0)),"Check")</f>
        <v/>
      </c>
      <c r="AT123" s="207">
        <f t="shared" si="23"/>
        <v>122</v>
      </c>
    </row>
    <row r="124" spans="1:46" x14ac:dyDescent="0.2">
      <c r="A124" s="207" t="str">
        <f t="shared" si="27"/>
        <v/>
      </c>
      <c r="B124" s="208" t="str">
        <f>IF(ISBLANK(D124),"",VLOOKUP(WEEKDAY($C124,1),INDEX!$J$2:$K$8,2,0))</f>
        <v/>
      </c>
      <c r="C124" s="209"/>
      <c r="D124" s="207"/>
      <c r="E124" s="207"/>
      <c r="F124" s="207"/>
      <c r="G124" s="207"/>
      <c r="H124" s="207"/>
      <c r="I124" s="207"/>
      <c r="J124" s="207"/>
      <c r="K124" s="207"/>
      <c r="L124" s="207"/>
      <c r="M124" s="207"/>
      <c r="N124" s="207"/>
      <c r="O124" s="207"/>
      <c r="P124" s="207"/>
      <c r="Q124" s="207"/>
      <c r="R124" s="207"/>
      <c r="S124" s="207"/>
      <c r="T124" s="207"/>
      <c r="U124" s="209"/>
      <c r="V124" s="207"/>
      <c r="W124" s="207"/>
      <c r="X124" s="209">
        <f t="shared" si="19"/>
        <v>0</v>
      </c>
      <c r="Y124" s="209">
        <f t="shared" si="20"/>
        <v>0</v>
      </c>
      <c r="Z124" s="207">
        <v>1</v>
      </c>
      <c r="AA124" s="209" t="str">
        <f t="shared" si="18"/>
        <v/>
      </c>
      <c r="AB124" s="209"/>
      <c r="AC124" s="207">
        <v>0</v>
      </c>
      <c r="AD124" s="207"/>
      <c r="AE124" s="207"/>
      <c r="AF124" s="208" t="str">
        <f>IF(ISBLANK(D124),"",VLOOKUP(F124,'SIZE CALCULATION'!$F:$G,2,0))</f>
        <v/>
      </c>
      <c r="AG124" s="207" t="str">
        <f t="shared" si="28"/>
        <v/>
      </c>
      <c r="AH124" s="207" t="str">
        <f t="shared" si="21"/>
        <v/>
      </c>
      <c r="AI124" s="210" t="str">
        <f>IF(ISBLANK(D124),"",VLOOKUP($A124,INDEX!$D$2:$F$13,3,0))</f>
        <v/>
      </c>
      <c r="AJ124" s="207" t="str">
        <f t="shared" si="22"/>
        <v/>
      </c>
      <c r="AK124" s="207"/>
      <c r="AL124" s="207"/>
      <c r="AM124" s="207" t="str">
        <f>IFERROR(IF(ISBLANK($D124),"",VLOOKUP($N124,'TABLE CHARGE RATE'!$A$30:$K$106,5,0)),"Check")</f>
        <v/>
      </c>
      <c r="AN124" s="207" t="str">
        <f>IFERROR(IF(ISBLANK($D124),"",VLOOKUP($N124,'TABLE CHARGE RATE'!$A$30:$K$106,6,0)),"Check")</f>
        <v/>
      </c>
      <c r="AO124" s="207" t="str">
        <f>IFERROR(IF(ISBLANK($D124),"",VLOOKUP($N124,'TABLE CHARGE RATE'!$A$30:$K$106,7,0)),"Check")</f>
        <v/>
      </c>
      <c r="AP124" s="207" t="str">
        <f>IFERROR(IF(ISBLANK($D124),"",VLOOKUP($N124,'TABLE CHARGE RATE'!$A$30:$K$106,8,0)),"Check")</f>
        <v/>
      </c>
      <c r="AQ124" s="207" t="str">
        <f>IFERROR(IF(ISBLANK($D124),"",VLOOKUP($N124,'TABLE CHARGE RATE'!$A$30:$K$106,9,0)),"Check")</f>
        <v/>
      </c>
      <c r="AR124" s="207" t="str">
        <f>IFERROR(IF(ISBLANK($D124),"",VLOOKUP($N124,'TABLE CHARGE RATE'!$A$30:$K$106,10,0)),"Check")</f>
        <v/>
      </c>
      <c r="AS124" s="207" t="str">
        <f>IFERROR(IF(ISBLANK($D124),"",VLOOKUP($N124,'TABLE CHARGE RATE'!$A$30:$K$106,11,0)),"Check")</f>
        <v/>
      </c>
      <c r="AT124" s="207">
        <f t="shared" si="23"/>
        <v>123</v>
      </c>
    </row>
    <row r="125" spans="1:46" x14ac:dyDescent="0.2">
      <c r="A125" s="207" t="str">
        <f t="shared" si="27"/>
        <v/>
      </c>
      <c r="B125" s="208" t="str">
        <f>IF(ISBLANK(D125),"",VLOOKUP(WEEKDAY($C125,1),INDEX!$J$2:$K$8,2,0))</f>
        <v/>
      </c>
      <c r="C125" s="209"/>
      <c r="D125" s="207"/>
      <c r="E125" s="207"/>
      <c r="F125" s="207"/>
      <c r="G125" s="207"/>
      <c r="H125" s="207"/>
      <c r="I125" s="207"/>
      <c r="J125" s="207"/>
      <c r="K125" s="207"/>
      <c r="L125" s="207"/>
      <c r="M125" s="207"/>
      <c r="N125" s="207"/>
      <c r="O125" s="207"/>
      <c r="P125" s="207"/>
      <c r="Q125" s="207"/>
      <c r="R125" s="207"/>
      <c r="S125" s="207"/>
      <c r="T125" s="207"/>
      <c r="U125" s="209"/>
      <c r="V125" s="207"/>
      <c r="W125" s="207"/>
      <c r="X125" s="209">
        <f t="shared" si="19"/>
        <v>0</v>
      </c>
      <c r="Y125" s="209">
        <f t="shared" si="20"/>
        <v>0</v>
      </c>
      <c r="Z125" s="207">
        <v>1</v>
      </c>
      <c r="AA125" s="209" t="str">
        <f t="shared" si="18"/>
        <v/>
      </c>
      <c r="AB125" s="209"/>
      <c r="AC125" s="207">
        <v>0</v>
      </c>
      <c r="AD125" s="207"/>
      <c r="AE125" s="207"/>
      <c r="AF125" s="208" t="str">
        <f>IF(ISBLANK(D125),"",VLOOKUP(F125,'SIZE CALCULATION'!$F:$G,2,0))</f>
        <v/>
      </c>
      <c r="AG125" s="207" t="str">
        <f t="shared" si="28"/>
        <v/>
      </c>
      <c r="AH125" s="207" t="str">
        <f t="shared" si="21"/>
        <v/>
      </c>
      <c r="AI125" s="210" t="str">
        <f>IF(ISBLANK(D125),"",VLOOKUP($A125,INDEX!$D$2:$F$13,3,0))</f>
        <v/>
      </c>
      <c r="AJ125" s="207" t="str">
        <f t="shared" si="22"/>
        <v/>
      </c>
      <c r="AK125" s="207"/>
      <c r="AL125" s="207"/>
      <c r="AM125" s="207" t="str">
        <f>IFERROR(IF(ISBLANK($D125),"",VLOOKUP($N125,'TABLE CHARGE RATE'!$A$30:$K$106,5,0)),"Check")</f>
        <v/>
      </c>
      <c r="AN125" s="207" t="str">
        <f>IFERROR(IF(ISBLANK($D125),"",VLOOKUP($N125,'TABLE CHARGE RATE'!$A$30:$K$106,6,0)),"Check")</f>
        <v/>
      </c>
      <c r="AO125" s="207" t="str">
        <f>IFERROR(IF(ISBLANK($D125),"",VLOOKUP($N125,'TABLE CHARGE RATE'!$A$30:$K$106,7,0)),"Check")</f>
        <v/>
      </c>
      <c r="AP125" s="207" t="str">
        <f>IFERROR(IF(ISBLANK($D125),"",VLOOKUP($N125,'TABLE CHARGE RATE'!$A$30:$K$106,8,0)),"Check")</f>
        <v/>
      </c>
      <c r="AQ125" s="207" t="str">
        <f>IFERROR(IF(ISBLANK($D125),"",VLOOKUP($N125,'TABLE CHARGE RATE'!$A$30:$K$106,9,0)),"Check")</f>
        <v/>
      </c>
      <c r="AR125" s="207" t="str">
        <f>IFERROR(IF(ISBLANK($D125),"",VLOOKUP($N125,'TABLE CHARGE RATE'!$A$30:$K$106,10,0)),"Check")</f>
        <v/>
      </c>
      <c r="AS125" s="207" t="str">
        <f>IFERROR(IF(ISBLANK($D125),"",VLOOKUP($N125,'TABLE CHARGE RATE'!$A$30:$K$106,11,0)),"Check")</f>
        <v/>
      </c>
      <c r="AT125" s="207">
        <f t="shared" si="23"/>
        <v>124</v>
      </c>
    </row>
    <row r="126" spans="1:46" x14ac:dyDescent="0.2">
      <c r="A126" s="207" t="str">
        <f t="shared" si="27"/>
        <v/>
      </c>
      <c r="B126" s="208" t="str">
        <f>IF(ISBLANK(D126),"",VLOOKUP(WEEKDAY($C126,1),INDEX!$J$2:$K$8,2,0))</f>
        <v/>
      </c>
      <c r="C126" s="209"/>
      <c r="D126" s="207"/>
      <c r="E126" s="207"/>
      <c r="F126" s="207"/>
      <c r="G126" s="207"/>
      <c r="H126" s="207"/>
      <c r="I126" s="207"/>
      <c r="J126" s="207"/>
      <c r="K126" s="207"/>
      <c r="L126" s="207"/>
      <c r="M126" s="207"/>
      <c r="N126" s="207"/>
      <c r="O126" s="207"/>
      <c r="P126" s="207"/>
      <c r="Q126" s="207"/>
      <c r="R126" s="207"/>
      <c r="S126" s="207"/>
      <c r="T126" s="207"/>
      <c r="U126" s="209"/>
      <c r="V126" s="207"/>
      <c r="W126" s="207"/>
      <c r="X126" s="209">
        <f t="shared" si="19"/>
        <v>0</v>
      </c>
      <c r="Y126" s="209">
        <f t="shared" si="20"/>
        <v>0</v>
      </c>
      <c r="Z126" s="207">
        <v>1</v>
      </c>
      <c r="AA126" s="209" t="str">
        <f t="shared" si="18"/>
        <v/>
      </c>
      <c r="AB126" s="209"/>
      <c r="AC126" s="207">
        <v>0</v>
      </c>
      <c r="AD126" s="207"/>
      <c r="AE126" s="207"/>
      <c r="AF126" s="208" t="str">
        <f>IF(ISBLANK(D126),"",VLOOKUP(F126,'SIZE CALCULATION'!$F:$G,2,0))</f>
        <v/>
      </c>
      <c r="AG126" s="207" t="str">
        <f t="shared" si="28"/>
        <v/>
      </c>
      <c r="AH126" s="207" t="str">
        <f t="shared" si="21"/>
        <v/>
      </c>
      <c r="AI126" s="210" t="str">
        <f>IF(ISBLANK(D126),"",VLOOKUP($A126,INDEX!$D$2:$F$13,3,0))</f>
        <v/>
      </c>
      <c r="AJ126" s="207" t="str">
        <f t="shared" si="22"/>
        <v/>
      </c>
      <c r="AK126" s="207"/>
      <c r="AL126" s="207"/>
      <c r="AM126" s="207" t="str">
        <f>IFERROR(IF(ISBLANK($D126),"",VLOOKUP($N126,'TABLE CHARGE RATE'!$A$30:$K$106,5,0)),"Check")</f>
        <v/>
      </c>
      <c r="AN126" s="207" t="str">
        <f>IFERROR(IF(ISBLANK($D126),"",VLOOKUP($N126,'TABLE CHARGE RATE'!$A$30:$K$106,6,0)),"Check")</f>
        <v/>
      </c>
      <c r="AO126" s="207" t="str">
        <f>IFERROR(IF(ISBLANK($D126),"",VLOOKUP($N126,'TABLE CHARGE RATE'!$A$30:$K$106,7,0)),"Check")</f>
        <v/>
      </c>
      <c r="AP126" s="207" t="str">
        <f>IFERROR(IF(ISBLANK($D126),"",VLOOKUP($N126,'TABLE CHARGE RATE'!$A$30:$K$106,8,0)),"Check")</f>
        <v/>
      </c>
      <c r="AQ126" s="207" t="str">
        <f>IFERROR(IF(ISBLANK($D126),"",VLOOKUP($N126,'TABLE CHARGE RATE'!$A$30:$K$106,9,0)),"Check")</f>
        <v/>
      </c>
      <c r="AR126" s="207" t="str">
        <f>IFERROR(IF(ISBLANK($D126),"",VLOOKUP($N126,'TABLE CHARGE RATE'!$A$30:$K$106,10,0)),"Check")</f>
        <v/>
      </c>
      <c r="AS126" s="207" t="str">
        <f>IFERROR(IF(ISBLANK($D126),"",VLOOKUP($N126,'TABLE CHARGE RATE'!$A$30:$K$106,11,0)),"Check")</f>
        <v/>
      </c>
      <c r="AT126" s="207">
        <f t="shared" si="23"/>
        <v>125</v>
      </c>
    </row>
    <row r="127" spans="1:46" x14ac:dyDescent="0.2">
      <c r="A127" s="207" t="str">
        <f t="shared" si="27"/>
        <v/>
      </c>
      <c r="B127" s="208" t="str">
        <f>IF(ISBLANK(D127),"",VLOOKUP(WEEKDAY($C127,1),INDEX!$J$2:$K$8,2,0))</f>
        <v/>
      </c>
      <c r="C127" s="209"/>
      <c r="D127" s="207"/>
      <c r="E127" s="207"/>
      <c r="F127" s="207"/>
      <c r="G127" s="207"/>
      <c r="H127" s="207"/>
      <c r="I127" s="207"/>
      <c r="J127" s="207"/>
      <c r="K127" s="207"/>
      <c r="L127" s="207"/>
      <c r="M127" s="207"/>
      <c r="N127" s="207"/>
      <c r="O127" s="207"/>
      <c r="P127" s="207"/>
      <c r="Q127" s="207"/>
      <c r="R127" s="207"/>
      <c r="S127" s="207"/>
      <c r="T127" s="207"/>
      <c r="U127" s="209"/>
      <c r="V127" s="207"/>
      <c r="W127" s="207"/>
      <c r="X127" s="209">
        <f t="shared" si="19"/>
        <v>0</v>
      </c>
      <c r="Y127" s="209">
        <f t="shared" si="20"/>
        <v>0</v>
      </c>
      <c r="Z127" s="207">
        <v>1</v>
      </c>
      <c r="AA127" s="209" t="str">
        <f t="shared" si="18"/>
        <v/>
      </c>
      <c r="AB127" s="209"/>
      <c r="AC127" s="207">
        <v>0</v>
      </c>
      <c r="AD127" s="207"/>
      <c r="AE127" s="207"/>
      <c r="AF127" s="208" t="str">
        <f>IF(ISBLANK(D127),"",VLOOKUP(F127,'SIZE CALCULATION'!$F:$G,2,0))</f>
        <v/>
      </c>
      <c r="AG127" s="207" t="str">
        <f t="shared" si="28"/>
        <v/>
      </c>
      <c r="AH127" s="207" t="str">
        <f t="shared" si="21"/>
        <v/>
      </c>
      <c r="AI127" s="210" t="str">
        <f>IF(ISBLANK(D127),"",VLOOKUP($A127,INDEX!$D$2:$F$13,3,0))</f>
        <v/>
      </c>
      <c r="AJ127" s="207" t="str">
        <f t="shared" si="22"/>
        <v/>
      </c>
      <c r="AK127" s="207"/>
      <c r="AL127" s="207"/>
      <c r="AM127" s="207" t="str">
        <f>IFERROR(IF(ISBLANK($D127),"",VLOOKUP($N127,'TABLE CHARGE RATE'!$A$30:$K$106,5,0)),"Check")</f>
        <v/>
      </c>
      <c r="AN127" s="207" t="str">
        <f>IFERROR(IF(ISBLANK($D127),"",VLOOKUP($N127,'TABLE CHARGE RATE'!$A$30:$K$106,6,0)),"Check")</f>
        <v/>
      </c>
      <c r="AO127" s="207" t="str">
        <f>IFERROR(IF(ISBLANK($D127),"",VLOOKUP($N127,'TABLE CHARGE RATE'!$A$30:$K$106,7,0)),"Check")</f>
        <v/>
      </c>
      <c r="AP127" s="207" t="str">
        <f>IFERROR(IF(ISBLANK($D127),"",VLOOKUP($N127,'TABLE CHARGE RATE'!$A$30:$K$106,8,0)),"Check")</f>
        <v/>
      </c>
      <c r="AQ127" s="207" t="str">
        <f>IFERROR(IF(ISBLANK($D127),"",VLOOKUP($N127,'TABLE CHARGE RATE'!$A$30:$K$106,9,0)),"Check")</f>
        <v/>
      </c>
      <c r="AR127" s="207" t="str">
        <f>IFERROR(IF(ISBLANK($D127),"",VLOOKUP($N127,'TABLE CHARGE RATE'!$A$30:$K$106,10,0)),"Check")</f>
        <v/>
      </c>
      <c r="AS127" s="207" t="str">
        <f>IFERROR(IF(ISBLANK($D127),"",VLOOKUP($N127,'TABLE CHARGE RATE'!$A$30:$K$106,11,0)),"Check")</f>
        <v/>
      </c>
      <c r="AT127" s="207">
        <f t="shared" si="23"/>
        <v>126</v>
      </c>
    </row>
    <row r="128" spans="1:46" x14ac:dyDescent="0.2">
      <c r="A128" s="207" t="str">
        <f t="shared" si="27"/>
        <v/>
      </c>
      <c r="B128" s="208" t="str">
        <f>IF(ISBLANK(D128),"",VLOOKUP(WEEKDAY($C128,1),INDEX!$J$2:$K$8,2,0))</f>
        <v/>
      </c>
      <c r="C128" s="209"/>
      <c r="D128" s="207"/>
      <c r="E128" s="207"/>
      <c r="F128" s="207"/>
      <c r="G128" s="207"/>
      <c r="H128" s="207"/>
      <c r="I128" s="207"/>
      <c r="J128" s="207"/>
      <c r="K128" s="207"/>
      <c r="L128" s="207"/>
      <c r="M128" s="207"/>
      <c r="N128" s="207"/>
      <c r="O128" s="207"/>
      <c r="P128" s="207"/>
      <c r="Q128" s="207"/>
      <c r="R128" s="207"/>
      <c r="S128" s="207"/>
      <c r="T128" s="207"/>
      <c r="U128" s="209"/>
      <c r="V128" s="207"/>
      <c r="W128" s="207"/>
      <c r="X128" s="209">
        <f t="shared" si="19"/>
        <v>0</v>
      </c>
      <c r="Y128" s="209">
        <f t="shared" si="20"/>
        <v>0</v>
      </c>
      <c r="Z128" s="207">
        <v>1</v>
      </c>
      <c r="AA128" s="209" t="str">
        <f t="shared" si="18"/>
        <v/>
      </c>
      <c r="AB128" s="209"/>
      <c r="AC128" s="207">
        <v>0</v>
      </c>
      <c r="AD128" s="207"/>
      <c r="AE128" s="207"/>
      <c r="AF128" s="208" t="str">
        <f>IF(ISBLANK(D128),"",VLOOKUP(F128,'SIZE CALCULATION'!$F:$G,2,0))</f>
        <v/>
      </c>
      <c r="AG128" s="207" t="str">
        <f t="shared" si="28"/>
        <v/>
      </c>
      <c r="AH128" s="207" t="str">
        <f t="shared" si="21"/>
        <v/>
      </c>
      <c r="AI128" s="210" t="str">
        <f>IF(ISBLANK(D128),"",VLOOKUP($A128,INDEX!$D$2:$F$13,3,0))</f>
        <v/>
      </c>
      <c r="AJ128" s="207" t="str">
        <f t="shared" si="22"/>
        <v/>
      </c>
      <c r="AK128" s="207"/>
      <c r="AL128" s="207"/>
      <c r="AM128" s="207" t="str">
        <f>IFERROR(IF(ISBLANK($D128),"",VLOOKUP($N128,'TABLE CHARGE RATE'!$A$30:$K$106,5,0)),"Check")</f>
        <v/>
      </c>
      <c r="AN128" s="207" t="str">
        <f>IFERROR(IF(ISBLANK($D128),"",VLOOKUP($N128,'TABLE CHARGE RATE'!$A$30:$K$106,6,0)),"Check")</f>
        <v/>
      </c>
      <c r="AO128" s="207" t="str">
        <f>IFERROR(IF(ISBLANK($D128),"",VLOOKUP($N128,'TABLE CHARGE RATE'!$A$30:$K$106,7,0)),"Check")</f>
        <v/>
      </c>
      <c r="AP128" s="207" t="str">
        <f>IFERROR(IF(ISBLANK($D128),"",VLOOKUP($N128,'TABLE CHARGE RATE'!$A$30:$K$106,8,0)),"Check")</f>
        <v/>
      </c>
      <c r="AQ128" s="207" t="str">
        <f>IFERROR(IF(ISBLANK($D128),"",VLOOKUP($N128,'TABLE CHARGE RATE'!$A$30:$K$106,9,0)),"Check")</f>
        <v/>
      </c>
      <c r="AR128" s="207" t="str">
        <f>IFERROR(IF(ISBLANK($D128),"",VLOOKUP($N128,'TABLE CHARGE RATE'!$A$30:$K$106,10,0)),"Check")</f>
        <v/>
      </c>
      <c r="AS128" s="207" t="str">
        <f>IFERROR(IF(ISBLANK($D128),"",VLOOKUP($N128,'TABLE CHARGE RATE'!$A$30:$K$106,11,0)),"Check")</f>
        <v/>
      </c>
      <c r="AT128" s="207">
        <f t="shared" si="23"/>
        <v>127</v>
      </c>
    </row>
    <row r="129" spans="1:46" x14ac:dyDescent="0.2">
      <c r="A129" s="207" t="str">
        <f t="shared" si="27"/>
        <v/>
      </c>
      <c r="B129" s="208" t="str">
        <f>IF(ISBLANK(D129),"",VLOOKUP(WEEKDAY($C129,1),INDEX!$J$2:$K$8,2,0))</f>
        <v/>
      </c>
      <c r="C129" s="209"/>
      <c r="D129" s="207"/>
      <c r="E129" s="207"/>
      <c r="F129" s="207"/>
      <c r="G129" s="207"/>
      <c r="H129" s="207"/>
      <c r="I129" s="207"/>
      <c r="J129" s="207"/>
      <c r="K129" s="207"/>
      <c r="L129" s="207"/>
      <c r="M129" s="207"/>
      <c r="N129" s="207"/>
      <c r="O129" s="207"/>
      <c r="P129" s="207"/>
      <c r="Q129" s="207"/>
      <c r="R129" s="207"/>
      <c r="S129" s="207"/>
      <c r="T129" s="207"/>
      <c r="U129" s="209"/>
      <c r="V129" s="207"/>
      <c r="W129" s="207"/>
      <c r="X129" s="209">
        <f t="shared" si="19"/>
        <v>0</v>
      </c>
      <c r="Y129" s="209">
        <f t="shared" si="20"/>
        <v>0</v>
      </c>
      <c r="Z129" s="207">
        <v>1</v>
      </c>
      <c r="AA129" s="209" t="str">
        <f t="shared" si="18"/>
        <v/>
      </c>
      <c r="AB129" s="209"/>
      <c r="AC129" s="207">
        <v>0</v>
      </c>
      <c r="AD129" s="207"/>
      <c r="AE129" s="207"/>
      <c r="AF129" s="208" t="str">
        <f>IF(ISBLANK(D129),"",VLOOKUP(F129,'SIZE CALCULATION'!$F:$G,2,0))</f>
        <v/>
      </c>
      <c r="AG129" s="207" t="str">
        <f t="shared" si="28"/>
        <v/>
      </c>
      <c r="AH129" s="207" t="str">
        <f t="shared" si="21"/>
        <v/>
      </c>
      <c r="AI129" s="210" t="str">
        <f>IF(ISBLANK(D129),"",VLOOKUP($A129,INDEX!$D$2:$F$13,3,0))</f>
        <v/>
      </c>
      <c r="AJ129" s="207" t="str">
        <f t="shared" si="22"/>
        <v/>
      </c>
      <c r="AK129" s="207"/>
      <c r="AL129" s="207"/>
      <c r="AM129" s="207" t="str">
        <f>IFERROR(IF(ISBLANK($D129),"",VLOOKUP($N129,'TABLE CHARGE RATE'!$A$30:$K$106,5,0)),"Check")</f>
        <v/>
      </c>
      <c r="AN129" s="207" t="str">
        <f>IFERROR(IF(ISBLANK($D129),"",VLOOKUP($N129,'TABLE CHARGE RATE'!$A$30:$K$106,6,0)),"Check")</f>
        <v/>
      </c>
      <c r="AO129" s="207" t="str">
        <f>IFERROR(IF(ISBLANK($D129),"",VLOOKUP($N129,'TABLE CHARGE RATE'!$A$30:$K$106,7,0)),"Check")</f>
        <v/>
      </c>
      <c r="AP129" s="207" t="str">
        <f>IFERROR(IF(ISBLANK($D129),"",VLOOKUP($N129,'TABLE CHARGE RATE'!$A$30:$K$106,8,0)),"Check")</f>
        <v/>
      </c>
      <c r="AQ129" s="207" t="str">
        <f>IFERROR(IF(ISBLANK($D129),"",VLOOKUP($N129,'TABLE CHARGE RATE'!$A$30:$K$106,9,0)),"Check")</f>
        <v/>
      </c>
      <c r="AR129" s="207" t="str">
        <f>IFERROR(IF(ISBLANK($D129),"",VLOOKUP($N129,'TABLE CHARGE RATE'!$A$30:$K$106,10,0)),"Check")</f>
        <v/>
      </c>
      <c r="AS129" s="207" t="str">
        <f>IFERROR(IF(ISBLANK($D129),"",VLOOKUP($N129,'TABLE CHARGE RATE'!$A$30:$K$106,11,0)),"Check")</f>
        <v/>
      </c>
      <c r="AT129" s="207">
        <f t="shared" si="23"/>
        <v>128</v>
      </c>
    </row>
    <row r="130" spans="1:46" x14ac:dyDescent="0.2">
      <c r="A130" s="207" t="str">
        <f t="shared" ref="A130:A189" si="29">IF(ISBLANK(D130),"",MONTH(C130))</f>
        <v/>
      </c>
      <c r="B130" s="208" t="str">
        <f>IF(ISBLANK(D130),"",VLOOKUP(WEEKDAY($C130,1),INDEX!$J$2:$K$8,2,0))</f>
        <v/>
      </c>
      <c r="C130" s="209"/>
      <c r="D130" s="207"/>
      <c r="E130" s="207"/>
      <c r="F130" s="207"/>
      <c r="G130" s="207"/>
      <c r="H130" s="207"/>
      <c r="I130" s="207"/>
      <c r="J130" s="207"/>
      <c r="K130" s="207"/>
      <c r="L130" s="207"/>
      <c r="M130" s="207"/>
      <c r="N130" s="207"/>
      <c r="O130" s="207"/>
      <c r="P130" s="207"/>
      <c r="Q130" s="207"/>
      <c r="R130" s="207"/>
      <c r="S130" s="207"/>
      <c r="T130" s="207"/>
      <c r="U130" s="209"/>
      <c r="V130" s="207"/>
      <c r="W130" s="207"/>
      <c r="X130" s="209">
        <f t="shared" si="19"/>
        <v>0</v>
      </c>
      <c r="Y130" s="209">
        <f t="shared" si="20"/>
        <v>0</v>
      </c>
      <c r="Z130" s="207">
        <v>1</v>
      </c>
      <c r="AA130" s="209" t="str">
        <f t="shared" ref="AA130:AA193" si="30">IF(ISBLANK(D130),"",Y130+10)</f>
        <v/>
      </c>
      <c r="AB130" s="209"/>
      <c r="AC130" s="207">
        <v>0</v>
      </c>
      <c r="AD130" s="207"/>
      <c r="AE130" s="207"/>
      <c r="AF130" s="208" t="str">
        <f>IF(ISBLANK(D130),"",VLOOKUP(F130,'SIZE CALCULATION'!$F:$G,2,0))</f>
        <v/>
      </c>
      <c r="AG130" s="207" t="str">
        <f t="shared" si="28"/>
        <v/>
      </c>
      <c r="AH130" s="207" t="str">
        <f t="shared" si="21"/>
        <v/>
      </c>
      <c r="AI130" s="210" t="str">
        <f>IF(ISBLANK(D130),"",VLOOKUP($A130,INDEX!$D$2:$F$13,3,0))</f>
        <v/>
      </c>
      <c r="AJ130" s="207" t="str">
        <f t="shared" si="22"/>
        <v/>
      </c>
      <c r="AK130" s="207"/>
      <c r="AL130" s="207"/>
      <c r="AM130" s="207" t="str">
        <f>IFERROR(IF(ISBLANK($D130),"",VLOOKUP($N130,'TABLE CHARGE RATE'!$A$30:$K$106,5,0)),"Check")</f>
        <v/>
      </c>
      <c r="AN130" s="207" t="str">
        <f>IFERROR(IF(ISBLANK($D130),"",VLOOKUP($N130,'TABLE CHARGE RATE'!$A$30:$K$106,6,0)),"Check")</f>
        <v/>
      </c>
      <c r="AO130" s="207" t="str">
        <f>IFERROR(IF(ISBLANK($D130),"",VLOOKUP($N130,'TABLE CHARGE RATE'!$A$30:$K$106,7,0)),"Check")</f>
        <v/>
      </c>
      <c r="AP130" s="207" t="str">
        <f>IFERROR(IF(ISBLANK($D130),"",VLOOKUP($N130,'TABLE CHARGE RATE'!$A$30:$K$106,8,0)),"Check")</f>
        <v/>
      </c>
      <c r="AQ130" s="207" t="str">
        <f>IFERROR(IF(ISBLANK($D130),"",VLOOKUP($N130,'TABLE CHARGE RATE'!$A$30:$K$106,9,0)),"Check")</f>
        <v/>
      </c>
      <c r="AR130" s="207" t="str">
        <f>IFERROR(IF(ISBLANK($D130),"",VLOOKUP($N130,'TABLE CHARGE RATE'!$A$30:$K$106,10,0)),"Check")</f>
        <v/>
      </c>
      <c r="AS130" s="207" t="str">
        <f>IFERROR(IF(ISBLANK($D130),"",VLOOKUP($N130,'TABLE CHARGE RATE'!$A$30:$K$106,11,0)),"Check")</f>
        <v/>
      </c>
      <c r="AT130" s="207">
        <f t="shared" si="23"/>
        <v>129</v>
      </c>
    </row>
    <row r="131" spans="1:46" x14ac:dyDescent="0.2">
      <c r="A131" s="207" t="str">
        <f t="shared" si="29"/>
        <v/>
      </c>
      <c r="B131" s="208" t="str">
        <f>IF(ISBLANK(D131),"",VLOOKUP(WEEKDAY($C131,1),INDEX!$J$2:$K$8,2,0))</f>
        <v/>
      </c>
      <c r="C131" s="209"/>
      <c r="D131" s="207"/>
      <c r="E131" s="207"/>
      <c r="F131" s="207"/>
      <c r="G131" s="207"/>
      <c r="H131" s="207"/>
      <c r="I131" s="207"/>
      <c r="J131" s="207"/>
      <c r="K131" s="207"/>
      <c r="L131" s="207"/>
      <c r="M131" s="207"/>
      <c r="N131" s="207"/>
      <c r="O131" s="207"/>
      <c r="P131" s="207"/>
      <c r="Q131" s="207"/>
      <c r="R131" s="207"/>
      <c r="S131" s="207"/>
      <c r="T131" s="207"/>
      <c r="U131" s="209"/>
      <c r="V131" s="207"/>
      <c r="W131" s="207"/>
      <c r="X131" s="209">
        <f t="shared" ref="X131:X194" si="31">U131</f>
        <v>0</v>
      </c>
      <c r="Y131" s="209">
        <f t="shared" ref="Y131:Y194" si="32">U131</f>
        <v>0</v>
      </c>
      <c r="Z131" s="207">
        <v>1</v>
      </c>
      <c r="AA131" s="209" t="str">
        <f t="shared" si="30"/>
        <v/>
      </c>
      <c r="AB131" s="209"/>
      <c r="AC131" s="207">
        <v>0</v>
      </c>
      <c r="AD131" s="207"/>
      <c r="AE131" s="207"/>
      <c r="AF131" s="208" t="str">
        <f>IF(ISBLANK(D131),"",VLOOKUP(F131,'SIZE CALCULATION'!$F:$G,2,0))</f>
        <v/>
      </c>
      <c r="AG131" s="207" t="str">
        <f t="shared" si="28"/>
        <v/>
      </c>
      <c r="AH131" s="207" t="str">
        <f t="shared" si="21"/>
        <v/>
      </c>
      <c r="AI131" s="210" t="str">
        <f>IF(ISBLANK(D131),"",VLOOKUP($A131,INDEX!$D$2:$F$13,3,0))</f>
        <v/>
      </c>
      <c r="AJ131" s="207" t="str">
        <f t="shared" si="22"/>
        <v/>
      </c>
      <c r="AK131" s="207"/>
      <c r="AL131" s="207"/>
      <c r="AM131" s="207" t="str">
        <f>IFERROR(IF(ISBLANK($D131),"",VLOOKUP($N131,'TABLE CHARGE RATE'!$A$30:$K$106,5,0)),"Check")</f>
        <v/>
      </c>
      <c r="AN131" s="207" t="str">
        <f>IFERROR(IF(ISBLANK($D131),"",VLOOKUP($N131,'TABLE CHARGE RATE'!$A$30:$K$106,6,0)),"Check")</f>
        <v/>
      </c>
      <c r="AO131" s="207" t="str">
        <f>IFERROR(IF(ISBLANK($D131),"",VLOOKUP($N131,'TABLE CHARGE RATE'!$A$30:$K$106,7,0)),"Check")</f>
        <v/>
      </c>
      <c r="AP131" s="207" t="str">
        <f>IFERROR(IF(ISBLANK($D131),"",VLOOKUP($N131,'TABLE CHARGE RATE'!$A$30:$K$106,8,0)),"Check")</f>
        <v/>
      </c>
      <c r="AQ131" s="207" t="str">
        <f>IFERROR(IF(ISBLANK($D131),"",VLOOKUP($N131,'TABLE CHARGE RATE'!$A$30:$K$106,9,0)),"Check")</f>
        <v/>
      </c>
      <c r="AR131" s="207" t="str">
        <f>IFERROR(IF(ISBLANK($D131),"",VLOOKUP($N131,'TABLE CHARGE RATE'!$A$30:$K$106,10,0)),"Check")</f>
        <v/>
      </c>
      <c r="AS131" s="207" t="str">
        <f>IFERROR(IF(ISBLANK($D131),"",VLOOKUP($N131,'TABLE CHARGE RATE'!$A$30:$K$106,11,0)),"Check")</f>
        <v/>
      </c>
      <c r="AT131" s="207">
        <f t="shared" si="23"/>
        <v>130</v>
      </c>
    </row>
    <row r="132" spans="1:46" x14ac:dyDescent="0.2">
      <c r="A132" s="207" t="str">
        <f t="shared" si="29"/>
        <v/>
      </c>
      <c r="B132" s="208" t="str">
        <f>IF(ISBLANK(D132),"",VLOOKUP(WEEKDAY($C132,1),INDEX!$J$2:$K$8,2,0))</f>
        <v/>
      </c>
      <c r="C132" s="209"/>
      <c r="D132" s="207"/>
      <c r="E132" s="207"/>
      <c r="F132" s="207"/>
      <c r="G132" s="207"/>
      <c r="H132" s="207"/>
      <c r="I132" s="207"/>
      <c r="J132" s="207"/>
      <c r="K132" s="207"/>
      <c r="L132" s="207"/>
      <c r="M132" s="207"/>
      <c r="N132" s="207"/>
      <c r="O132" s="207"/>
      <c r="P132" s="207"/>
      <c r="Q132" s="207"/>
      <c r="R132" s="207"/>
      <c r="S132" s="207"/>
      <c r="T132" s="207"/>
      <c r="U132" s="209"/>
      <c r="V132" s="207"/>
      <c r="W132" s="207"/>
      <c r="X132" s="209">
        <f t="shared" si="31"/>
        <v>0</v>
      </c>
      <c r="Y132" s="209">
        <f t="shared" si="32"/>
        <v>0</v>
      </c>
      <c r="Z132" s="207">
        <v>1</v>
      </c>
      <c r="AA132" s="209" t="str">
        <f t="shared" si="30"/>
        <v/>
      </c>
      <c r="AB132" s="209"/>
      <c r="AC132" s="207">
        <v>0</v>
      </c>
      <c r="AD132" s="207"/>
      <c r="AE132" s="207"/>
      <c r="AF132" s="208" t="str">
        <f>IF(ISBLANK(D132),"",VLOOKUP(F132,'SIZE CALCULATION'!$F:$G,2,0))</f>
        <v/>
      </c>
      <c r="AG132" s="207" t="str">
        <f t="shared" si="28"/>
        <v/>
      </c>
      <c r="AH132" s="207" t="str">
        <f t="shared" si="21"/>
        <v/>
      </c>
      <c r="AI132" s="210" t="str">
        <f>IF(ISBLANK(D132),"",VLOOKUP($A132,INDEX!$D$2:$F$13,3,0))</f>
        <v/>
      </c>
      <c r="AJ132" s="207" t="str">
        <f t="shared" si="22"/>
        <v/>
      </c>
      <c r="AK132" s="207"/>
      <c r="AL132" s="207"/>
      <c r="AM132" s="207" t="str">
        <f>IFERROR(IF(ISBLANK($D132),"",VLOOKUP($N132,'TABLE CHARGE RATE'!$A$30:$K$106,5,0)),"Check")</f>
        <v/>
      </c>
      <c r="AN132" s="207" t="str">
        <f>IFERROR(IF(ISBLANK($D132),"",VLOOKUP($N132,'TABLE CHARGE RATE'!$A$30:$K$106,6,0)),"Check")</f>
        <v/>
      </c>
      <c r="AO132" s="207" t="str">
        <f>IFERROR(IF(ISBLANK($D132),"",VLOOKUP($N132,'TABLE CHARGE RATE'!$A$30:$K$106,7,0)),"Check")</f>
        <v/>
      </c>
      <c r="AP132" s="207" t="str">
        <f>IFERROR(IF(ISBLANK($D132),"",VLOOKUP($N132,'TABLE CHARGE RATE'!$A$30:$K$106,8,0)),"Check")</f>
        <v/>
      </c>
      <c r="AQ132" s="207" t="str">
        <f>IFERROR(IF(ISBLANK($D132),"",VLOOKUP($N132,'TABLE CHARGE RATE'!$A$30:$K$106,9,0)),"Check")</f>
        <v/>
      </c>
      <c r="AR132" s="207" t="str">
        <f>IFERROR(IF(ISBLANK($D132),"",VLOOKUP($N132,'TABLE CHARGE RATE'!$A$30:$K$106,10,0)),"Check")</f>
        <v/>
      </c>
      <c r="AS132" s="207" t="str">
        <f>IFERROR(IF(ISBLANK($D132),"",VLOOKUP($N132,'TABLE CHARGE RATE'!$A$30:$K$106,11,0)),"Check")</f>
        <v/>
      </c>
      <c r="AT132" s="207">
        <f t="shared" si="23"/>
        <v>131</v>
      </c>
    </row>
    <row r="133" spans="1:46" x14ac:dyDescent="0.2">
      <c r="A133" s="207" t="str">
        <f t="shared" si="29"/>
        <v/>
      </c>
      <c r="B133" s="208" t="str">
        <f>IF(ISBLANK(D133),"",VLOOKUP(WEEKDAY($C133,1),INDEX!$J$2:$K$8,2,0))</f>
        <v/>
      </c>
      <c r="C133" s="209"/>
      <c r="D133" s="207"/>
      <c r="E133" s="207"/>
      <c r="F133" s="207"/>
      <c r="G133" s="207"/>
      <c r="H133" s="207"/>
      <c r="I133" s="207"/>
      <c r="J133" s="207"/>
      <c r="K133" s="207"/>
      <c r="L133" s="207"/>
      <c r="M133" s="207"/>
      <c r="N133" s="207"/>
      <c r="O133" s="207"/>
      <c r="P133" s="207"/>
      <c r="Q133" s="207"/>
      <c r="R133" s="207"/>
      <c r="S133" s="207"/>
      <c r="T133" s="207"/>
      <c r="U133" s="209"/>
      <c r="V133" s="207"/>
      <c r="W133" s="207"/>
      <c r="X133" s="209">
        <f t="shared" si="31"/>
        <v>0</v>
      </c>
      <c r="Y133" s="209">
        <f t="shared" si="32"/>
        <v>0</v>
      </c>
      <c r="Z133" s="207">
        <v>1</v>
      </c>
      <c r="AA133" s="209" t="str">
        <f t="shared" si="30"/>
        <v/>
      </c>
      <c r="AB133" s="209"/>
      <c r="AC133" s="207">
        <v>0</v>
      </c>
      <c r="AD133" s="207"/>
      <c r="AE133" s="207"/>
      <c r="AF133" s="208" t="str">
        <f>IF(ISBLANK(D133),"",VLOOKUP(F133,'SIZE CALCULATION'!$F:$G,2,0))</f>
        <v/>
      </c>
      <c r="AG133" s="207" t="str">
        <f t="shared" si="28"/>
        <v/>
      </c>
      <c r="AH133" s="207" t="str">
        <f t="shared" ref="AH133:AH196" si="33">IF(ISBLANK(D133),"",IFERROR(AG133*G133,0))</f>
        <v/>
      </c>
      <c r="AI133" s="210" t="str">
        <f>IF(ISBLANK(D133),"",VLOOKUP($A133,INDEX!$D$2:$F$13,3,0))</f>
        <v/>
      </c>
      <c r="AJ133" s="207" t="str">
        <f t="shared" ref="AJ133:AJ196" si="34">IF(ISBLANK(D133),"",AH133+(AH133*AI133))</f>
        <v/>
      </c>
      <c r="AK133" s="207"/>
      <c r="AL133" s="207"/>
      <c r="AM133" s="207" t="str">
        <f>IFERROR(IF(ISBLANK($D133),"",VLOOKUP($N133,'TABLE CHARGE RATE'!$A$30:$K$106,5,0)),"Check")</f>
        <v/>
      </c>
      <c r="AN133" s="207" t="str">
        <f>IFERROR(IF(ISBLANK($D133),"",VLOOKUP($N133,'TABLE CHARGE RATE'!$A$30:$K$106,6,0)),"Check")</f>
        <v/>
      </c>
      <c r="AO133" s="207" t="str">
        <f>IFERROR(IF(ISBLANK($D133),"",VLOOKUP($N133,'TABLE CHARGE RATE'!$A$30:$K$106,7,0)),"Check")</f>
        <v/>
      </c>
      <c r="AP133" s="207" t="str">
        <f>IFERROR(IF(ISBLANK($D133),"",VLOOKUP($N133,'TABLE CHARGE RATE'!$A$30:$K$106,8,0)),"Check")</f>
        <v/>
      </c>
      <c r="AQ133" s="207" t="str">
        <f>IFERROR(IF(ISBLANK($D133),"",VLOOKUP($N133,'TABLE CHARGE RATE'!$A$30:$K$106,9,0)),"Check")</f>
        <v/>
      </c>
      <c r="AR133" s="207" t="str">
        <f>IFERROR(IF(ISBLANK($D133),"",VLOOKUP($N133,'TABLE CHARGE RATE'!$A$30:$K$106,10,0)),"Check")</f>
        <v/>
      </c>
      <c r="AS133" s="207" t="str">
        <f>IFERROR(IF(ISBLANK($D133),"",VLOOKUP($N133,'TABLE CHARGE RATE'!$A$30:$K$106,11,0)),"Check")</f>
        <v/>
      </c>
      <c r="AT133" s="207">
        <f t="shared" ref="AT133:AT196" si="35">AT132+1</f>
        <v>132</v>
      </c>
    </row>
    <row r="134" spans="1:46" x14ac:dyDescent="0.2">
      <c r="A134" s="207" t="str">
        <f t="shared" si="29"/>
        <v/>
      </c>
      <c r="B134" s="208" t="str">
        <f>IF(ISBLANK(D134),"",VLOOKUP(WEEKDAY($C134,1),INDEX!$J$2:$K$8,2,0))</f>
        <v/>
      </c>
      <c r="C134" s="209"/>
      <c r="D134" s="249"/>
      <c r="E134" s="207"/>
      <c r="F134" s="207"/>
      <c r="G134" s="207"/>
      <c r="H134" s="207"/>
      <c r="I134" s="207"/>
      <c r="J134" s="207"/>
      <c r="K134" s="207"/>
      <c r="L134" s="207"/>
      <c r="M134" s="207"/>
      <c r="N134" s="207"/>
      <c r="O134" s="207"/>
      <c r="P134" s="207"/>
      <c r="Q134" s="207"/>
      <c r="R134" s="207"/>
      <c r="S134" s="207"/>
      <c r="T134" s="207"/>
      <c r="U134" s="209"/>
      <c r="V134" s="207"/>
      <c r="W134" s="207"/>
      <c r="X134" s="209">
        <f t="shared" si="31"/>
        <v>0</v>
      </c>
      <c r="Y134" s="209">
        <f t="shared" si="32"/>
        <v>0</v>
      </c>
      <c r="Z134" s="207">
        <v>1</v>
      </c>
      <c r="AA134" s="209" t="str">
        <f t="shared" si="30"/>
        <v/>
      </c>
      <c r="AB134" s="209"/>
      <c r="AC134" s="207">
        <v>0</v>
      </c>
      <c r="AD134" s="207"/>
      <c r="AE134" s="207"/>
      <c r="AF134" s="208" t="str">
        <f>IF(ISBLANK(D134),"",VLOOKUP(F134,'SIZE CALCULATION'!$F:$G,2,0))</f>
        <v/>
      </c>
      <c r="AG134" s="207" t="str">
        <f t="shared" si="28"/>
        <v/>
      </c>
      <c r="AH134" s="207" t="str">
        <f t="shared" si="33"/>
        <v/>
      </c>
      <c r="AI134" s="210" t="str">
        <f>IF(ISBLANK(D134),"",VLOOKUP($A134,INDEX!$D$2:$F$13,3,0))</f>
        <v/>
      </c>
      <c r="AJ134" s="207" t="str">
        <f t="shared" si="34"/>
        <v/>
      </c>
      <c r="AK134" s="207"/>
      <c r="AL134" s="207"/>
      <c r="AM134" s="207" t="str">
        <f>IFERROR(IF(ISBLANK($D134),"",VLOOKUP($N134,'TABLE CHARGE RATE'!$A$30:$K$106,5,0)),"Check")</f>
        <v/>
      </c>
      <c r="AN134" s="207" t="str">
        <f>IFERROR(IF(ISBLANK($D134),"",VLOOKUP($N134,'TABLE CHARGE RATE'!$A$30:$K$106,6,0)),"Check")</f>
        <v/>
      </c>
      <c r="AO134" s="207" t="str">
        <f>IFERROR(IF(ISBLANK($D134),"",VLOOKUP($N134,'TABLE CHARGE RATE'!$A$30:$K$106,7,0)),"Check")</f>
        <v/>
      </c>
      <c r="AP134" s="207" t="str">
        <f>IFERROR(IF(ISBLANK($D134),"",VLOOKUP($N134,'TABLE CHARGE RATE'!$A$30:$K$106,8,0)),"Check")</f>
        <v/>
      </c>
      <c r="AQ134" s="207" t="str">
        <f>IFERROR(IF(ISBLANK($D134),"",VLOOKUP($N134,'TABLE CHARGE RATE'!$A$30:$K$106,9,0)),"Check")</f>
        <v/>
      </c>
      <c r="AR134" s="207" t="str">
        <f>IFERROR(IF(ISBLANK($D134),"",VLOOKUP($N134,'TABLE CHARGE RATE'!$A$30:$K$106,10,0)),"Check")</f>
        <v/>
      </c>
      <c r="AS134" s="207" t="str">
        <f>IFERROR(IF(ISBLANK($D134),"",VLOOKUP($N134,'TABLE CHARGE RATE'!$A$30:$K$106,11,0)),"Check")</f>
        <v/>
      </c>
      <c r="AT134" s="207">
        <f t="shared" si="35"/>
        <v>133</v>
      </c>
    </row>
    <row r="135" spans="1:46" x14ac:dyDescent="0.2">
      <c r="A135" s="207" t="str">
        <f t="shared" si="29"/>
        <v/>
      </c>
      <c r="B135" s="208" t="str">
        <f>IF(ISBLANK(D135),"",VLOOKUP(WEEKDAY($C135,1),INDEX!$J$2:$K$8,2,0))</f>
        <v/>
      </c>
      <c r="C135" s="209"/>
      <c r="D135" s="207"/>
      <c r="E135" s="207"/>
      <c r="F135" s="207"/>
      <c r="G135" s="207"/>
      <c r="H135" s="207"/>
      <c r="I135" s="207"/>
      <c r="J135" s="207"/>
      <c r="K135" s="207"/>
      <c r="L135" s="207"/>
      <c r="M135" s="207"/>
      <c r="N135" s="207"/>
      <c r="O135" s="207"/>
      <c r="P135" s="207"/>
      <c r="Q135" s="207"/>
      <c r="R135" s="207"/>
      <c r="S135" s="207"/>
      <c r="T135" s="207"/>
      <c r="U135" s="209"/>
      <c r="V135" s="207"/>
      <c r="W135" s="207"/>
      <c r="X135" s="209">
        <f t="shared" si="31"/>
        <v>0</v>
      </c>
      <c r="Y135" s="209">
        <f t="shared" si="32"/>
        <v>0</v>
      </c>
      <c r="Z135" s="207">
        <v>1</v>
      </c>
      <c r="AA135" s="209" t="str">
        <f t="shared" si="30"/>
        <v/>
      </c>
      <c r="AB135" s="209"/>
      <c r="AC135" s="207">
        <v>0</v>
      </c>
      <c r="AD135" s="207"/>
      <c r="AE135" s="207"/>
      <c r="AF135" s="208" t="str">
        <f>IF(ISBLANK(D135),"",VLOOKUP(F135,'SIZE CALCULATION'!$F:$G,2,0))</f>
        <v/>
      </c>
      <c r="AG135" s="207" t="str">
        <f t="shared" si="28"/>
        <v/>
      </c>
      <c r="AH135" s="207" t="str">
        <f t="shared" si="33"/>
        <v/>
      </c>
      <c r="AI135" s="210" t="str">
        <f>IF(ISBLANK(D135),"",VLOOKUP($A135,INDEX!$D$2:$F$13,3,0))</f>
        <v/>
      </c>
      <c r="AJ135" s="207" t="str">
        <f t="shared" si="34"/>
        <v/>
      </c>
      <c r="AK135" s="207"/>
      <c r="AL135" s="207"/>
      <c r="AM135" s="207" t="str">
        <f>IFERROR(IF(ISBLANK($D135),"",VLOOKUP($N135,'TABLE CHARGE RATE'!$A$30:$K$106,5,0)),"Check")</f>
        <v/>
      </c>
      <c r="AN135" s="207" t="str">
        <f>IFERROR(IF(ISBLANK($D135),"",VLOOKUP($N135,'TABLE CHARGE RATE'!$A$30:$K$106,6,0)),"Check")</f>
        <v/>
      </c>
      <c r="AO135" s="207" t="str">
        <f>IFERROR(IF(ISBLANK($D135),"",VLOOKUP($N135,'TABLE CHARGE RATE'!$A$30:$K$106,7,0)),"Check")</f>
        <v/>
      </c>
      <c r="AP135" s="207" t="str">
        <f>IFERROR(IF(ISBLANK($D135),"",VLOOKUP($N135,'TABLE CHARGE RATE'!$A$30:$K$106,8,0)),"Check")</f>
        <v/>
      </c>
      <c r="AQ135" s="207" t="str">
        <f>IFERROR(IF(ISBLANK($D135),"",VLOOKUP($N135,'TABLE CHARGE RATE'!$A$30:$K$106,9,0)),"Check")</f>
        <v/>
      </c>
      <c r="AR135" s="207" t="str">
        <f>IFERROR(IF(ISBLANK($D135),"",VLOOKUP($N135,'TABLE CHARGE RATE'!$A$30:$K$106,10,0)),"Check")</f>
        <v/>
      </c>
      <c r="AS135" s="207" t="str">
        <f>IFERROR(IF(ISBLANK($D135),"",VLOOKUP($N135,'TABLE CHARGE RATE'!$A$30:$K$106,11,0)),"Check")</f>
        <v/>
      </c>
      <c r="AT135" s="207">
        <f t="shared" si="35"/>
        <v>134</v>
      </c>
    </row>
    <row r="136" spans="1:46" x14ac:dyDescent="0.2">
      <c r="A136" s="207" t="str">
        <f t="shared" si="29"/>
        <v/>
      </c>
      <c r="B136" s="208" t="str">
        <f>IF(ISBLANK(D136),"",VLOOKUP(WEEKDAY($C136,1),INDEX!$J$2:$K$8,2,0))</f>
        <v/>
      </c>
      <c r="C136" s="209"/>
      <c r="D136" s="207"/>
      <c r="E136" s="207"/>
      <c r="F136" s="207"/>
      <c r="G136" s="207"/>
      <c r="H136" s="207"/>
      <c r="I136" s="207"/>
      <c r="J136" s="207"/>
      <c r="K136" s="207"/>
      <c r="L136" s="207"/>
      <c r="M136" s="207"/>
      <c r="N136" s="207"/>
      <c r="O136" s="207"/>
      <c r="P136" s="207"/>
      <c r="Q136" s="207"/>
      <c r="R136" s="207"/>
      <c r="S136" s="207"/>
      <c r="T136" s="207"/>
      <c r="U136" s="209"/>
      <c r="V136" s="207"/>
      <c r="W136" s="207"/>
      <c r="X136" s="209">
        <f t="shared" si="31"/>
        <v>0</v>
      </c>
      <c r="Y136" s="209">
        <f t="shared" si="32"/>
        <v>0</v>
      </c>
      <c r="Z136" s="207">
        <v>1</v>
      </c>
      <c r="AA136" s="209" t="str">
        <f t="shared" si="30"/>
        <v/>
      </c>
      <c r="AB136" s="209"/>
      <c r="AC136" s="207">
        <v>0</v>
      </c>
      <c r="AD136" s="207"/>
      <c r="AE136" s="207"/>
      <c r="AF136" s="208" t="str">
        <f>IF(ISBLANK(D136),"",VLOOKUP(F136,'SIZE CALCULATION'!$F:$G,2,0))</f>
        <v/>
      </c>
      <c r="AG136" s="207" t="str">
        <f t="shared" si="28"/>
        <v/>
      </c>
      <c r="AH136" s="207" t="str">
        <f t="shared" si="33"/>
        <v/>
      </c>
      <c r="AI136" s="210" t="str">
        <f>IF(ISBLANK(D136),"",VLOOKUP($A136,INDEX!$D$2:$F$13,3,0))</f>
        <v/>
      </c>
      <c r="AJ136" s="207" t="str">
        <f t="shared" si="34"/>
        <v/>
      </c>
      <c r="AK136" s="207"/>
      <c r="AL136" s="207"/>
      <c r="AM136" s="207" t="str">
        <f>IFERROR(IF(ISBLANK($D136),"",VLOOKUP($N136,'TABLE CHARGE RATE'!$A$30:$K$106,5,0)),"Check")</f>
        <v/>
      </c>
      <c r="AN136" s="207" t="str">
        <f>IFERROR(IF(ISBLANK($D136),"",VLOOKUP($N136,'TABLE CHARGE RATE'!$A$30:$K$106,6,0)),"Check")</f>
        <v/>
      </c>
      <c r="AO136" s="207" t="str">
        <f>IFERROR(IF(ISBLANK($D136),"",VLOOKUP($N136,'TABLE CHARGE RATE'!$A$30:$K$106,7,0)),"Check")</f>
        <v/>
      </c>
      <c r="AP136" s="207" t="str">
        <f>IFERROR(IF(ISBLANK($D136),"",VLOOKUP($N136,'TABLE CHARGE RATE'!$A$30:$K$106,8,0)),"Check")</f>
        <v/>
      </c>
      <c r="AQ136" s="207" t="str">
        <f>IFERROR(IF(ISBLANK($D136),"",VLOOKUP($N136,'TABLE CHARGE RATE'!$A$30:$K$106,9,0)),"Check")</f>
        <v/>
      </c>
      <c r="AR136" s="207" t="str">
        <f>IFERROR(IF(ISBLANK($D136),"",VLOOKUP($N136,'TABLE CHARGE RATE'!$A$30:$K$106,10,0)),"Check")</f>
        <v/>
      </c>
      <c r="AS136" s="207" t="str">
        <f>IFERROR(IF(ISBLANK($D136),"",VLOOKUP($N136,'TABLE CHARGE RATE'!$A$30:$K$106,11,0)),"Check")</f>
        <v/>
      </c>
      <c r="AT136" s="207">
        <f t="shared" si="35"/>
        <v>135</v>
      </c>
    </row>
    <row r="137" spans="1:46" x14ac:dyDescent="0.2">
      <c r="A137" s="207" t="str">
        <f t="shared" si="29"/>
        <v/>
      </c>
      <c r="B137" s="208" t="str">
        <f>IF(ISBLANK(D137),"",VLOOKUP(WEEKDAY($C137,1),INDEX!$J$2:$K$8,2,0))</f>
        <v/>
      </c>
      <c r="C137" s="209"/>
      <c r="D137" s="207"/>
      <c r="E137" s="207"/>
      <c r="F137" s="207"/>
      <c r="G137" s="207"/>
      <c r="H137" s="207"/>
      <c r="I137" s="207"/>
      <c r="J137" s="207"/>
      <c r="K137" s="207"/>
      <c r="L137" s="207"/>
      <c r="M137" s="207"/>
      <c r="N137" s="207"/>
      <c r="O137" s="207"/>
      <c r="P137" s="207"/>
      <c r="Q137" s="207"/>
      <c r="R137" s="207"/>
      <c r="S137" s="207"/>
      <c r="T137" s="207"/>
      <c r="U137" s="209"/>
      <c r="V137" s="207"/>
      <c r="W137" s="207"/>
      <c r="X137" s="209">
        <f t="shared" si="31"/>
        <v>0</v>
      </c>
      <c r="Y137" s="209">
        <f t="shared" si="32"/>
        <v>0</v>
      </c>
      <c r="Z137" s="207">
        <v>1</v>
      </c>
      <c r="AA137" s="209" t="str">
        <f t="shared" si="30"/>
        <v/>
      </c>
      <c r="AB137" s="209"/>
      <c r="AC137" s="207">
        <v>0</v>
      </c>
      <c r="AD137" s="207"/>
      <c r="AE137" s="207"/>
      <c r="AF137" s="208" t="str">
        <f>IF(ISBLANK(D137),"",VLOOKUP(F137,'SIZE CALCULATION'!$F:$G,2,0))</f>
        <v/>
      </c>
      <c r="AG137" s="207" t="str">
        <f t="shared" si="28"/>
        <v/>
      </c>
      <c r="AH137" s="207" t="str">
        <f t="shared" si="33"/>
        <v/>
      </c>
      <c r="AI137" s="210" t="str">
        <f>IF(ISBLANK(D137),"",VLOOKUP($A137,INDEX!$D$2:$F$13,3,0))</f>
        <v/>
      </c>
      <c r="AJ137" s="207" t="str">
        <f t="shared" si="34"/>
        <v/>
      </c>
      <c r="AK137" s="207"/>
      <c r="AL137" s="207"/>
      <c r="AM137" s="207" t="str">
        <f>IFERROR(IF(ISBLANK($D137),"",VLOOKUP($N137,'TABLE CHARGE RATE'!$A$30:$K$106,5,0)),"Check")</f>
        <v/>
      </c>
      <c r="AN137" s="207" t="str">
        <f>IFERROR(IF(ISBLANK($D137),"",VLOOKUP($N137,'TABLE CHARGE RATE'!$A$30:$K$106,6,0)),"Check")</f>
        <v/>
      </c>
      <c r="AO137" s="207" t="str">
        <f>IFERROR(IF(ISBLANK($D137),"",VLOOKUP($N137,'TABLE CHARGE RATE'!$A$30:$K$106,7,0)),"Check")</f>
        <v/>
      </c>
      <c r="AP137" s="207" t="str">
        <f>IFERROR(IF(ISBLANK($D137),"",VLOOKUP($N137,'TABLE CHARGE RATE'!$A$30:$K$106,8,0)),"Check")</f>
        <v/>
      </c>
      <c r="AQ137" s="207" t="str">
        <f>IFERROR(IF(ISBLANK($D137),"",VLOOKUP($N137,'TABLE CHARGE RATE'!$A$30:$K$106,9,0)),"Check")</f>
        <v/>
      </c>
      <c r="AR137" s="207" t="str">
        <f>IFERROR(IF(ISBLANK($D137),"",VLOOKUP($N137,'TABLE CHARGE RATE'!$A$30:$K$106,10,0)),"Check")</f>
        <v/>
      </c>
      <c r="AS137" s="207" t="str">
        <f>IFERROR(IF(ISBLANK($D137),"",VLOOKUP($N137,'TABLE CHARGE RATE'!$A$30:$K$106,11,0)),"Check")</f>
        <v/>
      </c>
      <c r="AT137" s="207">
        <f t="shared" si="35"/>
        <v>136</v>
      </c>
    </row>
    <row r="138" spans="1:46" x14ac:dyDescent="0.2">
      <c r="A138" s="207" t="str">
        <f t="shared" si="29"/>
        <v/>
      </c>
      <c r="B138" s="208" t="str">
        <f>IF(ISBLANK(D138),"",VLOOKUP(WEEKDAY($C138,1),INDEX!$J$2:$K$8,2,0))</f>
        <v/>
      </c>
      <c r="C138" s="209"/>
      <c r="D138" s="207"/>
      <c r="E138" s="207"/>
      <c r="F138" s="207"/>
      <c r="G138" s="207"/>
      <c r="H138" s="207"/>
      <c r="I138" s="207"/>
      <c r="J138" s="207"/>
      <c r="K138" s="207"/>
      <c r="L138" s="207"/>
      <c r="M138" s="207"/>
      <c r="N138" s="207"/>
      <c r="O138" s="207"/>
      <c r="P138" s="207"/>
      <c r="Q138" s="207"/>
      <c r="R138" s="207"/>
      <c r="S138" s="207"/>
      <c r="T138" s="207"/>
      <c r="U138" s="209"/>
      <c r="V138" s="207"/>
      <c r="W138" s="207"/>
      <c r="X138" s="209">
        <f t="shared" si="31"/>
        <v>0</v>
      </c>
      <c r="Y138" s="209">
        <f t="shared" si="32"/>
        <v>0</v>
      </c>
      <c r="Z138" s="207">
        <v>1</v>
      </c>
      <c r="AA138" s="209" t="str">
        <f t="shared" si="30"/>
        <v/>
      </c>
      <c r="AB138" s="209"/>
      <c r="AC138" s="207">
        <v>0</v>
      </c>
      <c r="AD138" s="207"/>
      <c r="AE138" s="207"/>
      <c r="AF138" s="208" t="str">
        <f>IF(ISBLANK(D138),"",VLOOKUP(F138,'SIZE CALCULATION'!$F:$G,2,0))</f>
        <v/>
      </c>
      <c r="AG138" s="207" t="str">
        <f t="shared" si="28"/>
        <v/>
      </c>
      <c r="AH138" s="207" t="str">
        <f t="shared" si="33"/>
        <v/>
      </c>
      <c r="AI138" s="210" t="str">
        <f>IF(ISBLANK(D138),"",VLOOKUP($A138,INDEX!$D$2:$F$13,3,0))</f>
        <v/>
      </c>
      <c r="AJ138" s="207" t="str">
        <f t="shared" si="34"/>
        <v/>
      </c>
      <c r="AK138" s="207"/>
      <c r="AL138" s="207"/>
      <c r="AM138" s="207" t="str">
        <f>IFERROR(IF(ISBLANK($D138),"",VLOOKUP($N138,'TABLE CHARGE RATE'!$A$30:$K$106,5,0)),"Check")</f>
        <v/>
      </c>
      <c r="AN138" s="207" t="str">
        <f>IFERROR(IF(ISBLANK($D138),"",VLOOKUP($N138,'TABLE CHARGE RATE'!$A$30:$K$106,6,0)),"Check")</f>
        <v/>
      </c>
      <c r="AO138" s="207" t="str">
        <f>IFERROR(IF(ISBLANK($D138),"",VLOOKUP($N138,'TABLE CHARGE RATE'!$A$30:$K$106,7,0)),"Check")</f>
        <v/>
      </c>
      <c r="AP138" s="207" t="str">
        <f>IFERROR(IF(ISBLANK($D138),"",VLOOKUP($N138,'TABLE CHARGE RATE'!$A$30:$K$106,8,0)),"Check")</f>
        <v/>
      </c>
      <c r="AQ138" s="207" t="str">
        <f>IFERROR(IF(ISBLANK($D138),"",VLOOKUP($N138,'TABLE CHARGE RATE'!$A$30:$K$106,9,0)),"Check")</f>
        <v/>
      </c>
      <c r="AR138" s="207" t="str">
        <f>IFERROR(IF(ISBLANK($D138),"",VLOOKUP($N138,'TABLE CHARGE RATE'!$A$30:$K$106,10,0)),"Check")</f>
        <v/>
      </c>
      <c r="AS138" s="207" t="str">
        <f>IFERROR(IF(ISBLANK($D138),"",VLOOKUP($N138,'TABLE CHARGE RATE'!$A$30:$K$106,11,0)),"Check")</f>
        <v/>
      </c>
      <c r="AT138" s="207">
        <f t="shared" si="35"/>
        <v>137</v>
      </c>
    </row>
    <row r="139" spans="1:46" x14ac:dyDescent="0.2">
      <c r="A139" s="207" t="str">
        <f t="shared" si="29"/>
        <v/>
      </c>
      <c r="B139" s="208" t="str">
        <f>IF(ISBLANK(D139),"",VLOOKUP(WEEKDAY($C139,1),INDEX!$J$2:$K$8,2,0))</f>
        <v/>
      </c>
      <c r="C139" s="209"/>
      <c r="D139" s="207"/>
      <c r="E139" s="207"/>
      <c r="F139" s="207"/>
      <c r="G139" s="207"/>
      <c r="H139" s="207"/>
      <c r="I139" s="207"/>
      <c r="J139" s="207"/>
      <c r="K139" s="207"/>
      <c r="L139" s="207"/>
      <c r="M139" s="207"/>
      <c r="N139" s="207"/>
      <c r="O139" s="207"/>
      <c r="P139" s="207"/>
      <c r="Q139" s="207"/>
      <c r="R139" s="207"/>
      <c r="S139" s="207"/>
      <c r="T139" s="207"/>
      <c r="U139" s="209"/>
      <c r="V139" s="207"/>
      <c r="W139" s="207"/>
      <c r="X139" s="209">
        <f t="shared" si="31"/>
        <v>0</v>
      </c>
      <c r="Y139" s="209">
        <f t="shared" si="32"/>
        <v>0</v>
      </c>
      <c r="Z139" s="207">
        <v>1</v>
      </c>
      <c r="AA139" s="209" t="str">
        <f t="shared" si="30"/>
        <v/>
      </c>
      <c r="AB139" s="209"/>
      <c r="AC139" s="207">
        <v>0</v>
      </c>
      <c r="AD139" s="207"/>
      <c r="AE139" s="207"/>
      <c r="AF139" s="208" t="str">
        <f>IF(ISBLANK(D139),"",VLOOKUP(F139,'SIZE CALCULATION'!$F:$G,2,0))</f>
        <v/>
      </c>
      <c r="AG139" s="207" t="str">
        <f t="shared" si="28"/>
        <v/>
      </c>
      <c r="AH139" s="207" t="str">
        <f t="shared" si="33"/>
        <v/>
      </c>
      <c r="AI139" s="210" t="str">
        <f>IF(ISBLANK(D139),"",VLOOKUP($A139,INDEX!$D$2:$F$13,3,0))</f>
        <v/>
      </c>
      <c r="AJ139" s="207" t="str">
        <f t="shared" si="34"/>
        <v/>
      </c>
      <c r="AK139" s="207"/>
      <c r="AL139" s="207"/>
      <c r="AM139" s="207" t="str">
        <f>IFERROR(IF(ISBLANK($D139),"",VLOOKUP($N139,'TABLE CHARGE RATE'!$A$30:$K$106,5,0)),"Check")</f>
        <v/>
      </c>
      <c r="AN139" s="207" t="str">
        <f>IFERROR(IF(ISBLANK($D139),"",VLOOKUP($N139,'TABLE CHARGE RATE'!$A$30:$K$106,6,0)),"Check")</f>
        <v/>
      </c>
      <c r="AO139" s="207" t="str">
        <f>IFERROR(IF(ISBLANK($D139),"",VLOOKUP($N139,'TABLE CHARGE RATE'!$A$30:$K$106,7,0)),"Check")</f>
        <v/>
      </c>
      <c r="AP139" s="207" t="str">
        <f>IFERROR(IF(ISBLANK($D139),"",VLOOKUP($N139,'TABLE CHARGE RATE'!$A$30:$K$106,8,0)),"Check")</f>
        <v/>
      </c>
      <c r="AQ139" s="207" t="str">
        <f>IFERROR(IF(ISBLANK($D139),"",VLOOKUP($N139,'TABLE CHARGE RATE'!$A$30:$K$106,9,0)),"Check")</f>
        <v/>
      </c>
      <c r="AR139" s="207" t="str">
        <f>IFERROR(IF(ISBLANK($D139),"",VLOOKUP($N139,'TABLE CHARGE RATE'!$A$30:$K$106,10,0)),"Check")</f>
        <v/>
      </c>
      <c r="AS139" s="207" t="str">
        <f>IFERROR(IF(ISBLANK($D139),"",VLOOKUP($N139,'TABLE CHARGE RATE'!$A$30:$K$106,11,0)),"Check")</f>
        <v/>
      </c>
      <c r="AT139" s="207">
        <f t="shared" si="35"/>
        <v>138</v>
      </c>
    </row>
    <row r="140" spans="1:46" x14ac:dyDescent="0.2">
      <c r="A140" s="207" t="str">
        <f t="shared" si="29"/>
        <v/>
      </c>
      <c r="B140" s="208" t="str">
        <f>IF(ISBLANK(D140),"",VLOOKUP(WEEKDAY($C140,1),INDEX!$J$2:$K$8,2,0))</f>
        <v/>
      </c>
      <c r="C140" s="209"/>
      <c r="D140" s="207"/>
      <c r="E140" s="207"/>
      <c r="F140" s="207"/>
      <c r="G140" s="207"/>
      <c r="H140" s="207"/>
      <c r="I140" s="207"/>
      <c r="J140" s="207"/>
      <c r="K140" s="207"/>
      <c r="L140" s="207"/>
      <c r="M140" s="207"/>
      <c r="N140" s="207"/>
      <c r="O140" s="207"/>
      <c r="P140" s="207"/>
      <c r="Q140" s="207"/>
      <c r="R140" s="207"/>
      <c r="S140" s="207"/>
      <c r="T140" s="207"/>
      <c r="U140" s="209"/>
      <c r="V140" s="207"/>
      <c r="W140" s="207"/>
      <c r="X140" s="209">
        <f t="shared" si="31"/>
        <v>0</v>
      </c>
      <c r="Y140" s="209">
        <f t="shared" si="32"/>
        <v>0</v>
      </c>
      <c r="Z140" s="207">
        <v>1</v>
      </c>
      <c r="AA140" s="209" t="str">
        <f t="shared" si="30"/>
        <v/>
      </c>
      <c r="AB140" s="209"/>
      <c r="AC140" s="207">
        <v>0</v>
      </c>
      <c r="AD140" s="207"/>
      <c r="AE140" s="207"/>
      <c r="AF140" s="208" t="str">
        <f>IF(ISBLANK(D140),"",VLOOKUP(F140,'SIZE CALCULATION'!$F:$G,2,0))</f>
        <v/>
      </c>
      <c r="AG140" s="207" t="str">
        <f t="shared" si="28"/>
        <v/>
      </c>
      <c r="AH140" s="207" t="str">
        <f t="shared" si="33"/>
        <v/>
      </c>
      <c r="AI140" s="210" t="str">
        <f>IF(ISBLANK(D140),"",VLOOKUP($A140,INDEX!$D$2:$F$13,3,0))</f>
        <v/>
      </c>
      <c r="AJ140" s="207" t="str">
        <f t="shared" si="34"/>
        <v/>
      </c>
      <c r="AK140" s="207"/>
      <c r="AL140" s="207"/>
      <c r="AM140" s="207" t="str">
        <f>IFERROR(IF(ISBLANK($D140),"",VLOOKUP($N140,'TABLE CHARGE RATE'!$A$30:$K$106,5,0)),"Check")</f>
        <v/>
      </c>
      <c r="AN140" s="207" t="str">
        <f>IFERROR(IF(ISBLANK($D140),"",VLOOKUP($N140,'TABLE CHARGE RATE'!$A$30:$K$106,6,0)),"Check")</f>
        <v/>
      </c>
      <c r="AO140" s="207" t="str">
        <f>IFERROR(IF(ISBLANK($D140),"",VLOOKUP($N140,'TABLE CHARGE RATE'!$A$30:$K$106,7,0)),"Check")</f>
        <v/>
      </c>
      <c r="AP140" s="207" t="str">
        <f>IFERROR(IF(ISBLANK($D140),"",VLOOKUP($N140,'TABLE CHARGE RATE'!$A$30:$K$106,8,0)),"Check")</f>
        <v/>
      </c>
      <c r="AQ140" s="207" t="str">
        <f>IFERROR(IF(ISBLANK($D140),"",VLOOKUP($N140,'TABLE CHARGE RATE'!$A$30:$K$106,9,0)),"Check")</f>
        <v/>
      </c>
      <c r="AR140" s="207" t="str">
        <f>IFERROR(IF(ISBLANK($D140),"",VLOOKUP($N140,'TABLE CHARGE RATE'!$A$30:$K$106,10,0)),"Check")</f>
        <v/>
      </c>
      <c r="AS140" s="207" t="str">
        <f>IFERROR(IF(ISBLANK($D140),"",VLOOKUP($N140,'TABLE CHARGE RATE'!$A$30:$K$106,11,0)),"Check")</f>
        <v/>
      </c>
      <c r="AT140" s="207">
        <f t="shared" si="35"/>
        <v>139</v>
      </c>
    </row>
    <row r="141" spans="1:46" x14ac:dyDescent="0.2">
      <c r="A141" s="207" t="str">
        <f t="shared" si="29"/>
        <v/>
      </c>
      <c r="B141" s="208" t="str">
        <f>IF(ISBLANK(D141),"",VLOOKUP(WEEKDAY($C141,1),INDEX!$J$2:$K$8,2,0))</f>
        <v/>
      </c>
      <c r="C141" s="209"/>
      <c r="D141" s="207"/>
      <c r="E141" s="207"/>
      <c r="F141" s="207"/>
      <c r="G141" s="207"/>
      <c r="H141" s="207"/>
      <c r="I141" s="207"/>
      <c r="J141" s="207"/>
      <c r="K141" s="207"/>
      <c r="L141" s="207"/>
      <c r="M141" s="207"/>
      <c r="N141" s="207"/>
      <c r="O141" s="207"/>
      <c r="P141" s="207"/>
      <c r="Q141" s="207"/>
      <c r="R141" s="207"/>
      <c r="S141" s="207"/>
      <c r="T141" s="207"/>
      <c r="U141" s="209"/>
      <c r="V141" s="207"/>
      <c r="W141" s="207"/>
      <c r="X141" s="209">
        <f t="shared" si="31"/>
        <v>0</v>
      </c>
      <c r="Y141" s="209">
        <f t="shared" si="32"/>
        <v>0</v>
      </c>
      <c r="Z141" s="207">
        <v>1</v>
      </c>
      <c r="AA141" s="209" t="str">
        <f t="shared" si="30"/>
        <v/>
      </c>
      <c r="AB141" s="209"/>
      <c r="AC141" s="207">
        <v>0</v>
      </c>
      <c r="AD141" s="207"/>
      <c r="AE141" s="207"/>
      <c r="AF141" s="208" t="str">
        <f>IF(ISBLANK(D141),"",VLOOKUP(F141,'SIZE CALCULATION'!$F:$G,2,0))</f>
        <v/>
      </c>
      <c r="AG141" s="207" t="str">
        <f t="shared" si="28"/>
        <v/>
      </c>
      <c r="AH141" s="207" t="str">
        <f t="shared" si="33"/>
        <v/>
      </c>
      <c r="AI141" s="210" t="str">
        <f>IF(ISBLANK(D141),"",VLOOKUP($A141,INDEX!$D$2:$F$13,3,0))</f>
        <v/>
      </c>
      <c r="AJ141" s="207" t="str">
        <f t="shared" si="34"/>
        <v/>
      </c>
      <c r="AK141" s="207"/>
      <c r="AL141" s="207"/>
      <c r="AM141" s="207" t="str">
        <f>IFERROR(IF(ISBLANK($D141),"",VLOOKUP($N141,'TABLE CHARGE RATE'!$A$30:$K$106,5,0)),"Check")</f>
        <v/>
      </c>
      <c r="AN141" s="207" t="str">
        <f>IFERROR(IF(ISBLANK($D141),"",VLOOKUP($N141,'TABLE CHARGE RATE'!$A$30:$K$106,6,0)),"Check")</f>
        <v/>
      </c>
      <c r="AO141" s="207" t="str">
        <f>IFERROR(IF(ISBLANK($D141),"",VLOOKUP($N141,'TABLE CHARGE RATE'!$A$30:$K$106,7,0)),"Check")</f>
        <v/>
      </c>
      <c r="AP141" s="207" t="str">
        <f>IFERROR(IF(ISBLANK($D141),"",VLOOKUP($N141,'TABLE CHARGE RATE'!$A$30:$K$106,8,0)),"Check")</f>
        <v/>
      </c>
      <c r="AQ141" s="207" t="str">
        <f>IFERROR(IF(ISBLANK($D141),"",VLOOKUP($N141,'TABLE CHARGE RATE'!$A$30:$K$106,9,0)),"Check")</f>
        <v/>
      </c>
      <c r="AR141" s="207" t="str">
        <f>IFERROR(IF(ISBLANK($D141),"",VLOOKUP($N141,'TABLE CHARGE RATE'!$A$30:$K$106,10,0)),"Check")</f>
        <v/>
      </c>
      <c r="AS141" s="207" t="str">
        <f>IFERROR(IF(ISBLANK($D141),"",VLOOKUP($N141,'TABLE CHARGE RATE'!$A$30:$K$106,11,0)),"Check")</f>
        <v/>
      </c>
      <c r="AT141" s="207">
        <f t="shared" si="35"/>
        <v>140</v>
      </c>
    </row>
    <row r="142" spans="1:46" x14ac:dyDescent="0.2">
      <c r="A142" s="207" t="str">
        <f t="shared" si="29"/>
        <v/>
      </c>
      <c r="B142" s="208" t="str">
        <f>IF(ISBLANK(D142),"",VLOOKUP(WEEKDAY($C142,1),INDEX!$J$2:$K$8,2,0))</f>
        <v/>
      </c>
      <c r="C142" s="209"/>
      <c r="D142" s="207"/>
      <c r="E142" s="207"/>
      <c r="F142" s="207"/>
      <c r="G142" s="207"/>
      <c r="H142" s="207"/>
      <c r="I142" s="207"/>
      <c r="J142" s="207"/>
      <c r="K142" s="207"/>
      <c r="L142" s="207"/>
      <c r="M142" s="207"/>
      <c r="N142" s="207"/>
      <c r="O142" s="207"/>
      <c r="P142" s="207"/>
      <c r="Q142" s="207"/>
      <c r="R142" s="207"/>
      <c r="S142" s="207"/>
      <c r="T142" s="207"/>
      <c r="U142" s="209"/>
      <c r="V142" s="207"/>
      <c r="W142" s="207"/>
      <c r="X142" s="209">
        <f t="shared" si="31"/>
        <v>0</v>
      </c>
      <c r="Y142" s="209">
        <f t="shared" si="32"/>
        <v>0</v>
      </c>
      <c r="Z142" s="207">
        <v>1</v>
      </c>
      <c r="AA142" s="209" t="str">
        <f t="shared" si="30"/>
        <v/>
      </c>
      <c r="AB142" s="209"/>
      <c r="AC142" s="207">
        <v>0</v>
      </c>
      <c r="AD142" s="207"/>
      <c r="AE142" s="207"/>
      <c r="AF142" s="208" t="str">
        <f>IF(ISBLANK(D142),"",VLOOKUP(F142,'SIZE CALCULATION'!$F:$G,2,0))</f>
        <v/>
      </c>
      <c r="AG142" s="207" t="str">
        <f t="shared" si="28"/>
        <v/>
      </c>
      <c r="AH142" s="207" t="str">
        <f t="shared" si="33"/>
        <v/>
      </c>
      <c r="AI142" s="210" t="str">
        <f>IF(ISBLANK(D142),"",VLOOKUP($A142,INDEX!$D$2:$F$13,3,0))</f>
        <v/>
      </c>
      <c r="AJ142" s="207" t="str">
        <f t="shared" si="34"/>
        <v/>
      </c>
      <c r="AK142" s="207"/>
      <c r="AL142" s="207"/>
      <c r="AM142" s="207" t="str">
        <f>IFERROR(IF(ISBLANK($D142),"",VLOOKUP($N142,'TABLE CHARGE RATE'!$A$30:$K$106,5,0)),"Check")</f>
        <v/>
      </c>
      <c r="AN142" s="207" t="str">
        <f>IFERROR(IF(ISBLANK($D142),"",VLOOKUP($N142,'TABLE CHARGE RATE'!$A$30:$K$106,6,0)),"Check")</f>
        <v/>
      </c>
      <c r="AO142" s="207" t="str">
        <f>IFERROR(IF(ISBLANK($D142),"",VLOOKUP($N142,'TABLE CHARGE RATE'!$A$30:$K$106,7,0)),"Check")</f>
        <v/>
      </c>
      <c r="AP142" s="207" t="str">
        <f>IFERROR(IF(ISBLANK($D142),"",VLOOKUP($N142,'TABLE CHARGE RATE'!$A$30:$K$106,8,0)),"Check")</f>
        <v/>
      </c>
      <c r="AQ142" s="207" t="str">
        <f>IFERROR(IF(ISBLANK($D142),"",VLOOKUP($N142,'TABLE CHARGE RATE'!$A$30:$K$106,9,0)),"Check")</f>
        <v/>
      </c>
      <c r="AR142" s="207" t="str">
        <f>IFERROR(IF(ISBLANK($D142),"",VLOOKUP($N142,'TABLE CHARGE RATE'!$A$30:$K$106,10,0)),"Check")</f>
        <v/>
      </c>
      <c r="AS142" s="207" t="str">
        <f>IFERROR(IF(ISBLANK($D142),"",VLOOKUP($N142,'TABLE CHARGE RATE'!$A$30:$K$106,11,0)),"Check")</f>
        <v/>
      </c>
      <c r="AT142" s="207">
        <f t="shared" si="35"/>
        <v>141</v>
      </c>
    </row>
    <row r="143" spans="1:46" x14ac:dyDescent="0.2">
      <c r="A143" s="207" t="str">
        <f t="shared" si="29"/>
        <v/>
      </c>
      <c r="B143" s="208" t="str">
        <f>IF(ISBLANK(D143),"",VLOOKUP(WEEKDAY($C143,1),INDEX!$J$2:$K$8,2,0))</f>
        <v/>
      </c>
      <c r="C143" s="209"/>
      <c r="D143" s="207"/>
      <c r="E143" s="207"/>
      <c r="F143" s="207"/>
      <c r="G143" s="207"/>
      <c r="H143" s="207"/>
      <c r="I143" s="207"/>
      <c r="J143" s="207"/>
      <c r="K143" s="207"/>
      <c r="L143" s="207"/>
      <c r="M143" s="207"/>
      <c r="N143" s="207"/>
      <c r="O143" s="207"/>
      <c r="P143" s="207"/>
      <c r="Q143" s="207"/>
      <c r="R143" s="207"/>
      <c r="S143" s="207"/>
      <c r="T143" s="207"/>
      <c r="U143" s="209"/>
      <c r="V143" s="207"/>
      <c r="W143" s="207"/>
      <c r="X143" s="209">
        <f t="shared" si="31"/>
        <v>0</v>
      </c>
      <c r="Y143" s="209">
        <f t="shared" si="32"/>
        <v>0</v>
      </c>
      <c r="Z143" s="207">
        <v>1</v>
      </c>
      <c r="AA143" s="209" t="str">
        <f t="shared" si="30"/>
        <v/>
      </c>
      <c r="AB143" s="209"/>
      <c r="AC143" s="207">
        <v>0</v>
      </c>
      <c r="AD143" s="207"/>
      <c r="AE143" s="207"/>
      <c r="AF143" s="208" t="str">
        <f>IF(ISBLANK(D143),"",VLOOKUP(F143,'SIZE CALCULATION'!$F:$G,2,0))</f>
        <v/>
      </c>
      <c r="AG143" s="207" t="str">
        <f t="shared" si="28"/>
        <v/>
      </c>
      <c r="AH143" s="207" t="str">
        <f t="shared" si="33"/>
        <v/>
      </c>
      <c r="AI143" s="210" t="str">
        <f>IF(ISBLANK(D143),"",VLOOKUP($A143,INDEX!$D$2:$F$13,3,0))</f>
        <v/>
      </c>
      <c r="AJ143" s="207" t="str">
        <f t="shared" si="34"/>
        <v/>
      </c>
      <c r="AK143" s="207"/>
      <c r="AL143" s="207"/>
      <c r="AM143" s="207" t="str">
        <f>IFERROR(IF(ISBLANK($D143),"",VLOOKUP($N143,'TABLE CHARGE RATE'!$A$30:$K$106,5,0)),"Check")</f>
        <v/>
      </c>
      <c r="AN143" s="207" t="str">
        <f>IFERROR(IF(ISBLANK($D143),"",VLOOKUP($N143,'TABLE CHARGE RATE'!$A$30:$K$106,6,0)),"Check")</f>
        <v/>
      </c>
      <c r="AO143" s="207" t="str">
        <f>IFERROR(IF(ISBLANK($D143),"",VLOOKUP($N143,'TABLE CHARGE RATE'!$A$30:$K$106,7,0)),"Check")</f>
        <v/>
      </c>
      <c r="AP143" s="207" t="str">
        <f>IFERROR(IF(ISBLANK($D143),"",VLOOKUP($N143,'TABLE CHARGE RATE'!$A$30:$K$106,8,0)),"Check")</f>
        <v/>
      </c>
      <c r="AQ143" s="207" t="str">
        <f>IFERROR(IF(ISBLANK($D143),"",VLOOKUP($N143,'TABLE CHARGE RATE'!$A$30:$K$106,9,0)),"Check")</f>
        <v/>
      </c>
      <c r="AR143" s="207" t="str">
        <f>IFERROR(IF(ISBLANK($D143),"",VLOOKUP($N143,'TABLE CHARGE RATE'!$A$30:$K$106,10,0)),"Check")</f>
        <v/>
      </c>
      <c r="AS143" s="207" t="str">
        <f>IFERROR(IF(ISBLANK($D143),"",VLOOKUP($N143,'TABLE CHARGE RATE'!$A$30:$K$106,11,0)),"Check")</f>
        <v/>
      </c>
      <c r="AT143" s="207">
        <f t="shared" si="35"/>
        <v>142</v>
      </c>
    </row>
    <row r="144" spans="1:46" x14ac:dyDescent="0.2">
      <c r="A144" s="207" t="str">
        <f t="shared" si="29"/>
        <v/>
      </c>
      <c r="B144" s="208" t="str">
        <f>IF(ISBLANK(D144),"",VLOOKUP(WEEKDAY($C144,1),INDEX!$J$2:$K$8,2,0))</f>
        <v/>
      </c>
      <c r="C144" s="209"/>
      <c r="D144" s="207"/>
      <c r="E144" s="207"/>
      <c r="F144" s="207"/>
      <c r="G144" s="207"/>
      <c r="H144" s="207"/>
      <c r="I144" s="207"/>
      <c r="J144" s="207"/>
      <c r="K144" s="207"/>
      <c r="L144" s="207"/>
      <c r="M144" s="207"/>
      <c r="N144" s="207"/>
      <c r="O144" s="207"/>
      <c r="P144" s="207"/>
      <c r="Q144" s="207"/>
      <c r="R144" s="207"/>
      <c r="S144" s="207"/>
      <c r="T144" s="207"/>
      <c r="U144" s="209"/>
      <c r="V144" s="207"/>
      <c r="W144" s="207"/>
      <c r="X144" s="209">
        <f t="shared" si="31"/>
        <v>0</v>
      </c>
      <c r="Y144" s="209">
        <f t="shared" si="32"/>
        <v>0</v>
      </c>
      <c r="Z144" s="207">
        <v>1</v>
      </c>
      <c r="AA144" s="209" t="str">
        <f t="shared" si="30"/>
        <v/>
      </c>
      <c r="AB144" s="209"/>
      <c r="AC144" s="207">
        <v>0</v>
      </c>
      <c r="AD144" s="207"/>
      <c r="AE144" s="207"/>
      <c r="AF144" s="208" t="str">
        <f>IF(ISBLANK(D144),"",VLOOKUP(F144,'SIZE CALCULATION'!$F:$G,2,0))</f>
        <v/>
      </c>
      <c r="AG144" s="207" t="str">
        <f t="shared" si="28"/>
        <v/>
      </c>
      <c r="AH144" s="207" t="str">
        <f t="shared" si="33"/>
        <v/>
      </c>
      <c r="AI144" s="210" t="str">
        <f>IF(ISBLANK(D144),"",VLOOKUP($A144,INDEX!$D$2:$F$13,3,0))</f>
        <v/>
      </c>
      <c r="AJ144" s="207" t="str">
        <f t="shared" si="34"/>
        <v/>
      </c>
      <c r="AK144" s="207"/>
      <c r="AL144" s="207"/>
      <c r="AM144" s="207" t="str">
        <f>IFERROR(IF(ISBLANK($D144),"",VLOOKUP($N144,'TABLE CHARGE RATE'!$A$30:$K$106,5,0)),"Check")</f>
        <v/>
      </c>
      <c r="AN144" s="207" t="str">
        <f>IFERROR(IF(ISBLANK($D144),"",VLOOKUP($N144,'TABLE CHARGE RATE'!$A$30:$K$106,6,0)),"Check")</f>
        <v/>
      </c>
      <c r="AO144" s="207" t="str">
        <f>IFERROR(IF(ISBLANK($D144),"",VLOOKUP($N144,'TABLE CHARGE RATE'!$A$30:$K$106,7,0)),"Check")</f>
        <v/>
      </c>
      <c r="AP144" s="207" t="str">
        <f>IFERROR(IF(ISBLANK($D144),"",VLOOKUP($N144,'TABLE CHARGE RATE'!$A$30:$K$106,8,0)),"Check")</f>
        <v/>
      </c>
      <c r="AQ144" s="207" t="str">
        <f>IFERROR(IF(ISBLANK($D144),"",VLOOKUP($N144,'TABLE CHARGE RATE'!$A$30:$K$106,9,0)),"Check")</f>
        <v/>
      </c>
      <c r="AR144" s="207" t="str">
        <f>IFERROR(IF(ISBLANK($D144),"",VLOOKUP($N144,'TABLE CHARGE RATE'!$A$30:$K$106,10,0)),"Check")</f>
        <v/>
      </c>
      <c r="AS144" s="207" t="str">
        <f>IFERROR(IF(ISBLANK($D144),"",VLOOKUP($N144,'TABLE CHARGE RATE'!$A$30:$K$106,11,0)),"Check")</f>
        <v/>
      </c>
      <c r="AT144" s="207">
        <f t="shared" si="35"/>
        <v>143</v>
      </c>
    </row>
    <row r="145" spans="1:46" x14ac:dyDescent="0.2">
      <c r="A145" s="207" t="str">
        <f t="shared" si="29"/>
        <v/>
      </c>
      <c r="B145" s="208" t="str">
        <f>IF(ISBLANK(D145),"",VLOOKUP(WEEKDAY($C145,1),INDEX!$J$2:$K$8,2,0))</f>
        <v/>
      </c>
      <c r="C145" s="209"/>
      <c r="D145" s="207"/>
      <c r="E145" s="207"/>
      <c r="F145" s="207"/>
      <c r="G145" s="207"/>
      <c r="H145" s="207"/>
      <c r="I145" s="207"/>
      <c r="J145" s="207"/>
      <c r="K145" s="207"/>
      <c r="L145" s="207"/>
      <c r="M145" s="207"/>
      <c r="N145" s="207"/>
      <c r="O145" s="207"/>
      <c r="P145" s="207"/>
      <c r="Q145" s="207"/>
      <c r="R145" s="207"/>
      <c r="S145" s="207"/>
      <c r="T145" s="207"/>
      <c r="U145" s="209"/>
      <c r="V145" s="207"/>
      <c r="W145" s="207"/>
      <c r="X145" s="209">
        <f t="shared" si="31"/>
        <v>0</v>
      </c>
      <c r="Y145" s="209">
        <f t="shared" si="32"/>
        <v>0</v>
      </c>
      <c r="Z145" s="207">
        <v>1</v>
      </c>
      <c r="AA145" s="209" t="str">
        <f t="shared" si="30"/>
        <v/>
      </c>
      <c r="AB145" s="209"/>
      <c r="AC145" s="207">
        <v>0</v>
      </c>
      <c r="AD145" s="207"/>
      <c r="AE145" s="207"/>
      <c r="AF145" s="208" t="str">
        <f>IF(ISBLANK(D145),"",VLOOKUP(F145,'SIZE CALCULATION'!$F:$G,2,0))</f>
        <v/>
      </c>
      <c r="AG145" s="207" t="str">
        <f t="shared" si="28"/>
        <v/>
      </c>
      <c r="AH145" s="207" t="str">
        <f t="shared" si="33"/>
        <v/>
      </c>
      <c r="AI145" s="210" t="str">
        <f>IF(ISBLANK(D145),"",VLOOKUP($A145,INDEX!$D$2:$F$13,3,0))</f>
        <v/>
      </c>
      <c r="AJ145" s="207" t="str">
        <f t="shared" si="34"/>
        <v/>
      </c>
      <c r="AK145" s="207"/>
      <c r="AL145" s="207"/>
      <c r="AM145" s="207" t="str">
        <f>IFERROR(IF(ISBLANK($D145),"",VLOOKUP($N145,'TABLE CHARGE RATE'!$A$30:$K$106,5,0)),"Check")</f>
        <v/>
      </c>
      <c r="AN145" s="207" t="str">
        <f>IFERROR(IF(ISBLANK($D145),"",VLOOKUP($N145,'TABLE CHARGE RATE'!$A$30:$K$106,6,0)),"Check")</f>
        <v/>
      </c>
      <c r="AO145" s="207" t="str">
        <f>IFERROR(IF(ISBLANK($D145),"",VLOOKUP($N145,'TABLE CHARGE RATE'!$A$30:$K$106,7,0)),"Check")</f>
        <v/>
      </c>
      <c r="AP145" s="207" t="str">
        <f>IFERROR(IF(ISBLANK($D145),"",VLOOKUP($N145,'TABLE CHARGE RATE'!$A$30:$K$106,8,0)),"Check")</f>
        <v/>
      </c>
      <c r="AQ145" s="207" t="str">
        <f>IFERROR(IF(ISBLANK($D145),"",VLOOKUP($N145,'TABLE CHARGE RATE'!$A$30:$K$106,9,0)),"Check")</f>
        <v/>
      </c>
      <c r="AR145" s="207" t="str">
        <f>IFERROR(IF(ISBLANK($D145),"",VLOOKUP($N145,'TABLE CHARGE RATE'!$A$30:$K$106,10,0)),"Check")</f>
        <v/>
      </c>
      <c r="AS145" s="207" t="str">
        <f>IFERROR(IF(ISBLANK($D145),"",VLOOKUP($N145,'TABLE CHARGE RATE'!$A$30:$K$106,11,0)),"Check")</f>
        <v/>
      </c>
      <c r="AT145" s="207">
        <f t="shared" si="35"/>
        <v>144</v>
      </c>
    </row>
    <row r="146" spans="1:46" x14ac:dyDescent="0.2">
      <c r="A146" s="207" t="str">
        <f t="shared" si="29"/>
        <v/>
      </c>
      <c r="B146" s="208" t="str">
        <f>IF(ISBLANK(D146),"",VLOOKUP(WEEKDAY($C146,1),INDEX!$J$2:$K$8,2,0))</f>
        <v/>
      </c>
      <c r="C146" s="209"/>
      <c r="D146" s="207"/>
      <c r="E146" s="207"/>
      <c r="F146" s="207"/>
      <c r="G146" s="207"/>
      <c r="H146" s="207"/>
      <c r="I146" s="207"/>
      <c r="J146" s="207"/>
      <c r="K146" s="207"/>
      <c r="L146" s="207"/>
      <c r="M146" s="207"/>
      <c r="N146" s="207"/>
      <c r="O146" s="207"/>
      <c r="P146" s="207"/>
      <c r="Q146" s="207"/>
      <c r="R146" s="207"/>
      <c r="S146" s="207"/>
      <c r="T146" s="207"/>
      <c r="U146" s="209"/>
      <c r="V146" s="207"/>
      <c r="W146" s="207"/>
      <c r="X146" s="209">
        <f t="shared" si="31"/>
        <v>0</v>
      </c>
      <c r="Y146" s="209">
        <f t="shared" si="32"/>
        <v>0</v>
      </c>
      <c r="Z146" s="207">
        <v>1</v>
      </c>
      <c r="AA146" s="209" t="str">
        <f t="shared" si="30"/>
        <v/>
      </c>
      <c r="AB146" s="209"/>
      <c r="AC146" s="207">
        <v>0</v>
      </c>
      <c r="AD146" s="207"/>
      <c r="AE146" s="207"/>
      <c r="AF146" s="208" t="str">
        <f>IF(ISBLANK(D146),"",VLOOKUP(F146,'SIZE CALCULATION'!$F:$G,2,0))</f>
        <v/>
      </c>
      <c r="AG146" s="207" t="str">
        <f t="shared" si="28"/>
        <v/>
      </c>
      <c r="AH146" s="207" t="str">
        <f t="shared" si="33"/>
        <v/>
      </c>
      <c r="AI146" s="210" t="str">
        <f>IF(ISBLANK(D146),"",VLOOKUP($A146,INDEX!$D$2:$F$13,3,0))</f>
        <v/>
      </c>
      <c r="AJ146" s="207" t="str">
        <f t="shared" si="34"/>
        <v/>
      </c>
      <c r="AK146" s="207"/>
      <c r="AL146" s="207"/>
      <c r="AM146" s="207" t="str">
        <f>IFERROR(IF(ISBLANK($D146),"",VLOOKUP($N146,'TABLE CHARGE RATE'!$A$30:$K$106,5,0)),"Check")</f>
        <v/>
      </c>
      <c r="AN146" s="207" t="str">
        <f>IFERROR(IF(ISBLANK($D146),"",VLOOKUP($N146,'TABLE CHARGE RATE'!$A$30:$K$106,6,0)),"Check")</f>
        <v/>
      </c>
      <c r="AO146" s="207" t="str">
        <f>IFERROR(IF(ISBLANK($D146),"",VLOOKUP($N146,'TABLE CHARGE RATE'!$A$30:$K$106,7,0)),"Check")</f>
        <v/>
      </c>
      <c r="AP146" s="207" t="str">
        <f>IFERROR(IF(ISBLANK($D146),"",VLOOKUP($N146,'TABLE CHARGE RATE'!$A$30:$K$106,8,0)),"Check")</f>
        <v/>
      </c>
      <c r="AQ146" s="207" t="str">
        <f>IFERROR(IF(ISBLANK($D146),"",VLOOKUP($N146,'TABLE CHARGE RATE'!$A$30:$K$106,9,0)),"Check")</f>
        <v/>
      </c>
      <c r="AR146" s="207" t="str">
        <f>IFERROR(IF(ISBLANK($D146),"",VLOOKUP($N146,'TABLE CHARGE RATE'!$A$30:$K$106,10,0)),"Check")</f>
        <v/>
      </c>
      <c r="AS146" s="207" t="str">
        <f>IFERROR(IF(ISBLANK($D146),"",VLOOKUP($N146,'TABLE CHARGE RATE'!$A$30:$K$106,11,0)),"Check")</f>
        <v/>
      </c>
      <c r="AT146" s="207">
        <f t="shared" si="35"/>
        <v>145</v>
      </c>
    </row>
    <row r="147" spans="1:46" x14ac:dyDescent="0.2">
      <c r="A147" s="207" t="str">
        <f t="shared" si="29"/>
        <v/>
      </c>
      <c r="B147" s="208" t="str">
        <f>IF(ISBLANK(D147),"",VLOOKUP(WEEKDAY($C147,1),INDEX!$J$2:$K$8,2,0))</f>
        <v/>
      </c>
      <c r="C147" s="209"/>
      <c r="D147" s="207"/>
      <c r="E147" s="207"/>
      <c r="F147" s="207"/>
      <c r="G147" s="207"/>
      <c r="H147" s="207"/>
      <c r="I147" s="207"/>
      <c r="J147" s="207"/>
      <c r="K147" s="207"/>
      <c r="L147" s="207"/>
      <c r="M147" s="207"/>
      <c r="N147" s="207"/>
      <c r="O147" s="207"/>
      <c r="P147" s="207"/>
      <c r="Q147" s="207"/>
      <c r="R147" s="207"/>
      <c r="S147" s="207"/>
      <c r="T147" s="207"/>
      <c r="U147" s="209"/>
      <c r="V147" s="207"/>
      <c r="W147" s="207"/>
      <c r="X147" s="209">
        <f t="shared" si="31"/>
        <v>0</v>
      </c>
      <c r="Y147" s="209">
        <f t="shared" si="32"/>
        <v>0</v>
      </c>
      <c r="Z147" s="207">
        <v>1</v>
      </c>
      <c r="AA147" s="209" t="str">
        <f t="shared" si="30"/>
        <v/>
      </c>
      <c r="AB147" s="209"/>
      <c r="AC147" s="207">
        <v>0</v>
      </c>
      <c r="AD147" s="207"/>
      <c r="AE147" s="207"/>
      <c r="AF147" s="208" t="str">
        <f>IF(ISBLANK(D147),"",VLOOKUP(F147,'SIZE CALCULATION'!$F:$G,2,0))</f>
        <v/>
      </c>
      <c r="AG147" s="207" t="str">
        <f t="shared" si="28"/>
        <v/>
      </c>
      <c r="AH147" s="207" t="str">
        <f t="shared" si="33"/>
        <v/>
      </c>
      <c r="AI147" s="210" t="str">
        <f>IF(ISBLANK(D147),"",VLOOKUP($A147,INDEX!$D$2:$F$13,3,0))</f>
        <v/>
      </c>
      <c r="AJ147" s="207" t="str">
        <f t="shared" si="34"/>
        <v/>
      </c>
      <c r="AK147" s="207"/>
      <c r="AL147" s="207"/>
      <c r="AM147" s="207" t="str">
        <f>IFERROR(IF(ISBLANK($D147),"",VLOOKUP($N147,'TABLE CHARGE RATE'!$A$30:$K$106,5,0)),"Check")</f>
        <v/>
      </c>
      <c r="AN147" s="207" t="str">
        <f>IFERROR(IF(ISBLANK($D147),"",VLOOKUP($N147,'TABLE CHARGE RATE'!$A$30:$K$106,6,0)),"Check")</f>
        <v/>
      </c>
      <c r="AO147" s="207" t="str">
        <f>IFERROR(IF(ISBLANK($D147),"",VLOOKUP($N147,'TABLE CHARGE RATE'!$A$30:$K$106,7,0)),"Check")</f>
        <v/>
      </c>
      <c r="AP147" s="207" t="str">
        <f>IFERROR(IF(ISBLANK($D147),"",VLOOKUP($N147,'TABLE CHARGE RATE'!$A$30:$K$106,8,0)),"Check")</f>
        <v/>
      </c>
      <c r="AQ147" s="207" t="str">
        <f>IFERROR(IF(ISBLANK($D147),"",VLOOKUP($N147,'TABLE CHARGE RATE'!$A$30:$K$106,9,0)),"Check")</f>
        <v/>
      </c>
      <c r="AR147" s="207" t="str">
        <f>IFERROR(IF(ISBLANK($D147),"",VLOOKUP($N147,'TABLE CHARGE RATE'!$A$30:$K$106,10,0)),"Check")</f>
        <v/>
      </c>
      <c r="AS147" s="207" t="str">
        <f>IFERROR(IF(ISBLANK($D147),"",VLOOKUP($N147,'TABLE CHARGE RATE'!$A$30:$K$106,11,0)),"Check")</f>
        <v/>
      </c>
      <c r="AT147" s="207">
        <f t="shared" si="35"/>
        <v>146</v>
      </c>
    </row>
    <row r="148" spans="1:46" x14ac:dyDescent="0.2">
      <c r="A148" s="207" t="str">
        <f t="shared" si="29"/>
        <v/>
      </c>
      <c r="B148" s="208" t="str">
        <f>IF(ISBLANK(D148),"",VLOOKUP(WEEKDAY($C148,1),INDEX!$J$2:$K$8,2,0))</f>
        <v/>
      </c>
      <c r="C148" s="209"/>
      <c r="D148" s="207"/>
      <c r="E148" s="207"/>
      <c r="F148" s="207"/>
      <c r="G148" s="207"/>
      <c r="H148" s="207"/>
      <c r="I148" s="207"/>
      <c r="J148" s="207"/>
      <c r="K148" s="207"/>
      <c r="L148" s="207"/>
      <c r="M148" s="207"/>
      <c r="N148" s="207"/>
      <c r="O148" s="207"/>
      <c r="P148" s="207"/>
      <c r="Q148" s="207"/>
      <c r="R148" s="207"/>
      <c r="S148" s="207"/>
      <c r="T148" s="207"/>
      <c r="U148" s="209"/>
      <c r="V148" s="207"/>
      <c r="W148" s="207"/>
      <c r="X148" s="209">
        <f t="shared" si="31"/>
        <v>0</v>
      </c>
      <c r="Y148" s="209">
        <f t="shared" si="32"/>
        <v>0</v>
      </c>
      <c r="Z148" s="207">
        <v>1</v>
      </c>
      <c r="AA148" s="209" t="str">
        <f t="shared" si="30"/>
        <v/>
      </c>
      <c r="AB148" s="209"/>
      <c r="AC148" s="207">
        <v>0</v>
      </c>
      <c r="AD148" s="207"/>
      <c r="AE148" s="207"/>
      <c r="AF148" s="208" t="str">
        <f>IF(ISBLANK(D148),"",VLOOKUP(F148,'SIZE CALCULATION'!$F:$G,2,0))</f>
        <v/>
      </c>
      <c r="AG148" s="207" t="str">
        <f t="shared" si="28"/>
        <v/>
      </c>
      <c r="AH148" s="207" t="str">
        <f t="shared" si="33"/>
        <v/>
      </c>
      <c r="AI148" s="210" t="str">
        <f>IF(ISBLANK(D148),"",VLOOKUP($A148,INDEX!$D$2:$F$13,3,0))</f>
        <v/>
      </c>
      <c r="AJ148" s="207" t="str">
        <f t="shared" si="34"/>
        <v/>
      </c>
      <c r="AK148" s="207"/>
      <c r="AL148" s="207"/>
      <c r="AM148" s="207" t="str">
        <f>IFERROR(IF(ISBLANK($D148),"",VLOOKUP($N148,'TABLE CHARGE RATE'!$A$30:$K$106,5,0)),"Check")</f>
        <v/>
      </c>
      <c r="AN148" s="207" t="str">
        <f>IFERROR(IF(ISBLANK($D148),"",VLOOKUP($N148,'TABLE CHARGE RATE'!$A$30:$K$106,6,0)),"Check")</f>
        <v/>
      </c>
      <c r="AO148" s="207" t="str">
        <f>IFERROR(IF(ISBLANK($D148),"",VLOOKUP($N148,'TABLE CHARGE RATE'!$A$30:$K$106,7,0)),"Check")</f>
        <v/>
      </c>
      <c r="AP148" s="207" t="str">
        <f>IFERROR(IF(ISBLANK($D148),"",VLOOKUP($N148,'TABLE CHARGE RATE'!$A$30:$K$106,8,0)),"Check")</f>
        <v/>
      </c>
      <c r="AQ148" s="207" t="str">
        <f>IFERROR(IF(ISBLANK($D148),"",VLOOKUP($N148,'TABLE CHARGE RATE'!$A$30:$K$106,9,0)),"Check")</f>
        <v/>
      </c>
      <c r="AR148" s="207" t="str">
        <f>IFERROR(IF(ISBLANK($D148),"",VLOOKUP($N148,'TABLE CHARGE RATE'!$A$30:$K$106,10,0)),"Check")</f>
        <v/>
      </c>
      <c r="AS148" s="207" t="str">
        <f>IFERROR(IF(ISBLANK($D148),"",VLOOKUP($N148,'TABLE CHARGE RATE'!$A$30:$K$106,11,0)),"Check")</f>
        <v/>
      </c>
      <c r="AT148" s="207">
        <f t="shared" si="35"/>
        <v>147</v>
      </c>
    </row>
    <row r="149" spans="1:46" x14ac:dyDescent="0.2">
      <c r="A149" s="207" t="str">
        <f t="shared" si="29"/>
        <v/>
      </c>
      <c r="B149" s="208" t="str">
        <f>IF(ISBLANK(D149),"",VLOOKUP(WEEKDAY($C149,1),INDEX!$J$2:$K$8,2,0))</f>
        <v/>
      </c>
      <c r="C149" s="209"/>
      <c r="D149" s="207"/>
      <c r="E149" s="207"/>
      <c r="F149" s="207"/>
      <c r="G149" s="207"/>
      <c r="H149" s="207"/>
      <c r="I149" s="207"/>
      <c r="J149" s="207"/>
      <c r="K149" s="207"/>
      <c r="L149" s="207"/>
      <c r="M149" s="207"/>
      <c r="N149" s="207"/>
      <c r="O149" s="207"/>
      <c r="P149" s="207"/>
      <c r="Q149" s="207"/>
      <c r="R149" s="207"/>
      <c r="S149" s="207"/>
      <c r="T149" s="207"/>
      <c r="U149" s="209"/>
      <c r="V149" s="207"/>
      <c r="W149" s="207"/>
      <c r="X149" s="209">
        <f t="shared" si="31"/>
        <v>0</v>
      </c>
      <c r="Y149" s="209">
        <f t="shared" si="32"/>
        <v>0</v>
      </c>
      <c r="Z149" s="207">
        <v>1</v>
      </c>
      <c r="AA149" s="209" t="str">
        <f t="shared" si="30"/>
        <v/>
      </c>
      <c r="AB149" s="209"/>
      <c r="AC149" s="207">
        <v>0</v>
      </c>
      <c r="AD149" s="207"/>
      <c r="AE149" s="207"/>
      <c r="AF149" s="208" t="str">
        <f>IF(ISBLANK(D149),"",VLOOKUP(F149,'SIZE CALCULATION'!$F:$G,2,0))</f>
        <v/>
      </c>
      <c r="AG149" s="207" t="str">
        <f t="shared" si="28"/>
        <v/>
      </c>
      <c r="AH149" s="207" t="str">
        <f t="shared" si="33"/>
        <v/>
      </c>
      <c r="AI149" s="210" t="str">
        <f>IF(ISBLANK(D149),"",VLOOKUP($A149,INDEX!$D$2:$F$13,3,0))</f>
        <v/>
      </c>
      <c r="AJ149" s="207" t="str">
        <f t="shared" si="34"/>
        <v/>
      </c>
      <c r="AK149" s="207"/>
      <c r="AL149" s="207"/>
      <c r="AM149" s="207" t="str">
        <f>IFERROR(IF(ISBLANK($D149),"",VLOOKUP($N149,'TABLE CHARGE RATE'!$A$30:$K$106,5,0)),"Check")</f>
        <v/>
      </c>
      <c r="AN149" s="207" t="str">
        <f>IFERROR(IF(ISBLANK($D149),"",VLOOKUP($N149,'TABLE CHARGE RATE'!$A$30:$K$106,6,0)),"Check")</f>
        <v/>
      </c>
      <c r="AO149" s="207" t="str">
        <f>IFERROR(IF(ISBLANK($D149),"",VLOOKUP($N149,'TABLE CHARGE RATE'!$A$30:$K$106,7,0)),"Check")</f>
        <v/>
      </c>
      <c r="AP149" s="207" t="str">
        <f>IFERROR(IF(ISBLANK($D149),"",VLOOKUP($N149,'TABLE CHARGE RATE'!$A$30:$K$106,8,0)),"Check")</f>
        <v/>
      </c>
      <c r="AQ149" s="207" t="str">
        <f>IFERROR(IF(ISBLANK($D149),"",VLOOKUP($N149,'TABLE CHARGE RATE'!$A$30:$K$106,9,0)),"Check")</f>
        <v/>
      </c>
      <c r="AR149" s="207" t="str">
        <f>IFERROR(IF(ISBLANK($D149),"",VLOOKUP($N149,'TABLE CHARGE RATE'!$A$30:$K$106,10,0)),"Check")</f>
        <v/>
      </c>
      <c r="AS149" s="207" t="str">
        <f>IFERROR(IF(ISBLANK($D149),"",VLOOKUP($N149,'TABLE CHARGE RATE'!$A$30:$K$106,11,0)),"Check")</f>
        <v/>
      </c>
      <c r="AT149" s="207">
        <f t="shared" si="35"/>
        <v>148</v>
      </c>
    </row>
    <row r="150" spans="1:46" x14ac:dyDescent="0.2">
      <c r="A150" s="207" t="str">
        <f t="shared" si="29"/>
        <v/>
      </c>
      <c r="B150" s="208" t="str">
        <f>IF(ISBLANK(D150),"",VLOOKUP(WEEKDAY($C150,1),INDEX!$J$2:$K$8,2,0))</f>
        <v/>
      </c>
      <c r="C150" s="209"/>
      <c r="D150" s="207"/>
      <c r="E150" s="207"/>
      <c r="F150" s="207"/>
      <c r="G150" s="207"/>
      <c r="H150" s="207"/>
      <c r="I150" s="207"/>
      <c r="J150" s="207"/>
      <c r="K150" s="207"/>
      <c r="L150" s="207"/>
      <c r="M150" s="207"/>
      <c r="N150" s="207"/>
      <c r="O150" s="207"/>
      <c r="P150" s="207"/>
      <c r="Q150" s="207"/>
      <c r="R150" s="207"/>
      <c r="S150" s="207"/>
      <c r="T150" s="207"/>
      <c r="U150" s="209"/>
      <c r="V150" s="207"/>
      <c r="W150" s="207"/>
      <c r="X150" s="209">
        <f t="shared" si="31"/>
        <v>0</v>
      </c>
      <c r="Y150" s="209">
        <f t="shared" si="32"/>
        <v>0</v>
      </c>
      <c r="Z150" s="207">
        <v>1</v>
      </c>
      <c r="AA150" s="209" t="str">
        <f t="shared" si="30"/>
        <v/>
      </c>
      <c r="AB150" s="209"/>
      <c r="AC150" s="207">
        <v>0</v>
      </c>
      <c r="AD150" s="207"/>
      <c r="AE150" s="207"/>
      <c r="AF150" s="208" t="str">
        <f>IF(ISBLANK(D150),"",VLOOKUP(F150,'SIZE CALCULATION'!$F:$G,2,0))</f>
        <v/>
      </c>
      <c r="AG150" s="207" t="str">
        <f t="shared" si="28"/>
        <v/>
      </c>
      <c r="AH150" s="207" t="str">
        <f t="shared" si="33"/>
        <v/>
      </c>
      <c r="AI150" s="210" t="str">
        <f>IF(ISBLANK(D150),"",VLOOKUP($A150,INDEX!$D$2:$F$13,3,0))</f>
        <v/>
      </c>
      <c r="AJ150" s="207" t="str">
        <f t="shared" si="34"/>
        <v/>
      </c>
      <c r="AK150" s="207"/>
      <c r="AL150" s="207"/>
      <c r="AM150" s="207" t="str">
        <f>IFERROR(IF(ISBLANK($D150),"",VLOOKUP($N150,'TABLE CHARGE RATE'!$A$30:$K$106,5,0)),"Check")</f>
        <v/>
      </c>
      <c r="AN150" s="207" t="str">
        <f>IFERROR(IF(ISBLANK($D150),"",VLOOKUP($N150,'TABLE CHARGE RATE'!$A$30:$K$106,6,0)),"Check")</f>
        <v/>
      </c>
      <c r="AO150" s="207" t="str">
        <f>IFERROR(IF(ISBLANK($D150),"",VLOOKUP($N150,'TABLE CHARGE RATE'!$A$30:$K$106,7,0)),"Check")</f>
        <v/>
      </c>
      <c r="AP150" s="207" t="str">
        <f>IFERROR(IF(ISBLANK($D150),"",VLOOKUP($N150,'TABLE CHARGE RATE'!$A$30:$K$106,8,0)),"Check")</f>
        <v/>
      </c>
      <c r="AQ150" s="207" t="str">
        <f>IFERROR(IF(ISBLANK($D150),"",VLOOKUP($N150,'TABLE CHARGE RATE'!$A$30:$K$106,9,0)),"Check")</f>
        <v/>
      </c>
      <c r="AR150" s="207" t="str">
        <f>IFERROR(IF(ISBLANK($D150),"",VLOOKUP($N150,'TABLE CHARGE RATE'!$A$30:$K$106,10,0)),"Check")</f>
        <v/>
      </c>
      <c r="AS150" s="207" t="str">
        <f>IFERROR(IF(ISBLANK($D150),"",VLOOKUP($N150,'TABLE CHARGE RATE'!$A$30:$K$106,11,0)),"Check")</f>
        <v/>
      </c>
      <c r="AT150" s="207">
        <f t="shared" si="35"/>
        <v>149</v>
      </c>
    </row>
    <row r="151" spans="1:46" x14ac:dyDescent="0.2">
      <c r="A151" s="207" t="str">
        <f t="shared" si="29"/>
        <v/>
      </c>
      <c r="B151" s="208" t="str">
        <f>IF(ISBLANK(D151),"",VLOOKUP(WEEKDAY($C151,1),INDEX!$J$2:$K$8,2,0))</f>
        <v/>
      </c>
      <c r="C151" s="209"/>
      <c r="D151" s="207"/>
      <c r="E151" s="207"/>
      <c r="F151" s="207"/>
      <c r="G151" s="207"/>
      <c r="H151" s="207"/>
      <c r="I151" s="207"/>
      <c r="J151" s="207"/>
      <c r="K151" s="207"/>
      <c r="L151" s="207"/>
      <c r="M151" s="207"/>
      <c r="N151" s="207"/>
      <c r="O151" s="207"/>
      <c r="P151" s="207"/>
      <c r="Q151" s="207"/>
      <c r="R151" s="207"/>
      <c r="S151" s="207"/>
      <c r="T151" s="207"/>
      <c r="U151" s="209"/>
      <c r="V151" s="207"/>
      <c r="W151" s="207"/>
      <c r="X151" s="209">
        <f t="shared" si="31"/>
        <v>0</v>
      </c>
      <c r="Y151" s="209">
        <f t="shared" si="32"/>
        <v>0</v>
      </c>
      <c r="Z151" s="207">
        <v>1</v>
      </c>
      <c r="AA151" s="209" t="str">
        <f t="shared" si="30"/>
        <v/>
      </c>
      <c r="AB151" s="209"/>
      <c r="AC151" s="207">
        <v>0</v>
      </c>
      <c r="AD151" s="207"/>
      <c r="AE151" s="207"/>
      <c r="AF151" s="208" t="str">
        <f>IF(ISBLANK(D151),"",VLOOKUP(F151,'SIZE CALCULATION'!$F:$G,2,0))</f>
        <v/>
      </c>
      <c r="AG151" s="207" t="str">
        <f t="shared" si="28"/>
        <v/>
      </c>
      <c r="AH151" s="207" t="str">
        <f t="shared" si="33"/>
        <v/>
      </c>
      <c r="AI151" s="210" t="str">
        <f>IF(ISBLANK(D151),"",VLOOKUP($A151,INDEX!$D$2:$F$13,3,0))</f>
        <v/>
      </c>
      <c r="AJ151" s="207" t="str">
        <f t="shared" si="34"/>
        <v/>
      </c>
      <c r="AK151" s="207"/>
      <c r="AL151" s="207"/>
      <c r="AM151" s="207" t="str">
        <f>IFERROR(IF(ISBLANK($D151),"",VLOOKUP($N151,'TABLE CHARGE RATE'!$A$30:$K$106,5,0)),"Check")</f>
        <v/>
      </c>
      <c r="AN151" s="207" t="str">
        <f>IFERROR(IF(ISBLANK($D151),"",VLOOKUP($N151,'TABLE CHARGE RATE'!$A$30:$K$106,6,0)),"Check")</f>
        <v/>
      </c>
      <c r="AO151" s="207" t="str">
        <f>IFERROR(IF(ISBLANK($D151),"",VLOOKUP($N151,'TABLE CHARGE RATE'!$A$30:$K$106,7,0)),"Check")</f>
        <v/>
      </c>
      <c r="AP151" s="207" t="str">
        <f>IFERROR(IF(ISBLANK($D151),"",VLOOKUP($N151,'TABLE CHARGE RATE'!$A$30:$K$106,8,0)),"Check")</f>
        <v/>
      </c>
      <c r="AQ151" s="207" t="str">
        <f>IFERROR(IF(ISBLANK($D151),"",VLOOKUP($N151,'TABLE CHARGE RATE'!$A$30:$K$106,9,0)),"Check")</f>
        <v/>
      </c>
      <c r="AR151" s="207" t="str">
        <f>IFERROR(IF(ISBLANK($D151),"",VLOOKUP($N151,'TABLE CHARGE RATE'!$A$30:$K$106,10,0)),"Check")</f>
        <v/>
      </c>
      <c r="AS151" s="207" t="str">
        <f>IFERROR(IF(ISBLANK($D151),"",VLOOKUP($N151,'TABLE CHARGE RATE'!$A$30:$K$106,11,0)),"Check")</f>
        <v/>
      </c>
      <c r="AT151" s="207">
        <f t="shared" si="35"/>
        <v>150</v>
      </c>
    </row>
    <row r="152" spans="1:46" x14ac:dyDescent="0.2">
      <c r="A152" s="207" t="str">
        <f t="shared" si="29"/>
        <v/>
      </c>
      <c r="B152" s="208" t="str">
        <f>IF(ISBLANK(D152),"",VLOOKUP(WEEKDAY($C152,1),INDEX!$J$2:$K$8,2,0))</f>
        <v/>
      </c>
      <c r="C152" s="209"/>
      <c r="D152" s="207"/>
      <c r="E152" s="207"/>
      <c r="F152" s="207"/>
      <c r="G152" s="207"/>
      <c r="H152" s="207"/>
      <c r="I152" s="207"/>
      <c r="J152" s="207"/>
      <c r="K152" s="207"/>
      <c r="L152" s="207"/>
      <c r="M152" s="207"/>
      <c r="N152" s="207"/>
      <c r="O152" s="207"/>
      <c r="P152" s="207"/>
      <c r="Q152" s="207"/>
      <c r="R152" s="207"/>
      <c r="S152" s="207"/>
      <c r="T152" s="207"/>
      <c r="U152" s="209"/>
      <c r="V152" s="207"/>
      <c r="W152" s="207"/>
      <c r="X152" s="209">
        <f t="shared" si="31"/>
        <v>0</v>
      </c>
      <c r="Y152" s="209">
        <f t="shared" si="32"/>
        <v>0</v>
      </c>
      <c r="Z152" s="207">
        <v>1</v>
      </c>
      <c r="AA152" s="209" t="str">
        <f t="shared" si="30"/>
        <v/>
      </c>
      <c r="AB152" s="209"/>
      <c r="AC152" s="207">
        <v>0</v>
      </c>
      <c r="AD152" s="207"/>
      <c r="AE152" s="207"/>
      <c r="AF152" s="208" t="str">
        <f>IF(ISBLANK(D152),"",VLOOKUP(F152,'SIZE CALCULATION'!$F:$G,2,0))</f>
        <v/>
      </c>
      <c r="AG152" s="207" t="str">
        <f t="shared" si="28"/>
        <v/>
      </c>
      <c r="AH152" s="207" t="str">
        <f t="shared" si="33"/>
        <v/>
      </c>
      <c r="AI152" s="210" t="str">
        <f>IF(ISBLANK(D152),"",VLOOKUP($A152,INDEX!$D$2:$F$13,3,0))</f>
        <v/>
      </c>
      <c r="AJ152" s="207" t="str">
        <f t="shared" si="34"/>
        <v/>
      </c>
      <c r="AK152" s="207"/>
      <c r="AL152" s="207"/>
      <c r="AM152" s="207" t="str">
        <f>IFERROR(IF(ISBLANK($D152),"",VLOOKUP($N152,'TABLE CHARGE RATE'!$A$30:$K$106,5,0)),"Check")</f>
        <v/>
      </c>
      <c r="AN152" s="207" t="str">
        <f>IFERROR(IF(ISBLANK($D152),"",VLOOKUP($N152,'TABLE CHARGE RATE'!$A$30:$K$106,6,0)),"Check")</f>
        <v/>
      </c>
      <c r="AO152" s="207" t="str">
        <f>IFERROR(IF(ISBLANK($D152),"",VLOOKUP($N152,'TABLE CHARGE RATE'!$A$30:$K$106,7,0)),"Check")</f>
        <v/>
      </c>
      <c r="AP152" s="207" t="str">
        <f>IFERROR(IF(ISBLANK($D152),"",VLOOKUP($N152,'TABLE CHARGE RATE'!$A$30:$K$106,8,0)),"Check")</f>
        <v/>
      </c>
      <c r="AQ152" s="207" t="str">
        <f>IFERROR(IF(ISBLANK($D152),"",VLOOKUP($N152,'TABLE CHARGE RATE'!$A$30:$K$106,9,0)),"Check")</f>
        <v/>
      </c>
      <c r="AR152" s="207" t="str">
        <f>IFERROR(IF(ISBLANK($D152),"",VLOOKUP($N152,'TABLE CHARGE RATE'!$A$30:$K$106,10,0)),"Check")</f>
        <v/>
      </c>
      <c r="AS152" s="207" t="str">
        <f>IFERROR(IF(ISBLANK($D152),"",VLOOKUP($N152,'TABLE CHARGE RATE'!$A$30:$K$106,11,0)),"Check")</f>
        <v/>
      </c>
      <c r="AT152" s="207">
        <f t="shared" si="35"/>
        <v>151</v>
      </c>
    </row>
    <row r="153" spans="1:46" x14ac:dyDescent="0.2">
      <c r="A153" s="207" t="str">
        <f t="shared" si="29"/>
        <v/>
      </c>
      <c r="B153" s="208" t="str">
        <f>IF(ISBLANK(D153),"",VLOOKUP(WEEKDAY($C153,1),INDEX!$J$2:$K$8,2,0))</f>
        <v/>
      </c>
      <c r="C153" s="209"/>
      <c r="D153" s="207"/>
      <c r="E153" s="207"/>
      <c r="F153" s="207"/>
      <c r="G153" s="207"/>
      <c r="H153" s="207"/>
      <c r="I153" s="207"/>
      <c r="J153" s="207"/>
      <c r="K153" s="207"/>
      <c r="L153" s="207"/>
      <c r="M153" s="207"/>
      <c r="N153" s="207"/>
      <c r="O153" s="207"/>
      <c r="P153" s="207"/>
      <c r="Q153" s="207"/>
      <c r="R153" s="207"/>
      <c r="S153" s="207"/>
      <c r="T153" s="207"/>
      <c r="U153" s="209"/>
      <c r="V153" s="207"/>
      <c r="W153" s="207"/>
      <c r="X153" s="209">
        <f t="shared" si="31"/>
        <v>0</v>
      </c>
      <c r="Y153" s="209">
        <f t="shared" si="32"/>
        <v>0</v>
      </c>
      <c r="Z153" s="207">
        <v>1</v>
      </c>
      <c r="AA153" s="209" t="str">
        <f t="shared" si="30"/>
        <v/>
      </c>
      <c r="AB153" s="209"/>
      <c r="AC153" s="207">
        <v>0</v>
      </c>
      <c r="AD153" s="207"/>
      <c r="AE153" s="207"/>
      <c r="AF153" s="208" t="str">
        <f>IF(ISBLANK(D153),"",VLOOKUP(F153,'SIZE CALCULATION'!$F:$G,2,0))</f>
        <v/>
      </c>
      <c r="AG153" s="207" t="str">
        <f t="shared" si="28"/>
        <v/>
      </c>
      <c r="AH153" s="207" t="str">
        <f t="shared" si="33"/>
        <v/>
      </c>
      <c r="AI153" s="210" t="str">
        <f>IF(ISBLANK(D153),"",VLOOKUP($A153,INDEX!$D$2:$F$13,3,0))</f>
        <v/>
      </c>
      <c r="AJ153" s="207" t="str">
        <f t="shared" si="34"/>
        <v/>
      </c>
      <c r="AK153" s="207"/>
      <c r="AL153" s="207"/>
      <c r="AM153" s="207" t="str">
        <f>IFERROR(IF(ISBLANK($D153),"",VLOOKUP($N153,'TABLE CHARGE RATE'!$A$30:$K$106,5,0)),"Check")</f>
        <v/>
      </c>
      <c r="AN153" s="207" t="str">
        <f>IFERROR(IF(ISBLANK($D153),"",VLOOKUP($N153,'TABLE CHARGE RATE'!$A$30:$K$106,6,0)),"Check")</f>
        <v/>
      </c>
      <c r="AO153" s="207" t="str">
        <f>IFERROR(IF(ISBLANK($D153),"",VLOOKUP($N153,'TABLE CHARGE RATE'!$A$30:$K$106,7,0)),"Check")</f>
        <v/>
      </c>
      <c r="AP153" s="207" t="str">
        <f>IFERROR(IF(ISBLANK($D153),"",VLOOKUP($N153,'TABLE CHARGE RATE'!$A$30:$K$106,8,0)),"Check")</f>
        <v/>
      </c>
      <c r="AQ153" s="207" t="str">
        <f>IFERROR(IF(ISBLANK($D153),"",VLOOKUP($N153,'TABLE CHARGE RATE'!$A$30:$K$106,9,0)),"Check")</f>
        <v/>
      </c>
      <c r="AR153" s="207" t="str">
        <f>IFERROR(IF(ISBLANK($D153),"",VLOOKUP($N153,'TABLE CHARGE RATE'!$A$30:$K$106,10,0)),"Check")</f>
        <v/>
      </c>
      <c r="AS153" s="207" t="str">
        <f>IFERROR(IF(ISBLANK($D153),"",VLOOKUP($N153,'TABLE CHARGE RATE'!$A$30:$K$106,11,0)),"Check")</f>
        <v/>
      </c>
      <c r="AT153" s="207">
        <f t="shared" si="35"/>
        <v>152</v>
      </c>
    </row>
    <row r="154" spans="1:46" x14ac:dyDescent="0.2">
      <c r="A154" s="207" t="str">
        <f t="shared" si="29"/>
        <v/>
      </c>
      <c r="B154" s="208" t="str">
        <f>IF(ISBLANK(D154),"",VLOOKUP(WEEKDAY($C154,1),INDEX!$J$2:$K$8,2,0))</f>
        <v/>
      </c>
      <c r="C154" s="209"/>
      <c r="D154" s="207"/>
      <c r="E154" s="207"/>
      <c r="F154" s="207"/>
      <c r="G154" s="207"/>
      <c r="H154" s="207"/>
      <c r="I154" s="207"/>
      <c r="J154" s="207"/>
      <c r="K154" s="207"/>
      <c r="L154" s="207"/>
      <c r="M154" s="207"/>
      <c r="N154" s="207"/>
      <c r="O154" s="207"/>
      <c r="P154" s="207"/>
      <c r="Q154" s="207"/>
      <c r="R154" s="207"/>
      <c r="S154" s="207"/>
      <c r="T154" s="207"/>
      <c r="U154" s="209"/>
      <c r="V154" s="207"/>
      <c r="W154" s="207"/>
      <c r="X154" s="209">
        <f t="shared" si="31"/>
        <v>0</v>
      </c>
      <c r="Y154" s="209">
        <f t="shared" si="32"/>
        <v>0</v>
      </c>
      <c r="Z154" s="207">
        <v>1</v>
      </c>
      <c r="AA154" s="209" t="str">
        <f t="shared" si="30"/>
        <v/>
      </c>
      <c r="AB154" s="209"/>
      <c r="AC154" s="207">
        <v>0</v>
      </c>
      <c r="AD154" s="207"/>
      <c r="AE154" s="207"/>
      <c r="AF154" s="208" t="str">
        <f>IF(ISBLANK(D154),"",VLOOKUP(F154,'SIZE CALCULATION'!$F:$G,2,0))</f>
        <v/>
      </c>
      <c r="AG154" s="207" t="str">
        <f t="shared" si="28"/>
        <v/>
      </c>
      <c r="AH154" s="207" t="str">
        <f t="shared" si="33"/>
        <v/>
      </c>
      <c r="AI154" s="210" t="str">
        <f>IF(ISBLANK(D154),"",VLOOKUP($A154,INDEX!$D$2:$F$13,3,0))</f>
        <v/>
      </c>
      <c r="AJ154" s="207" t="str">
        <f t="shared" si="34"/>
        <v/>
      </c>
      <c r="AK154" s="207"/>
      <c r="AL154" s="207"/>
      <c r="AM154" s="207" t="str">
        <f>IFERROR(IF(ISBLANK($D154),"",VLOOKUP($N154,'TABLE CHARGE RATE'!$A$30:$K$106,5,0)),"Check")</f>
        <v/>
      </c>
      <c r="AN154" s="207" t="str">
        <f>IFERROR(IF(ISBLANK($D154),"",VLOOKUP($N154,'TABLE CHARGE RATE'!$A$30:$K$106,6,0)),"Check")</f>
        <v/>
      </c>
      <c r="AO154" s="207" t="str">
        <f>IFERROR(IF(ISBLANK($D154),"",VLOOKUP($N154,'TABLE CHARGE RATE'!$A$30:$K$106,7,0)),"Check")</f>
        <v/>
      </c>
      <c r="AP154" s="207" t="str">
        <f>IFERROR(IF(ISBLANK($D154),"",VLOOKUP($N154,'TABLE CHARGE RATE'!$A$30:$K$106,8,0)),"Check")</f>
        <v/>
      </c>
      <c r="AQ154" s="207" t="str">
        <f>IFERROR(IF(ISBLANK($D154),"",VLOOKUP($N154,'TABLE CHARGE RATE'!$A$30:$K$106,9,0)),"Check")</f>
        <v/>
      </c>
      <c r="AR154" s="207" t="str">
        <f>IFERROR(IF(ISBLANK($D154),"",VLOOKUP($N154,'TABLE CHARGE RATE'!$A$30:$K$106,10,0)),"Check")</f>
        <v/>
      </c>
      <c r="AS154" s="207" t="str">
        <f>IFERROR(IF(ISBLANK($D154),"",VLOOKUP($N154,'TABLE CHARGE RATE'!$A$30:$K$106,11,0)),"Check")</f>
        <v/>
      </c>
      <c r="AT154" s="207">
        <f t="shared" si="35"/>
        <v>153</v>
      </c>
    </row>
    <row r="155" spans="1:46" x14ac:dyDescent="0.2">
      <c r="A155" s="207" t="str">
        <f t="shared" si="29"/>
        <v/>
      </c>
      <c r="B155" s="208" t="str">
        <f>IF(ISBLANK(D155),"",VLOOKUP(WEEKDAY($C155,1),INDEX!$J$2:$K$8,2,0))</f>
        <v/>
      </c>
      <c r="C155" s="209"/>
      <c r="D155" s="207"/>
      <c r="E155" s="207"/>
      <c r="F155" s="207"/>
      <c r="G155" s="207"/>
      <c r="H155" s="207"/>
      <c r="I155" s="207"/>
      <c r="J155" s="207"/>
      <c r="K155" s="207"/>
      <c r="L155" s="207"/>
      <c r="M155" s="207"/>
      <c r="N155" s="207"/>
      <c r="O155" s="207"/>
      <c r="P155" s="207"/>
      <c r="Q155" s="207"/>
      <c r="R155" s="207"/>
      <c r="S155" s="207"/>
      <c r="T155" s="207"/>
      <c r="U155" s="209"/>
      <c r="V155" s="207"/>
      <c r="W155" s="207"/>
      <c r="X155" s="209">
        <f t="shared" si="31"/>
        <v>0</v>
      </c>
      <c r="Y155" s="209">
        <f t="shared" si="32"/>
        <v>0</v>
      </c>
      <c r="Z155" s="207">
        <v>1</v>
      </c>
      <c r="AA155" s="209" t="str">
        <f t="shared" si="30"/>
        <v/>
      </c>
      <c r="AB155" s="209"/>
      <c r="AC155" s="207">
        <v>0</v>
      </c>
      <c r="AD155" s="207"/>
      <c r="AE155" s="207"/>
      <c r="AF155" s="208" t="str">
        <f>IF(ISBLANK(D155),"",VLOOKUP(F155,'SIZE CALCULATION'!$F:$G,2,0))</f>
        <v/>
      </c>
      <c r="AG155" s="207" t="str">
        <f t="shared" si="28"/>
        <v/>
      </c>
      <c r="AH155" s="207" t="str">
        <f t="shared" si="33"/>
        <v/>
      </c>
      <c r="AI155" s="210" t="str">
        <f>IF(ISBLANK(D155),"",VLOOKUP($A155,INDEX!$D$2:$F$13,3,0))</f>
        <v/>
      </c>
      <c r="AJ155" s="207" t="str">
        <f t="shared" si="34"/>
        <v/>
      </c>
      <c r="AK155" s="207"/>
      <c r="AL155" s="207"/>
      <c r="AM155" s="207" t="str">
        <f>IFERROR(IF(ISBLANK($D155),"",VLOOKUP($N155,'TABLE CHARGE RATE'!$A$30:$K$106,5,0)),"Check")</f>
        <v/>
      </c>
      <c r="AN155" s="207" t="str">
        <f>IFERROR(IF(ISBLANK($D155),"",VLOOKUP($N155,'TABLE CHARGE RATE'!$A$30:$K$106,6,0)),"Check")</f>
        <v/>
      </c>
      <c r="AO155" s="207" t="str">
        <f>IFERROR(IF(ISBLANK($D155),"",VLOOKUP($N155,'TABLE CHARGE RATE'!$A$30:$K$106,7,0)),"Check")</f>
        <v/>
      </c>
      <c r="AP155" s="207" t="str">
        <f>IFERROR(IF(ISBLANK($D155),"",VLOOKUP($N155,'TABLE CHARGE RATE'!$A$30:$K$106,8,0)),"Check")</f>
        <v/>
      </c>
      <c r="AQ155" s="207" t="str">
        <f>IFERROR(IF(ISBLANK($D155),"",VLOOKUP($N155,'TABLE CHARGE RATE'!$A$30:$K$106,9,0)),"Check")</f>
        <v/>
      </c>
      <c r="AR155" s="207" t="str">
        <f>IFERROR(IF(ISBLANK($D155),"",VLOOKUP($N155,'TABLE CHARGE RATE'!$A$30:$K$106,10,0)),"Check")</f>
        <v/>
      </c>
      <c r="AS155" s="207" t="str">
        <f>IFERROR(IF(ISBLANK($D155),"",VLOOKUP($N155,'TABLE CHARGE RATE'!$A$30:$K$106,11,0)),"Check")</f>
        <v/>
      </c>
      <c r="AT155" s="207">
        <f t="shared" si="35"/>
        <v>154</v>
      </c>
    </row>
    <row r="156" spans="1:46" x14ac:dyDescent="0.2">
      <c r="A156" s="207" t="str">
        <f t="shared" si="29"/>
        <v/>
      </c>
      <c r="B156" s="208" t="str">
        <f>IF(ISBLANK(D156),"",VLOOKUP(WEEKDAY($C156,1),INDEX!$J$2:$K$8,2,0))</f>
        <v/>
      </c>
      <c r="C156" s="209"/>
      <c r="D156" s="207"/>
      <c r="E156" s="207"/>
      <c r="F156" s="207"/>
      <c r="G156" s="207"/>
      <c r="H156" s="207"/>
      <c r="I156" s="207"/>
      <c r="J156" s="207"/>
      <c r="K156" s="207"/>
      <c r="L156" s="207"/>
      <c r="M156" s="207"/>
      <c r="N156" s="207"/>
      <c r="O156" s="207"/>
      <c r="P156" s="207"/>
      <c r="Q156" s="207"/>
      <c r="R156" s="207"/>
      <c r="S156" s="207"/>
      <c r="T156" s="207"/>
      <c r="U156" s="209"/>
      <c r="V156" s="207"/>
      <c r="W156" s="207"/>
      <c r="X156" s="209">
        <f t="shared" si="31"/>
        <v>0</v>
      </c>
      <c r="Y156" s="209">
        <f t="shared" si="32"/>
        <v>0</v>
      </c>
      <c r="Z156" s="207">
        <v>1</v>
      </c>
      <c r="AA156" s="209" t="str">
        <f t="shared" si="30"/>
        <v/>
      </c>
      <c r="AB156" s="209"/>
      <c r="AC156" s="207">
        <v>0</v>
      </c>
      <c r="AD156" s="207"/>
      <c r="AE156" s="207"/>
      <c r="AF156" s="208" t="str">
        <f>IF(ISBLANK(D156),"",VLOOKUP(F156,'SIZE CALCULATION'!$F:$G,2,0))</f>
        <v/>
      </c>
      <c r="AG156" s="207" t="str">
        <f t="shared" si="28"/>
        <v/>
      </c>
      <c r="AH156" s="207" t="str">
        <f t="shared" si="33"/>
        <v/>
      </c>
      <c r="AI156" s="210" t="str">
        <f>IF(ISBLANK(D156),"",VLOOKUP($A156,INDEX!$D$2:$F$13,3,0))</f>
        <v/>
      </c>
      <c r="AJ156" s="207" t="str">
        <f t="shared" si="34"/>
        <v/>
      </c>
      <c r="AK156" s="207"/>
      <c r="AL156" s="207"/>
      <c r="AM156" s="207" t="str">
        <f>IFERROR(IF(ISBLANK($D156),"",VLOOKUP($N156,'TABLE CHARGE RATE'!$A$30:$K$106,5,0)),"Check")</f>
        <v/>
      </c>
      <c r="AN156" s="207" t="str">
        <f>IFERROR(IF(ISBLANK($D156),"",VLOOKUP($N156,'TABLE CHARGE RATE'!$A$30:$K$106,6,0)),"Check")</f>
        <v/>
      </c>
      <c r="AO156" s="207" t="str">
        <f>IFERROR(IF(ISBLANK($D156),"",VLOOKUP($N156,'TABLE CHARGE RATE'!$A$30:$K$106,7,0)),"Check")</f>
        <v/>
      </c>
      <c r="AP156" s="207" t="str">
        <f>IFERROR(IF(ISBLANK($D156),"",VLOOKUP($N156,'TABLE CHARGE RATE'!$A$30:$K$106,8,0)),"Check")</f>
        <v/>
      </c>
      <c r="AQ156" s="207" t="str">
        <f>IFERROR(IF(ISBLANK($D156),"",VLOOKUP($N156,'TABLE CHARGE RATE'!$A$30:$K$106,9,0)),"Check")</f>
        <v/>
      </c>
      <c r="AR156" s="207" t="str">
        <f>IFERROR(IF(ISBLANK($D156),"",VLOOKUP($N156,'TABLE CHARGE RATE'!$A$30:$K$106,10,0)),"Check")</f>
        <v/>
      </c>
      <c r="AS156" s="207" t="str">
        <f>IFERROR(IF(ISBLANK($D156),"",VLOOKUP($N156,'TABLE CHARGE RATE'!$A$30:$K$106,11,0)),"Check")</f>
        <v/>
      </c>
      <c r="AT156" s="207">
        <f t="shared" si="35"/>
        <v>155</v>
      </c>
    </row>
    <row r="157" spans="1:46" x14ac:dyDescent="0.2">
      <c r="A157" s="207" t="str">
        <f t="shared" si="29"/>
        <v/>
      </c>
      <c r="B157" s="208" t="str">
        <f>IF(ISBLANK(D157),"",VLOOKUP(WEEKDAY($C157,1),INDEX!$J$2:$K$8,2,0))</f>
        <v/>
      </c>
      <c r="C157" s="209"/>
      <c r="D157" s="207"/>
      <c r="E157" s="207"/>
      <c r="F157" s="207"/>
      <c r="G157" s="207"/>
      <c r="H157" s="207"/>
      <c r="I157" s="207"/>
      <c r="J157" s="207"/>
      <c r="K157" s="207"/>
      <c r="L157" s="207"/>
      <c r="M157" s="207"/>
      <c r="N157" s="207"/>
      <c r="O157" s="207"/>
      <c r="P157" s="207"/>
      <c r="Q157" s="207"/>
      <c r="R157" s="207"/>
      <c r="S157" s="207"/>
      <c r="T157" s="207"/>
      <c r="U157" s="209"/>
      <c r="V157" s="207"/>
      <c r="W157" s="207"/>
      <c r="X157" s="209">
        <f t="shared" si="31"/>
        <v>0</v>
      </c>
      <c r="Y157" s="209">
        <f t="shared" si="32"/>
        <v>0</v>
      </c>
      <c r="Z157" s="207">
        <v>1</v>
      </c>
      <c r="AA157" s="209" t="str">
        <f t="shared" si="30"/>
        <v/>
      </c>
      <c r="AB157" s="209"/>
      <c r="AC157" s="207">
        <v>0</v>
      </c>
      <c r="AD157" s="207"/>
      <c r="AE157" s="207"/>
      <c r="AF157" s="208" t="str">
        <f>IF(ISBLANK(D157),"",VLOOKUP(F157,'SIZE CALCULATION'!$F:$G,2,0))</f>
        <v/>
      </c>
      <c r="AG157" s="207" t="str">
        <f t="shared" si="28"/>
        <v/>
      </c>
      <c r="AH157" s="207" t="str">
        <f t="shared" si="33"/>
        <v/>
      </c>
      <c r="AI157" s="210" t="str">
        <f>IF(ISBLANK(D157),"",VLOOKUP($A157,INDEX!$D$2:$F$13,3,0))</f>
        <v/>
      </c>
      <c r="AJ157" s="207" t="str">
        <f t="shared" si="34"/>
        <v/>
      </c>
      <c r="AK157" s="207"/>
      <c r="AL157" s="207"/>
      <c r="AM157" s="207" t="str">
        <f>IFERROR(IF(ISBLANK($D157),"",VLOOKUP($N157,'TABLE CHARGE RATE'!$A$30:$K$106,5,0)),"Check")</f>
        <v/>
      </c>
      <c r="AN157" s="207" t="str">
        <f>IFERROR(IF(ISBLANK($D157),"",VLOOKUP($N157,'TABLE CHARGE RATE'!$A$30:$K$106,6,0)),"Check")</f>
        <v/>
      </c>
      <c r="AO157" s="207" t="str">
        <f>IFERROR(IF(ISBLANK($D157),"",VLOOKUP($N157,'TABLE CHARGE RATE'!$A$30:$K$106,7,0)),"Check")</f>
        <v/>
      </c>
      <c r="AP157" s="207" t="str">
        <f>IFERROR(IF(ISBLANK($D157),"",VLOOKUP($N157,'TABLE CHARGE RATE'!$A$30:$K$106,8,0)),"Check")</f>
        <v/>
      </c>
      <c r="AQ157" s="207" t="str">
        <f>IFERROR(IF(ISBLANK($D157),"",VLOOKUP($N157,'TABLE CHARGE RATE'!$A$30:$K$106,9,0)),"Check")</f>
        <v/>
      </c>
      <c r="AR157" s="207" t="str">
        <f>IFERROR(IF(ISBLANK($D157),"",VLOOKUP($N157,'TABLE CHARGE RATE'!$A$30:$K$106,10,0)),"Check")</f>
        <v/>
      </c>
      <c r="AS157" s="207" t="str">
        <f>IFERROR(IF(ISBLANK($D157),"",VLOOKUP($N157,'TABLE CHARGE RATE'!$A$30:$K$106,11,0)),"Check")</f>
        <v/>
      </c>
      <c r="AT157" s="207">
        <f t="shared" si="35"/>
        <v>156</v>
      </c>
    </row>
    <row r="158" spans="1:46" x14ac:dyDescent="0.2">
      <c r="A158" s="207" t="str">
        <f t="shared" si="29"/>
        <v/>
      </c>
      <c r="B158" s="208" t="str">
        <f>IF(ISBLANK(D158),"",VLOOKUP(WEEKDAY($C158,1),INDEX!$J$2:$K$8,2,0))</f>
        <v/>
      </c>
      <c r="C158" s="209"/>
      <c r="D158" s="207"/>
      <c r="E158" s="207"/>
      <c r="F158" s="207"/>
      <c r="G158" s="207"/>
      <c r="H158" s="207"/>
      <c r="I158" s="207"/>
      <c r="J158" s="207"/>
      <c r="K158" s="207"/>
      <c r="L158" s="207"/>
      <c r="M158" s="207"/>
      <c r="N158" s="207"/>
      <c r="O158" s="207"/>
      <c r="P158" s="207"/>
      <c r="Q158" s="207"/>
      <c r="R158" s="207"/>
      <c r="S158" s="207"/>
      <c r="T158" s="207"/>
      <c r="U158" s="209"/>
      <c r="V158" s="207"/>
      <c r="W158" s="207"/>
      <c r="X158" s="209">
        <f t="shared" si="31"/>
        <v>0</v>
      </c>
      <c r="Y158" s="209">
        <f t="shared" si="32"/>
        <v>0</v>
      </c>
      <c r="Z158" s="207">
        <v>1</v>
      </c>
      <c r="AA158" s="209" t="str">
        <f t="shared" si="30"/>
        <v/>
      </c>
      <c r="AB158" s="209"/>
      <c r="AC158" s="207">
        <v>0</v>
      </c>
      <c r="AD158" s="207"/>
      <c r="AE158" s="207"/>
      <c r="AF158" s="208" t="str">
        <f>IF(ISBLANK(D158),"",VLOOKUP(F158,'SIZE CALCULATION'!$F:$G,2,0))</f>
        <v/>
      </c>
      <c r="AG158" s="207" t="str">
        <f t="shared" si="28"/>
        <v/>
      </c>
      <c r="AH158" s="207" t="str">
        <f t="shared" si="33"/>
        <v/>
      </c>
      <c r="AI158" s="210" t="str">
        <f>IF(ISBLANK(D158),"",VLOOKUP($A158,INDEX!$D$2:$F$13,3,0))</f>
        <v/>
      </c>
      <c r="AJ158" s="207" t="str">
        <f t="shared" si="34"/>
        <v/>
      </c>
      <c r="AK158" s="207"/>
      <c r="AL158" s="207"/>
      <c r="AM158" s="207" t="str">
        <f>IFERROR(IF(ISBLANK($D158),"",VLOOKUP($N158,'TABLE CHARGE RATE'!$A$30:$K$106,5,0)),"Check")</f>
        <v/>
      </c>
      <c r="AN158" s="207" t="str">
        <f>IFERROR(IF(ISBLANK($D158),"",VLOOKUP($N158,'TABLE CHARGE RATE'!$A$30:$K$106,6,0)),"Check")</f>
        <v/>
      </c>
      <c r="AO158" s="207" t="str">
        <f>IFERROR(IF(ISBLANK($D158),"",VLOOKUP($N158,'TABLE CHARGE RATE'!$A$30:$K$106,7,0)),"Check")</f>
        <v/>
      </c>
      <c r="AP158" s="207" t="str">
        <f>IFERROR(IF(ISBLANK($D158),"",VLOOKUP($N158,'TABLE CHARGE RATE'!$A$30:$K$106,8,0)),"Check")</f>
        <v/>
      </c>
      <c r="AQ158" s="207" t="str">
        <f>IFERROR(IF(ISBLANK($D158),"",VLOOKUP($N158,'TABLE CHARGE RATE'!$A$30:$K$106,9,0)),"Check")</f>
        <v/>
      </c>
      <c r="AR158" s="207" t="str">
        <f>IFERROR(IF(ISBLANK($D158),"",VLOOKUP($N158,'TABLE CHARGE RATE'!$A$30:$K$106,10,0)),"Check")</f>
        <v/>
      </c>
      <c r="AS158" s="207" t="str">
        <f>IFERROR(IF(ISBLANK($D158),"",VLOOKUP($N158,'TABLE CHARGE RATE'!$A$30:$K$106,11,0)),"Check")</f>
        <v/>
      </c>
      <c r="AT158" s="207">
        <f t="shared" si="35"/>
        <v>157</v>
      </c>
    </row>
    <row r="159" spans="1:46" x14ac:dyDescent="0.2">
      <c r="A159" s="207" t="str">
        <f t="shared" si="29"/>
        <v/>
      </c>
      <c r="B159" s="208" t="str">
        <f>IF(ISBLANK(D159),"",VLOOKUP(WEEKDAY($C159,1),INDEX!$J$2:$K$8,2,0))</f>
        <v/>
      </c>
      <c r="C159" s="209"/>
      <c r="D159" s="207"/>
      <c r="E159" s="207"/>
      <c r="F159" s="207"/>
      <c r="G159" s="207"/>
      <c r="H159" s="207"/>
      <c r="I159" s="207"/>
      <c r="J159" s="207"/>
      <c r="K159" s="207"/>
      <c r="L159" s="207"/>
      <c r="M159" s="207"/>
      <c r="N159" s="207"/>
      <c r="O159" s="207"/>
      <c r="P159" s="207"/>
      <c r="Q159" s="207"/>
      <c r="R159" s="207"/>
      <c r="S159" s="207"/>
      <c r="T159" s="207"/>
      <c r="U159" s="209"/>
      <c r="V159" s="207"/>
      <c r="W159" s="207"/>
      <c r="X159" s="209">
        <f t="shared" si="31"/>
        <v>0</v>
      </c>
      <c r="Y159" s="209">
        <f t="shared" si="32"/>
        <v>0</v>
      </c>
      <c r="Z159" s="207">
        <v>1</v>
      </c>
      <c r="AA159" s="209" t="str">
        <f t="shared" si="30"/>
        <v/>
      </c>
      <c r="AB159" s="209"/>
      <c r="AC159" s="207">
        <v>0</v>
      </c>
      <c r="AD159" s="207"/>
      <c r="AE159" s="207"/>
      <c r="AF159" s="208" t="str">
        <f>IF(ISBLANK(D159),"",VLOOKUP(F159,'SIZE CALCULATION'!$F:$G,2,0))</f>
        <v/>
      </c>
      <c r="AG159" s="207" t="str">
        <f t="shared" si="28"/>
        <v/>
      </c>
      <c r="AH159" s="207" t="str">
        <f t="shared" si="33"/>
        <v/>
      </c>
      <c r="AI159" s="210" t="str">
        <f>IF(ISBLANK(D159),"",VLOOKUP($A159,INDEX!$D$2:$F$13,3,0))</f>
        <v/>
      </c>
      <c r="AJ159" s="207" t="str">
        <f t="shared" si="34"/>
        <v/>
      </c>
      <c r="AK159" s="207"/>
      <c r="AL159" s="207"/>
      <c r="AM159" s="207" t="str">
        <f>IFERROR(IF(ISBLANK($D159),"",VLOOKUP($N159,'TABLE CHARGE RATE'!$A$30:$K$106,5,0)),"Check")</f>
        <v/>
      </c>
      <c r="AN159" s="207" t="str">
        <f>IFERROR(IF(ISBLANK($D159),"",VLOOKUP($N159,'TABLE CHARGE RATE'!$A$30:$K$106,6,0)),"Check")</f>
        <v/>
      </c>
      <c r="AO159" s="207" t="str">
        <f>IFERROR(IF(ISBLANK($D159),"",VLOOKUP($N159,'TABLE CHARGE RATE'!$A$30:$K$106,7,0)),"Check")</f>
        <v/>
      </c>
      <c r="AP159" s="207" t="str">
        <f>IFERROR(IF(ISBLANK($D159),"",VLOOKUP($N159,'TABLE CHARGE RATE'!$A$30:$K$106,8,0)),"Check")</f>
        <v/>
      </c>
      <c r="AQ159" s="207" t="str">
        <f>IFERROR(IF(ISBLANK($D159),"",VLOOKUP($N159,'TABLE CHARGE RATE'!$A$30:$K$106,9,0)),"Check")</f>
        <v/>
      </c>
      <c r="AR159" s="207" t="str">
        <f>IFERROR(IF(ISBLANK($D159),"",VLOOKUP($N159,'TABLE CHARGE RATE'!$A$30:$K$106,10,0)),"Check")</f>
        <v/>
      </c>
      <c r="AS159" s="207" t="str">
        <f>IFERROR(IF(ISBLANK($D159),"",VLOOKUP($N159,'TABLE CHARGE RATE'!$A$30:$K$106,11,0)),"Check")</f>
        <v/>
      </c>
      <c r="AT159" s="207">
        <f t="shared" si="35"/>
        <v>158</v>
      </c>
    </row>
    <row r="160" spans="1:46" x14ac:dyDescent="0.2">
      <c r="A160" s="207" t="str">
        <f t="shared" si="29"/>
        <v/>
      </c>
      <c r="B160" s="208" t="str">
        <f>IF(ISBLANK(D160),"",VLOOKUP(WEEKDAY($C160,1),INDEX!$J$2:$K$8,2,0))</f>
        <v/>
      </c>
      <c r="C160" s="209"/>
      <c r="D160" s="207"/>
      <c r="E160" s="207"/>
      <c r="F160" s="207"/>
      <c r="G160" s="207"/>
      <c r="H160" s="207"/>
      <c r="I160" s="207"/>
      <c r="J160" s="207"/>
      <c r="K160" s="207"/>
      <c r="L160" s="207"/>
      <c r="M160" s="207"/>
      <c r="N160" s="207"/>
      <c r="O160" s="207"/>
      <c r="P160" s="207"/>
      <c r="Q160" s="207"/>
      <c r="R160" s="207"/>
      <c r="S160" s="207"/>
      <c r="T160" s="207"/>
      <c r="U160" s="209"/>
      <c r="V160" s="207"/>
      <c r="W160" s="207"/>
      <c r="X160" s="209">
        <f t="shared" si="31"/>
        <v>0</v>
      </c>
      <c r="Y160" s="209">
        <f t="shared" si="32"/>
        <v>0</v>
      </c>
      <c r="Z160" s="207">
        <v>1</v>
      </c>
      <c r="AA160" s="209" t="str">
        <f t="shared" si="30"/>
        <v/>
      </c>
      <c r="AB160" s="209"/>
      <c r="AC160" s="207">
        <v>0</v>
      </c>
      <c r="AD160" s="207"/>
      <c r="AE160" s="207"/>
      <c r="AF160" s="208" t="str">
        <f>IF(ISBLANK(D160),"",VLOOKUP(F160,'SIZE CALCULATION'!$F:$G,2,0))</f>
        <v/>
      </c>
      <c r="AG160" s="207" t="str">
        <f t="shared" si="28"/>
        <v/>
      </c>
      <c r="AH160" s="207" t="str">
        <f t="shared" si="33"/>
        <v/>
      </c>
      <c r="AI160" s="210" t="str">
        <f>IF(ISBLANK(D160),"",VLOOKUP($A160,INDEX!$D$2:$F$13,3,0))</f>
        <v/>
      </c>
      <c r="AJ160" s="207" t="str">
        <f t="shared" si="34"/>
        <v/>
      </c>
      <c r="AK160" s="207"/>
      <c r="AL160" s="207"/>
      <c r="AM160" s="207" t="str">
        <f>IFERROR(IF(ISBLANK($D160),"",VLOOKUP($N160,'TABLE CHARGE RATE'!$A$30:$K$106,5,0)),"Check")</f>
        <v/>
      </c>
      <c r="AN160" s="207" t="str">
        <f>IFERROR(IF(ISBLANK($D160),"",VLOOKUP($N160,'TABLE CHARGE RATE'!$A$30:$K$106,6,0)),"Check")</f>
        <v/>
      </c>
      <c r="AO160" s="207" t="str">
        <f>IFERROR(IF(ISBLANK($D160),"",VLOOKUP($N160,'TABLE CHARGE RATE'!$A$30:$K$106,7,0)),"Check")</f>
        <v/>
      </c>
      <c r="AP160" s="207" t="str">
        <f>IFERROR(IF(ISBLANK($D160),"",VLOOKUP($N160,'TABLE CHARGE RATE'!$A$30:$K$106,8,0)),"Check")</f>
        <v/>
      </c>
      <c r="AQ160" s="207" t="str">
        <f>IFERROR(IF(ISBLANK($D160),"",VLOOKUP($N160,'TABLE CHARGE RATE'!$A$30:$K$106,9,0)),"Check")</f>
        <v/>
      </c>
      <c r="AR160" s="207" t="str">
        <f>IFERROR(IF(ISBLANK($D160),"",VLOOKUP($N160,'TABLE CHARGE RATE'!$A$30:$K$106,10,0)),"Check")</f>
        <v/>
      </c>
      <c r="AS160" s="207" t="str">
        <f>IFERROR(IF(ISBLANK($D160),"",VLOOKUP($N160,'TABLE CHARGE RATE'!$A$30:$K$106,11,0)),"Check")</f>
        <v/>
      </c>
      <c r="AT160" s="207">
        <f t="shared" si="35"/>
        <v>159</v>
      </c>
    </row>
    <row r="161" spans="1:46" x14ac:dyDescent="0.2">
      <c r="A161" s="207" t="str">
        <f t="shared" si="29"/>
        <v/>
      </c>
      <c r="B161" s="208" t="str">
        <f>IF(ISBLANK(D161),"",VLOOKUP(WEEKDAY($C161,1),INDEX!$J$2:$K$8,2,0))</f>
        <v/>
      </c>
      <c r="C161" s="209"/>
      <c r="D161" s="207"/>
      <c r="E161" s="207"/>
      <c r="F161" s="207"/>
      <c r="G161" s="207"/>
      <c r="H161" s="207"/>
      <c r="I161" s="207"/>
      <c r="J161" s="207"/>
      <c r="K161" s="207"/>
      <c r="L161" s="207"/>
      <c r="M161" s="207"/>
      <c r="N161" s="207"/>
      <c r="O161" s="207"/>
      <c r="P161" s="207"/>
      <c r="Q161" s="207"/>
      <c r="R161" s="207"/>
      <c r="S161" s="207"/>
      <c r="T161" s="207"/>
      <c r="U161" s="209"/>
      <c r="V161" s="207"/>
      <c r="W161" s="207"/>
      <c r="X161" s="209">
        <f t="shared" si="31"/>
        <v>0</v>
      </c>
      <c r="Y161" s="209">
        <f t="shared" si="32"/>
        <v>0</v>
      </c>
      <c r="Z161" s="207">
        <v>1</v>
      </c>
      <c r="AA161" s="209" t="str">
        <f t="shared" si="30"/>
        <v/>
      </c>
      <c r="AB161" s="209"/>
      <c r="AC161" s="207">
        <v>0</v>
      </c>
      <c r="AD161" s="207"/>
      <c r="AE161" s="207"/>
      <c r="AF161" s="208" t="str">
        <f>IF(ISBLANK(D161),"",VLOOKUP(F161,'SIZE CALCULATION'!$F:$G,2,0))</f>
        <v/>
      </c>
      <c r="AG161" s="207" t="str">
        <f t="shared" si="28"/>
        <v/>
      </c>
      <c r="AH161" s="207" t="str">
        <f t="shared" si="33"/>
        <v/>
      </c>
      <c r="AI161" s="210" t="str">
        <f>IF(ISBLANK(D161),"",VLOOKUP($A161,INDEX!$D$2:$F$13,3,0))</f>
        <v/>
      </c>
      <c r="AJ161" s="207" t="str">
        <f t="shared" si="34"/>
        <v/>
      </c>
      <c r="AK161" s="207"/>
      <c r="AL161" s="207"/>
      <c r="AM161" s="207" t="str">
        <f>IFERROR(IF(ISBLANK($D161),"",VLOOKUP($N161,'TABLE CHARGE RATE'!$A$30:$K$106,5,0)),"Check")</f>
        <v/>
      </c>
      <c r="AN161" s="207" t="str">
        <f>IFERROR(IF(ISBLANK($D161),"",VLOOKUP($N161,'TABLE CHARGE RATE'!$A$30:$K$106,6,0)),"Check")</f>
        <v/>
      </c>
      <c r="AO161" s="207" t="str">
        <f>IFERROR(IF(ISBLANK($D161),"",VLOOKUP($N161,'TABLE CHARGE RATE'!$A$30:$K$106,7,0)),"Check")</f>
        <v/>
      </c>
      <c r="AP161" s="207" t="str">
        <f>IFERROR(IF(ISBLANK($D161),"",VLOOKUP($N161,'TABLE CHARGE RATE'!$A$30:$K$106,8,0)),"Check")</f>
        <v/>
      </c>
      <c r="AQ161" s="207" t="str">
        <f>IFERROR(IF(ISBLANK($D161),"",VLOOKUP($N161,'TABLE CHARGE RATE'!$A$30:$K$106,9,0)),"Check")</f>
        <v/>
      </c>
      <c r="AR161" s="207" t="str">
        <f>IFERROR(IF(ISBLANK($D161),"",VLOOKUP($N161,'TABLE CHARGE RATE'!$A$30:$K$106,10,0)),"Check")</f>
        <v/>
      </c>
      <c r="AS161" s="207" t="str">
        <f>IFERROR(IF(ISBLANK($D161),"",VLOOKUP($N161,'TABLE CHARGE RATE'!$A$30:$K$106,11,0)),"Check")</f>
        <v/>
      </c>
      <c r="AT161" s="207">
        <f t="shared" si="35"/>
        <v>160</v>
      </c>
    </row>
    <row r="162" spans="1:46" x14ac:dyDescent="0.2">
      <c r="A162" s="207" t="str">
        <f t="shared" si="29"/>
        <v/>
      </c>
      <c r="B162" s="208" t="str">
        <f>IF(ISBLANK(D162),"",VLOOKUP(WEEKDAY($C162,1),INDEX!$J$2:$K$8,2,0))</f>
        <v/>
      </c>
      <c r="C162" s="209"/>
      <c r="D162" s="207"/>
      <c r="E162" s="207"/>
      <c r="F162" s="207"/>
      <c r="G162" s="207"/>
      <c r="H162" s="207"/>
      <c r="I162" s="207"/>
      <c r="J162" s="207"/>
      <c r="K162" s="207"/>
      <c r="L162" s="207"/>
      <c r="M162" s="207"/>
      <c r="N162" s="207"/>
      <c r="O162" s="207"/>
      <c r="P162" s="207"/>
      <c r="Q162" s="207"/>
      <c r="R162" s="207"/>
      <c r="S162" s="207"/>
      <c r="T162" s="207"/>
      <c r="U162" s="209"/>
      <c r="V162" s="207"/>
      <c r="W162" s="207"/>
      <c r="X162" s="209">
        <f t="shared" si="31"/>
        <v>0</v>
      </c>
      <c r="Y162" s="209">
        <f t="shared" si="32"/>
        <v>0</v>
      </c>
      <c r="Z162" s="207">
        <v>1</v>
      </c>
      <c r="AA162" s="209" t="str">
        <f t="shared" si="30"/>
        <v/>
      </c>
      <c r="AB162" s="209"/>
      <c r="AC162" s="207">
        <v>0</v>
      </c>
      <c r="AD162" s="207"/>
      <c r="AE162" s="207"/>
      <c r="AF162" s="208" t="str">
        <f>IF(ISBLANK(D162),"",VLOOKUP(F162,'SIZE CALCULATION'!$F:$G,2,0))</f>
        <v/>
      </c>
      <c r="AG162" s="207" t="str">
        <f t="shared" si="28"/>
        <v/>
      </c>
      <c r="AH162" s="207" t="str">
        <f t="shared" si="33"/>
        <v/>
      </c>
      <c r="AI162" s="210" t="str">
        <f>IF(ISBLANK(D162),"",VLOOKUP($A162,INDEX!$D$2:$F$13,3,0))</f>
        <v/>
      </c>
      <c r="AJ162" s="207" t="str">
        <f t="shared" si="34"/>
        <v/>
      </c>
      <c r="AK162" s="207"/>
      <c r="AL162" s="207"/>
      <c r="AM162" s="207" t="str">
        <f>IFERROR(IF(ISBLANK($D162),"",VLOOKUP($N162,'TABLE CHARGE RATE'!$A$30:$K$106,5,0)),"Check")</f>
        <v/>
      </c>
      <c r="AN162" s="207" t="str">
        <f>IFERROR(IF(ISBLANK($D162),"",VLOOKUP($N162,'TABLE CHARGE RATE'!$A$30:$K$106,6,0)),"Check")</f>
        <v/>
      </c>
      <c r="AO162" s="207" t="str">
        <f>IFERROR(IF(ISBLANK($D162),"",VLOOKUP($N162,'TABLE CHARGE RATE'!$A$30:$K$106,7,0)),"Check")</f>
        <v/>
      </c>
      <c r="AP162" s="207" t="str">
        <f>IFERROR(IF(ISBLANK($D162),"",VLOOKUP($N162,'TABLE CHARGE RATE'!$A$30:$K$106,8,0)),"Check")</f>
        <v/>
      </c>
      <c r="AQ162" s="207" t="str">
        <f>IFERROR(IF(ISBLANK($D162),"",VLOOKUP($N162,'TABLE CHARGE RATE'!$A$30:$K$106,9,0)),"Check")</f>
        <v/>
      </c>
      <c r="AR162" s="207" t="str">
        <f>IFERROR(IF(ISBLANK($D162),"",VLOOKUP($N162,'TABLE CHARGE RATE'!$A$30:$K$106,10,0)),"Check")</f>
        <v/>
      </c>
      <c r="AS162" s="207" t="str">
        <f>IFERROR(IF(ISBLANK($D162),"",VLOOKUP($N162,'TABLE CHARGE RATE'!$A$30:$K$106,11,0)),"Check")</f>
        <v/>
      </c>
      <c r="AT162" s="207">
        <f t="shared" si="35"/>
        <v>161</v>
      </c>
    </row>
    <row r="163" spans="1:46" x14ac:dyDescent="0.2">
      <c r="A163" s="207" t="str">
        <f t="shared" si="29"/>
        <v/>
      </c>
      <c r="B163" s="208" t="str">
        <f>IF(ISBLANK(D163),"",VLOOKUP(WEEKDAY($C163,1),INDEX!$J$2:$K$8,2,0))</f>
        <v/>
      </c>
      <c r="C163" s="209"/>
      <c r="D163" s="207"/>
      <c r="E163" s="207"/>
      <c r="F163" s="207"/>
      <c r="G163" s="207"/>
      <c r="H163" s="207"/>
      <c r="I163" s="207"/>
      <c r="J163" s="207"/>
      <c r="K163" s="207"/>
      <c r="L163" s="207"/>
      <c r="M163" s="207"/>
      <c r="N163" s="207"/>
      <c r="O163" s="207"/>
      <c r="P163" s="207"/>
      <c r="Q163" s="207"/>
      <c r="R163" s="207"/>
      <c r="S163" s="207"/>
      <c r="T163" s="207"/>
      <c r="U163" s="209"/>
      <c r="V163" s="207"/>
      <c r="W163" s="207"/>
      <c r="X163" s="209">
        <f t="shared" si="31"/>
        <v>0</v>
      </c>
      <c r="Y163" s="209">
        <f t="shared" si="32"/>
        <v>0</v>
      </c>
      <c r="Z163" s="207">
        <v>1</v>
      </c>
      <c r="AA163" s="209" t="str">
        <f t="shared" si="30"/>
        <v/>
      </c>
      <c r="AB163" s="209"/>
      <c r="AC163" s="207">
        <v>0</v>
      </c>
      <c r="AD163" s="207"/>
      <c r="AE163" s="207"/>
      <c r="AF163" s="208" t="str">
        <f>IF(ISBLANK(D163),"",VLOOKUP(F163,'SIZE CALCULATION'!$F:$G,2,0))</f>
        <v/>
      </c>
      <c r="AG163" s="207" t="str">
        <f t="shared" si="28"/>
        <v/>
      </c>
      <c r="AH163" s="207" t="str">
        <f t="shared" si="33"/>
        <v/>
      </c>
      <c r="AI163" s="210" t="str">
        <f>IF(ISBLANK(D163),"",VLOOKUP($A163,INDEX!$D$2:$F$13,3,0))</f>
        <v/>
      </c>
      <c r="AJ163" s="207" t="str">
        <f t="shared" si="34"/>
        <v/>
      </c>
      <c r="AK163" s="207"/>
      <c r="AL163" s="207"/>
      <c r="AM163" s="207" t="str">
        <f>IFERROR(IF(ISBLANK($D163),"",VLOOKUP($N163,'TABLE CHARGE RATE'!$A$30:$K$106,5,0)),"Check")</f>
        <v/>
      </c>
      <c r="AN163" s="207" t="str">
        <f>IFERROR(IF(ISBLANK($D163),"",VLOOKUP($N163,'TABLE CHARGE RATE'!$A$30:$K$106,6,0)),"Check")</f>
        <v/>
      </c>
      <c r="AO163" s="207" t="str">
        <f>IFERROR(IF(ISBLANK($D163),"",VLOOKUP($N163,'TABLE CHARGE RATE'!$A$30:$K$106,7,0)),"Check")</f>
        <v/>
      </c>
      <c r="AP163" s="207" t="str">
        <f>IFERROR(IF(ISBLANK($D163),"",VLOOKUP($N163,'TABLE CHARGE RATE'!$A$30:$K$106,8,0)),"Check")</f>
        <v/>
      </c>
      <c r="AQ163" s="207" t="str">
        <f>IFERROR(IF(ISBLANK($D163),"",VLOOKUP($N163,'TABLE CHARGE RATE'!$A$30:$K$106,9,0)),"Check")</f>
        <v/>
      </c>
      <c r="AR163" s="207" t="str">
        <f>IFERROR(IF(ISBLANK($D163),"",VLOOKUP($N163,'TABLE CHARGE RATE'!$A$30:$K$106,10,0)),"Check")</f>
        <v/>
      </c>
      <c r="AS163" s="207" t="str">
        <f>IFERROR(IF(ISBLANK($D163),"",VLOOKUP($N163,'TABLE CHARGE RATE'!$A$30:$K$106,11,0)),"Check")</f>
        <v/>
      </c>
      <c r="AT163" s="207">
        <f t="shared" si="35"/>
        <v>162</v>
      </c>
    </row>
    <row r="164" spans="1:46" x14ac:dyDescent="0.2">
      <c r="A164" s="207" t="str">
        <f t="shared" si="29"/>
        <v/>
      </c>
      <c r="B164" s="208" t="str">
        <f>IF(ISBLANK(D164),"",VLOOKUP(WEEKDAY($C164,1),INDEX!$J$2:$K$8,2,0))</f>
        <v/>
      </c>
      <c r="C164" s="209"/>
      <c r="D164" s="207"/>
      <c r="E164" s="207"/>
      <c r="F164" s="207"/>
      <c r="G164" s="207"/>
      <c r="H164" s="207"/>
      <c r="I164" s="207"/>
      <c r="J164" s="207"/>
      <c r="K164" s="207"/>
      <c r="L164" s="207"/>
      <c r="M164" s="207"/>
      <c r="N164" s="207"/>
      <c r="O164" s="207"/>
      <c r="P164" s="207"/>
      <c r="Q164" s="207"/>
      <c r="R164" s="207"/>
      <c r="S164" s="207"/>
      <c r="T164" s="207"/>
      <c r="U164" s="209"/>
      <c r="V164" s="207"/>
      <c r="W164" s="207"/>
      <c r="X164" s="209">
        <f t="shared" si="31"/>
        <v>0</v>
      </c>
      <c r="Y164" s="209">
        <f t="shared" si="32"/>
        <v>0</v>
      </c>
      <c r="Z164" s="207">
        <v>1</v>
      </c>
      <c r="AA164" s="209" t="str">
        <f t="shared" si="30"/>
        <v/>
      </c>
      <c r="AB164" s="209"/>
      <c r="AC164" s="207">
        <v>0</v>
      </c>
      <c r="AD164" s="207"/>
      <c r="AE164" s="207"/>
      <c r="AF164" s="208" t="str">
        <f>IF(ISBLANK(D164),"",VLOOKUP(F164,'SIZE CALCULATION'!$F:$G,2,0))</f>
        <v/>
      </c>
      <c r="AG164" s="207" t="str">
        <f t="shared" si="28"/>
        <v/>
      </c>
      <c r="AH164" s="207" t="str">
        <f t="shared" si="33"/>
        <v/>
      </c>
      <c r="AI164" s="210" t="str">
        <f>IF(ISBLANK(D164),"",VLOOKUP($A164,INDEX!$D$2:$F$13,3,0))</f>
        <v/>
      </c>
      <c r="AJ164" s="207" t="str">
        <f t="shared" si="34"/>
        <v/>
      </c>
      <c r="AK164" s="207"/>
      <c r="AL164" s="207"/>
      <c r="AM164" s="207" t="str">
        <f>IFERROR(IF(ISBLANK($D164),"",VLOOKUP($N164,'TABLE CHARGE RATE'!$A$30:$K$106,5,0)),"Check")</f>
        <v/>
      </c>
      <c r="AN164" s="207" t="str">
        <f>IFERROR(IF(ISBLANK($D164),"",VLOOKUP($N164,'TABLE CHARGE RATE'!$A$30:$K$106,6,0)),"Check")</f>
        <v/>
      </c>
      <c r="AO164" s="207" t="str">
        <f>IFERROR(IF(ISBLANK($D164),"",VLOOKUP($N164,'TABLE CHARGE RATE'!$A$30:$K$106,7,0)),"Check")</f>
        <v/>
      </c>
      <c r="AP164" s="207" t="str">
        <f>IFERROR(IF(ISBLANK($D164),"",VLOOKUP($N164,'TABLE CHARGE RATE'!$A$30:$K$106,8,0)),"Check")</f>
        <v/>
      </c>
      <c r="AQ164" s="207" t="str">
        <f>IFERROR(IF(ISBLANK($D164),"",VLOOKUP($N164,'TABLE CHARGE RATE'!$A$30:$K$106,9,0)),"Check")</f>
        <v/>
      </c>
      <c r="AR164" s="207" t="str">
        <f>IFERROR(IF(ISBLANK($D164),"",VLOOKUP($N164,'TABLE CHARGE RATE'!$A$30:$K$106,10,0)),"Check")</f>
        <v/>
      </c>
      <c r="AS164" s="207" t="str">
        <f>IFERROR(IF(ISBLANK($D164),"",VLOOKUP($N164,'TABLE CHARGE RATE'!$A$30:$K$106,11,0)),"Check")</f>
        <v/>
      </c>
      <c r="AT164" s="207">
        <f t="shared" si="35"/>
        <v>163</v>
      </c>
    </row>
    <row r="165" spans="1:46" x14ac:dyDescent="0.2">
      <c r="A165" s="207" t="str">
        <f t="shared" si="29"/>
        <v/>
      </c>
      <c r="B165" s="208" t="str">
        <f>IF(ISBLANK(D165),"",VLOOKUP(WEEKDAY($C165,1),INDEX!$J$2:$K$8,2,0))</f>
        <v/>
      </c>
      <c r="C165" s="209"/>
      <c r="D165" s="207"/>
      <c r="E165" s="207"/>
      <c r="F165" s="207"/>
      <c r="G165" s="207"/>
      <c r="H165" s="207"/>
      <c r="I165" s="207"/>
      <c r="J165" s="207"/>
      <c r="K165" s="207"/>
      <c r="L165" s="207"/>
      <c r="M165" s="207"/>
      <c r="N165" s="207"/>
      <c r="O165" s="207"/>
      <c r="P165" s="207"/>
      <c r="Q165" s="207"/>
      <c r="R165" s="207"/>
      <c r="S165" s="207"/>
      <c r="T165" s="207"/>
      <c r="U165" s="209"/>
      <c r="V165" s="207"/>
      <c r="W165" s="207"/>
      <c r="X165" s="209">
        <f t="shared" si="31"/>
        <v>0</v>
      </c>
      <c r="Y165" s="209">
        <f t="shared" si="32"/>
        <v>0</v>
      </c>
      <c r="Z165" s="207">
        <v>1</v>
      </c>
      <c r="AA165" s="209" t="str">
        <f t="shared" si="30"/>
        <v/>
      </c>
      <c r="AB165" s="209"/>
      <c r="AC165" s="207">
        <v>0</v>
      </c>
      <c r="AD165" s="207"/>
      <c r="AE165" s="207"/>
      <c r="AF165" s="208" t="str">
        <f>IF(ISBLANK(D165),"",VLOOKUP(F165,'SIZE CALCULATION'!$F:$G,2,0))</f>
        <v/>
      </c>
      <c r="AG165" s="207" t="str">
        <f t="shared" si="28"/>
        <v/>
      </c>
      <c r="AH165" s="207" t="str">
        <f t="shared" si="33"/>
        <v/>
      </c>
      <c r="AI165" s="210" t="str">
        <f>IF(ISBLANK(D165),"",VLOOKUP($A165,INDEX!$D$2:$F$13,3,0))</f>
        <v/>
      </c>
      <c r="AJ165" s="207" t="str">
        <f t="shared" si="34"/>
        <v/>
      </c>
      <c r="AK165" s="207"/>
      <c r="AL165" s="207"/>
      <c r="AM165" s="207" t="str">
        <f>IFERROR(IF(ISBLANK($D165),"",VLOOKUP($N165,'TABLE CHARGE RATE'!$A$30:$K$106,5,0)),"Check")</f>
        <v/>
      </c>
      <c r="AN165" s="207" t="str">
        <f>IFERROR(IF(ISBLANK($D165),"",VLOOKUP($N165,'TABLE CHARGE RATE'!$A$30:$K$106,6,0)),"Check")</f>
        <v/>
      </c>
      <c r="AO165" s="207" t="str">
        <f>IFERROR(IF(ISBLANK($D165),"",VLOOKUP($N165,'TABLE CHARGE RATE'!$A$30:$K$106,7,0)),"Check")</f>
        <v/>
      </c>
      <c r="AP165" s="207" t="str">
        <f>IFERROR(IF(ISBLANK($D165),"",VLOOKUP($N165,'TABLE CHARGE RATE'!$A$30:$K$106,8,0)),"Check")</f>
        <v/>
      </c>
      <c r="AQ165" s="207" t="str">
        <f>IFERROR(IF(ISBLANK($D165),"",VLOOKUP($N165,'TABLE CHARGE RATE'!$A$30:$K$106,9,0)),"Check")</f>
        <v/>
      </c>
      <c r="AR165" s="207" t="str">
        <f>IFERROR(IF(ISBLANK($D165),"",VLOOKUP($N165,'TABLE CHARGE RATE'!$A$30:$K$106,10,0)),"Check")</f>
        <v/>
      </c>
      <c r="AS165" s="207" t="str">
        <f>IFERROR(IF(ISBLANK($D165),"",VLOOKUP($N165,'TABLE CHARGE RATE'!$A$30:$K$106,11,0)),"Check")</f>
        <v/>
      </c>
      <c r="AT165" s="207">
        <f t="shared" si="35"/>
        <v>164</v>
      </c>
    </row>
    <row r="166" spans="1:46" x14ac:dyDescent="0.2">
      <c r="A166" s="207" t="str">
        <f t="shared" si="29"/>
        <v/>
      </c>
      <c r="B166" s="208" t="str">
        <f>IF(ISBLANK(D166),"",VLOOKUP(WEEKDAY($C166,1),INDEX!$J$2:$K$8,2,0))</f>
        <v/>
      </c>
      <c r="C166" s="209"/>
      <c r="D166" s="207"/>
      <c r="E166" s="207"/>
      <c r="F166" s="207"/>
      <c r="G166" s="207"/>
      <c r="H166" s="207"/>
      <c r="I166" s="207"/>
      <c r="J166" s="207"/>
      <c r="K166" s="207"/>
      <c r="L166" s="207"/>
      <c r="M166" s="207"/>
      <c r="N166" s="207"/>
      <c r="O166" s="207"/>
      <c r="P166" s="207"/>
      <c r="Q166" s="207"/>
      <c r="R166" s="207"/>
      <c r="S166" s="207"/>
      <c r="T166" s="207"/>
      <c r="U166" s="209"/>
      <c r="V166" s="207"/>
      <c r="W166" s="207"/>
      <c r="X166" s="209">
        <f t="shared" si="31"/>
        <v>0</v>
      </c>
      <c r="Y166" s="209">
        <f t="shared" si="32"/>
        <v>0</v>
      </c>
      <c r="Z166" s="207">
        <v>1</v>
      </c>
      <c r="AA166" s="209" t="str">
        <f t="shared" si="30"/>
        <v/>
      </c>
      <c r="AB166" s="209"/>
      <c r="AC166" s="207">
        <v>0</v>
      </c>
      <c r="AD166" s="207"/>
      <c r="AE166" s="207"/>
      <c r="AF166" s="208" t="str">
        <f>IF(ISBLANK(D166),"",VLOOKUP(F166,'SIZE CALCULATION'!$F:$G,2,0))</f>
        <v/>
      </c>
      <c r="AG166" s="207" t="str">
        <f t="shared" si="28"/>
        <v/>
      </c>
      <c r="AH166" s="207" t="str">
        <f t="shared" si="33"/>
        <v/>
      </c>
      <c r="AI166" s="210" t="str">
        <f>IF(ISBLANK(D166),"",VLOOKUP($A166,INDEX!$D$2:$F$13,3,0))</f>
        <v/>
      </c>
      <c r="AJ166" s="207" t="str">
        <f t="shared" si="34"/>
        <v/>
      </c>
      <c r="AK166" s="207"/>
      <c r="AL166" s="207"/>
      <c r="AM166" s="207" t="str">
        <f>IFERROR(IF(ISBLANK($D166),"",VLOOKUP($N166,'TABLE CHARGE RATE'!$A$30:$K$106,5,0)),"Check")</f>
        <v/>
      </c>
      <c r="AN166" s="207" t="str">
        <f>IFERROR(IF(ISBLANK($D166),"",VLOOKUP($N166,'TABLE CHARGE RATE'!$A$30:$K$106,6,0)),"Check")</f>
        <v/>
      </c>
      <c r="AO166" s="207" t="str">
        <f>IFERROR(IF(ISBLANK($D166),"",VLOOKUP($N166,'TABLE CHARGE RATE'!$A$30:$K$106,7,0)),"Check")</f>
        <v/>
      </c>
      <c r="AP166" s="207" t="str">
        <f>IFERROR(IF(ISBLANK($D166),"",VLOOKUP($N166,'TABLE CHARGE RATE'!$A$30:$K$106,8,0)),"Check")</f>
        <v/>
      </c>
      <c r="AQ166" s="207" t="str">
        <f>IFERROR(IF(ISBLANK($D166),"",VLOOKUP($N166,'TABLE CHARGE RATE'!$A$30:$K$106,9,0)),"Check")</f>
        <v/>
      </c>
      <c r="AR166" s="207" t="str">
        <f>IFERROR(IF(ISBLANK($D166),"",VLOOKUP($N166,'TABLE CHARGE RATE'!$A$30:$K$106,10,0)),"Check")</f>
        <v/>
      </c>
      <c r="AS166" s="207" t="str">
        <f>IFERROR(IF(ISBLANK($D166),"",VLOOKUP($N166,'TABLE CHARGE RATE'!$A$30:$K$106,11,0)),"Check")</f>
        <v/>
      </c>
      <c r="AT166" s="207">
        <f t="shared" si="35"/>
        <v>165</v>
      </c>
    </row>
    <row r="167" spans="1:46" x14ac:dyDescent="0.2">
      <c r="A167" s="207" t="str">
        <f t="shared" si="29"/>
        <v/>
      </c>
      <c r="B167" s="208" t="str">
        <f>IF(ISBLANK(D167),"",VLOOKUP(WEEKDAY($C167,1),INDEX!$J$2:$K$8,2,0))</f>
        <v/>
      </c>
      <c r="C167" s="209"/>
      <c r="D167" s="207"/>
      <c r="E167" s="207"/>
      <c r="F167" s="207"/>
      <c r="G167" s="207"/>
      <c r="H167" s="207"/>
      <c r="I167" s="207"/>
      <c r="J167" s="207"/>
      <c r="K167" s="207"/>
      <c r="L167" s="207"/>
      <c r="M167" s="207"/>
      <c r="N167" s="207"/>
      <c r="O167" s="207"/>
      <c r="P167" s="207"/>
      <c r="Q167" s="207"/>
      <c r="R167" s="207"/>
      <c r="S167" s="207"/>
      <c r="T167" s="207"/>
      <c r="U167" s="209"/>
      <c r="V167" s="207"/>
      <c r="W167" s="207"/>
      <c r="X167" s="209">
        <f t="shared" si="31"/>
        <v>0</v>
      </c>
      <c r="Y167" s="209">
        <f t="shared" si="32"/>
        <v>0</v>
      </c>
      <c r="Z167" s="207">
        <v>1</v>
      </c>
      <c r="AA167" s="209" t="str">
        <f t="shared" si="30"/>
        <v/>
      </c>
      <c r="AB167" s="209"/>
      <c r="AC167" s="207">
        <v>0</v>
      </c>
      <c r="AD167" s="207"/>
      <c r="AE167" s="207"/>
      <c r="AF167" s="208" t="str">
        <f>IF(ISBLANK(D167),"",VLOOKUP(F167,'SIZE CALCULATION'!$F:$G,2,0))</f>
        <v/>
      </c>
      <c r="AG167" s="207" t="str">
        <f t="shared" si="28"/>
        <v/>
      </c>
      <c r="AH167" s="207" t="str">
        <f t="shared" si="33"/>
        <v/>
      </c>
      <c r="AI167" s="210" t="str">
        <f>IF(ISBLANK(D167),"",VLOOKUP($A167,INDEX!$D$2:$F$13,3,0))</f>
        <v/>
      </c>
      <c r="AJ167" s="207" t="str">
        <f t="shared" si="34"/>
        <v/>
      </c>
      <c r="AK167" s="207"/>
      <c r="AL167" s="207"/>
      <c r="AM167" s="207" t="str">
        <f>IFERROR(IF(ISBLANK($D167),"",VLOOKUP($N167,'TABLE CHARGE RATE'!$A$30:$K$106,5,0)),"Check")</f>
        <v/>
      </c>
      <c r="AN167" s="207" t="str">
        <f>IFERROR(IF(ISBLANK($D167),"",VLOOKUP($N167,'TABLE CHARGE RATE'!$A$30:$K$106,6,0)),"Check")</f>
        <v/>
      </c>
      <c r="AO167" s="207" t="str">
        <f>IFERROR(IF(ISBLANK($D167),"",VLOOKUP($N167,'TABLE CHARGE RATE'!$A$30:$K$106,7,0)),"Check")</f>
        <v/>
      </c>
      <c r="AP167" s="207" t="str">
        <f>IFERROR(IF(ISBLANK($D167),"",VLOOKUP($N167,'TABLE CHARGE RATE'!$A$30:$K$106,8,0)),"Check")</f>
        <v/>
      </c>
      <c r="AQ167" s="207" t="str">
        <f>IFERROR(IF(ISBLANK($D167),"",VLOOKUP($N167,'TABLE CHARGE RATE'!$A$30:$K$106,9,0)),"Check")</f>
        <v/>
      </c>
      <c r="AR167" s="207" t="str">
        <f>IFERROR(IF(ISBLANK($D167),"",VLOOKUP($N167,'TABLE CHARGE RATE'!$A$30:$K$106,10,0)),"Check")</f>
        <v/>
      </c>
      <c r="AS167" s="207" t="str">
        <f>IFERROR(IF(ISBLANK($D167),"",VLOOKUP($N167,'TABLE CHARGE RATE'!$A$30:$K$106,11,0)),"Check")</f>
        <v/>
      </c>
      <c r="AT167" s="207">
        <f t="shared" si="35"/>
        <v>166</v>
      </c>
    </row>
    <row r="168" spans="1:46" x14ac:dyDescent="0.2">
      <c r="A168" s="207" t="str">
        <f t="shared" si="29"/>
        <v/>
      </c>
      <c r="B168" s="208" t="str">
        <f>IF(ISBLANK(D168),"",VLOOKUP(WEEKDAY($C168,1),INDEX!$J$2:$K$8,2,0))</f>
        <v/>
      </c>
      <c r="C168" s="209"/>
      <c r="D168" s="207"/>
      <c r="E168" s="207"/>
      <c r="F168" s="207"/>
      <c r="G168" s="207"/>
      <c r="H168" s="207"/>
      <c r="I168" s="207"/>
      <c r="J168" s="207"/>
      <c r="K168" s="207"/>
      <c r="L168" s="207"/>
      <c r="M168" s="207"/>
      <c r="N168" s="207"/>
      <c r="O168" s="207"/>
      <c r="P168" s="207"/>
      <c r="Q168" s="207"/>
      <c r="R168" s="207"/>
      <c r="S168" s="207"/>
      <c r="T168" s="207"/>
      <c r="U168" s="209"/>
      <c r="V168" s="207"/>
      <c r="W168" s="207"/>
      <c r="X168" s="209">
        <f t="shared" si="31"/>
        <v>0</v>
      </c>
      <c r="Y168" s="209">
        <f t="shared" si="32"/>
        <v>0</v>
      </c>
      <c r="Z168" s="207">
        <v>1</v>
      </c>
      <c r="AA168" s="209" t="str">
        <f t="shared" si="30"/>
        <v/>
      </c>
      <c r="AB168" s="209"/>
      <c r="AC168" s="207">
        <v>0</v>
      </c>
      <c r="AD168" s="207"/>
      <c r="AE168" s="207"/>
      <c r="AF168" s="208" t="str">
        <f>IF(ISBLANK(D168),"",VLOOKUP(F168,'SIZE CALCULATION'!$F:$G,2,0))</f>
        <v/>
      </c>
      <c r="AG168" s="207" t="str">
        <f t="shared" si="28"/>
        <v/>
      </c>
      <c r="AH168" s="207" t="str">
        <f t="shared" si="33"/>
        <v/>
      </c>
      <c r="AI168" s="210" t="str">
        <f>IF(ISBLANK(D168),"",VLOOKUP($A168,INDEX!$D$2:$F$13,3,0))</f>
        <v/>
      </c>
      <c r="AJ168" s="207" t="str">
        <f t="shared" si="34"/>
        <v/>
      </c>
      <c r="AK168" s="207"/>
      <c r="AL168" s="207"/>
      <c r="AM168" s="207" t="str">
        <f>IFERROR(IF(ISBLANK($D168),"",VLOOKUP($N168,'TABLE CHARGE RATE'!$A$30:$K$106,5,0)),"Check")</f>
        <v/>
      </c>
      <c r="AN168" s="207" t="str">
        <f>IFERROR(IF(ISBLANK($D168),"",VLOOKUP($N168,'TABLE CHARGE RATE'!$A$30:$K$106,6,0)),"Check")</f>
        <v/>
      </c>
      <c r="AO168" s="207" t="str">
        <f>IFERROR(IF(ISBLANK($D168),"",VLOOKUP($N168,'TABLE CHARGE RATE'!$A$30:$K$106,7,0)),"Check")</f>
        <v/>
      </c>
      <c r="AP168" s="207" t="str">
        <f>IFERROR(IF(ISBLANK($D168),"",VLOOKUP($N168,'TABLE CHARGE RATE'!$A$30:$K$106,8,0)),"Check")</f>
        <v/>
      </c>
      <c r="AQ168" s="207" t="str">
        <f>IFERROR(IF(ISBLANK($D168),"",VLOOKUP($N168,'TABLE CHARGE RATE'!$A$30:$K$106,9,0)),"Check")</f>
        <v/>
      </c>
      <c r="AR168" s="207" t="str">
        <f>IFERROR(IF(ISBLANK($D168),"",VLOOKUP($N168,'TABLE CHARGE RATE'!$A$30:$K$106,10,0)),"Check")</f>
        <v/>
      </c>
      <c r="AS168" s="207" t="str">
        <f>IFERROR(IF(ISBLANK($D168),"",VLOOKUP($N168,'TABLE CHARGE RATE'!$A$30:$K$106,11,0)),"Check")</f>
        <v/>
      </c>
      <c r="AT168" s="207">
        <f t="shared" si="35"/>
        <v>167</v>
      </c>
    </row>
    <row r="169" spans="1:46" x14ac:dyDescent="0.2">
      <c r="A169" s="207" t="str">
        <f t="shared" si="29"/>
        <v/>
      </c>
      <c r="B169" s="208" t="str">
        <f>IF(ISBLANK(D169),"",VLOOKUP(WEEKDAY($C169,1),INDEX!$J$2:$K$8,2,0))</f>
        <v/>
      </c>
      <c r="C169" s="209"/>
      <c r="D169" s="207"/>
      <c r="E169" s="207"/>
      <c r="F169" s="207"/>
      <c r="G169" s="207"/>
      <c r="H169" s="207"/>
      <c r="I169" s="207"/>
      <c r="J169" s="207"/>
      <c r="K169" s="207"/>
      <c r="L169" s="207"/>
      <c r="M169" s="207"/>
      <c r="N169" s="207"/>
      <c r="O169" s="207"/>
      <c r="P169" s="207"/>
      <c r="Q169" s="207"/>
      <c r="R169" s="207"/>
      <c r="S169" s="207"/>
      <c r="T169" s="207"/>
      <c r="U169" s="209"/>
      <c r="V169" s="207"/>
      <c r="W169" s="207"/>
      <c r="X169" s="209">
        <f t="shared" si="31"/>
        <v>0</v>
      </c>
      <c r="Y169" s="209">
        <f t="shared" si="32"/>
        <v>0</v>
      </c>
      <c r="Z169" s="207">
        <v>1</v>
      </c>
      <c r="AA169" s="209" t="str">
        <f t="shared" si="30"/>
        <v/>
      </c>
      <c r="AB169" s="209"/>
      <c r="AC169" s="207">
        <v>0</v>
      </c>
      <c r="AD169" s="207"/>
      <c r="AE169" s="207"/>
      <c r="AF169" s="208" t="str">
        <f>IF(ISBLANK(D169),"",VLOOKUP(F169,'SIZE CALCULATION'!$F:$G,2,0))</f>
        <v/>
      </c>
      <c r="AG169" s="207" t="str">
        <f t="shared" si="28"/>
        <v/>
      </c>
      <c r="AH169" s="207" t="str">
        <f t="shared" si="33"/>
        <v/>
      </c>
      <c r="AI169" s="210" t="str">
        <f>IF(ISBLANK(D169),"",VLOOKUP($A169,INDEX!$D$2:$F$13,3,0))</f>
        <v/>
      </c>
      <c r="AJ169" s="207" t="str">
        <f t="shared" si="34"/>
        <v/>
      </c>
      <c r="AK169" s="207"/>
      <c r="AL169" s="207"/>
      <c r="AM169" s="207" t="str">
        <f>IFERROR(IF(ISBLANK($D169),"",VLOOKUP($N169,'TABLE CHARGE RATE'!$A$30:$K$106,5,0)),"Check")</f>
        <v/>
      </c>
      <c r="AN169" s="207" t="str">
        <f>IFERROR(IF(ISBLANK($D169),"",VLOOKUP($N169,'TABLE CHARGE RATE'!$A$30:$K$106,6,0)),"Check")</f>
        <v/>
      </c>
      <c r="AO169" s="207" t="str">
        <f>IFERROR(IF(ISBLANK($D169),"",VLOOKUP($N169,'TABLE CHARGE RATE'!$A$30:$K$106,7,0)),"Check")</f>
        <v/>
      </c>
      <c r="AP169" s="207" t="str">
        <f>IFERROR(IF(ISBLANK($D169),"",VLOOKUP($N169,'TABLE CHARGE RATE'!$A$30:$K$106,8,0)),"Check")</f>
        <v/>
      </c>
      <c r="AQ169" s="207" t="str">
        <f>IFERROR(IF(ISBLANK($D169),"",VLOOKUP($N169,'TABLE CHARGE RATE'!$A$30:$K$106,9,0)),"Check")</f>
        <v/>
      </c>
      <c r="AR169" s="207" t="str">
        <f>IFERROR(IF(ISBLANK($D169),"",VLOOKUP($N169,'TABLE CHARGE RATE'!$A$30:$K$106,10,0)),"Check")</f>
        <v/>
      </c>
      <c r="AS169" s="207" t="str">
        <f>IFERROR(IF(ISBLANK($D169),"",VLOOKUP($N169,'TABLE CHARGE RATE'!$A$30:$K$106,11,0)),"Check")</f>
        <v/>
      </c>
      <c r="AT169" s="207">
        <f t="shared" si="35"/>
        <v>168</v>
      </c>
    </row>
    <row r="170" spans="1:46" x14ac:dyDescent="0.2">
      <c r="A170" s="207" t="str">
        <f t="shared" si="29"/>
        <v/>
      </c>
      <c r="B170" s="208" t="str">
        <f>IF(ISBLANK(D170),"",VLOOKUP(WEEKDAY($C170,1),INDEX!$J$2:$K$8,2,0))</f>
        <v/>
      </c>
      <c r="C170" s="209"/>
      <c r="D170" s="207"/>
      <c r="E170" s="207"/>
      <c r="F170" s="207"/>
      <c r="G170" s="207"/>
      <c r="H170" s="207"/>
      <c r="I170" s="207"/>
      <c r="J170" s="207"/>
      <c r="K170" s="207"/>
      <c r="L170" s="207"/>
      <c r="M170" s="207"/>
      <c r="N170" s="207"/>
      <c r="O170" s="207"/>
      <c r="P170" s="207"/>
      <c r="Q170" s="207"/>
      <c r="R170" s="207"/>
      <c r="S170" s="207"/>
      <c r="T170" s="207"/>
      <c r="U170" s="209"/>
      <c r="V170" s="207"/>
      <c r="W170" s="207"/>
      <c r="X170" s="209">
        <f t="shared" si="31"/>
        <v>0</v>
      </c>
      <c r="Y170" s="209">
        <f t="shared" si="32"/>
        <v>0</v>
      </c>
      <c r="Z170" s="207">
        <v>1</v>
      </c>
      <c r="AA170" s="209" t="str">
        <f t="shared" si="30"/>
        <v/>
      </c>
      <c r="AB170" s="209"/>
      <c r="AC170" s="207">
        <v>0</v>
      </c>
      <c r="AD170" s="207"/>
      <c r="AE170" s="207"/>
      <c r="AF170" s="208" t="str">
        <f>IF(ISBLANK(D170),"",VLOOKUP(F170,'SIZE CALCULATION'!$F:$G,2,0))</f>
        <v/>
      </c>
      <c r="AG170" s="207" t="str">
        <f t="shared" si="28"/>
        <v/>
      </c>
      <c r="AH170" s="207" t="str">
        <f t="shared" si="33"/>
        <v/>
      </c>
      <c r="AI170" s="210" t="str">
        <f>IF(ISBLANK(D170),"",VLOOKUP($A170,INDEX!$D$2:$F$13,3,0))</f>
        <v/>
      </c>
      <c r="AJ170" s="207" t="str">
        <f t="shared" si="34"/>
        <v/>
      </c>
      <c r="AK170" s="207"/>
      <c r="AL170" s="207"/>
      <c r="AM170" s="207" t="str">
        <f>IFERROR(IF(ISBLANK($D170),"",VLOOKUP($N170,'TABLE CHARGE RATE'!$A$30:$K$106,5,0)),"Check")</f>
        <v/>
      </c>
      <c r="AN170" s="207" t="str">
        <f>IFERROR(IF(ISBLANK($D170),"",VLOOKUP($N170,'TABLE CHARGE RATE'!$A$30:$K$106,6,0)),"Check")</f>
        <v/>
      </c>
      <c r="AO170" s="207" t="str">
        <f>IFERROR(IF(ISBLANK($D170),"",VLOOKUP($N170,'TABLE CHARGE RATE'!$A$30:$K$106,7,0)),"Check")</f>
        <v/>
      </c>
      <c r="AP170" s="207" t="str">
        <f>IFERROR(IF(ISBLANK($D170),"",VLOOKUP($N170,'TABLE CHARGE RATE'!$A$30:$K$106,8,0)),"Check")</f>
        <v/>
      </c>
      <c r="AQ170" s="207" t="str">
        <f>IFERROR(IF(ISBLANK($D170),"",VLOOKUP($N170,'TABLE CHARGE RATE'!$A$30:$K$106,9,0)),"Check")</f>
        <v/>
      </c>
      <c r="AR170" s="207" t="str">
        <f>IFERROR(IF(ISBLANK($D170),"",VLOOKUP($N170,'TABLE CHARGE RATE'!$A$30:$K$106,10,0)),"Check")</f>
        <v/>
      </c>
      <c r="AS170" s="207" t="str">
        <f>IFERROR(IF(ISBLANK($D170),"",VLOOKUP($N170,'TABLE CHARGE RATE'!$A$30:$K$106,11,0)),"Check")</f>
        <v/>
      </c>
      <c r="AT170" s="207">
        <f t="shared" si="35"/>
        <v>169</v>
      </c>
    </row>
    <row r="171" spans="1:46" x14ac:dyDescent="0.2">
      <c r="A171" s="207" t="str">
        <f t="shared" si="29"/>
        <v/>
      </c>
      <c r="B171" s="208" t="str">
        <f>IF(ISBLANK(D171),"",VLOOKUP(WEEKDAY($C171,1),INDEX!$J$2:$K$8,2,0))</f>
        <v/>
      </c>
      <c r="C171" s="209"/>
      <c r="D171" s="207"/>
      <c r="E171" s="207"/>
      <c r="F171" s="207"/>
      <c r="G171" s="207"/>
      <c r="H171" s="207"/>
      <c r="I171" s="207"/>
      <c r="J171" s="207"/>
      <c r="K171" s="207"/>
      <c r="L171" s="207"/>
      <c r="M171" s="207"/>
      <c r="N171" s="207"/>
      <c r="O171" s="207"/>
      <c r="P171" s="207"/>
      <c r="Q171" s="207"/>
      <c r="R171" s="207"/>
      <c r="S171" s="207"/>
      <c r="T171" s="207"/>
      <c r="U171" s="209"/>
      <c r="V171" s="207"/>
      <c r="W171" s="207"/>
      <c r="X171" s="209">
        <f t="shared" si="31"/>
        <v>0</v>
      </c>
      <c r="Y171" s="209">
        <f t="shared" si="32"/>
        <v>0</v>
      </c>
      <c r="Z171" s="207">
        <v>1</v>
      </c>
      <c r="AA171" s="209" t="str">
        <f t="shared" si="30"/>
        <v/>
      </c>
      <c r="AB171" s="209"/>
      <c r="AC171" s="207">
        <v>0</v>
      </c>
      <c r="AD171" s="207"/>
      <c r="AE171" s="207"/>
      <c r="AF171" s="208" t="str">
        <f>IF(ISBLANK(D171),"",VLOOKUP(F171,'SIZE CALCULATION'!$F:$G,2,0))</f>
        <v/>
      </c>
      <c r="AG171" s="207" t="str">
        <f t="shared" si="28"/>
        <v/>
      </c>
      <c r="AH171" s="207" t="str">
        <f t="shared" si="33"/>
        <v/>
      </c>
      <c r="AI171" s="210" t="str">
        <f>IF(ISBLANK(D171),"",VLOOKUP($A171,INDEX!$D$2:$F$13,3,0))</f>
        <v/>
      </c>
      <c r="AJ171" s="207" t="str">
        <f t="shared" si="34"/>
        <v/>
      </c>
      <c r="AK171" s="207"/>
      <c r="AL171" s="207"/>
      <c r="AM171" s="207" t="str">
        <f>IFERROR(IF(ISBLANK($D171),"",VLOOKUP($N171,'TABLE CHARGE RATE'!$A$30:$K$106,5,0)),"Check")</f>
        <v/>
      </c>
      <c r="AN171" s="207" t="str">
        <f>IFERROR(IF(ISBLANK($D171),"",VLOOKUP($N171,'TABLE CHARGE RATE'!$A$30:$K$106,6,0)),"Check")</f>
        <v/>
      </c>
      <c r="AO171" s="207" t="str">
        <f>IFERROR(IF(ISBLANK($D171),"",VLOOKUP($N171,'TABLE CHARGE RATE'!$A$30:$K$106,7,0)),"Check")</f>
        <v/>
      </c>
      <c r="AP171" s="207" t="str">
        <f>IFERROR(IF(ISBLANK($D171),"",VLOOKUP($N171,'TABLE CHARGE RATE'!$A$30:$K$106,8,0)),"Check")</f>
        <v/>
      </c>
      <c r="AQ171" s="207" t="str">
        <f>IFERROR(IF(ISBLANK($D171),"",VLOOKUP($N171,'TABLE CHARGE RATE'!$A$30:$K$106,9,0)),"Check")</f>
        <v/>
      </c>
      <c r="AR171" s="207" t="str">
        <f>IFERROR(IF(ISBLANK($D171),"",VLOOKUP($N171,'TABLE CHARGE RATE'!$A$30:$K$106,10,0)),"Check")</f>
        <v/>
      </c>
      <c r="AS171" s="207" t="str">
        <f>IFERROR(IF(ISBLANK($D171),"",VLOOKUP($N171,'TABLE CHARGE RATE'!$A$30:$K$106,11,0)),"Check")</f>
        <v/>
      </c>
      <c r="AT171" s="207">
        <f t="shared" si="35"/>
        <v>170</v>
      </c>
    </row>
    <row r="172" spans="1:46" x14ac:dyDescent="0.2">
      <c r="A172" s="207" t="str">
        <f t="shared" si="29"/>
        <v/>
      </c>
      <c r="B172" s="208" t="str">
        <f>IF(ISBLANK(D172),"",VLOOKUP(WEEKDAY($C172,1),INDEX!$J$2:$K$8,2,0))</f>
        <v/>
      </c>
      <c r="C172" s="209"/>
      <c r="D172" s="207"/>
      <c r="E172" s="207"/>
      <c r="F172" s="207"/>
      <c r="G172" s="207"/>
      <c r="H172" s="207"/>
      <c r="I172" s="207"/>
      <c r="J172" s="207"/>
      <c r="K172" s="207"/>
      <c r="L172" s="207"/>
      <c r="M172" s="207"/>
      <c r="N172" s="207"/>
      <c r="O172" s="207"/>
      <c r="P172" s="207"/>
      <c r="Q172" s="207"/>
      <c r="R172" s="207"/>
      <c r="S172" s="207"/>
      <c r="T172" s="207"/>
      <c r="U172" s="209"/>
      <c r="V172" s="207"/>
      <c r="W172" s="207"/>
      <c r="X172" s="209">
        <f t="shared" si="31"/>
        <v>0</v>
      </c>
      <c r="Y172" s="209">
        <f t="shared" si="32"/>
        <v>0</v>
      </c>
      <c r="Z172" s="207">
        <v>1</v>
      </c>
      <c r="AA172" s="209" t="str">
        <f t="shared" si="30"/>
        <v/>
      </c>
      <c r="AB172" s="209"/>
      <c r="AC172" s="207">
        <v>0</v>
      </c>
      <c r="AD172" s="207"/>
      <c r="AE172" s="207"/>
      <c r="AF172" s="208" t="str">
        <f>IF(ISBLANK(D172),"",VLOOKUP(F172,'SIZE CALCULATION'!$F:$G,2,0))</f>
        <v/>
      </c>
      <c r="AG172" s="207" t="str">
        <f t="shared" si="28"/>
        <v/>
      </c>
      <c r="AH172" s="207" t="str">
        <f t="shared" si="33"/>
        <v/>
      </c>
      <c r="AI172" s="210" t="str">
        <f>IF(ISBLANK(D172),"",VLOOKUP($A172,INDEX!$D$2:$F$13,3,0))</f>
        <v/>
      </c>
      <c r="AJ172" s="207" t="str">
        <f t="shared" si="34"/>
        <v/>
      </c>
      <c r="AK172" s="207"/>
      <c r="AL172" s="207"/>
      <c r="AM172" s="207" t="str">
        <f>IFERROR(IF(ISBLANK($D172),"",VLOOKUP($N172,'TABLE CHARGE RATE'!$A$30:$K$106,5,0)),"Check")</f>
        <v/>
      </c>
      <c r="AN172" s="207" t="str">
        <f>IFERROR(IF(ISBLANK($D172),"",VLOOKUP($N172,'TABLE CHARGE RATE'!$A$30:$K$106,6,0)),"Check")</f>
        <v/>
      </c>
      <c r="AO172" s="207" t="str">
        <f>IFERROR(IF(ISBLANK($D172),"",VLOOKUP($N172,'TABLE CHARGE RATE'!$A$30:$K$106,7,0)),"Check")</f>
        <v/>
      </c>
      <c r="AP172" s="207" t="str">
        <f>IFERROR(IF(ISBLANK($D172),"",VLOOKUP($N172,'TABLE CHARGE RATE'!$A$30:$K$106,8,0)),"Check")</f>
        <v/>
      </c>
      <c r="AQ172" s="207" t="str">
        <f>IFERROR(IF(ISBLANK($D172),"",VLOOKUP($N172,'TABLE CHARGE RATE'!$A$30:$K$106,9,0)),"Check")</f>
        <v/>
      </c>
      <c r="AR172" s="207" t="str">
        <f>IFERROR(IF(ISBLANK($D172),"",VLOOKUP($N172,'TABLE CHARGE RATE'!$A$30:$K$106,10,0)),"Check")</f>
        <v/>
      </c>
      <c r="AS172" s="207" t="str">
        <f>IFERROR(IF(ISBLANK($D172),"",VLOOKUP($N172,'TABLE CHARGE RATE'!$A$30:$K$106,11,0)),"Check")</f>
        <v/>
      </c>
      <c r="AT172" s="207">
        <f t="shared" si="35"/>
        <v>171</v>
      </c>
    </row>
    <row r="173" spans="1:46" x14ac:dyDescent="0.2">
      <c r="A173" s="207" t="str">
        <f t="shared" si="29"/>
        <v/>
      </c>
      <c r="B173" s="208" t="str">
        <f>IF(ISBLANK(D173),"",VLOOKUP(WEEKDAY($C173,1),INDEX!$J$2:$K$8,2,0))</f>
        <v/>
      </c>
      <c r="C173" s="209"/>
      <c r="D173" s="207"/>
      <c r="E173" s="207"/>
      <c r="F173" s="207"/>
      <c r="G173" s="207"/>
      <c r="H173" s="207"/>
      <c r="I173" s="207"/>
      <c r="J173" s="207"/>
      <c r="K173" s="207"/>
      <c r="L173" s="207"/>
      <c r="M173" s="207"/>
      <c r="N173" s="207"/>
      <c r="O173" s="207"/>
      <c r="P173" s="207"/>
      <c r="Q173" s="207"/>
      <c r="R173" s="207"/>
      <c r="S173" s="207"/>
      <c r="T173" s="207"/>
      <c r="U173" s="209"/>
      <c r="V173" s="207"/>
      <c r="W173" s="207"/>
      <c r="X173" s="209">
        <f t="shared" si="31"/>
        <v>0</v>
      </c>
      <c r="Y173" s="209">
        <f t="shared" si="32"/>
        <v>0</v>
      </c>
      <c r="Z173" s="207">
        <v>1</v>
      </c>
      <c r="AA173" s="209" t="str">
        <f t="shared" si="30"/>
        <v/>
      </c>
      <c r="AB173" s="209"/>
      <c r="AC173" s="207">
        <v>0</v>
      </c>
      <c r="AD173" s="207"/>
      <c r="AE173" s="207"/>
      <c r="AF173" s="208" t="str">
        <f>IF(ISBLANK(D173),"",VLOOKUP(F173,'SIZE CALCULATION'!$F:$G,2,0))</f>
        <v/>
      </c>
      <c r="AG173" s="207" t="str">
        <f t="shared" si="28"/>
        <v/>
      </c>
      <c r="AH173" s="207" t="str">
        <f t="shared" si="33"/>
        <v/>
      </c>
      <c r="AI173" s="210" t="str">
        <f>IF(ISBLANK(D173),"",VLOOKUP($A173,INDEX!$D$2:$F$13,3,0))</f>
        <v/>
      </c>
      <c r="AJ173" s="207" t="str">
        <f t="shared" si="34"/>
        <v/>
      </c>
      <c r="AK173" s="207"/>
      <c r="AL173" s="207"/>
      <c r="AM173" s="207" t="str">
        <f>IFERROR(IF(ISBLANK($D173),"",VLOOKUP($N173,'TABLE CHARGE RATE'!$A$30:$K$106,5,0)),"Check")</f>
        <v/>
      </c>
      <c r="AN173" s="207" t="str">
        <f>IFERROR(IF(ISBLANK($D173),"",VLOOKUP($N173,'TABLE CHARGE RATE'!$A$30:$K$106,6,0)),"Check")</f>
        <v/>
      </c>
      <c r="AO173" s="207" t="str">
        <f>IFERROR(IF(ISBLANK($D173),"",VLOOKUP($N173,'TABLE CHARGE RATE'!$A$30:$K$106,7,0)),"Check")</f>
        <v/>
      </c>
      <c r="AP173" s="207" t="str">
        <f>IFERROR(IF(ISBLANK($D173),"",VLOOKUP($N173,'TABLE CHARGE RATE'!$A$30:$K$106,8,0)),"Check")</f>
        <v/>
      </c>
      <c r="AQ173" s="207" t="str">
        <f>IFERROR(IF(ISBLANK($D173),"",VLOOKUP($N173,'TABLE CHARGE RATE'!$A$30:$K$106,9,0)),"Check")</f>
        <v/>
      </c>
      <c r="AR173" s="207" t="str">
        <f>IFERROR(IF(ISBLANK($D173),"",VLOOKUP($N173,'TABLE CHARGE RATE'!$A$30:$K$106,10,0)),"Check")</f>
        <v/>
      </c>
      <c r="AS173" s="207" t="str">
        <f>IFERROR(IF(ISBLANK($D173),"",VLOOKUP($N173,'TABLE CHARGE RATE'!$A$30:$K$106,11,0)),"Check")</f>
        <v/>
      </c>
      <c r="AT173" s="207">
        <f t="shared" si="35"/>
        <v>172</v>
      </c>
    </row>
    <row r="174" spans="1:46" x14ac:dyDescent="0.2">
      <c r="A174" s="207" t="str">
        <f t="shared" si="29"/>
        <v/>
      </c>
      <c r="B174" s="208" t="str">
        <f>IF(ISBLANK(D174),"",VLOOKUP(WEEKDAY($C174,1),INDEX!$J$2:$K$8,2,0))</f>
        <v/>
      </c>
      <c r="C174" s="209"/>
      <c r="D174" s="207"/>
      <c r="E174" s="207"/>
      <c r="F174" s="207"/>
      <c r="G174" s="207"/>
      <c r="H174" s="207"/>
      <c r="I174" s="207"/>
      <c r="J174" s="207"/>
      <c r="K174" s="207"/>
      <c r="L174" s="207"/>
      <c r="M174" s="207"/>
      <c r="N174" s="207"/>
      <c r="O174" s="207"/>
      <c r="P174" s="207"/>
      <c r="Q174" s="207"/>
      <c r="R174" s="207"/>
      <c r="S174" s="207"/>
      <c r="T174" s="207"/>
      <c r="U174" s="209"/>
      <c r="V174" s="207"/>
      <c r="W174" s="207"/>
      <c r="X174" s="209">
        <f t="shared" si="31"/>
        <v>0</v>
      </c>
      <c r="Y174" s="209">
        <f t="shared" si="32"/>
        <v>0</v>
      </c>
      <c r="Z174" s="207">
        <v>1</v>
      </c>
      <c r="AA174" s="209" t="str">
        <f t="shared" si="30"/>
        <v/>
      </c>
      <c r="AB174" s="209"/>
      <c r="AC174" s="207">
        <v>0</v>
      </c>
      <c r="AD174" s="207"/>
      <c r="AE174" s="207"/>
      <c r="AF174" s="208" t="str">
        <f>IF(ISBLANK(D174),"",VLOOKUP(F174,'SIZE CALCULATION'!$F:$G,2,0))</f>
        <v/>
      </c>
      <c r="AG174" s="207" t="str">
        <f t="shared" si="28"/>
        <v/>
      </c>
      <c r="AH174" s="207" t="str">
        <f t="shared" si="33"/>
        <v/>
      </c>
      <c r="AI174" s="210" t="str">
        <f>IF(ISBLANK(D174),"",VLOOKUP($A174,INDEX!$D$2:$F$13,3,0))</f>
        <v/>
      </c>
      <c r="AJ174" s="207" t="str">
        <f t="shared" si="34"/>
        <v/>
      </c>
      <c r="AK174" s="207"/>
      <c r="AL174" s="207"/>
      <c r="AM174" s="207" t="str">
        <f>IFERROR(IF(ISBLANK($D174),"",VLOOKUP($N174,'TABLE CHARGE RATE'!$A$30:$K$106,5,0)),"Check")</f>
        <v/>
      </c>
      <c r="AN174" s="207" t="str">
        <f>IFERROR(IF(ISBLANK($D174),"",VLOOKUP($N174,'TABLE CHARGE RATE'!$A$30:$K$106,6,0)),"Check")</f>
        <v/>
      </c>
      <c r="AO174" s="207" t="str">
        <f>IFERROR(IF(ISBLANK($D174),"",VLOOKUP($N174,'TABLE CHARGE RATE'!$A$30:$K$106,7,0)),"Check")</f>
        <v/>
      </c>
      <c r="AP174" s="207" t="str">
        <f>IFERROR(IF(ISBLANK($D174),"",VLOOKUP($N174,'TABLE CHARGE RATE'!$A$30:$K$106,8,0)),"Check")</f>
        <v/>
      </c>
      <c r="AQ174" s="207" t="str">
        <f>IFERROR(IF(ISBLANK($D174),"",VLOOKUP($N174,'TABLE CHARGE RATE'!$A$30:$K$106,9,0)),"Check")</f>
        <v/>
      </c>
      <c r="AR174" s="207" t="str">
        <f>IFERROR(IF(ISBLANK($D174),"",VLOOKUP($N174,'TABLE CHARGE RATE'!$A$30:$K$106,10,0)),"Check")</f>
        <v/>
      </c>
      <c r="AS174" s="207" t="str">
        <f>IFERROR(IF(ISBLANK($D174),"",VLOOKUP($N174,'TABLE CHARGE RATE'!$A$30:$K$106,11,0)),"Check")</f>
        <v/>
      </c>
      <c r="AT174" s="207">
        <f t="shared" si="35"/>
        <v>173</v>
      </c>
    </row>
    <row r="175" spans="1:46" x14ac:dyDescent="0.2">
      <c r="A175" s="207" t="str">
        <f t="shared" si="29"/>
        <v/>
      </c>
      <c r="B175" s="208" t="str">
        <f>IF(ISBLANK(D175),"",VLOOKUP(WEEKDAY($C175,1),INDEX!$J$2:$K$8,2,0))</f>
        <v/>
      </c>
      <c r="C175" s="209"/>
      <c r="D175" s="207"/>
      <c r="E175" s="207"/>
      <c r="F175" s="207"/>
      <c r="G175" s="207"/>
      <c r="H175" s="207"/>
      <c r="I175" s="207"/>
      <c r="J175" s="207"/>
      <c r="K175" s="207"/>
      <c r="L175" s="207"/>
      <c r="M175" s="207"/>
      <c r="N175" s="207"/>
      <c r="O175" s="207"/>
      <c r="P175" s="207"/>
      <c r="Q175" s="207"/>
      <c r="R175" s="207"/>
      <c r="S175" s="207"/>
      <c r="T175" s="207"/>
      <c r="U175" s="209"/>
      <c r="V175" s="207"/>
      <c r="W175" s="207"/>
      <c r="X175" s="209">
        <f t="shared" si="31"/>
        <v>0</v>
      </c>
      <c r="Y175" s="209">
        <f t="shared" si="32"/>
        <v>0</v>
      </c>
      <c r="Z175" s="207">
        <v>1</v>
      </c>
      <c r="AA175" s="209" t="str">
        <f t="shared" si="30"/>
        <v/>
      </c>
      <c r="AB175" s="209"/>
      <c r="AC175" s="207">
        <v>0</v>
      </c>
      <c r="AD175" s="207"/>
      <c r="AE175" s="207"/>
      <c r="AF175" s="208" t="str">
        <f>IF(ISBLANK(D175),"",VLOOKUP(F175,'SIZE CALCULATION'!$F:$G,2,0))</f>
        <v/>
      </c>
      <c r="AG175" s="207" t="str">
        <f t="shared" si="28"/>
        <v/>
      </c>
      <c r="AH175" s="207" t="str">
        <f t="shared" si="33"/>
        <v/>
      </c>
      <c r="AI175" s="210" t="str">
        <f>IF(ISBLANK(D175),"",VLOOKUP($A175,INDEX!$D$2:$F$13,3,0))</f>
        <v/>
      </c>
      <c r="AJ175" s="207" t="str">
        <f t="shared" si="34"/>
        <v/>
      </c>
      <c r="AK175" s="207"/>
      <c r="AL175" s="207"/>
      <c r="AM175" s="207" t="str">
        <f>IFERROR(IF(ISBLANK($D175),"",VLOOKUP($N175,'TABLE CHARGE RATE'!$A$30:$K$106,5,0)),"Check")</f>
        <v/>
      </c>
      <c r="AN175" s="207" t="str">
        <f>IFERROR(IF(ISBLANK($D175),"",VLOOKUP($N175,'TABLE CHARGE RATE'!$A$30:$K$106,6,0)),"Check")</f>
        <v/>
      </c>
      <c r="AO175" s="207" t="str">
        <f>IFERROR(IF(ISBLANK($D175),"",VLOOKUP($N175,'TABLE CHARGE RATE'!$A$30:$K$106,7,0)),"Check")</f>
        <v/>
      </c>
      <c r="AP175" s="207" t="str">
        <f>IFERROR(IF(ISBLANK($D175),"",VLOOKUP($N175,'TABLE CHARGE RATE'!$A$30:$K$106,8,0)),"Check")</f>
        <v/>
      </c>
      <c r="AQ175" s="207" t="str">
        <f>IFERROR(IF(ISBLANK($D175),"",VLOOKUP($N175,'TABLE CHARGE RATE'!$A$30:$K$106,9,0)),"Check")</f>
        <v/>
      </c>
      <c r="AR175" s="207" t="str">
        <f>IFERROR(IF(ISBLANK($D175),"",VLOOKUP($N175,'TABLE CHARGE RATE'!$A$30:$K$106,10,0)),"Check")</f>
        <v/>
      </c>
      <c r="AS175" s="207" t="str">
        <f>IFERROR(IF(ISBLANK($D175),"",VLOOKUP($N175,'TABLE CHARGE RATE'!$A$30:$K$106,11,0)),"Check")</f>
        <v/>
      </c>
      <c r="AT175" s="207">
        <f t="shared" si="35"/>
        <v>174</v>
      </c>
    </row>
    <row r="176" spans="1:46" x14ac:dyDescent="0.2">
      <c r="A176" s="207" t="str">
        <f t="shared" si="29"/>
        <v/>
      </c>
      <c r="B176" s="208" t="str">
        <f>IF(ISBLANK(D176),"",VLOOKUP(WEEKDAY($C176,1),INDEX!$J$2:$K$8,2,0))</f>
        <v/>
      </c>
      <c r="C176" s="209"/>
      <c r="D176" s="207"/>
      <c r="E176" s="207"/>
      <c r="F176" s="207"/>
      <c r="G176" s="207"/>
      <c r="H176" s="207"/>
      <c r="I176" s="207"/>
      <c r="J176" s="207"/>
      <c r="K176" s="207"/>
      <c r="L176" s="207"/>
      <c r="M176" s="207"/>
      <c r="N176" s="207"/>
      <c r="O176" s="207"/>
      <c r="P176" s="207"/>
      <c r="Q176" s="207"/>
      <c r="R176" s="207"/>
      <c r="S176" s="207"/>
      <c r="T176" s="207"/>
      <c r="U176" s="209"/>
      <c r="V176" s="207"/>
      <c r="W176" s="207"/>
      <c r="X176" s="209">
        <f t="shared" si="31"/>
        <v>0</v>
      </c>
      <c r="Y176" s="209">
        <f t="shared" si="32"/>
        <v>0</v>
      </c>
      <c r="Z176" s="207">
        <v>1</v>
      </c>
      <c r="AA176" s="209" t="str">
        <f t="shared" si="30"/>
        <v/>
      </c>
      <c r="AB176" s="209"/>
      <c r="AC176" s="207">
        <v>0</v>
      </c>
      <c r="AD176" s="207"/>
      <c r="AE176" s="207"/>
      <c r="AF176" s="208" t="str">
        <f>IF(ISBLANK(D176),"",VLOOKUP(F176,'SIZE CALCULATION'!$F:$G,2,0))</f>
        <v/>
      </c>
      <c r="AG176" s="207" t="str">
        <f t="shared" si="28"/>
        <v/>
      </c>
      <c r="AH176" s="207" t="str">
        <f t="shared" si="33"/>
        <v/>
      </c>
      <c r="AI176" s="210" t="str">
        <f>IF(ISBLANK(D176),"",VLOOKUP($A176,INDEX!$D$2:$F$13,3,0))</f>
        <v/>
      </c>
      <c r="AJ176" s="207" t="str">
        <f t="shared" si="34"/>
        <v/>
      </c>
      <c r="AK176" s="207"/>
      <c r="AL176" s="207"/>
      <c r="AM176" s="207" t="str">
        <f>IFERROR(IF(ISBLANK($D176),"",VLOOKUP($N176,'TABLE CHARGE RATE'!$A$30:$K$106,5,0)),"Check")</f>
        <v/>
      </c>
      <c r="AN176" s="207" t="str">
        <f>IFERROR(IF(ISBLANK($D176),"",VLOOKUP($N176,'TABLE CHARGE RATE'!$A$30:$K$106,6,0)),"Check")</f>
        <v/>
      </c>
      <c r="AO176" s="207" t="str">
        <f>IFERROR(IF(ISBLANK($D176),"",VLOOKUP($N176,'TABLE CHARGE RATE'!$A$30:$K$106,7,0)),"Check")</f>
        <v/>
      </c>
      <c r="AP176" s="207" t="str">
        <f>IFERROR(IF(ISBLANK($D176),"",VLOOKUP($N176,'TABLE CHARGE RATE'!$A$30:$K$106,8,0)),"Check")</f>
        <v/>
      </c>
      <c r="AQ176" s="207" t="str">
        <f>IFERROR(IF(ISBLANK($D176),"",VLOOKUP($N176,'TABLE CHARGE RATE'!$A$30:$K$106,9,0)),"Check")</f>
        <v/>
      </c>
      <c r="AR176" s="207" t="str">
        <f>IFERROR(IF(ISBLANK($D176),"",VLOOKUP($N176,'TABLE CHARGE RATE'!$A$30:$K$106,10,0)),"Check")</f>
        <v/>
      </c>
      <c r="AS176" s="207" t="str">
        <f>IFERROR(IF(ISBLANK($D176),"",VLOOKUP($N176,'TABLE CHARGE RATE'!$A$30:$K$106,11,0)),"Check")</f>
        <v/>
      </c>
      <c r="AT176" s="207">
        <f t="shared" si="35"/>
        <v>175</v>
      </c>
    </row>
    <row r="177" spans="1:46" x14ac:dyDescent="0.2">
      <c r="A177" s="207" t="str">
        <f t="shared" si="29"/>
        <v/>
      </c>
      <c r="B177" s="208" t="str">
        <f>IF(ISBLANK(D177),"",VLOOKUP(WEEKDAY($C177,1),INDEX!$J$2:$K$8,2,0))</f>
        <v/>
      </c>
      <c r="C177" s="209"/>
      <c r="D177" s="207"/>
      <c r="E177" s="207"/>
      <c r="F177" s="207"/>
      <c r="G177" s="207"/>
      <c r="H177" s="207"/>
      <c r="I177" s="207"/>
      <c r="J177" s="207"/>
      <c r="K177" s="207"/>
      <c r="L177" s="207"/>
      <c r="M177" s="207"/>
      <c r="N177" s="207"/>
      <c r="O177" s="207"/>
      <c r="P177" s="207"/>
      <c r="Q177" s="207"/>
      <c r="R177" s="207"/>
      <c r="S177" s="207"/>
      <c r="T177" s="207"/>
      <c r="U177" s="209"/>
      <c r="V177" s="207"/>
      <c r="W177" s="207"/>
      <c r="X177" s="209">
        <f t="shared" si="31"/>
        <v>0</v>
      </c>
      <c r="Y177" s="209">
        <f t="shared" si="32"/>
        <v>0</v>
      </c>
      <c r="Z177" s="207">
        <v>1</v>
      </c>
      <c r="AA177" s="209" t="str">
        <f t="shared" si="30"/>
        <v/>
      </c>
      <c r="AB177" s="209"/>
      <c r="AC177" s="207">
        <v>0</v>
      </c>
      <c r="AD177" s="207"/>
      <c r="AE177" s="207"/>
      <c r="AF177" s="208" t="str">
        <f>IF(ISBLANK(D177),"",VLOOKUP(F177,'SIZE CALCULATION'!$F:$G,2,0))</f>
        <v/>
      </c>
      <c r="AG177" s="207" t="str">
        <f t="shared" si="28"/>
        <v/>
      </c>
      <c r="AH177" s="207" t="str">
        <f t="shared" si="33"/>
        <v/>
      </c>
      <c r="AI177" s="210" t="str">
        <f>IF(ISBLANK(D177),"",VLOOKUP($A177,INDEX!$D$2:$F$13,3,0))</f>
        <v/>
      </c>
      <c r="AJ177" s="207" t="str">
        <f t="shared" si="34"/>
        <v/>
      </c>
      <c r="AK177" s="207"/>
      <c r="AL177" s="207"/>
      <c r="AM177" s="207" t="str">
        <f>IFERROR(IF(ISBLANK($D177),"",VLOOKUP($N177,'TABLE CHARGE RATE'!$A$30:$K$106,5,0)),"Check")</f>
        <v/>
      </c>
      <c r="AN177" s="207" t="str">
        <f>IFERROR(IF(ISBLANK($D177),"",VLOOKUP($N177,'TABLE CHARGE RATE'!$A$30:$K$106,6,0)),"Check")</f>
        <v/>
      </c>
      <c r="AO177" s="207" t="str">
        <f>IFERROR(IF(ISBLANK($D177),"",VLOOKUP($N177,'TABLE CHARGE RATE'!$A$30:$K$106,7,0)),"Check")</f>
        <v/>
      </c>
      <c r="AP177" s="207" t="str">
        <f>IFERROR(IF(ISBLANK($D177),"",VLOOKUP($N177,'TABLE CHARGE RATE'!$A$30:$K$106,8,0)),"Check")</f>
        <v/>
      </c>
      <c r="AQ177" s="207" t="str">
        <f>IFERROR(IF(ISBLANK($D177),"",VLOOKUP($N177,'TABLE CHARGE RATE'!$A$30:$K$106,9,0)),"Check")</f>
        <v/>
      </c>
      <c r="AR177" s="207" t="str">
        <f>IFERROR(IF(ISBLANK($D177),"",VLOOKUP($N177,'TABLE CHARGE RATE'!$A$30:$K$106,10,0)),"Check")</f>
        <v/>
      </c>
      <c r="AS177" s="207" t="str">
        <f>IFERROR(IF(ISBLANK($D177),"",VLOOKUP($N177,'TABLE CHARGE RATE'!$A$30:$K$106,11,0)),"Check")</f>
        <v/>
      </c>
      <c r="AT177" s="207">
        <f t="shared" si="35"/>
        <v>176</v>
      </c>
    </row>
    <row r="178" spans="1:46" x14ac:dyDescent="0.2">
      <c r="A178" s="207" t="str">
        <f t="shared" si="29"/>
        <v/>
      </c>
      <c r="B178" s="208" t="str">
        <f>IF(ISBLANK(D178),"",VLOOKUP(WEEKDAY($C178,1),INDEX!$J$2:$K$8,2,0))</f>
        <v/>
      </c>
      <c r="C178" s="209"/>
      <c r="D178" s="207"/>
      <c r="E178" s="207"/>
      <c r="F178" s="207"/>
      <c r="G178" s="207"/>
      <c r="H178" s="207"/>
      <c r="I178" s="207"/>
      <c r="J178" s="207"/>
      <c r="K178" s="207"/>
      <c r="L178" s="207"/>
      <c r="M178" s="207"/>
      <c r="N178" s="207"/>
      <c r="O178" s="207"/>
      <c r="P178" s="207"/>
      <c r="Q178" s="207"/>
      <c r="R178" s="207"/>
      <c r="S178" s="207"/>
      <c r="T178" s="207"/>
      <c r="U178" s="209"/>
      <c r="V178" s="207"/>
      <c r="W178" s="207"/>
      <c r="X178" s="209">
        <f t="shared" si="31"/>
        <v>0</v>
      </c>
      <c r="Y178" s="209">
        <f t="shared" si="32"/>
        <v>0</v>
      </c>
      <c r="Z178" s="207">
        <v>1</v>
      </c>
      <c r="AA178" s="209" t="str">
        <f t="shared" si="30"/>
        <v/>
      </c>
      <c r="AB178" s="209"/>
      <c r="AC178" s="207">
        <v>0</v>
      </c>
      <c r="AD178" s="207"/>
      <c r="AE178" s="207"/>
      <c r="AF178" s="208" t="str">
        <f>IF(ISBLANK(D178),"",VLOOKUP(F178,'SIZE CALCULATION'!$F:$G,2,0))</f>
        <v/>
      </c>
      <c r="AG178" s="207" t="str">
        <f t="shared" si="28"/>
        <v/>
      </c>
      <c r="AH178" s="207" t="str">
        <f t="shared" si="33"/>
        <v/>
      </c>
      <c r="AI178" s="210" t="str">
        <f>IF(ISBLANK(D178),"",VLOOKUP($A178,INDEX!$D$2:$F$13,3,0))</f>
        <v/>
      </c>
      <c r="AJ178" s="207" t="str">
        <f t="shared" si="34"/>
        <v/>
      </c>
      <c r="AK178" s="207"/>
      <c r="AL178" s="207"/>
      <c r="AM178" s="207" t="str">
        <f>IFERROR(IF(ISBLANK($D178),"",VLOOKUP($N178,'TABLE CHARGE RATE'!$A$30:$K$106,5,0)),"Check")</f>
        <v/>
      </c>
      <c r="AN178" s="207" t="str">
        <f>IFERROR(IF(ISBLANK($D178),"",VLOOKUP($N178,'TABLE CHARGE RATE'!$A$30:$K$106,6,0)),"Check")</f>
        <v/>
      </c>
      <c r="AO178" s="207" t="str">
        <f>IFERROR(IF(ISBLANK($D178),"",VLOOKUP($N178,'TABLE CHARGE RATE'!$A$30:$K$106,7,0)),"Check")</f>
        <v/>
      </c>
      <c r="AP178" s="207" t="str">
        <f>IFERROR(IF(ISBLANK($D178),"",VLOOKUP($N178,'TABLE CHARGE RATE'!$A$30:$K$106,8,0)),"Check")</f>
        <v/>
      </c>
      <c r="AQ178" s="207" t="str">
        <f>IFERROR(IF(ISBLANK($D178),"",VLOOKUP($N178,'TABLE CHARGE RATE'!$A$30:$K$106,9,0)),"Check")</f>
        <v/>
      </c>
      <c r="AR178" s="207" t="str">
        <f>IFERROR(IF(ISBLANK($D178),"",VLOOKUP($N178,'TABLE CHARGE RATE'!$A$30:$K$106,10,0)),"Check")</f>
        <v/>
      </c>
      <c r="AS178" s="207" t="str">
        <f>IFERROR(IF(ISBLANK($D178),"",VLOOKUP($N178,'TABLE CHARGE RATE'!$A$30:$K$106,11,0)),"Check")</f>
        <v/>
      </c>
      <c r="AT178" s="207">
        <f t="shared" si="35"/>
        <v>177</v>
      </c>
    </row>
    <row r="179" spans="1:46" x14ac:dyDescent="0.2">
      <c r="A179" s="207" t="str">
        <f t="shared" si="29"/>
        <v/>
      </c>
      <c r="B179" s="208" t="str">
        <f>IF(ISBLANK(D179),"",VLOOKUP(WEEKDAY($C179,1),INDEX!$J$2:$K$8,2,0))</f>
        <v/>
      </c>
      <c r="C179" s="209"/>
      <c r="D179" s="207"/>
      <c r="E179" s="207"/>
      <c r="F179" s="207"/>
      <c r="G179" s="207"/>
      <c r="H179" s="207"/>
      <c r="I179" s="207"/>
      <c r="J179" s="207"/>
      <c r="K179" s="207"/>
      <c r="L179" s="207"/>
      <c r="M179" s="207"/>
      <c r="N179" s="207"/>
      <c r="O179" s="207"/>
      <c r="P179" s="207"/>
      <c r="Q179" s="207"/>
      <c r="R179" s="207"/>
      <c r="S179" s="207"/>
      <c r="T179" s="207"/>
      <c r="U179" s="209"/>
      <c r="V179" s="207"/>
      <c r="W179" s="207"/>
      <c r="X179" s="209">
        <f t="shared" si="31"/>
        <v>0</v>
      </c>
      <c r="Y179" s="209">
        <f t="shared" si="32"/>
        <v>0</v>
      </c>
      <c r="Z179" s="207">
        <v>1</v>
      </c>
      <c r="AA179" s="209" t="str">
        <f t="shared" si="30"/>
        <v/>
      </c>
      <c r="AB179" s="209"/>
      <c r="AC179" s="207">
        <v>0</v>
      </c>
      <c r="AD179" s="207"/>
      <c r="AE179" s="207"/>
      <c r="AF179" s="208" t="str">
        <f>IF(ISBLANK(D179),"",VLOOKUP(F179,'SIZE CALCULATION'!$F:$G,2,0))</f>
        <v/>
      </c>
      <c r="AG179" s="207" t="str">
        <f t="shared" ref="AG179:AG242" si="36">IF(ISBLANK(D179),"",HLOOKUP($AF179,$AM$1:$AR$966,$AT179,0))</f>
        <v/>
      </c>
      <c r="AH179" s="207" t="str">
        <f t="shared" si="33"/>
        <v/>
      </c>
      <c r="AI179" s="210" t="str">
        <f>IF(ISBLANK(D179),"",VLOOKUP($A179,INDEX!$D$2:$F$13,3,0))</f>
        <v/>
      </c>
      <c r="AJ179" s="207" t="str">
        <f t="shared" si="34"/>
        <v/>
      </c>
      <c r="AK179" s="207"/>
      <c r="AL179" s="207"/>
      <c r="AM179" s="207" t="str">
        <f>IFERROR(IF(ISBLANK($D179),"",VLOOKUP($N179,'TABLE CHARGE RATE'!$A$30:$K$106,5,0)),"Check")</f>
        <v/>
      </c>
      <c r="AN179" s="207" t="str">
        <f>IFERROR(IF(ISBLANK($D179),"",VLOOKUP($N179,'TABLE CHARGE RATE'!$A$30:$K$106,6,0)),"Check")</f>
        <v/>
      </c>
      <c r="AO179" s="207" t="str">
        <f>IFERROR(IF(ISBLANK($D179),"",VLOOKUP($N179,'TABLE CHARGE RATE'!$A$30:$K$106,7,0)),"Check")</f>
        <v/>
      </c>
      <c r="AP179" s="207" t="str">
        <f>IFERROR(IF(ISBLANK($D179),"",VLOOKUP($N179,'TABLE CHARGE RATE'!$A$30:$K$106,8,0)),"Check")</f>
        <v/>
      </c>
      <c r="AQ179" s="207" t="str">
        <f>IFERROR(IF(ISBLANK($D179),"",VLOOKUP($N179,'TABLE CHARGE RATE'!$A$30:$K$106,9,0)),"Check")</f>
        <v/>
      </c>
      <c r="AR179" s="207" t="str">
        <f>IFERROR(IF(ISBLANK($D179),"",VLOOKUP($N179,'TABLE CHARGE RATE'!$A$30:$K$106,10,0)),"Check")</f>
        <v/>
      </c>
      <c r="AS179" s="207" t="str">
        <f>IFERROR(IF(ISBLANK($D179),"",VLOOKUP($N179,'TABLE CHARGE RATE'!$A$30:$K$106,11,0)),"Check")</f>
        <v/>
      </c>
      <c r="AT179" s="207">
        <f t="shared" si="35"/>
        <v>178</v>
      </c>
    </row>
    <row r="180" spans="1:46" x14ac:dyDescent="0.2">
      <c r="A180" s="207" t="str">
        <f t="shared" si="29"/>
        <v/>
      </c>
      <c r="B180" s="208" t="str">
        <f>IF(ISBLANK(D180),"",VLOOKUP(WEEKDAY($C180,1),INDEX!$J$2:$K$8,2,0))</f>
        <v/>
      </c>
      <c r="C180" s="209"/>
      <c r="D180" s="207"/>
      <c r="E180" s="207"/>
      <c r="F180" s="207"/>
      <c r="G180" s="207"/>
      <c r="H180" s="207"/>
      <c r="I180" s="207"/>
      <c r="J180" s="207"/>
      <c r="K180" s="207"/>
      <c r="L180" s="207"/>
      <c r="M180" s="207"/>
      <c r="N180" s="207"/>
      <c r="O180" s="207"/>
      <c r="P180" s="207"/>
      <c r="Q180" s="207"/>
      <c r="R180" s="207"/>
      <c r="S180" s="207"/>
      <c r="T180" s="207"/>
      <c r="U180" s="209"/>
      <c r="V180" s="207"/>
      <c r="W180" s="207"/>
      <c r="X180" s="209">
        <f t="shared" si="31"/>
        <v>0</v>
      </c>
      <c r="Y180" s="209">
        <f t="shared" si="32"/>
        <v>0</v>
      </c>
      <c r="Z180" s="207">
        <v>1</v>
      </c>
      <c r="AA180" s="209" t="str">
        <f t="shared" si="30"/>
        <v/>
      </c>
      <c r="AB180" s="209"/>
      <c r="AC180" s="207">
        <v>0</v>
      </c>
      <c r="AD180" s="207"/>
      <c r="AE180" s="207"/>
      <c r="AF180" s="208" t="str">
        <f>IF(ISBLANK(D180),"",VLOOKUP(F180,'SIZE CALCULATION'!$F:$G,2,0))</f>
        <v/>
      </c>
      <c r="AG180" s="207" t="str">
        <f t="shared" si="36"/>
        <v/>
      </c>
      <c r="AH180" s="207" t="str">
        <f t="shared" si="33"/>
        <v/>
      </c>
      <c r="AI180" s="210" t="str">
        <f>IF(ISBLANK(D180),"",VLOOKUP($A180,INDEX!$D$2:$F$13,3,0))</f>
        <v/>
      </c>
      <c r="AJ180" s="207" t="str">
        <f t="shared" si="34"/>
        <v/>
      </c>
      <c r="AK180" s="207"/>
      <c r="AL180" s="207"/>
      <c r="AM180" s="207" t="str">
        <f>IFERROR(IF(ISBLANK($D180),"",VLOOKUP($N180,'TABLE CHARGE RATE'!$A$30:$K$106,5,0)),"Check")</f>
        <v/>
      </c>
      <c r="AN180" s="207" t="str">
        <f>IFERROR(IF(ISBLANK($D180),"",VLOOKUP($N180,'TABLE CHARGE RATE'!$A$30:$K$106,6,0)),"Check")</f>
        <v/>
      </c>
      <c r="AO180" s="207" t="str">
        <f>IFERROR(IF(ISBLANK($D180),"",VLOOKUP($N180,'TABLE CHARGE RATE'!$A$30:$K$106,7,0)),"Check")</f>
        <v/>
      </c>
      <c r="AP180" s="207" t="str">
        <f>IFERROR(IF(ISBLANK($D180),"",VLOOKUP($N180,'TABLE CHARGE RATE'!$A$30:$K$106,8,0)),"Check")</f>
        <v/>
      </c>
      <c r="AQ180" s="207" t="str">
        <f>IFERROR(IF(ISBLANK($D180),"",VLOOKUP($N180,'TABLE CHARGE RATE'!$A$30:$K$106,9,0)),"Check")</f>
        <v/>
      </c>
      <c r="AR180" s="207" t="str">
        <f>IFERROR(IF(ISBLANK($D180),"",VLOOKUP($N180,'TABLE CHARGE RATE'!$A$30:$K$106,10,0)),"Check")</f>
        <v/>
      </c>
      <c r="AS180" s="207" t="str">
        <f>IFERROR(IF(ISBLANK($D180),"",VLOOKUP($N180,'TABLE CHARGE RATE'!$A$30:$K$106,11,0)),"Check")</f>
        <v/>
      </c>
      <c r="AT180" s="207">
        <f t="shared" si="35"/>
        <v>179</v>
      </c>
    </row>
    <row r="181" spans="1:46" x14ac:dyDescent="0.2">
      <c r="A181" s="207" t="str">
        <f t="shared" si="29"/>
        <v/>
      </c>
      <c r="B181" s="208" t="str">
        <f>IF(ISBLANK(D181),"",VLOOKUP(WEEKDAY($C181,1),INDEX!$J$2:$K$8,2,0))</f>
        <v/>
      </c>
      <c r="C181" s="209"/>
      <c r="D181" s="207"/>
      <c r="E181" s="207"/>
      <c r="F181" s="207"/>
      <c r="G181" s="207"/>
      <c r="H181" s="207"/>
      <c r="I181" s="207"/>
      <c r="J181" s="207"/>
      <c r="K181" s="207"/>
      <c r="L181" s="207"/>
      <c r="M181" s="207"/>
      <c r="N181" s="207"/>
      <c r="O181" s="207"/>
      <c r="P181" s="207"/>
      <c r="Q181" s="207"/>
      <c r="R181" s="207"/>
      <c r="S181" s="207"/>
      <c r="T181" s="207"/>
      <c r="U181" s="209"/>
      <c r="V181" s="207"/>
      <c r="W181" s="207"/>
      <c r="X181" s="209">
        <f t="shared" si="31"/>
        <v>0</v>
      </c>
      <c r="Y181" s="209">
        <f t="shared" si="32"/>
        <v>0</v>
      </c>
      <c r="Z181" s="207">
        <v>1</v>
      </c>
      <c r="AA181" s="209" t="str">
        <f t="shared" si="30"/>
        <v/>
      </c>
      <c r="AB181" s="209"/>
      <c r="AC181" s="207">
        <v>0</v>
      </c>
      <c r="AD181" s="207"/>
      <c r="AE181" s="207"/>
      <c r="AF181" s="208" t="str">
        <f>IF(ISBLANK(D181),"",VLOOKUP(F181,'SIZE CALCULATION'!$F:$G,2,0))</f>
        <v/>
      </c>
      <c r="AG181" s="207" t="str">
        <f t="shared" si="36"/>
        <v/>
      </c>
      <c r="AH181" s="207" t="str">
        <f t="shared" si="33"/>
        <v/>
      </c>
      <c r="AI181" s="210" t="str">
        <f>IF(ISBLANK(D181),"",VLOOKUP($A181,INDEX!$D$2:$F$13,3,0))</f>
        <v/>
      </c>
      <c r="AJ181" s="207" t="str">
        <f t="shared" si="34"/>
        <v/>
      </c>
      <c r="AK181" s="207"/>
      <c r="AL181" s="207"/>
      <c r="AM181" s="207" t="str">
        <f>IFERROR(IF(ISBLANK($D181),"",VLOOKUP($N181,'TABLE CHARGE RATE'!$A$30:$K$106,5,0)),"Check")</f>
        <v/>
      </c>
      <c r="AN181" s="207" t="str">
        <f>IFERROR(IF(ISBLANK($D181),"",VLOOKUP($N181,'TABLE CHARGE RATE'!$A$30:$K$106,6,0)),"Check")</f>
        <v/>
      </c>
      <c r="AO181" s="207" t="str">
        <f>IFERROR(IF(ISBLANK($D181),"",VLOOKUP($N181,'TABLE CHARGE RATE'!$A$30:$K$106,7,0)),"Check")</f>
        <v/>
      </c>
      <c r="AP181" s="207" t="str">
        <f>IFERROR(IF(ISBLANK($D181),"",VLOOKUP($N181,'TABLE CHARGE RATE'!$A$30:$K$106,8,0)),"Check")</f>
        <v/>
      </c>
      <c r="AQ181" s="207" t="str">
        <f>IFERROR(IF(ISBLANK($D181),"",VLOOKUP($N181,'TABLE CHARGE RATE'!$A$30:$K$106,9,0)),"Check")</f>
        <v/>
      </c>
      <c r="AR181" s="207" t="str">
        <f>IFERROR(IF(ISBLANK($D181),"",VLOOKUP($N181,'TABLE CHARGE RATE'!$A$30:$K$106,10,0)),"Check")</f>
        <v/>
      </c>
      <c r="AS181" s="207" t="str">
        <f>IFERROR(IF(ISBLANK($D181),"",VLOOKUP($N181,'TABLE CHARGE RATE'!$A$30:$K$106,11,0)),"Check")</f>
        <v/>
      </c>
      <c r="AT181" s="207">
        <f t="shared" si="35"/>
        <v>180</v>
      </c>
    </row>
    <row r="182" spans="1:46" x14ac:dyDescent="0.2">
      <c r="A182" s="207" t="str">
        <f t="shared" si="29"/>
        <v/>
      </c>
      <c r="B182" s="208" t="str">
        <f>IF(ISBLANK(D182),"",VLOOKUP(WEEKDAY($C182,1),INDEX!$J$2:$K$8,2,0))</f>
        <v/>
      </c>
      <c r="C182" s="209"/>
      <c r="D182" s="207"/>
      <c r="E182" s="207"/>
      <c r="F182" s="207"/>
      <c r="G182" s="207"/>
      <c r="H182" s="207"/>
      <c r="I182" s="207"/>
      <c r="J182" s="207"/>
      <c r="K182" s="207"/>
      <c r="L182" s="207"/>
      <c r="M182" s="207"/>
      <c r="N182" s="207"/>
      <c r="O182" s="207"/>
      <c r="P182" s="207"/>
      <c r="Q182" s="207"/>
      <c r="R182" s="207"/>
      <c r="S182" s="207"/>
      <c r="T182" s="207"/>
      <c r="U182" s="209"/>
      <c r="V182" s="207"/>
      <c r="W182" s="207"/>
      <c r="X182" s="209">
        <f t="shared" si="31"/>
        <v>0</v>
      </c>
      <c r="Y182" s="209">
        <f t="shared" si="32"/>
        <v>0</v>
      </c>
      <c r="Z182" s="207">
        <v>1</v>
      </c>
      <c r="AA182" s="209" t="str">
        <f t="shared" si="30"/>
        <v/>
      </c>
      <c r="AB182" s="209"/>
      <c r="AC182" s="207">
        <v>0</v>
      </c>
      <c r="AD182" s="207"/>
      <c r="AE182" s="207"/>
      <c r="AF182" s="208" t="str">
        <f>IF(ISBLANK(D182),"",VLOOKUP(F182,'SIZE CALCULATION'!$F:$G,2,0))</f>
        <v/>
      </c>
      <c r="AG182" s="207" t="str">
        <f t="shared" si="36"/>
        <v/>
      </c>
      <c r="AH182" s="207" t="str">
        <f t="shared" si="33"/>
        <v/>
      </c>
      <c r="AI182" s="210" t="str">
        <f>IF(ISBLANK(D182),"",VLOOKUP($A182,INDEX!$D$2:$F$13,3,0))</f>
        <v/>
      </c>
      <c r="AJ182" s="207" t="str">
        <f t="shared" si="34"/>
        <v/>
      </c>
      <c r="AK182" s="207"/>
      <c r="AL182" s="207"/>
      <c r="AM182" s="207" t="str">
        <f>IFERROR(IF(ISBLANK($D182),"",VLOOKUP($N182,'TABLE CHARGE RATE'!$A$30:$K$106,5,0)),"Check")</f>
        <v/>
      </c>
      <c r="AN182" s="207" t="str">
        <f>IFERROR(IF(ISBLANK($D182),"",VLOOKUP($N182,'TABLE CHARGE RATE'!$A$30:$K$106,6,0)),"Check")</f>
        <v/>
      </c>
      <c r="AO182" s="207" t="str">
        <f>IFERROR(IF(ISBLANK($D182),"",VLOOKUP($N182,'TABLE CHARGE RATE'!$A$30:$K$106,7,0)),"Check")</f>
        <v/>
      </c>
      <c r="AP182" s="207" t="str">
        <f>IFERROR(IF(ISBLANK($D182),"",VLOOKUP($N182,'TABLE CHARGE RATE'!$A$30:$K$106,8,0)),"Check")</f>
        <v/>
      </c>
      <c r="AQ182" s="207" t="str">
        <f>IFERROR(IF(ISBLANK($D182),"",VLOOKUP($N182,'TABLE CHARGE RATE'!$A$30:$K$106,9,0)),"Check")</f>
        <v/>
      </c>
      <c r="AR182" s="207" t="str">
        <f>IFERROR(IF(ISBLANK($D182),"",VLOOKUP($N182,'TABLE CHARGE RATE'!$A$30:$K$106,10,0)),"Check")</f>
        <v/>
      </c>
      <c r="AS182" s="207" t="str">
        <f>IFERROR(IF(ISBLANK($D182),"",VLOOKUP($N182,'TABLE CHARGE RATE'!$A$30:$K$106,11,0)),"Check")</f>
        <v/>
      </c>
      <c r="AT182" s="207">
        <f t="shared" si="35"/>
        <v>181</v>
      </c>
    </row>
    <row r="183" spans="1:46" x14ac:dyDescent="0.2">
      <c r="A183" s="207" t="str">
        <f t="shared" si="29"/>
        <v/>
      </c>
      <c r="B183" s="208" t="str">
        <f>IF(ISBLANK(D183),"",VLOOKUP(WEEKDAY($C183,1),INDEX!$J$2:$K$8,2,0))</f>
        <v/>
      </c>
      <c r="C183" s="209"/>
      <c r="D183" s="207"/>
      <c r="E183" s="207"/>
      <c r="F183" s="207"/>
      <c r="G183" s="207"/>
      <c r="H183" s="207"/>
      <c r="I183" s="207"/>
      <c r="J183" s="207"/>
      <c r="K183" s="207"/>
      <c r="L183" s="207"/>
      <c r="M183" s="207"/>
      <c r="N183" s="207"/>
      <c r="O183" s="207"/>
      <c r="P183" s="207"/>
      <c r="Q183" s="207"/>
      <c r="R183" s="207"/>
      <c r="S183" s="207"/>
      <c r="T183" s="207"/>
      <c r="U183" s="209"/>
      <c r="V183" s="207"/>
      <c r="W183" s="207"/>
      <c r="X183" s="209">
        <f t="shared" si="31"/>
        <v>0</v>
      </c>
      <c r="Y183" s="209">
        <f t="shared" si="32"/>
        <v>0</v>
      </c>
      <c r="Z183" s="207">
        <v>1</v>
      </c>
      <c r="AA183" s="209" t="str">
        <f t="shared" si="30"/>
        <v/>
      </c>
      <c r="AB183" s="209"/>
      <c r="AC183" s="207">
        <v>0</v>
      </c>
      <c r="AD183" s="207"/>
      <c r="AE183" s="207"/>
      <c r="AF183" s="208" t="str">
        <f>IF(ISBLANK(D183),"",VLOOKUP(F183,'SIZE CALCULATION'!$F:$G,2,0))</f>
        <v/>
      </c>
      <c r="AG183" s="207" t="str">
        <f t="shared" si="36"/>
        <v/>
      </c>
      <c r="AH183" s="207" t="str">
        <f t="shared" si="33"/>
        <v/>
      </c>
      <c r="AI183" s="210" t="str">
        <f>IF(ISBLANK(D183),"",VLOOKUP($A183,INDEX!$D$2:$F$13,3,0))</f>
        <v/>
      </c>
      <c r="AJ183" s="207" t="str">
        <f t="shared" si="34"/>
        <v/>
      </c>
      <c r="AK183" s="207"/>
      <c r="AL183" s="207"/>
      <c r="AM183" s="207" t="str">
        <f>IFERROR(IF(ISBLANK($D183),"",VLOOKUP($N183,'TABLE CHARGE RATE'!$A$30:$K$106,5,0)),"Check")</f>
        <v/>
      </c>
      <c r="AN183" s="207" t="str">
        <f>IFERROR(IF(ISBLANK($D183),"",VLOOKUP($N183,'TABLE CHARGE RATE'!$A$30:$K$106,6,0)),"Check")</f>
        <v/>
      </c>
      <c r="AO183" s="207" t="str">
        <f>IFERROR(IF(ISBLANK($D183),"",VLOOKUP($N183,'TABLE CHARGE RATE'!$A$30:$K$106,7,0)),"Check")</f>
        <v/>
      </c>
      <c r="AP183" s="207" t="str">
        <f>IFERROR(IF(ISBLANK($D183),"",VLOOKUP($N183,'TABLE CHARGE RATE'!$A$30:$K$106,8,0)),"Check")</f>
        <v/>
      </c>
      <c r="AQ183" s="207" t="str">
        <f>IFERROR(IF(ISBLANK($D183),"",VLOOKUP($N183,'TABLE CHARGE RATE'!$A$30:$K$106,9,0)),"Check")</f>
        <v/>
      </c>
      <c r="AR183" s="207" t="str">
        <f>IFERROR(IF(ISBLANK($D183),"",VLOOKUP($N183,'TABLE CHARGE RATE'!$A$30:$K$106,10,0)),"Check")</f>
        <v/>
      </c>
      <c r="AS183" s="207" t="str">
        <f>IFERROR(IF(ISBLANK($D183),"",VLOOKUP($N183,'TABLE CHARGE RATE'!$A$30:$K$106,11,0)),"Check")</f>
        <v/>
      </c>
      <c r="AT183" s="207">
        <f t="shared" si="35"/>
        <v>182</v>
      </c>
    </row>
    <row r="184" spans="1:46" x14ac:dyDescent="0.2">
      <c r="A184" s="207" t="str">
        <f t="shared" si="29"/>
        <v/>
      </c>
      <c r="B184" s="208" t="str">
        <f>IF(ISBLANK(D184),"",VLOOKUP(WEEKDAY($C184,1),INDEX!$J$2:$K$8,2,0))</f>
        <v/>
      </c>
      <c r="C184" s="209"/>
      <c r="D184" s="207"/>
      <c r="E184" s="207"/>
      <c r="F184" s="207"/>
      <c r="G184" s="207"/>
      <c r="H184" s="207"/>
      <c r="I184" s="207"/>
      <c r="J184" s="207"/>
      <c r="K184" s="207"/>
      <c r="L184" s="207"/>
      <c r="M184" s="207"/>
      <c r="N184" s="207"/>
      <c r="O184" s="207"/>
      <c r="P184" s="207"/>
      <c r="Q184" s="207"/>
      <c r="R184" s="207"/>
      <c r="S184" s="207"/>
      <c r="T184" s="207"/>
      <c r="U184" s="209"/>
      <c r="V184" s="207"/>
      <c r="W184" s="207"/>
      <c r="X184" s="209">
        <f t="shared" si="31"/>
        <v>0</v>
      </c>
      <c r="Y184" s="209">
        <f t="shared" si="32"/>
        <v>0</v>
      </c>
      <c r="Z184" s="207">
        <v>1</v>
      </c>
      <c r="AA184" s="209" t="str">
        <f t="shared" si="30"/>
        <v/>
      </c>
      <c r="AB184" s="209"/>
      <c r="AC184" s="207">
        <v>0</v>
      </c>
      <c r="AD184" s="207"/>
      <c r="AE184" s="207"/>
      <c r="AF184" s="208" t="str">
        <f>IF(ISBLANK(D184),"",VLOOKUP(F184,'SIZE CALCULATION'!$F:$G,2,0))</f>
        <v/>
      </c>
      <c r="AG184" s="207" t="str">
        <f t="shared" si="36"/>
        <v/>
      </c>
      <c r="AH184" s="207" t="str">
        <f t="shared" si="33"/>
        <v/>
      </c>
      <c r="AI184" s="210" t="str">
        <f>IF(ISBLANK(D184),"",VLOOKUP($A184,INDEX!$D$2:$F$13,3,0))</f>
        <v/>
      </c>
      <c r="AJ184" s="207" t="str">
        <f t="shared" si="34"/>
        <v/>
      </c>
      <c r="AK184" s="207"/>
      <c r="AL184" s="207"/>
      <c r="AM184" s="207" t="str">
        <f>IFERROR(IF(ISBLANK($D184),"",VLOOKUP($N184,'TABLE CHARGE RATE'!$A$30:$K$106,5,0)),"Check")</f>
        <v/>
      </c>
      <c r="AN184" s="207" t="str">
        <f>IFERROR(IF(ISBLANK($D184),"",VLOOKUP($N184,'TABLE CHARGE RATE'!$A$30:$K$106,6,0)),"Check")</f>
        <v/>
      </c>
      <c r="AO184" s="207" t="str">
        <f>IFERROR(IF(ISBLANK($D184),"",VLOOKUP($N184,'TABLE CHARGE RATE'!$A$30:$K$106,7,0)),"Check")</f>
        <v/>
      </c>
      <c r="AP184" s="207" t="str">
        <f>IFERROR(IF(ISBLANK($D184),"",VLOOKUP($N184,'TABLE CHARGE RATE'!$A$30:$K$106,8,0)),"Check")</f>
        <v/>
      </c>
      <c r="AQ184" s="207" t="str">
        <f>IFERROR(IF(ISBLANK($D184),"",VLOOKUP($N184,'TABLE CHARGE RATE'!$A$30:$K$106,9,0)),"Check")</f>
        <v/>
      </c>
      <c r="AR184" s="207" t="str">
        <f>IFERROR(IF(ISBLANK($D184),"",VLOOKUP($N184,'TABLE CHARGE RATE'!$A$30:$K$106,10,0)),"Check")</f>
        <v/>
      </c>
      <c r="AS184" s="207" t="str">
        <f>IFERROR(IF(ISBLANK($D184),"",VLOOKUP($N184,'TABLE CHARGE RATE'!$A$30:$K$106,11,0)),"Check")</f>
        <v/>
      </c>
      <c r="AT184" s="207">
        <f t="shared" si="35"/>
        <v>183</v>
      </c>
    </row>
    <row r="185" spans="1:46" x14ac:dyDescent="0.2">
      <c r="A185" s="207" t="str">
        <f t="shared" si="29"/>
        <v/>
      </c>
      <c r="B185" s="208" t="str">
        <f>IF(ISBLANK(D185),"",VLOOKUP(WEEKDAY($C185,1),INDEX!$J$2:$K$8,2,0))</f>
        <v/>
      </c>
      <c r="C185" s="209"/>
      <c r="D185" s="207"/>
      <c r="E185" s="207"/>
      <c r="F185" s="207"/>
      <c r="G185" s="207"/>
      <c r="H185" s="207"/>
      <c r="I185" s="207"/>
      <c r="J185" s="207"/>
      <c r="K185" s="207"/>
      <c r="L185" s="207"/>
      <c r="M185" s="207"/>
      <c r="N185" s="207"/>
      <c r="O185" s="207"/>
      <c r="P185" s="207"/>
      <c r="Q185" s="207"/>
      <c r="R185" s="207"/>
      <c r="S185" s="207"/>
      <c r="T185" s="207"/>
      <c r="U185" s="209"/>
      <c r="V185" s="207"/>
      <c r="W185" s="207"/>
      <c r="X185" s="209">
        <f t="shared" si="31"/>
        <v>0</v>
      </c>
      <c r="Y185" s="209">
        <f t="shared" si="32"/>
        <v>0</v>
      </c>
      <c r="Z185" s="207">
        <v>1</v>
      </c>
      <c r="AA185" s="209" t="str">
        <f t="shared" si="30"/>
        <v/>
      </c>
      <c r="AB185" s="209"/>
      <c r="AC185" s="207">
        <v>0</v>
      </c>
      <c r="AD185" s="207"/>
      <c r="AE185" s="207"/>
      <c r="AF185" s="208" t="str">
        <f>IF(ISBLANK(D185),"",VLOOKUP(F185,'SIZE CALCULATION'!$F:$G,2,0))</f>
        <v/>
      </c>
      <c r="AG185" s="207" t="str">
        <f t="shared" si="36"/>
        <v/>
      </c>
      <c r="AH185" s="207" t="str">
        <f t="shared" si="33"/>
        <v/>
      </c>
      <c r="AI185" s="210" t="str">
        <f>IF(ISBLANK(D185),"",VLOOKUP($A185,INDEX!$D$2:$F$13,3,0))</f>
        <v/>
      </c>
      <c r="AJ185" s="207" t="str">
        <f t="shared" si="34"/>
        <v/>
      </c>
      <c r="AK185" s="207"/>
      <c r="AL185" s="207"/>
      <c r="AM185" s="207" t="str">
        <f>IFERROR(IF(ISBLANK($D185),"",VLOOKUP($N185,'TABLE CHARGE RATE'!$A$30:$K$106,5,0)),"Check")</f>
        <v/>
      </c>
      <c r="AN185" s="207" t="str">
        <f>IFERROR(IF(ISBLANK($D185),"",VLOOKUP($N185,'TABLE CHARGE RATE'!$A$30:$K$106,6,0)),"Check")</f>
        <v/>
      </c>
      <c r="AO185" s="207" t="str">
        <f>IFERROR(IF(ISBLANK($D185),"",VLOOKUP($N185,'TABLE CHARGE RATE'!$A$30:$K$106,7,0)),"Check")</f>
        <v/>
      </c>
      <c r="AP185" s="207" t="str">
        <f>IFERROR(IF(ISBLANK($D185),"",VLOOKUP($N185,'TABLE CHARGE RATE'!$A$30:$K$106,8,0)),"Check")</f>
        <v/>
      </c>
      <c r="AQ185" s="207" t="str">
        <f>IFERROR(IF(ISBLANK($D185),"",VLOOKUP($N185,'TABLE CHARGE RATE'!$A$30:$K$106,9,0)),"Check")</f>
        <v/>
      </c>
      <c r="AR185" s="207" t="str">
        <f>IFERROR(IF(ISBLANK($D185),"",VLOOKUP($N185,'TABLE CHARGE RATE'!$A$30:$K$106,10,0)),"Check")</f>
        <v/>
      </c>
      <c r="AS185" s="207" t="str">
        <f>IFERROR(IF(ISBLANK($D185),"",VLOOKUP($N185,'TABLE CHARGE RATE'!$A$30:$K$106,11,0)),"Check")</f>
        <v/>
      </c>
      <c r="AT185" s="207">
        <f t="shared" si="35"/>
        <v>184</v>
      </c>
    </row>
    <row r="186" spans="1:46" x14ac:dyDescent="0.2">
      <c r="A186" s="207" t="str">
        <f t="shared" si="29"/>
        <v/>
      </c>
      <c r="B186" s="208" t="str">
        <f>IF(ISBLANK(D186),"",VLOOKUP(WEEKDAY($C186,1),INDEX!$J$2:$K$8,2,0))</f>
        <v/>
      </c>
      <c r="C186" s="209"/>
      <c r="D186" s="207"/>
      <c r="E186" s="207"/>
      <c r="F186" s="207"/>
      <c r="G186" s="207"/>
      <c r="H186" s="207"/>
      <c r="I186" s="207"/>
      <c r="J186" s="207"/>
      <c r="K186" s="207"/>
      <c r="L186" s="207"/>
      <c r="M186" s="207"/>
      <c r="N186" s="207"/>
      <c r="O186" s="207"/>
      <c r="P186" s="207"/>
      <c r="Q186" s="207"/>
      <c r="R186" s="207"/>
      <c r="S186" s="207"/>
      <c r="T186" s="207"/>
      <c r="U186" s="209"/>
      <c r="V186" s="207"/>
      <c r="W186" s="207"/>
      <c r="X186" s="209">
        <f t="shared" si="31"/>
        <v>0</v>
      </c>
      <c r="Y186" s="209">
        <f t="shared" si="32"/>
        <v>0</v>
      </c>
      <c r="Z186" s="207">
        <v>1</v>
      </c>
      <c r="AA186" s="209" t="str">
        <f t="shared" si="30"/>
        <v/>
      </c>
      <c r="AB186" s="209"/>
      <c r="AC186" s="207">
        <v>0</v>
      </c>
      <c r="AD186" s="207"/>
      <c r="AE186" s="207"/>
      <c r="AF186" s="208" t="str">
        <f>IF(ISBLANK(D186),"",VLOOKUP(F186,'SIZE CALCULATION'!$F:$G,2,0))</f>
        <v/>
      </c>
      <c r="AG186" s="207" t="str">
        <f t="shared" si="36"/>
        <v/>
      </c>
      <c r="AH186" s="207" t="str">
        <f t="shared" si="33"/>
        <v/>
      </c>
      <c r="AI186" s="210" t="str">
        <f>IF(ISBLANK(D186),"",VLOOKUP($A186,INDEX!$D$2:$F$13,3,0))</f>
        <v/>
      </c>
      <c r="AJ186" s="207" t="str">
        <f t="shared" si="34"/>
        <v/>
      </c>
      <c r="AK186" s="207"/>
      <c r="AL186" s="207"/>
      <c r="AM186" s="207" t="str">
        <f>IFERROR(IF(ISBLANK($D186),"",VLOOKUP($N186,'TABLE CHARGE RATE'!$A$30:$K$106,5,0)),"Check")</f>
        <v/>
      </c>
      <c r="AN186" s="207" t="str">
        <f>IFERROR(IF(ISBLANK($D186),"",VLOOKUP($N186,'TABLE CHARGE RATE'!$A$30:$K$106,6,0)),"Check")</f>
        <v/>
      </c>
      <c r="AO186" s="207" t="str">
        <f>IFERROR(IF(ISBLANK($D186),"",VLOOKUP($N186,'TABLE CHARGE RATE'!$A$30:$K$106,7,0)),"Check")</f>
        <v/>
      </c>
      <c r="AP186" s="207" t="str">
        <f>IFERROR(IF(ISBLANK($D186),"",VLOOKUP($N186,'TABLE CHARGE RATE'!$A$30:$K$106,8,0)),"Check")</f>
        <v/>
      </c>
      <c r="AQ186" s="207" t="str">
        <f>IFERROR(IF(ISBLANK($D186),"",VLOOKUP($N186,'TABLE CHARGE RATE'!$A$30:$K$106,9,0)),"Check")</f>
        <v/>
      </c>
      <c r="AR186" s="207" t="str">
        <f>IFERROR(IF(ISBLANK($D186),"",VLOOKUP($N186,'TABLE CHARGE RATE'!$A$30:$K$106,10,0)),"Check")</f>
        <v/>
      </c>
      <c r="AS186" s="207" t="str">
        <f>IFERROR(IF(ISBLANK($D186),"",VLOOKUP($N186,'TABLE CHARGE RATE'!$A$30:$K$106,11,0)),"Check")</f>
        <v/>
      </c>
      <c r="AT186" s="207">
        <f t="shared" si="35"/>
        <v>185</v>
      </c>
    </row>
    <row r="187" spans="1:46" x14ac:dyDescent="0.2">
      <c r="A187" s="207" t="str">
        <f t="shared" si="29"/>
        <v/>
      </c>
      <c r="B187" s="208" t="str">
        <f>IF(ISBLANK(D187),"",VLOOKUP(WEEKDAY($C187,1),INDEX!$J$2:$K$8,2,0))</f>
        <v/>
      </c>
      <c r="C187" s="209"/>
      <c r="D187" s="207"/>
      <c r="E187" s="207"/>
      <c r="F187" s="207"/>
      <c r="G187" s="207"/>
      <c r="H187" s="207"/>
      <c r="I187" s="207"/>
      <c r="J187" s="207"/>
      <c r="K187" s="207"/>
      <c r="L187" s="207"/>
      <c r="M187" s="207"/>
      <c r="N187" s="207"/>
      <c r="O187" s="207"/>
      <c r="P187" s="207"/>
      <c r="Q187" s="207"/>
      <c r="R187" s="207"/>
      <c r="S187" s="207"/>
      <c r="T187" s="207"/>
      <c r="U187" s="209"/>
      <c r="V187" s="207"/>
      <c r="W187" s="207"/>
      <c r="X187" s="209">
        <f t="shared" si="31"/>
        <v>0</v>
      </c>
      <c r="Y187" s="209">
        <f t="shared" si="32"/>
        <v>0</v>
      </c>
      <c r="Z187" s="207">
        <v>1</v>
      </c>
      <c r="AA187" s="209" t="str">
        <f t="shared" si="30"/>
        <v/>
      </c>
      <c r="AB187" s="209"/>
      <c r="AC187" s="207">
        <v>0</v>
      </c>
      <c r="AD187" s="207"/>
      <c r="AE187" s="207"/>
      <c r="AF187" s="208" t="str">
        <f>IF(ISBLANK(D187),"",VLOOKUP(F187,'SIZE CALCULATION'!$F:$G,2,0))</f>
        <v/>
      </c>
      <c r="AG187" s="207" t="str">
        <f t="shared" si="36"/>
        <v/>
      </c>
      <c r="AH187" s="207" t="str">
        <f t="shared" si="33"/>
        <v/>
      </c>
      <c r="AI187" s="210" t="str">
        <f>IF(ISBLANK(D187),"",VLOOKUP($A187,INDEX!$D$2:$F$13,3,0))</f>
        <v/>
      </c>
      <c r="AJ187" s="207" t="str">
        <f t="shared" si="34"/>
        <v/>
      </c>
      <c r="AK187" s="207"/>
      <c r="AL187" s="207"/>
      <c r="AM187" s="207" t="str">
        <f>IFERROR(IF(ISBLANK($D187),"",VLOOKUP($N187,'TABLE CHARGE RATE'!$A$30:$K$106,5,0)),"Check")</f>
        <v/>
      </c>
      <c r="AN187" s="207" t="str">
        <f>IFERROR(IF(ISBLANK($D187),"",VLOOKUP($N187,'TABLE CHARGE RATE'!$A$30:$K$106,6,0)),"Check")</f>
        <v/>
      </c>
      <c r="AO187" s="207" t="str">
        <f>IFERROR(IF(ISBLANK($D187),"",VLOOKUP($N187,'TABLE CHARGE RATE'!$A$30:$K$106,7,0)),"Check")</f>
        <v/>
      </c>
      <c r="AP187" s="207" t="str">
        <f>IFERROR(IF(ISBLANK($D187),"",VLOOKUP($N187,'TABLE CHARGE RATE'!$A$30:$K$106,8,0)),"Check")</f>
        <v/>
      </c>
      <c r="AQ187" s="207" t="str">
        <f>IFERROR(IF(ISBLANK($D187),"",VLOOKUP($N187,'TABLE CHARGE RATE'!$A$30:$K$106,9,0)),"Check")</f>
        <v/>
      </c>
      <c r="AR187" s="207" t="str">
        <f>IFERROR(IF(ISBLANK($D187),"",VLOOKUP($N187,'TABLE CHARGE RATE'!$A$30:$K$106,10,0)),"Check")</f>
        <v/>
      </c>
      <c r="AS187" s="207" t="str">
        <f>IFERROR(IF(ISBLANK($D187),"",VLOOKUP($N187,'TABLE CHARGE RATE'!$A$30:$K$106,11,0)),"Check")</f>
        <v/>
      </c>
      <c r="AT187" s="207">
        <f t="shared" si="35"/>
        <v>186</v>
      </c>
    </row>
    <row r="188" spans="1:46" x14ac:dyDescent="0.2">
      <c r="A188" s="207" t="str">
        <f t="shared" si="29"/>
        <v/>
      </c>
      <c r="B188" s="208" t="str">
        <f>IF(ISBLANK(D188),"",VLOOKUP(WEEKDAY($C188,1),INDEX!$J$2:$K$8,2,0))</f>
        <v/>
      </c>
      <c r="C188" s="209"/>
      <c r="D188" s="207"/>
      <c r="E188" s="207"/>
      <c r="F188" s="207"/>
      <c r="G188" s="207"/>
      <c r="H188" s="207"/>
      <c r="I188" s="207"/>
      <c r="J188" s="207"/>
      <c r="K188" s="207"/>
      <c r="L188" s="207"/>
      <c r="M188" s="207"/>
      <c r="N188" s="207"/>
      <c r="O188" s="207"/>
      <c r="P188" s="207"/>
      <c r="Q188" s="207"/>
      <c r="R188" s="207"/>
      <c r="S188" s="207"/>
      <c r="T188" s="207"/>
      <c r="U188" s="209"/>
      <c r="V188" s="207"/>
      <c r="W188" s="207"/>
      <c r="X188" s="209">
        <f t="shared" si="31"/>
        <v>0</v>
      </c>
      <c r="Y188" s="209">
        <f t="shared" si="32"/>
        <v>0</v>
      </c>
      <c r="Z188" s="207">
        <v>1</v>
      </c>
      <c r="AA188" s="209" t="str">
        <f t="shared" si="30"/>
        <v/>
      </c>
      <c r="AB188" s="209"/>
      <c r="AC188" s="207">
        <v>0</v>
      </c>
      <c r="AD188" s="207"/>
      <c r="AE188" s="207"/>
      <c r="AF188" s="208" t="str">
        <f>IF(ISBLANK(D188),"",VLOOKUP(F188,'SIZE CALCULATION'!$F:$G,2,0))</f>
        <v/>
      </c>
      <c r="AG188" s="207" t="str">
        <f t="shared" si="36"/>
        <v/>
      </c>
      <c r="AH188" s="207" t="str">
        <f t="shared" si="33"/>
        <v/>
      </c>
      <c r="AI188" s="210" t="str">
        <f>IF(ISBLANK(D188),"",VLOOKUP($A188,INDEX!$D$2:$F$13,3,0))</f>
        <v/>
      </c>
      <c r="AJ188" s="207" t="str">
        <f t="shared" si="34"/>
        <v/>
      </c>
      <c r="AK188" s="207"/>
      <c r="AL188" s="207"/>
      <c r="AM188" s="207" t="str">
        <f>IFERROR(IF(ISBLANK($D188),"",VLOOKUP($N188,'TABLE CHARGE RATE'!$A$30:$K$106,5,0)),"Check")</f>
        <v/>
      </c>
      <c r="AN188" s="207" t="str">
        <f>IFERROR(IF(ISBLANK($D188),"",VLOOKUP($N188,'TABLE CHARGE RATE'!$A$30:$K$106,6,0)),"Check")</f>
        <v/>
      </c>
      <c r="AO188" s="207" t="str">
        <f>IFERROR(IF(ISBLANK($D188),"",VLOOKUP($N188,'TABLE CHARGE RATE'!$A$30:$K$106,7,0)),"Check")</f>
        <v/>
      </c>
      <c r="AP188" s="207" t="str">
        <f>IFERROR(IF(ISBLANK($D188),"",VLOOKUP($N188,'TABLE CHARGE RATE'!$A$30:$K$106,8,0)),"Check")</f>
        <v/>
      </c>
      <c r="AQ188" s="207" t="str">
        <f>IFERROR(IF(ISBLANK($D188),"",VLOOKUP($N188,'TABLE CHARGE RATE'!$A$30:$K$106,9,0)),"Check")</f>
        <v/>
      </c>
      <c r="AR188" s="207" t="str">
        <f>IFERROR(IF(ISBLANK($D188),"",VLOOKUP($N188,'TABLE CHARGE RATE'!$A$30:$K$106,10,0)),"Check")</f>
        <v/>
      </c>
      <c r="AS188" s="207" t="str">
        <f>IFERROR(IF(ISBLANK($D188),"",VLOOKUP($N188,'TABLE CHARGE RATE'!$A$30:$K$106,11,0)),"Check")</f>
        <v/>
      </c>
      <c r="AT188" s="207">
        <f t="shared" si="35"/>
        <v>187</v>
      </c>
    </row>
    <row r="189" spans="1:46" x14ac:dyDescent="0.2">
      <c r="A189" s="207" t="str">
        <f t="shared" si="29"/>
        <v/>
      </c>
      <c r="B189" s="208" t="str">
        <f>IF(ISBLANK(D189),"",VLOOKUP(WEEKDAY($C189,1),INDEX!$J$2:$K$8,2,0))</f>
        <v/>
      </c>
      <c r="C189" s="209"/>
      <c r="D189" s="207"/>
      <c r="E189" s="207"/>
      <c r="F189" s="207"/>
      <c r="G189" s="207"/>
      <c r="H189" s="207"/>
      <c r="I189" s="207"/>
      <c r="J189" s="207"/>
      <c r="K189" s="207"/>
      <c r="L189" s="207"/>
      <c r="M189" s="207"/>
      <c r="N189" s="207"/>
      <c r="O189" s="207"/>
      <c r="P189" s="207"/>
      <c r="Q189" s="207"/>
      <c r="R189" s="207"/>
      <c r="S189" s="207"/>
      <c r="T189" s="207"/>
      <c r="U189" s="209"/>
      <c r="V189" s="207"/>
      <c r="W189" s="207"/>
      <c r="X189" s="209">
        <f t="shared" si="31"/>
        <v>0</v>
      </c>
      <c r="Y189" s="209">
        <f t="shared" si="32"/>
        <v>0</v>
      </c>
      <c r="Z189" s="207">
        <v>1</v>
      </c>
      <c r="AA189" s="209" t="str">
        <f t="shared" si="30"/>
        <v/>
      </c>
      <c r="AB189" s="209"/>
      <c r="AC189" s="207">
        <v>0</v>
      </c>
      <c r="AD189" s="207"/>
      <c r="AE189" s="207"/>
      <c r="AF189" s="208" t="str">
        <f>IF(ISBLANK(D189),"",VLOOKUP(F189,'SIZE CALCULATION'!$F:$G,2,0))</f>
        <v/>
      </c>
      <c r="AG189" s="207" t="str">
        <f t="shared" si="36"/>
        <v/>
      </c>
      <c r="AH189" s="207" t="str">
        <f t="shared" si="33"/>
        <v/>
      </c>
      <c r="AI189" s="210" t="str">
        <f>IF(ISBLANK(D189),"",VLOOKUP($A189,INDEX!$D$2:$F$13,3,0))</f>
        <v/>
      </c>
      <c r="AJ189" s="207" t="str">
        <f t="shared" si="34"/>
        <v/>
      </c>
      <c r="AK189" s="207"/>
      <c r="AL189" s="207"/>
      <c r="AM189" s="207" t="str">
        <f>IFERROR(IF(ISBLANK($D189),"",VLOOKUP($N189,'TABLE CHARGE RATE'!$A$30:$K$106,5,0)),"Check")</f>
        <v/>
      </c>
      <c r="AN189" s="207" t="str">
        <f>IFERROR(IF(ISBLANK($D189),"",VLOOKUP($N189,'TABLE CHARGE RATE'!$A$30:$K$106,6,0)),"Check")</f>
        <v/>
      </c>
      <c r="AO189" s="207" t="str">
        <f>IFERROR(IF(ISBLANK($D189),"",VLOOKUP($N189,'TABLE CHARGE RATE'!$A$30:$K$106,7,0)),"Check")</f>
        <v/>
      </c>
      <c r="AP189" s="207" t="str">
        <f>IFERROR(IF(ISBLANK($D189),"",VLOOKUP($N189,'TABLE CHARGE RATE'!$A$30:$K$106,8,0)),"Check")</f>
        <v/>
      </c>
      <c r="AQ189" s="207" t="str">
        <f>IFERROR(IF(ISBLANK($D189),"",VLOOKUP($N189,'TABLE CHARGE RATE'!$A$30:$K$106,9,0)),"Check")</f>
        <v/>
      </c>
      <c r="AR189" s="207" t="str">
        <f>IFERROR(IF(ISBLANK($D189),"",VLOOKUP($N189,'TABLE CHARGE RATE'!$A$30:$K$106,10,0)),"Check")</f>
        <v/>
      </c>
      <c r="AS189" s="207" t="str">
        <f>IFERROR(IF(ISBLANK($D189),"",VLOOKUP($N189,'TABLE CHARGE RATE'!$A$30:$K$106,11,0)),"Check")</f>
        <v/>
      </c>
      <c r="AT189" s="207">
        <f t="shared" si="35"/>
        <v>188</v>
      </c>
    </row>
    <row r="190" spans="1:46" x14ac:dyDescent="0.2">
      <c r="A190" s="207" t="str">
        <f t="shared" ref="A190:A253" si="37">IF(ISBLANK(D190),"",MONTH(C190))</f>
        <v/>
      </c>
      <c r="B190" s="208" t="str">
        <f>IF(ISBLANK(D190),"",VLOOKUP(WEEKDAY($C190,1),INDEX!$J$2:$K$8,2,0))</f>
        <v/>
      </c>
      <c r="C190" s="209"/>
      <c r="D190" s="207"/>
      <c r="E190" s="207"/>
      <c r="F190" s="207"/>
      <c r="G190" s="207"/>
      <c r="H190" s="207"/>
      <c r="I190" s="207"/>
      <c r="J190" s="207"/>
      <c r="K190" s="207"/>
      <c r="L190" s="207"/>
      <c r="M190" s="207"/>
      <c r="N190" s="207"/>
      <c r="O190" s="207"/>
      <c r="P190" s="207"/>
      <c r="Q190" s="207"/>
      <c r="R190" s="207"/>
      <c r="S190" s="207"/>
      <c r="T190" s="207"/>
      <c r="U190" s="209"/>
      <c r="V190" s="207"/>
      <c r="W190" s="207"/>
      <c r="X190" s="209">
        <f t="shared" si="31"/>
        <v>0</v>
      </c>
      <c r="Y190" s="209">
        <f t="shared" si="32"/>
        <v>0</v>
      </c>
      <c r="Z190" s="207">
        <v>1</v>
      </c>
      <c r="AA190" s="209" t="str">
        <f t="shared" si="30"/>
        <v/>
      </c>
      <c r="AB190" s="209"/>
      <c r="AC190" s="207">
        <v>0</v>
      </c>
      <c r="AD190" s="207"/>
      <c r="AE190" s="207"/>
      <c r="AF190" s="208" t="str">
        <f>IF(ISBLANK(D190),"",VLOOKUP(F190,'SIZE CALCULATION'!$F:$G,2,0))</f>
        <v/>
      </c>
      <c r="AG190" s="207" t="str">
        <f t="shared" si="36"/>
        <v/>
      </c>
      <c r="AH190" s="207" t="str">
        <f t="shared" si="33"/>
        <v/>
      </c>
      <c r="AI190" s="210" t="str">
        <f>IF(ISBLANK(D190),"",VLOOKUP($A190,INDEX!$D$2:$F$13,3,0))</f>
        <v/>
      </c>
      <c r="AJ190" s="207" t="str">
        <f t="shared" si="34"/>
        <v/>
      </c>
      <c r="AK190" s="207"/>
      <c r="AL190" s="207"/>
      <c r="AM190" s="207" t="str">
        <f>IFERROR(IF(ISBLANK($D190),"",VLOOKUP($N190,'TABLE CHARGE RATE'!$A$30:$K$106,5,0)),"Check")</f>
        <v/>
      </c>
      <c r="AN190" s="207" t="str">
        <f>IFERROR(IF(ISBLANK($D190),"",VLOOKUP($N190,'TABLE CHARGE RATE'!$A$30:$K$106,6,0)),"Check")</f>
        <v/>
      </c>
      <c r="AO190" s="207" t="str">
        <f>IFERROR(IF(ISBLANK($D190),"",VLOOKUP($N190,'TABLE CHARGE RATE'!$A$30:$K$106,7,0)),"Check")</f>
        <v/>
      </c>
      <c r="AP190" s="207" t="str">
        <f>IFERROR(IF(ISBLANK($D190),"",VLOOKUP($N190,'TABLE CHARGE RATE'!$A$30:$K$106,8,0)),"Check")</f>
        <v/>
      </c>
      <c r="AQ190" s="207" t="str">
        <f>IFERROR(IF(ISBLANK($D190),"",VLOOKUP($N190,'TABLE CHARGE RATE'!$A$30:$K$106,9,0)),"Check")</f>
        <v/>
      </c>
      <c r="AR190" s="207" t="str">
        <f>IFERROR(IF(ISBLANK($D190),"",VLOOKUP($N190,'TABLE CHARGE RATE'!$A$30:$K$106,10,0)),"Check")</f>
        <v/>
      </c>
      <c r="AS190" s="207" t="str">
        <f>IFERROR(IF(ISBLANK($D190),"",VLOOKUP($N190,'TABLE CHARGE RATE'!$A$30:$K$106,11,0)),"Check")</f>
        <v/>
      </c>
      <c r="AT190" s="207">
        <f t="shared" si="35"/>
        <v>189</v>
      </c>
    </row>
    <row r="191" spans="1:46" x14ac:dyDescent="0.2">
      <c r="A191" s="207" t="str">
        <f t="shared" si="37"/>
        <v/>
      </c>
      <c r="B191" s="208" t="str">
        <f>IF(ISBLANK(D191),"",VLOOKUP(WEEKDAY($C191,1),INDEX!$J$2:$K$8,2,0))</f>
        <v/>
      </c>
      <c r="C191" s="209"/>
      <c r="D191" s="207"/>
      <c r="E191" s="207"/>
      <c r="F191" s="207"/>
      <c r="G191" s="207"/>
      <c r="H191" s="207"/>
      <c r="I191" s="207"/>
      <c r="J191" s="207"/>
      <c r="K191" s="207"/>
      <c r="L191" s="207"/>
      <c r="M191" s="207"/>
      <c r="N191" s="207"/>
      <c r="O191" s="207"/>
      <c r="P191" s="207"/>
      <c r="Q191" s="207"/>
      <c r="R191" s="207"/>
      <c r="S191" s="207"/>
      <c r="T191" s="207"/>
      <c r="U191" s="209"/>
      <c r="V191" s="207"/>
      <c r="W191" s="207"/>
      <c r="X191" s="209">
        <f t="shared" si="31"/>
        <v>0</v>
      </c>
      <c r="Y191" s="209">
        <f t="shared" si="32"/>
        <v>0</v>
      </c>
      <c r="Z191" s="207">
        <v>1</v>
      </c>
      <c r="AA191" s="209" t="str">
        <f t="shared" si="30"/>
        <v/>
      </c>
      <c r="AB191" s="209"/>
      <c r="AC191" s="207">
        <v>0</v>
      </c>
      <c r="AD191" s="207"/>
      <c r="AE191" s="207"/>
      <c r="AF191" s="208" t="str">
        <f>IF(ISBLANK(D191),"",VLOOKUP(F191,'SIZE CALCULATION'!$F:$G,2,0))</f>
        <v/>
      </c>
      <c r="AG191" s="207" t="str">
        <f t="shared" si="36"/>
        <v/>
      </c>
      <c r="AH191" s="207" t="str">
        <f t="shared" si="33"/>
        <v/>
      </c>
      <c r="AI191" s="210" t="str">
        <f>IF(ISBLANK(D191),"",VLOOKUP($A191,INDEX!$D$2:$F$13,3,0))</f>
        <v/>
      </c>
      <c r="AJ191" s="207" t="str">
        <f t="shared" si="34"/>
        <v/>
      </c>
      <c r="AK191" s="207"/>
      <c r="AL191" s="207"/>
      <c r="AM191" s="207" t="str">
        <f>IFERROR(IF(ISBLANK($D191),"",VLOOKUP($N191,'TABLE CHARGE RATE'!$A$30:$K$106,5,0)),"Check")</f>
        <v/>
      </c>
      <c r="AN191" s="207" t="str">
        <f>IFERROR(IF(ISBLANK($D191),"",VLOOKUP($N191,'TABLE CHARGE RATE'!$A$30:$K$106,6,0)),"Check")</f>
        <v/>
      </c>
      <c r="AO191" s="207" t="str">
        <f>IFERROR(IF(ISBLANK($D191),"",VLOOKUP($N191,'TABLE CHARGE RATE'!$A$30:$K$106,7,0)),"Check")</f>
        <v/>
      </c>
      <c r="AP191" s="207" t="str">
        <f>IFERROR(IF(ISBLANK($D191),"",VLOOKUP($N191,'TABLE CHARGE RATE'!$A$30:$K$106,8,0)),"Check")</f>
        <v/>
      </c>
      <c r="AQ191" s="207" t="str">
        <f>IFERROR(IF(ISBLANK($D191),"",VLOOKUP($N191,'TABLE CHARGE RATE'!$A$30:$K$106,9,0)),"Check")</f>
        <v/>
      </c>
      <c r="AR191" s="207" t="str">
        <f>IFERROR(IF(ISBLANK($D191),"",VLOOKUP($N191,'TABLE CHARGE RATE'!$A$30:$K$106,10,0)),"Check")</f>
        <v/>
      </c>
      <c r="AS191" s="207" t="str">
        <f>IFERROR(IF(ISBLANK($D191),"",VLOOKUP($N191,'TABLE CHARGE RATE'!$A$30:$K$106,11,0)),"Check")</f>
        <v/>
      </c>
      <c r="AT191" s="207">
        <f t="shared" si="35"/>
        <v>190</v>
      </c>
    </row>
    <row r="192" spans="1:46" x14ac:dyDescent="0.2">
      <c r="A192" s="207" t="str">
        <f t="shared" si="37"/>
        <v/>
      </c>
      <c r="B192" s="208" t="str">
        <f>IF(ISBLANK(D192),"",VLOOKUP(WEEKDAY($C192,1),INDEX!$J$2:$K$8,2,0))</f>
        <v/>
      </c>
      <c r="C192" s="209"/>
      <c r="D192" s="207"/>
      <c r="E192" s="207"/>
      <c r="F192" s="207"/>
      <c r="G192" s="207"/>
      <c r="H192" s="207"/>
      <c r="I192" s="207"/>
      <c r="J192" s="207"/>
      <c r="K192" s="207"/>
      <c r="L192" s="207"/>
      <c r="M192" s="207"/>
      <c r="N192" s="207"/>
      <c r="O192" s="207"/>
      <c r="P192" s="207"/>
      <c r="Q192" s="207"/>
      <c r="R192" s="207"/>
      <c r="S192" s="207"/>
      <c r="T192" s="207"/>
      <c r="U192" s="209"/>
      <c r="V192" s="207"/>
      <c r="W192" s="207"/>
      <c r="X192" s="209">
        <f t="shared" si="31"/>
        <v>0</v>
      </c>
      <c r="Y192" s="209">
        <f t="shared" si="32"/>
        <v>0</v>
      </c>
      <c r="Z192" s="207">
        <v>1</v>
      </c>
      <c r="AA192" s="209" t="str">
        <f t="shared" si="30"/>
        <v/>
      </c>
      <c r="AB192" s="209"/>
      <c r="AC192" s="207">
        <v>0</v>
      </c>
      <c r="AD192" s="207"/>
      <c r="AE192" s="207"/>
      <c r="AF192" s="208" t="str">
        <f>IF(ISBLANK(D192),"",VLOOKUP(F192,'SIZE CALCULATION'!$F:$G,2,0))</f>
        <v/>
      </c>
      <c r="AG192" s="207" t="str">
        <f t="shared" si="36"/>
        <v/>
      </c>
      <c r="AH192" s="207" t="str">
        <f t="shared" si="33"/>
        <v/>
      </c>
      <c r="AI192" s="210" t="str">
        <f>IF(ISBLANK(D192),"",VLOOKUP($A192,INDEX!$D$2:$F$13,3,0))</f>
        <v/>
      </c>
      <c r="AJ192" s="207" t="str">
        <f t="shared" si="34"/>
        <v/>
      </c>
      <c r="AK192" s="207"/>
      <c r="AL192" s="207"/>
      <c r="AM192" s="207" t="str">
        <f>IFERROR(IF(ISBLANK($D192),"",VLOOKUP($N192,'TABLE CHARGE RATE'!$A$30:$K$106,5,0)),"Check")</f>
        <v/>
      </c>
      <c r="AN192" s="207" t="str">
        <f>IFERROR(IF(ISBLANK($D192),"",VLOOKUP($N192,'TABLE CHARGE RATE'!$A$30:$K$106,6,0)),"Check")</f>
        <v/>
      </c>
      <c r="AO192" s="207" t="str">
        <f>IFERROR(IF(ISBLANK($D192),"",VLOOKUP($N192,'TABLE CHARGE RATE'!$A$30:$K$106,7,0)),"Check")</f>
        <v/>
      </c>
      <c r="AP192" s="207" t="str">
        <f>IFERROR(IF(ISBLANK($D192),"",VLOOKUP($N192,'TABLE CHARGE RATE'!$A$30:$K$106,8,0)),"Check")</f>
        <v/>
      </c>
      <c r="AQ192" s="207" t="str">
        <f>IFERROR(IF(ISBLANK($D192),"",VLOOKUP($N192,'TABLE CHARGE RATE'!$A$30:$K$106,9,0)),"Check")</f>
        <v/>
      </c>
      <c r="AR192" s="207" t="str">
        <f>IFERROR(IF(ISBLANK($D192),"",VLOOKUP($N192,'TABLE CHARGE RATE'!$A$30:$K$106,10,0)),"Check")</f>
        <v/>
      </c>
      <c r="AS192" s="207" t="str">
        <f>IFERROR(IF(ISBLANK($D192),"",VLOOKUP($N192,'TABLE CHARGE RATE'!$A$30:$K$106,11,0)),"Check")</f>
        <v/>
      </c>
      <c r="AT192" s="207">
        <f t="shared" si="35"/>
        <v>191</v>
      </c>
    </row>
    <row r="193" spans="1:46" x14ac:dyDescent="0.2">
      <c r="A193" s="207" t="str">
        <f t="shared" si="37"/>
        <v/>
      </c>
      <c r="B193" s="208" t="str">
        <f>IF(ISBLANK(D193),"",VLOOKUP(WEEKDAY($C193,1),INDEX!$J$2:$K$8,2,0))</f>
        <v/>
      </c>
      <c r="C193" s="209"/>
      <c r="D193" s="207"/>
      <c r="E193" s="207"/>
      <c r="F193" s="207"/>
      <c r="G193" s="207"/>
      <c r="H193" s="207"/>
      <c r="I193" s="207"/>
      <c r="J193" s="207"/>
      <c r="K193" s="207"/>
      <c r="L193" s="207"/>
      <c r="M193" s="207"/>
      <c r="N193" s="207"/>
      <c r="O193" s="207"/>
      <c r="P193" s="207"/>
      <c r="Q193" s="207"/>
      <c r="R193" s="207"/>
      <c r="S193" s="207"/>
      <c r="T193" s="207"/>
      <c r="U193" s="209"/>
      <c r="V193" s="207"/>
      <c r="W193" s="207"/>
      <c r="X193" s="209">
        <f t="shared" si="31"/>
        <v>0</v>
      </c>
      <c r="Y193" s="209">
        <f t="shared" si="32"/>
        <v>0</v>
      </c>
      <c r="Z193" s="207">
        <v>1</v>
      </c>
      <c r="AA193" s="209" t="str">
        <f t="shared" si="30"/>
        <v/>
      </c>
      <c r="AB193" s="209"/>
      <c r="AC193" s="207">
        <v>0</v>
      </c>
      <c r="AD193" s="207"/>
      <c r="AE193" s="207"/>
      <c r="AF193" s="208" t="str">
        <f>IF(ISBLANK(D193),"",VLOOKUP(F193,'SIZE CALCULATION'!$F:$G,2,0))</f>
        <v/>
      </c>
      <c r="AG193" s="207" t="str">
        <f t="shared" si="36"/>
        <v/>
      </c>
      <c r="AH193" s="207" t="str">
        <f t="shared" si="33"/>
        <v/>
      </c>
      <c r="AI193" s="210" t="str">
        <f>IF(ISBLANK(D193),"",VLOOKUP($A193,INDEX!$D$2:$F$13,3,0))</f>
        <v/>
      </c>
      <c r="AJ193" s="207" t="str">
        <f t="shared" si="34"/>
        <v/>
      </c>
      <c r="AK193" s="207"/>
      <c r="AL193" s="207"/>
      <c r="AM193" s="207" t="str">
        <f>IFERROR(IF(ISBLANK($D193),"",VLOOKUP($N193,'TABLE CHARGE RATE'!$A$30:$K$106,5,0)),"Check")</f>
        <v/>
      </c>
      <c r="AN193" s="207" t="str">
        <f>IFERROR(IF(ISBLANK($D193),"",VLOOKUP($N193,'TABLE CHARGE RATE'!$A$30:$K$106,6,0)),"Check")</f>
        <v/>
      </c>
      <c r="AO193" s="207" t="str">
        <f>IFERROR(IF(ISBLANK($D193),"",VLOOKUP($N193,'TABLE CHARGE RATE'!$A$30:$K$106,7,0)),"Check")</f>
        <v/>
      </c>
      <c r="AP193" s="207" t="str">
        <f>IFERROR(IF(ISBLANK($D193),"",VLOOKUP($N193,'TABLE CHARGE RATE'!$A$30:$K$106,8,0)),"Check")</f>
        <v/>
      </c>
      <c r="AQ193" s="207" t="str">
        <f>IFERROR(IF(ISBLANK($D193),"",VLOOKUP($N193,'TABLE CHARGE RATE'!$A$30:$K$106,9,0)),"Check")</f>
        <v/>
      </c>
      <c r="AR193" s="207" t="str">
        <f>IFERROR(IF(ISBLANK($D193),"",VLOOKUP($N193,'TABLE CHARGE RATE'!$A$30:$K$106,10,0)),"Check")</f>
        <v/>
      </c>
      <c r="AS193" s="207" t="str">
        <f>IFERROR(IF(ISBLANK($D193),"",VLOOKUP($N193,'TABLE CHARGE RATE'!$A$30:$K$106,11,0)),"Check")</f>
        <v/>
      </c>
      <c r="AT193" s="207">
        <f t="shared" si="35"/>
        <v>192</v>
      </c>
    </row>
    <row r="194" spans="1:46" x14ac:dyDescent="0.2">
      <c r="A194" s="207" t="str">
        <f t="shared" si="37"/>
        <v/>
      </c>
      <c r="B194" s="208" t="str">
        <f>IF(ISBLANK(D194),"",VLOOKUP(WEEKDAY($C194,1),INDEX!$J$2:$K$8,2,0))</f>
        <v/>
      </c>
      <c r="C194" s="209"/>
      <c r="D194" s="207"/>
      <c r="E194" s="207"/>
      <c r="F194" s="207"/>
      <c r="G194" s="207"/>
      <c r="H194" s="207"/>
      <c r="I194" s="207"/>
      <c r="J194" s="207"/>
      <c r="K194" s="207"/>
      <c r="L194" s="207"/>
      <c r="M194" s="207"/>
      <c r="N194" s="207"/>
      <c r="O194" s="207"/>
      <c r="P194" s="207"/>
      <c r="Q194" s="207"/>
      <c r="R194" s="207"/>
      <c r="S194" s="207"/>
      <c r="T194" s="207"/>
      <c r="U194" s="209"/>
      <c r="V194" s="207"/>
      <c r="W194" s="207"/>
      <c r="X194" s="209">
        <f t="shared" si="31"/>
        <v>0</v>
      </c>
      <c r="Y194" s="209">
        <f t="shared" si="32"/>
        <v>0</v>
      </c>
      <c r="Z194" s="207">
        <v>1</v>
      </c>
      <c r="AA194" s="209" t="str">
        <f t="shared" ref="AA194:AA257" si="38">IF(ISBLANK(D194),"",Y194+10)</f>
        <v/>
      </c>
      <c r="AB194" s="209"/>
      <c r="AC194" s="207">
        <v>0</v>
      </c>
      <c r="AD194" s="207"/>
      <c r="AE194" s="207"/>
      <c r="AF194" s="208" t="str">
        <f>IF(ISBLANK(D194),"",VLOOKUP(F194,'SIZE CALCULATION'!$F:$G,2,0))</f>
        <v/>
      </c>
      <c r="AG194" s="207" t="str">
        <f t="shared" si="36"/>
        <v/>
      </c>
      <c r="AH194" s="207" t="str">
        <f t="shared" si="33"/>
        <v/>
      </c>
      <c r="AI194" s="210" t="str">
        <f>IF(ISBLANK(D194),"",VLOOKUP($A194,INDEX!$D$2:$F$13,3,0))</f>
        <v/>
      </c>
      <c r="AJ194" s="207" t="str">
        <f t="shared" si="34"/>
        <v/>
      </c>
      <c r="AK194" s="207"/>
      <c r="AL194" s="207"/>
      <c r="AM194" s="207" t="str">
        <f>IFERROR(IF(ISBLANK($D194),"",VLOOKUP($N194,'TABLE CHARGE RATE'!$A$30:$K$106,5,0)),"Check")</f>
        <v/>
      </c>
      <c r="AN194" s="207" t="str">
        <f>IFERROR(IF(ISBLANK($D194),"",VLOOKUP($N194,'TABLE CHARGE RATE'!$A$30:$K$106,6,0)),"Check")</f>
        <v/>
      </c>
      <c r="AO194" s="207" t="str">
        <f>IFERROR(IF(ISBLANK($D194),"",VLOOKUP($N194,'TABLE CHARGE RATE'!$A$30:$K$106,7,0)),"Check")</f>
        <v/>
      </c>
      <c r="AP194" s="207" t="str">
        <f>IFERROR(IF(ISBLANK($D194),"",VLOOKUP($N194,'TABLE CHARGE RATE'!$A$30:$K$106,8,0)),"Check")</f>
        <v/>
      </c>
      <c r="AQ194" s="207" t="str">
        <f>IFERROR(IF(ISBLANK($D194),"",VLOOKUP($N194,'TABLE CHARGE RATE'!$A$30:$K$106,9,0)),"Check")</f>
        <v/>
      </c>
      <c r="AR194" s="207" t="str">
        <f>IFERROR(IF(ISBLANK($D194),"",VLOOKUP($N194,'TABLE CHARGE RATE'!$A$30:$K$106,10,0)),"Check")</f>
        <v/>
      </c>
      <c r="AS194" s="207" t="str">
        <f>IFERROR(IF(ISBLANK($D194),"",VLOOKUP($N194,'TABLE CHARGE RATE'!$A$30:$K$106,11,0)),"Check")</f>
        <v/>
      </c>
      <c r="AT194" s="207">
        <f t="shared" si="35"/>
        <v>193</v>
      </c>
    </row>
    <row r="195" spans="1:46" x14ac:dyDescent="0.2">
      <c r="A195" s="207" t="str">
        <f t="shared" si="37"/>
        <v/>
      </c>
      <c r="B195" s="208" t="str">
        <f>IF(ISBLANK(D195),"",VLOOKUP(WEEKDAY($C195,1),INDEX!$J$2:$K$8,2,0))</f>
        <v/>
      </c>
      <c r="C195" s="209"/>
      <c r="D195" s="207"/>
      <c r="E195" s="207"/>
      <c r="F195" s="207"/>
      <c r="G195" s="207"/>
      <c r="H195" s="207"/>
      <c r="I195" s="207"/>
      <c r="J195" s="207"/>
      <c r="K195" s="207"/>
      <c r="L195" s="207"/>
      <c r="M195" s="207"/>
      <c r="N195" s="207"/>
      <c r="O195" s="207"/>
      <c r="P195" s="207"/>
      <c r="Q195" s="207"/>
      <c r="R195" s="207"/>
      <c r="S195" s="207"/>
      <c r="T195" s="207"/>
      <c r="U195" s="209"/>
      <c r="V195" s="207"/>
      <c r="W195" s="207"/>
      <c r="X195" s="209">
        <f t="shared" ref="X195:X258" si="39">U195</f>
        <v>0</v>
      </c>
      <c r="Y195" s="209">
        <f t="shared" ref="Y195:Y258" si="40">U195</f>
        <v>0</v>
      </c>
      <c r="Z195" s="207">
        <v>1</v>
      </c>
      <c r="AA195" s="209" t="str">
        <f t="shared" si="38"/>
        <v/>
      </c>
      <c r="AB195" s="209"/>
      <c r="AC195" s="207">
        <v>0</v>
      </c>
      <c r="AD195" s="207"/>
      <c r="AE195" s="207"/>
      <c r="AF195" s="208" t="str">
        <f>IF(ISBLANK(D195),"",VLOOKUP(F195,'SIZE CALCULATION'!$F:$G,2,0))</f>
        <v/>
      </c>
      <c r="AG195" s="207" t="str">
        <f t="shared" si="36"/>
        <v/>
      </c>
      <c r="AH195" s="207" t="str">
        <f t="shared" si="33"/>
        <v/>
      </c>
      <c r="AI195" s="210" t="str">
        <f>IF(ISBLANK(D195),"",VLOOKUP($A195,INDEX!$D$2:$F$13,3,0))</f>
        <v/>
      </c>
      <c r="AJ195" s="207" t="str">
        <f t="shared" si="34"/>
        <v/>
      </c>
      <c r="AK195" s="207"/>
      <c r="AL195" s="207"/>
      <c r="AM195" s="207" t="str">
        <f>IFERROR(IF(ISBLANK($D195),"",VLOOKUP($N195,'TABLE CHARGE RATE'!$A$30:$K$106,5,0)),"Check")</f>
        <v/>
      </c>
      <c r="AN195" s="207" t="str">
        <f>IFERROR(IF(ISBLANK($D195),"",VLOOKUP($N195,'TABLE CHARGE RATE'!$A$30:$K$106,6,0)),"Check")</f>
        <v/>
      </c>
      <c r="AO195" s="207" t="str">
        <f>IFERROR(IF(ISBLANK($D195),"",VLOOKUP($N195,'TABLE CHARGE RATE'!$A$30:$K$106,7,0)),"Check")</f>
        <v/>
      </c>
      <c r="AP195" s="207" t="str">
        <f>IFERROR(IF(ISBLANK($D195),"",VLOOKUP($N195,'TABLE CHARGE RATE'!$A$30:$K$106,8,0)),"Check")</f>
        <v/>
      </c>
      <c r="AQ195" s="207" t="str">
        <f>IFERROR(IF(ISBLANK($D195),"",VLOOKUP($N195,'TABLE CHARGE RATE'!$A$30:$K$106,9,0)),"Check")</f>
        <v/>
      </c>
      <c r="AR195" s="207" t="str">
        <f>IFERROR(IF(ISBLANK($D195),"",VLOOKUP($N195,'TABLE CHARGE RATE'!$A$30:$K$106,10,0)),"Check")</f>
        <v/>
      </c>
      <c r="AS195" s="207" t="str">
        <f>IFERROR(IF(ISBLANK($D195),"",VLOOKUP($N195,'TABLE CHARGE RATE'!$A$30:$K$106,11,0)),"Check")</f>
        <v/>
      </c>
      <c r="AT195" s="207">
        <f t="shared" si="35"/>
        <v>194</v>
      </c>
    </row>
    <row r="196" spans="1:46" x14ac:dyDescent="0.2">
      <c r="A196" s="207" t="str">
        <f t="shared" si="37"/>
        <v/>
      </c>
      <c r="B196" s="208" t="str">
        <f>IF(ISBLANK(D196),"",VLOOKUP(WEEKDAY($C196,1),INDEX!$J$2:$K$8,2,0))</f>
        <v/>
      </c>
      <c r="C196" s="209"/>
      <c r="D196" s="207"/>
      <c r="E196" s="207"/>
      <c r="F196" s="207"/>
      <c r="G196" s="207"/>
      <c r="H196" s="207"/>
      <c r="I196" s="207"/>
      <c r="J196" s="207"/>
      <c r="K196" s="207"/>
      <c r="L196" s="207"/>
      <c r="M196" s="207"/>
      <c r="N196" s="207"/>
      <c r="O196" s="207"/>
      <c r="P196" s="207"/>
      <c r="Q196" s="207"/>
      <c r="R196" s="207"/>
      <c r="S196" s="207"/>
      <c r="T196" s="207"/>
      <c r="U196" s="209"/>
      <c r="V196" s="207"/>
      <c r="W196" s="207"/>
      <c r="X196" s="209">
        <f t="shared" si="39"/>
        <v>0</v>
      </c>
      <c r="Y196" s="209">
        <f t="shared" si="40"/>
        <v>0</v>
      </c>
      <c r="Z196" s="207">
        <v>1</v>
      </c>
      <c r="AA196" s="209" t="str">
        <f t="shared" si="38"/>
        <v/>
      </c>
      <c r="AB196" s="209"/>
      <c r="AC196" s="207">
        <v>0</v>
      </c>
      <c r="AD196" s="207"/>
      <c r="AE196" s="207"/>
      <c r="AF196" s="208" t="str">
        <f>IF(ISBLANK(D196),"",VLOOKUP(F196,'SIZE CALCULATION'!$F:$G,2,0))</f>
        <v/>
      </c>
      <c r="AG196" s="207" t="str">
        <f t="shared" si="36"/>
        <v/>
      </c>
      <c r="AH196" s="207" t="str">
        <f t="shared" si="33"/>
        <v/>
      </c>
      <c r="AI196" s="210" t="str">
        <f>IF(ISBLANK(D196),"",VLOOKUP($A196,INDEX!$D$2:$F$13,3,0))</f>
        <v/>
      </c>
      <c r="AJ196" s="207" t="str">
        <f t="shared" si="34"/>
        <v/>
      </c>
      <c r="AK196" s="207"/>
      <c r="AL196" s="207"/>
      <c r="AM196" s="207" t="str">
        <f>IFERROR(IF(ISBLANK($D196),"",VLOOKUP($N196,'TABLE CHARGE RATE'!$A$30:$K$106,5,0)),"Check")</f>
        <v/>
      </c>
      <c r="AN196" s="207" t="str">
        <f>IFERROR(IF(ISBLANK($D196),"",VLOOKUP($N196,'TABLE CHARGE RATE'!$A$30:$K$106,6,0)),"Check")</f>
        <v/>
      </c>
      <c r="AO196" s="207" t="str">
        <f>IFERROR(IF(ISBLANK($D196),"",VLOOKUP($N196,'TABLE CHARGE RATE'!$A$30:$K$106,7,0)),"Check")</f>
        <v/>
      </c>
      <c r="AP196" s="207" t="str">
        <f>IFERROR(IF(ISBLANK($D196),"",VLOOKUP($N196,'TABLE CHARGE RATE'!$A$30:$K$106,8,0)),"Check")</f>
        <v/>
      </c>
      <c r="AQ196" s="207" t="str">
        <f>IFERROR(IF(ISBLANK($D196),"",VLOOKUP($N196,'TABLE CHARGE RATE'!$A$30:$K$106,9,0)),"Check")</f>
        <v/>
      </c>
      <c r="AR196" s="207" t="str">
        <f>IFERROR(IF(ISBLANK($D196),"",VLOOKUP($N196,'TABLE CHARGE RATE'!$A$30:$K$106,10,0)),"Check")</f>
        <v/>
      </c>
      <c r="AS196" s="207" t="str">
        <f>IFERROR(IF(ISBLANK($D196),"",VLOOKUP($N196,'TABLE CHARGE RATE'!$A$30:$K$106,11,0)),"Check")</f>
        <v/>
      </c>
      <c r="AT196" s="207">
        <f t="shared" si="35"/>
        <v>195</v>
      </c>
    </row>
    <row r="197" spans="1:46" x14ac:dyDescent="0.2">
      <c r="A197" s="207" t="str">
        <f t="shared" si="37"/>
        <v/>
      </c>
      <c r="B197" s="208" t="str">
        <f>IF(ISBLANK(D197),"",VLOOKUP(WEEKDAY($C197,1),INDEX!$J$2:$K$8,2,0))</f>
        <v/>
      </c>
      <c r="C197" s="209"/>
      <c r="D197" s="207"/>
      <c r="E197" s="207"/>
      <c r="F197" s="207"/>
      <c r="G197" s="207"/>
      <c r="H197" s="207"/>
      <c r="I197" s="207"/>
      <c r="J197" s="207"/>
      <c r="K197" s="207"/>
      <c r="L197" s="207"/>
      <c r="M197" s="207"/>
      <c r="N197" s="207"/>
      <c r="O197" s="207"/>
      <c r="P197" s="207"/>
      <c r="Q197" s="207"/>
      <c r="R197" s="207"/>
      <c r="S197" s="207"/>
      <c r="T197" s="207"/>
      <c r="U197" s="209"/>
      <c r="V197" s="207"/>
      <c r="W197" s="207"/>
      <c r="X197" s="209">
        <f t="shared" si="39"/>
        <v>0</v>
      </c>
      <c r="Y197" s="209">
        <f t="shared" si="40"/>
        <v>0</v>
      </c>
      <c r="Z197" s="207">
        <v>1</v>
      </c>
      <c r="AA197" s="209" t="str">
        <f t="shared" si="38"/>
        <v/>
      </c>
      <c r="AB197" s="209"/>
      <c r="AC197" s="207">
        <v>0</v>
      </c>
      <c r="AD197" s="207"/>
      <c r="AE197" s="207"/>
      <c r="AF197" s="208" t="str">
        <f>IF(ISBLANK(D197),"",VLOOKUP(F197,'SIZE CALCULATION'!$F:$G,2,0))</f>
        <v/>
      </c>
      <c r="AG197" s="207" t="str">
        <f t="shared" si="36"/>
        <v/>
      </c>
      <c r="AH197" s="207" t="str">
        <f t="shared" ref="AH197:AH260" si="41">IF(ISBLANK(D197),"",IFERROR(AG197*G197,0))</f>
        <v/>
      </c>
      <c r="AI197" s="210" t="str">
        <f>IF(ISBLANK(D197),"",VLOOKUP($A197,INDEX!$D$2:$F$13,3,0))</f>
        <v/>
      </c>
      <c r="AJ197" s="207" t="str">
        <f t="shared" ref="AJ197:AJ260" si="42">IF(ISBLANK(D197),"",AH197+(AH197*AI197))</f>
        <v/>
      </c>
      <c r="AK197" s="207"/>
      <c r="AL197" s="207"/>
      <c r="AM197" s="207" t="str">
        <f>IFERROR(IF(ISBLANK($D197),"",VLOOKUP($N197,'TABLE CHARGE RATE'!$A$30:$K$106,5,0)),"Check")</f>
        <v/>
      </c>
      <c r="AN197" s="207" t="str">
        <f>IFERROR(IF(ISBLANK($D197),"",VLOOKUP($N197,'TABLE CHARGE RATE'!$A$30:$K$106,6,0)),"Check")</f>
        <v/>
      </c>
      <c r="AO197" s="207" t="str">
        <f>IFERROR(IF(ISBLANK($D197),"",VLOOKUP($N197,'TABLE CHARGE RATE'!$A$30:$K$106,7,0)),"Check")</f>
        <v/>
      </c>
      <c r="AP197" s="207" t="str">
        <f>IFERROR(IF(ISBLANK($D197),"",VLOOKUP($N197,'TABLE CHARGE RATE'!$A$30:$K$106,8,0)),"Check")</f>
        <v/>
      </c>
      <c r="AQ197" s="207" t="str">
        <f>IFERROR(IF(ISBLANK($D197),"",VLOOKUP($N197,'TABLE CHARGE RATE'!$A$30:$K$106,9,0)),"Check")</f>
        <v/>
      </c>
      <c r="AR197" s="207" t="str">
        <f>IFERROR(IF(ISBLANK($D197),"",VLOOKUP($N197,'TABLE CHARGE RATE'!$A$30:$K$106,10,0)),"Check")</f>
        <v/>
      </c>
      <c r="AS197" s="207" t="str">
        <f>IFERROR(IF(ISBLANK($D197),"",VLOOKUP($N197,'TABLE CHARGE RATE'!$A$30:$K$106,11,0)),"Check")</f>
        <v/>
      </c>
      <c r="AT197" s="207">
        <f t="shared" ref="AT197:AT260" si="43">AT196+1</f>
        <v>196</v>
      </c>
    </row>
    <row r="198" spans="1:46" x14ac:dyDescent="0.2">
      <c r="A198" s="207" t="str">
        <f t="shared" si="37"/>
        <v/>
      </c>
      <c r="B198" s="208" t="str">
        <f>IF(ISBLANK(D198),"",VLOOKUP(WEEKDAY($C198,1),INDEX!$J$2:$K$8,2,0))</f>
        <v/>
      </c>
      <c r="C198" s="209"/>
      <c r="D198" s="207"/>
      <c r="E198" s="207"/>
      <c r="F198" s="207"/>
      <c r="G198" s="207"/>
      <c r="H198" s="207"/>
      <c r="I198" s="207"/>
      <c r="J198" s="207"/>
      <c r="K198" s="207"/>
      <c r="L198" s="207"/>
      <c r="M198" s="207"/>
      <c r="N198" s="207"/>
      <c r="O198" s="207"/>
      <c r="P198" s="207"/>
      <c r="Q198" s="207"/>
      <c r="R198" s="207"/>
      <c r="S198" s="207"/>
      <c r="T198" s="207"/>
      <c r="U198" s="209"/>
      <c r="V198" s="207"/>
      <c r="W198" s="207"/>
      <c r="X198" s="209">
        <f t="shared" si="39"/>
        <v>0</v>
      </c>
      <c r="Y198" s="209">
        <f t="shared" si="40"/>
        <v>0</v>
      </c>
      <c r="Z198" s="207">
        <v>1</v>
      </c>
      <c r="AA198" s="209" t="str">
        <f t="shared" si="38"/>
        <v/>
      </c>
      <c r="AB198" s="209"/>
      <c r="AC198" s="207">
        <v>0</v>
      </c>
      <c r="AD198" s="207"/>
      <c r="AE198" s="207"/>
      <c r="AF198" s="208" t="str">
        <f>IF(ISBLANK(D198),"",VLOOKUP(F198,'SIZE CALCULATION'!$F:$G,2,0))</f>
        <v/>
      </c>
      <c r="AG198" s="207" t="str">
        <f t="shared" si="36"/>
        <v/>
      </c>
      <c r="AH198" s="207" t="str">
        <f t="shared" si="41"/>
        <v/>
      </c>
      <c r="AI198" s="210" t="str">
        <f>IF(ISBLANK(D198),"",VLOOKUP($A198,INDEX!$D$2:$F$13,3,0))</f>
        <v/>
      </c>
      <c r="AJ198" s="207" t="str">
        <f t="shared" si="42"/>
        <v/>
      </c>
      <c r="AK198" s="207"/>
      <c r="AL198" s="207"/>
      <c r="AM198" s="207" t="str">
        <f>IFERROR(IF(ISBLANK($D198),"",VLOOKUP($N198,'TABLE CHARGE RATE'!$A$30:$K$106,5,0)),"Check")</f>
        <v/>
      </c>
      <c r="AN198" s="207" t="str">
        <f>IFERROR(IF(ISBLANK($D198),"",VLOOKUP($N198,'TABLE CHARGE RATE'!$A$30:$K$106,6,0)),"Check")</f>
        <v/>
      </c>
      <c r="AO198" s="207" t="str">
        <f>IFERROR(IF(ISBLANK($D198),"",VLOOKUP($N198,'TABLE CHARGE RATE'!$A$30:$K$106,7,0)),"Check")</f>
        <v/>
      </c>
      <c r="AP198" s="207" t="str">
        <f>IFERROR(IF(ISBLANK($D198),"",VLOOKUP($N198,'TABLE CHARGE RATE'!$A$30:$K$106,8,0)),"Check")</f>
        <v/>
      </c>
      <c r="AQ198" s="207" t="str">
        <f>IFERROR(IF(ISBLANK($D198),"",VLOOKUP($N198,'TABLE CHARGE RATE'!$A$30:$K$106,9,0)),"Check")</f>
        <v/>
      </c>
      <c r="AR198" s="207" t="str">
        <f>IFERROR(IF(ISBLANK($D198),"",VLOOKUP($N198,'TABLE CHARGE RATE'!$A$30:$K$106,10,0)),"Check")</f>
        <v/>
      </c>
      <c r="AS198" s="207" t="str">
        <f>IFERROR(IF(ISBLANK($D198),"",VLOOKUP($N198,'TABLE CHARGE RATE'!$A$30:$K$106,11,0)),"Check")</f>
        <v/>
      </c>
      <c r="AT198" s="207">
        <f t="shared" si="43"/>
        <v>197</v>
      </c>
    </row>
    <row r="199" spans="1:46" x14ac:dyDescent="0.2">
      <c r="A199" s="207" t="str">
        <f t="shared" si="37"/>
        <v/>
      </c>
      <c r="B199" s="208" t="str">
        <f>IF(ISBLANK(D199),"",VLOOKUP(WEEKDAY($C199,1),INDEX!$J$2:$K$8,2,0))</f>
        <v/>
      </c>
      <c r="C199" s="209"/>
      <c r="D199" s="207"/>
      <c r="E199" s="207"/>
      <c r="F199" s="207"/>
      <c r="G199" s="207"/>
      <c r="H199" s="207"/>
      <c r="I199" s="207"/>
      <c r="J199" s="207"/>
      <c r="K199" s="207"/>
      <c r="L199" s="207"/>
      <c r="M199" s="207"/>
      <c r="N199" s="207"/>
      <c r="O199" s="207"/>
      <c r="P199" s="207"/>
      <c r="Q199" s="207"/>
      <c r="R199" s="207"/>
      <c r="S199" s="207"/>
      <c r="T199" s="207"/>
      <c r="U199" s="209"/>
      <c r="V199" s="207"/>
      <c r="W199" s="207"/>
      <c r="X199" s="209">
        <f t="shared" si="39"/>
        <v>0</v>
      </c>
      <c r="Y199" s="209">
        <f t="shared" si="40"/>
        <v>0</v>
      </c>
      <c r="Z199" s="207">
        <v>1</v>
      </c>
      <c r="AA199" s="209" t="str">
        <f t="shared" si="38"/>
        <v/>
      </c>
      <c r="AB199" s="209"/>
      <c r="AC199" s="207">
        <v>0</v>
      </c>
      <c r="AD199" s="207"/>
      <c r="AE199" s="207"/>
      <c r="AF199" s="208" t="str">
        <f>IF(ISBLANK(D199),"",VLOOKUP(F199,'SIZE CALCULATION'!$F:$G,2,0))</f>
        <v/>
      </c>
      <c r="AG199" s="207" t="str">
        <f t="shared" si="36"/>
        <v/>
      </c>
      <c r="AH199" s="207" t="str">
        <f t="shared" si="41"/>
        <v/>
      </c>
      <c r="AI199" s="210" t="str">
        <f>IF(ISBLANK(D199),"",VLOOKUP($A199,INDEX!$D$2:$F$13,3,0))</f>
        <v/>
      </c>
      <c r="AJ199" s="207" t="str">
        <f t="shared" si="42"/>
        <v/>
      </c>
      <c r="AK199" s="207"/>
      <c r="AL199" s="207"/>
      <c r="AM199" s="207" t="str">
        <f>IFERROR(IF(ISBLANK($D199),"",VLOOKUP($N199,'TABLE CHARGE RATE'!$A$30:$K$106,5,0)),"Check")</f>
        <v/>
      </c>
      <c r="AN199" s="207" t="str">
        <f>IFERROR(IF(ISBLANK($D199),"",VLOOKUP($N199,'TABLE CHARGE RATE'!$A$30:$K$106,6,0)),"Check")</f>
        <v/>
      </c>
      <c r="AO199" s="207" t="str">
        <f>IFERROR(IF(ISBLANK($D199),"",VLOOKUP($N199,'TABLE CHARGE RATE'!$A$30:$K$106,7,0)),"Check")</f>
        <v/>
      </c>
      <c r="AP199" s="207" t="str">
        <f>IFERROR(IF(ISBLANK($D199),"",VLOOKUP($N199,'TABLE CHARGE RATE'!$A$30:$K$106,8,0)),"Check")</f>
        <v/>
      </c>
      <c r="AQ199" s="207" t="str">
        <f>IFERROR(IF(ISBLANK($D199),"",VLOOKUP($N199,'TABLE CHARGE RATE'!$A$30:$K$106,9,0)),"Check")</f>
        <v/>
      </c>
      <c r="AR199" s="207" t="str">
        <f>IFERROR(IF(ISBLANK($D199),"",VLOOKUP($N199,'TABLE CHARGE RATE'!$A$30:$K$106,10,0)),"Check")</f>
        <v/>
      </c>
      <c r="AS199" s="207" t="str">
        <f>IFERROR(IF(ISBLANK($D199),"",VLOOKUP($N199,'TABLE CHARGE RATE'!$A$30:$K$106,11,0)),"Check")</f>
        <v/>
      </c>
      <c r="AT199" s="207">
        <f t="shared" si="43"/>
        <v>198</v>
      </c>
    </row>
    <row r="200" spans="1:46" x14ac:dyDescent="0.2">
      <c r="A200" s="207" t="str">
        <f t="shared" si="37"/>
        <v/>
      </c>
      <c r="B200" s="208" t="str">
        <f>IF(ISBLANK(D200),"",VLOOKUP(WEEKDAY($C200,1),INDEX!$J$2:$K$8,2,0))</f>
        <v/>
      </c>
      <c r="C200" s="209"/>
      <c r="D200" s="207"/>
      <c r="E200" s="207"/>
      <c r="F200" s="207"/>
      <c r="G200" s="207"/>
      <c r="H200" s="207"/>
      <c r="I200" s="207"/>
      <c r="J200" s="207"/>
      <c r="K200" s="207"/>
      <c r="L200" s="207"/>
      <c r="M200" s="207"/>
      <c r="N200" s="207"/>
      <c r="O200" s="207"/>
      <c r="P200" s="207"/>
      <c r="Q200" s="207"/>
      <c r="R200" s="207"/>
      <c r="S200" s="207"/>
      <c r="T200" s="207"/>
      <c r="U200" s="209"/>
      <c r="V200" s="207"/>
      <c r="W200" s="207"/>
      <c r="X200" s="209">
        <f t="shared" si="39"/>
        <v>0</v>
      </c>
      <c r="Y200" s="209">
        <f t="shared" si="40"/>
        <v>0</v>
      </c>
      <c r="Z200" s="207">
        <v>1</v>
      </c>
      <c r="AA200" s="209" t="str">
        <f t="shared" si="38"/>
        <v/>
      </c>
      <c r="AB200" s="209"/>
      <c r="AC200" s="207">
        <v>0</v>
      </c>
      <c r="AD200" s="207"/>
      <c r="AE200" s="207"/>
      <c r="AF200" s="208" t="str">
        <f>IF(ISBLANK(D200),"",VLOOKUP(F200,'SIZE CALCULATION'!$F:$G,2,0))</f>
        <v/>
      </c>
      <c r="AG200" s="207" t="str">
        <f t="shared" si="36"/>
        <v/>
      </c>
      <c r="AH200" s="207" t="str">
        <f t="shared" si="41"/>
        <v/>
      </c>
      <c r="AI200" s="210" t="str">
        <f>IF(ISBLANK(D200),"",VLOOKUP($A200,INDEX!$D$2:$F$13,3,0))</f>
        <v/>
      </c>
      <c r="AJ200" s="207" t="str">
        <f t="shared" si="42"/>
        <v/>
      </c>
      <c r="AK200" s="207"/>
      <c r="AL200" s="207"/>
      <c r="AM200" s="207" t="str">
        <f>IFERROR(IF(ISBLANK($D200),"",VLOOKUP($N200,'TABLE CHARGE RATE'!$A$30:$K$106,5,0)),"Check")</f>
        <v/>
      </c>
      <c r="AN200" s="207" t="str">
        <f>IFERROR(IF(ISBLANK($D200),"",VLOOKUP($N200,'TABLE CHARGE RATE'!$A$30:$K$106,6,0)),"Check")</f>
        <v/>
      </c>
      <c r="AO200" s="207" t="str">
        <f>IFERROR(IF(ISBLANK($D200),"",VLOOKUP($N200,'TABLE CHARGE RATE'!$A$30:$K$106,7,0)),"Check")</f>
        <v/>
      </c>
      <c r="AP200" s="207" t="str">
        <f>IFERROR(IF(ISBLANK($D200),"",VLOOKUP($N200,'TABLE CHARGE RATE'!$A$30:$K$106,8,0)),"Check")</f>
        <v/>
      </c>
      <c r="AQ200" s="207" t="str">
        <f>IFERROR(IF(ISBLANK($D200),"",VLOOKUP($N200,'TABLE CHARGE RATE'!$A$30:$K$106,9,0)),"Check")</f>
        <v/>
      </c>
      <c r="AR200" s="207" t="str">
        <f>IFERROR(IF(ISBLANK($D200),"",VLOOKUP($N200,'TABLE CHARGE RATE'!$A$30:$K$106,10,0)),"Check")</f>
        <v/>
      </c>
      <c r="AS200" s="207" t="str">
        <f>IFERROR(IF(ISBLANK($D200),"",VLOOKUP($N200,'TABLE CHARGE RATE'!$A$30:$K$106,11,0)),"Check")</f>
        <v/>
      </c>
      <c r="AT200" s="207">
        <f t="shared" si="43"/>
        <v>199</v>
      </c>
    </row>
    <row r="201" spans="1:46" x14ac:dyDescent="0.2">
      <c r="A201" s="207" t="str">
        <f t="shared" si="37"/>
        <v/>
      </c>
      <c r="B201" s="208" t="str">
        <f>IF(ISBLANK(D201),"",VLOOKUP(WEEKDAY($C201,1),INDEX!$J$2:$K$8,2,0))</f>
        <v/>
      </c>
      <c r="C201" s="209"/>
      <c r="D201" s="207"/>
      <c r="E201" s="207"/>
      <c r="F201" s="207"/>
      <c r="G201" s="207"/>
      <c r="H201" s="207"/>
      <c r="I201" s="207"/>
      <c r="J201" s="207"/>
      <c r="K201" s="207"/>
      <c r="L201" s="207"/>
      <c r="M201" s="207"/>
      <c r="N201" s="207"/>
      <c r="O201" s="207"/>
      <c r="P201" s="207"/>
      <c r="Q201" s="207"/>
      <c r="R201" s="207"/>
      <c r="S201" s="207"/>
      <c r="T201" s="207"/>
      <c r="U201" s="209"/>
      <c r="V201" s="207"/>
      <c r="W201" s="207"/>
      <c r="X201" s="209">
        <f t="shared" si="39"/>
        <v>0</v>
      </c>
      <c r="Y201" s="209">
        <f t="shared" si="40"/>
        <v>0</v>
      </c>
      <c r="Z201" s="207">
        <v>1</v>
      </c>
      <c r="AA201" s="209" t="str">
        <f t="shared" si="38"/>
        <v/>
      </c>
      <c r="AB201" s="209"/>
      <c r="AC201" s="207">
        <v>0</v>
      </c>
      <c r="AD201" s="207"/>
      <c r="AE201" s="207"/>
      <c r="AF201" s="208" t="str">
        <f>IF(ISBLANK(D201),"",VLOOKUP(F201,'SIZE CALCULATION'!$F:$G,2,0))</f>
        <v/>
      </c>
      <c r="AG201" s="207" t="str">
        <f t="shared" si="36"/>
        <v/>
      </c>
      <c r="AH201" s="207" t="str">
        <f t="shared" si="41"/>
        <v/>
      </c>
      <c r="AI201" s="210" t="str">
        <f>IF(ISBLANK(D201),"",VLOOKUP($A201,INDEX!$D$2:$F$13,3,0))</f>
        <v/>
      </c>
      <c r="AJ201" s="207" t="str">
        <f t="shared" si="42"/>
        <v/>
      </c>
      <c r="AK201" s="207"/>
      <c r="AL201" s="207"/>
      <c r="AM201" s="207" t="str">
        <f>IFERROR(IF(ISBLANK($D201),"",VLOOKUP($N201,'TABLE CHARGE RATE'!$A$30:$K$106,5,0)),"Check")</f>
        <v/>
      </c>
      <c r="AN201" s="207" t="str">
        <f>IFERROR(IF(ISBLANK($D201),"",VLOOKUP($N201,'TABLE CHARGE RATE'!$A$30:$K$106,6,0)),"Check")</f>
        <v/>
      </c>
      <c r="AO201" s="207" t="str">
        <f>IFERROR(IF(ISBLANK($D201),"",VLOOKUP($N201,'TABLE CHARGE RATE'!$A$30:$K$106,7,0)),"Check")</f>
        <v/>
      </c>
      <c r="AP201" s="207" t="str">
        <f>IFERROR(IF(ISBLANK($D201),"",VLOOKUP($N201,'TABLE CHARGE RATE'!$A$30:$K$106,8,0)),"Check")</f>
        <v/>
      </c>
      <c r="AQ201" s="207" t="str">
        <f>IFERROR(IF(ISBLANK($D201),"",VLOOKUP($N201,'TABLE CHARGE RATE'!$A$30:$K$106,9,0)),"Check")</f>
        <v/>
      </c>
      <c r="AR201" s="207" t="str">
        <f>IFERROR(IF(ISBLANK($D201),"",VLOOKUP($N201,'TABLE CHARGE RATE'!$A$30:$K$106,10,0)),"Check")</f>
        <v/>
      </c>
      <c r="AS201" s="207" t="str">
        <f>IFERROR(IF(ISBLANK($D201),"",VLOOKUP($N201,'TABLE CHARGE RATE'!$A$30:$K$106,11,0)),"Check")</f>
        <v/>
      </c>
      <c r="AT201" s="207">
        <f t="shared" si="43"/>
        <v>200</v>
      </c>
    </row>
    <row r="202" spans="1:46" x14ac:dyDescent="0.2">
      <c r="A202" s="207" t="str">
        <f t="shared" si="37"/>
        <v/>
      </c>
      <c r="B202" s="208" t="str">
        <f>IF(ISBLANK(D202),"",VLOOKUP(WEEKDAY($C202,1),INDEX!$J$2:$K$8,2,0))</f>
        <v/>
      </c>
      <c r="C202" s="209"/>
      <c r="D202" s="207"/>
      <c r="E202" s="207"/>
      <c r="F202" s="207"/>
      <c r="G202" s="207"/>
      <c r="H202" s="207"/>
      <c r="I202" s="207"/>
      <c r="J202" s="207"/>
      <c r="K202" s="207"/>
      <c r="L202" s="207"/>
      <c r="M202" s="207"/>
      <c r="N202" s="207"/>
      <c r="O202" s="207"/>
      <c r="P202" s="207"/>
      <c r="Q202" s="207"/>
      <c r="R202" s="207"/>
      <c r="S202" s="207"/>
      <c r="T202" s="207"/>
      <c r="U202" s="209"/>
      <c r="V202" s="207"/>
      <c r="W202" s="207"/>
      <c r="X202" s="209">
        <f t="shared" si="39"/>
        <v>0</v>
      </c>
      <c r="Y202" s="209">
        <f t="shared" si="40"/>
        <v>0</v>
      </c>
      <c r="Z202" s="207">
        <v>1</v>
      </c>
      <c r="AA202" s="209" t="str">
        <f t="shared" si="38"/>
        <v/>
      </c>
      <c r="AB202" s="209"/>
      <c r="AC202" s="207">
        <v>0</v>
      </c>
      <c r="AD202" s="207"/>
      <c r="AE202" s="207"/>
      <c r="AF202" s="208" t="str">
        <f>IF(ISBLANK(D202),"",VLOOKUP(F202,'SIZE CALCULATION'!$F:$G,2,0))</f>
        <v/>
      </c>
      <c r="AG202" s="207" t="str">
        <f t="shared" si="36"/>
        <v/>
      </c>
      <c r="AH202" s="207" t="str">
        <f t="shared" si="41"/>
        <v/>
      </c>
      <c r="AI202" s="210" t="str">
        <f>IF(ISBLANK(D202),"",VLOOKUP($A202,INDEX!$D$2:$F$13,3,0))</f>
        <v/>
      </c>
      <c r="AJ202" s="207" t="str">
        <f t="shared" si="42"/>
        <v/>
      </c>
      <c r="AK202" s="207"/>
      <c r="AL202" s="207"/>
      <c r="AM202" s="207" t="str">
        <f>IFERROR(IF(ISBLANK($D202),"",VLOOKUP($N202,'TABLE CHARGE RATE'!$A$30:$K$106,5,0)),"Check")</f>
        <v/>
      </c>
      <c r="AN202" s="207" t="str">
        <f>IFERROR(IF(ISBLANK($D202),"",VLOOKUP($N202,'TABLE CHARGE RATE'!$A$30:$K$106,6,0)),"Check")</f>
        <v/>
      </c>
      <c r="AO202" s="207" t="str">
        <f>IFERROR(IF(ISBLANK($D202),"",VLOOKUP($N202,'TABLE CHARGE RATE'!$A$30:$K$106,7,0)),"Check")</f>
        <v/>
      </c>
      <c r="AP202" s="207" t="str">
        <f>IFERROR(IF(ISBLANK($D202),"",VLOOKUP($N202,'TABLE CHARGE RATE'!$A$30:$K$106,8,0)),"Check")</f>
        <v/>
      </c>
      <c r="AQ202" s="207" t="str">
        <f>IFERROR(IF(ISBLANK($D202),"",VLOOKUP($N202,'TABLE CHARGE RATE'!$A$30:$K$106,9,0)),"Check")</f>
        <v/>
      </c>
      <c r="AR202" s="207" t="str">
        <f>IFERROR(IF(ISBLANK($D202),"",VLOOKUP($N202,'TABLE CHARGE RATE'!$A$30:$K$106,10,0)),"Check")</f>
        <v/>
      </c>
      <c r="AS202" s="207" t="str">
        <f>IFERROR(IF(ISBLANK($D202),"",VLOOKUP($N202,'TABLE CHARGE RATE'!$A$30:$K$106,11,0)),"Check")</f>
        <v/>
      </c>
      <c r="AT202" s="207">
        <f t="shared" si="43"/>
        <v>201</v>
      </c>
    </row>
    <row r="203" spans="1:46" x14ac:dyDescent="0.2">
      <c r="A203" s="207" t="str">
        <f t="shared" si="37"/>
        <v/>
      </c>
      <c r="B203" s="208" t="str">
        <f>IF(ISBLANK(D203),"",VLOOKUP(WEEKDAY($C203,1),INDEX!$J$2:$K$8,2,0))</f>
        <v/>
      </c>
      <c r="C203" s="209"/>
      <c r="D203" s="207"/>
      <c r="E203" s="207"/>
      <c r="F203" s="207"/>
      <c r="G203" s="207"/>
      <c r="H203" s="207"/>
      <c r="I203" s="207"/>
      <c r="J203" s="207"/>
      <c r="K203" s="207"/>
      <c r="L203" s="207"/>
      <c r="M203" s="207"/>
      <c r="N203" s="207"/>
      <c r="O203" s="207"/>
      <c r="P203" s="207"/>
      <c r="Q203" s="207"/>
      <c r="R203" s="207"/>
      <c r="S203" s="207"/>
      <c r="T203" s="207"/>
      <c r="U203" s="209"/>
      <c r="V203" s="207"/>
      <c r="W203" s="207"/>
      <c r="X203" s="209">
        <f t="shared" si="39"/>
        <v>0</v>
      </c>
      <c r="Y203" s="209">
        <f t="shared" si="40"/>
        <v>0</v>
      </c>
      <c r="Z203" s="207">
        <v>1</v>
      </c>
      <c r="AA203" s="209" t="str">
        <f t="shared" si="38"/>
        <v/>
      </c>
      <c r="AB203" s="209"/>
      <c r="AC203" s="207">
        <v>0</v>
      </c>
      <c r="AD203" s="207"/>
      <c r="AE203" s="207"/>
      <c r="AF203" s="208" t="str">
        <f>IF(ISBLANK(D203),"",VLOOKUP(F203,'SIZE CALCULATION'!$F:$G,2,0))</f>
        <v/>
      </c>
      <c r="AG203" s="207" t="str">
        <f t="shared" si="36"/>
        <v/>
      </c>
      <c r="AH203" s="207" t="str">
        <f t="shared" si="41"/>
        <v/>
      </c>
      <c r="AI203" s="210" t="str">
        <f>IF(ISBLANK(D203),"",VLOOKUP($A203,INDEX!$D$2:$F$13,3,0))</f>
        <v/>
      </c>
      <c r="AJ203" s="207" t="str">
        <f t="shared" si="42"/>
        <v/>
      </c>
      <c r="AK203" s="207"/>
      <c r="AL203" s="207"/>
      <c r="AM203" s="207" t="str">
        <f>IFERROR(IF(ISBLANK($D203),"",VLOOKUP($N203,'TABLE CHARGE RATE'!$A$30:$K$106,5,0)),"Check")</f>
        <v/>
      </c>
      <c r="AN203" s="207" t="str">
        <f>IFERROR(IF(ISBLANK($D203),"",VLOOKUP($N203,'TABLE CHARGE RATE'!$A$30:$K$106,6,0)),"Check")</f>
        <v/>
      </c>
      <c r="AO203" s="207" t="str">
        <f>IFERROR(IF(ISBLANK($D203),"",VLOOKUP($N203,'TABLE CHARGE RATE'!$A$30:$K$106,7,0)),"Check")</f>
        <v/>
      </c>
      <c r="AP203" s="207" t="str">
        <f>IFERROR(IF(ISBLANK($D203),"",VLOOKUP($N203,'TABLE CHARGE RATE'!$A$30:$K$106,8,0)),"Check")</f>
        <v/>
      </c>
      <c r="AQ203" s="207" t="str">
        <f>IFERROR(IF(ISBLANK($D203),"",VLOOKUP($N203,'TABLE CHARGE RATE'!$A$30:$K$106,9,0)),"Check")</f>
        <v/>
      </c>
      <c r="AR203" s="207" t="str">
        <f>IFERROR(IF(ISBLANK($D203),"",VLOOKUP($N203,'TABLE CHARGE RATE'!$A$30:$K$106,10,0)),"Check")</f>
        <v/>
      </c>
      <c r="AS203" s="207" t="str">
        <f>IFERROR(IF(ISBLANK($D203),"",VLOOKUP($N203,'TABLE CHARGE RATE'!$A$30:$K$106,11,0)),"Check")</f>
        <v/>
      </c>
      <c r="AT203" s="207">
        <f t="shared" si="43"/>
        <v>202</v>
      </c>
    </row>
    <row r="204" spans="1:46" x14ac:dyDescent="0.2">
      <c r="A204" s="207" t="str">
        <f t="shared" si="37"/>
        <v/>
      </c>
      <c r="B204" s="208" t="str">
        <f>IF(ISBLANK(D204),"",VLOOKUP(WEEKDAY($C204,1),INDEX!$J$2:$K$8,2,0))</f>
        <v/>
      </c>
      <c r="C204" s="209"/>
      <c r="D204" s="207"/>
      <c r="E204" s="207"/>
      <c r="F204" s="207"/>
      <c r="G204" s="207"/>
      <c r="H204" s="207"/>
      <c r="I204" s="207"/>
      <c r="J204" s="207"/>
      <c r="K204" s="207"/>
      <c r="L204" s="207"/>
      <c r="M204" s="207"/>
      <c r="N204" s="207"/>
      <c r="O204" s="207"/>
      <c r="P204" s="207"/>
      <c r="Q204" s="207"/>
      <c r="R204" s="207"/>
      <c r="S204" s="207"/>
      <c r="T204" s="207"/>
      <c r="U204" s="209"/>
      <c r="V204" s="207"/>
      <c r="W204" s="207"/>
      <c r="X204" s="209">
        <f t="shared" si="39"/>
        <v>0</v>
      </c>
      <c r="Y204" s="209">
        <f t="shared" si="40"/>
        <v>0</v>
      </c>
      <c r="Z204" s="207">
        <v>1</v>
      </c>
      <c r="AA204" s="209" t="str">
        <f t="shared" si="38"/>
        <v/>
      </c>
      <c r="AB204" s="209"/>
      <c r="AC204" s="207">
        <v>0</v>
      </c>
      <c r="AD204" s="207"/>
      <c r="AE204" s="207"/>
      <c r="AF204" s="208" t="str">
        <f>IF(ISBLANK(D204),"",VLOOKUP(F204,'SIZE CALCULATION'!$F:$G,2,0))</f>
        <v/>
      </c>
      <c r="AG204" s="207" t="str">
        <f t="shared" si="36"/>
        <v/>
      </c>
      <c r="AH204" s="207" t="str">
        <f t="shared" si="41"/>
        <v/>
      </c>
      <c r="AI204" s="210" t="str">
        <f>IF(ISBLANK(D204),"",VLOOKUP($A204,INDEX!$D$2:$F$13,3,0))</f>
        <v/>
      </c>
      <c r="AJ204" s="207" t="str">
        <f t="shared" si="42"/>
        <v/>
      </c>
      <c r="AK204" s="207"/>
      <c r="AL204" s="207"/>
      <c r="AM204" s="207" t="str">
        <f>IFERROR(IF(ISBLANK($D204),"",VLOOKUP($N204,'TABLE CHARGE RATE'!$A$30:$K$106,5,0)),"Check")</f>
        <v/>
      </c>
      <c r="AN204" s="207" t="str">
        <f>IFERROR(IF(ISBLANK($D204),"",VLOOKUP($N204,'TABLE CHARGE RATE'!$A$30:$K$106,6,0)),"Check")</f>
        <v/>
      </c>
      <c r="AO204" s="207" t="str">
        <f>IFERROR(IF(ISBLANK($D204),"",VLOOKUP($N204,'TABLE CHARGE RATE'!$A$30:$K$106,7,0)),"Check")</f>
        <v/>
      </c>
      <c r="AP204" s="207" t="str">
        <f>IFERROR(IF(ISBLANK($D204),"",VLOOKUP($N204,'TABLE CHARGE RATE'!$A$30:$K$106,8,0)),"Check")</f>
        <v/>
      </c>
      <c r="AQ204" s="207" t="str">
        <f>IFERROR(IF(ISBLANK($D204),"",VLOOKUP($N204,'TABLE CHARGE RATE'!$A$30:$K$106,9,0)),"Check")</f>
        <v/>
      </c>
      <c r="AR204" s="207" t="str">
        <f>IFERROR(IF(ISBLANK($D204),"",VLOOKUP($N204,'TABLE CHARGE RATE'!$A$30:$K$106,10,0)),"Check")</f>
        <v/>
      </c>
      <c r="AS204" s="207" t="str">
        <f>IFERROR(IF(ISBLANK($D204),"",VLOOKUP($N204,'TABLE CHARGE RATE'!$A$30:$K$106,11,0)),"Check")</f>
        <v/>
      </c>
      <c r="AT204" s="207">
        <f t="shared" si="43"/>
        <v>203</v>
      </c>
    </row>
    <row r="205" spans="1:46" x14ac:dyDescent="0.2">
      <c r="A205" s="207" t="str">
        <f t="shared" si="37"/>
        <v/>
      </c>
      <c r="B205" s="208" t="str">
        <f>IF(ISBLANK(D205),"",VLOOKUP(WEEKDAY($C205,1),INDEX!$J$2:$K$8,2,0))</f>
        <v/>
      </c>
      <c r="C205" s="209"/>
      <c r="D205" s="207"/>
      <c r="E205" s="207"/>
      <c r="F205" s="207"/>
      <c r="G205" s="207"/>
      <c r="H205" s="207"/>
      <c r="I205" s="207"/>
      <c r="J205" s="207"/>
      <c r="K205" s="207"/>
      <c r="L205" s="207"/>
      <c r="M205" s="207"/>
      <c r="N205" s="207"/>
      <c r="O205" s="207"/>
      <c r="P205" s="207"/>
      <c r="Q205" s="207"/>
      <c r="R205" s="207"/>
      <c r="S205" s="207"/>
      <c r="T205" s="207"/>
      <c r="U205" s="209"/>
      <c r="V205" s="207"/>
      <c r="W205" s="207"/>
      <c r="X205" s="209">
        <f t="shared" si="39"/>
        <v>0</v>
      </c>
      <c r="Y205" s="209">
        <f t="shared" si="40"/>
        <v>0</v>
      </c>
      <c r="Z205" s="207">
        <v>1</v>
      </c>
      <c r="AA205" s="209" t="str">
        <f t="shared" si="38"/>
        <v/>
      </c>
      <c r="AB205" s="209"/>
      <c r="AC205" s="207">
        <v>0</v>
      </c>
      <c r="AD205" s="207"/>
      <c r="AE205" s="207"/>
      <c r="AF205" s="208" t="str">
        <f>IF(ISBLANK(D205),"",VLOOKUP(F205,'SIZE CALCULATION'!$F:$G,2,0))</f>
        <v/>
      </c>
      <c r="AG205" s="207" t="str">
        <f t="shared" si="36"/>
        <v/>
      </c>
      <c r="AH205" s="207" t="str">
        <f t="shared" si="41"/>
        <v/>
      </c>
      <c r="AI205" s="210" t="str">
        <f>IF(ISBLANK(D205),"",VLOOKUP($A205,INDEX!$D$2:$F$13,3,0))</f>
        <v/>
      </c>
      <c r="AJ205" s="207" t="str">
        <f t="shared" si="42"/>
        <v/>
      </c>
      <c r="AK205" s="207"/>
      <c r="AL205" s="207"/>
      <c r="AM205" s="207" t="str">
        <f>IFERROR(IF(ISBLANK($D205),"",VLOOKUP($N205,'TABLE CHARGE RATE'!$A$30:$K$106,5,0)),"Check")</f>
        <v/>
      </c>
      <c r="AN205" s="207" t="str">
        <f>IFERROR(IF(ISBLANK($D205),"",VLOOKUP($N205,'TABLE CHARGE RATE'!$A$30:$K$106,6,0)),"Check")</f>
        <v/>
      </c>
      <c r="AO205" s="207" t="str">
        <f>IFERROR(IF(ISBLANK($D205),"",VLOOKUP($N205,'TABLE CHARGE RATE'!$A$30:$K$106,7,0)),"Check")</f>
        <v/>
      </c>
      <c r="AP205" s="207" t="str">
        <f>IFERROR(IF(ISBLANK($D205),"",VLOOKUP($N205,'TABLE CHARGE RATE'!$A$30:$K$106,8,0)),"Check")</f>
        <v/>
      </c>
      <c r="AQ205" s="207" t="str">
        <f>IFERROR(IF(ISBLANK($D205),"",VLOOKUP($N205,'TABLE CHARGE RATE'!$A$30:$K$106,9,0)),"Check")</f>
        <v/>
      </c>
      <c r="AR205" s="207" t="str">
        <f>IFERROR(IF(ISBLANK($D205),"",VLOOKUP($N205,'TABLE CHARGE RATE'!$A$30:$K$106,10,0)),"Check")</f>
        <v/>
      </c>
      <c r="AS205" s="207" t="str">
        <f>IFERROR(IF(ISBLANK($D205),"",VLOOKUP($N205,'TABLE CHARGE RATE'!$A$30:$K$106,11,0)),"Check")</f>
        <v/>
      </c>
      <c r="AT205" s="207">
        <f t="shared" si="43"/>
        <v>204</v>
      </c>
    </row>
    <row r="206" spans="1:46" x14ac:dyDescent="0.2">
      <c r="A206" s="207" t="str">
        <f t="shared" si="37"/>
        <v/>
      </c>
      <c r="B206" s="208" t="str">
        <f>IF(ISBLANK(D206),"",VLOOKUP(WEEKDAY($C206,1),INDEX!$J$2:$K$8,2,0))</f>
        <v/>
      </c>
      <c r="C206" s="209"/>
      <c r="D206" s="207"/>
      <c r="E206" s="207"/>
      <c r="F206" s="207"/>
      <c r="G206" s="207"/>
      <c r="H206" s="207"/>
      <c r="I206" s="207"/>
      <c r="J206" s="207"/>
      <c r="K206" s="207"/>
      <c r="L206" s="207"/>
      <c r="M206" s="207"/>
      <c r="N206" s="207"/>
      <c r="O206" s="207"/>
      <c r="P206" s="207"/>
      <c r="Q206" s="207"/>
      <c r="R206" s="207"/>
      <c r="S206" s="207"/>
      <c r="T206" s="207"/>
      <c r="U206" s="209"/>
      <c r="V206" s="207"/>
      <c r="W206" s="207"/>
      <c r="X206" s="209">
        <f t="shared" si="39"/>
        <v>0</v>
      </c>
      <c r="Y206" s="209">
        <f t="shared" si="40"/>
        <v>0</v>
      </c>
      <c r="Z206" s="207">
        <v>1</v>
      </c>
      <c r="AA206" s="209" t="str">
        <f t="shared" si="38"/>
        <v/>
      </c>
      <c r="AB206" s="209"/>
      <c r="AC206" s="207">
        <v>0</v>
      </c>
      <c r="AD206" s="207"/>
      <c r="AE206" s="207"/>
      <c r="AF206" s="208" t="str">
        <f>IF(ISBLANK(D206),"",VLOOKUP(F206,'SIZE CALCULATION'!$F:$G,2,0))</f>
        <v/>
      </c>
      <c r="AG206" s="207" t="str">
        <f t="shared" si="36"/>
        <v/>
      </c>
      <c r="AH206" s="207" t="str">
        <f t="shared" si="41"/>
        <v/>
      </c>
      <c r="AI206" s="210" t="str">
        <f>IF(ISBLANK(D206),"",VLOOKUP($A206,INDEX!$D$2:$F$13,3,0))</f>
        <v/>
      </c>
      <c r="AJ206" s="207" t="str">
        <f t="shared" si="42"/>
        <v/>
      </c>
      <c r="AK206" s="207"/>
      <c r="AL206" s="207"/>
      <c r="AM206" s="207" t="str">
        <f>IFERROR(IF(ISBLANK($D206),"",VLOOKUP($N206,'TABLE CHARGE RATE'!$A$30:$K$106,5,0)),"Check")</f>
        <v/>
      </c>
      <c r="AN206" s="207" t="str">
        <f>IFERROR(IF(ISBLANK($D206),"",VLOOKUP($N206,'TABLE CHARGE RATE'!$A$30:$K$106,6,0)),"Check")</f>
        <v/>
      </c>
      <c r="AO206" s="207" t="str">
        <f>IFERROR(IF(ISBLANK($D206),"",VLOOKUP($N206,'TABLE CHARGE RATE'!$A$30:$K$106,7,0)),"Check")</f>
        <v/>
      </c>
      <c r="AP206" s="207" t="str">
        <f>IFERROR(IF(ISBLANK($D206),"",VLOOKUP($N206,'TABLE CHARGE RATE'!$A$30:$K$106,8,0)),"Check")</f>
        <v/>
      </c>
      <c r="AQ206" s="207" t="str">
        <f>IFERROR(IF(ISBLANK($D206),"",VLOOKUP($N206,'TABLE CHARGE RATE'!$A$30:$K$106,9,0)),"Check")</f>
        <v/>
      </c>
      <c r="AR206" s="207" t="str">
        <f>IFERROR(IF(ISBLANK($D206),"",VLOOKUP($N206,'TABLE CHARGE RATE'!$A$30:$K$106,10,0)),"Check")</f>
        <v/>
      </c>
      <c r="AS206" s="207" t="str">
        <f>IFERROR(IF(ISBLANK($D206),"",VLOOKUP($N206,'TABLE CHARGE RATE'!$A$30:$K$106,11,0)),"Check")</f>
        <v/>
      </c>
      <c r="AT206" s="207">
        <f t="shared" si="43"/>
        <v>205</v>
      </c>
    </row>
    <row r="207" spans="1:46" x14ac:dyDescent="0.2">
      <c r="A207" s="207" t="str">
        <f t="shared" si="37"/>
        <v/>
      </c>
      <c r="B207" s="208" t="str">
        <f>IF(ISBLANK(D207),"",VLOOKUP(WEEKDAY($C207,1),INDEX!$J$2:$K$8,2,0))</f>
        <v/>
      </c>
      <c r="C207" s="209"/>
      <c r="D207" s="207"/>
      <c r="E207" s="207"/>
      <c r="F207" s="207"/>
      <c r="G207" s="207"/>
      <c r="H207" s="207"/>
      <c r="I207" s="207"/>
      <c r="J207" s="207"/>
      <c r="K207" s="207"/>
      <c r="L207" s="207"/>
      <c r="M207" s="207"/>
      <c r="N207" s="207"/>
      <c r="O207" s="207"/>
      <c r="P207" s="207"/>
      <c r="Q207" s="207"/>
      <c r="R207" s="207"/>
      <c r="S207" s="207"/>
      <c r="T207" s="207"/>
      <c r="U207" s="209"/>
      <c r="V207" s="207"/>
      <c r="W207" s="207"/>
      <c r="X207" s="209">
        <f t="shared" si="39"/>
        <v>0</v>
      </c>
      <c r="Y207" s="209">
        <f t="shared" si="40"/>
        <v>0</v>
      </c>
      <c r="Z207" s="207">
        <v>1</v>
      </c>
      <c r="AA207" s="209" t="str">
        <f t="shared" si="38"/>
        <v/>
      </c>
      <c r="AB207" s="209"/>
      <c r="AC207" s="207">
        <v>0</v>
      </c>
      <c r="AD207" s="207"/>
      <c r="AE207" s="207"/>
      <c r="AF207" s="208" t="str">
        <f>IF(ISBLANK(D207),"",VLOOKUP(F207,'SIZE CALCULATION'!$F:$G,2,0))</f>
        <v/>
      </c>
      <c r="AG207" s="207" t="str">
        <f t="shared" si="36"/>
        <v/>
      </c>
      <c r="AH207" s="207" t="str">
        <f t="shared" si="41"/>
        <v/>
      </c>
      <c r="AI207" s="210" t="str">
        <f>IF(ISBLANK(D207),"",VLOOKUP($A207,INDEX!$D$2:$F$13,3,0))</f>
        <v/>
      </c>
      <c r="AJ207" s="207" t="str">
        <f t="shared" si="42"/>
        <v/>
      </c>
      <c r="AK207" s="207"/>
      <c r="AL207" s="207"/>
      <c r="AM207" s="207" t="str">
        <f>IFERROR(IF(ISBLANK($D207),"",VLOOKUP($N207,'TABLE CHARGE RATE'!$A$30:$K$106,5,0)),"Check")</f>
        <v/>
      </c>
      <c r="AN207" s="207" t="str">
        <f>IFERROR(IF(ISBLANK($D207),"",VLOOKUP($N207,'TABLE CHARGE RATE'!$A$30:$K$106,6,0)),"Check")</f>
        <v/>
      </c>
      <c r="AO207" s="207" t="str">
        <f>IFERROR(IF(ISBLANK($D207),"",VLOOKUP($N207,'TABLE CHARGE RATE'!$A$30:$K$106,7,0)),"Check")</f>
        <v/>
      </c>
      <c r="AP207" s="207" t="str">
        <f>IFERROR(IF(ISBLANK($D207),"",VLOOKUP($N207,'TABLE CHARGE RATE'!$A$30:$K$106,8,0)),"Check")</f>
        <v/>
      </c>
      <c r="AQ207" s="207" t="str">
        <f>IFERROR(IF(ISBLANK($D207),"",VLOOKUP($N207,'TABLE CHARGE RATE'!$A$30:$K$106,9,0)),"Check")</f>
        <v/>
      </c>
      <c r="AR207" s="207" t="str">
        <f>IFERROR(IF(ISBLANK($D207),"",VLOOKUP($N207,'TABLE CHARGE RATE'!$A$30:$K$106,10,0)),"Check")</f>
        <v/>
      </c>
      <c r="AS207" s="207" t="str">
        <f>IFERROR(IF(ISBLANK($D207),"",VLOOKUP($N207,'TABLE CHARGE RATE'!$A$30:$K$106,11,0)),"Check")</f>
        <v/>
      </c>
      <c r="AT207" s="207">
        <f t="shared" si="43"/>
        <v>206</v>
      </c>
    </row>
    <row r="208" spans="1:46" x14ac:dyDescent="0.2">
      <c r="A208" s="207" t="str">
        <f t="shared" si="37"/>
        <v/>
      </c>
      <c r="B208" s="208" t="str">
        <f>IF(ISBLANK(D208),"",VLOOKUP(WEEKDAY($C208,1),INDEX!$J$2:$K$8,2,0))</f>
        <v/>
      </c>
      <c r="C208" s="209"/>
      <c r="D208" s="207"/>
      <c r="E208" s="207"/>
      <c r="F208" s="207"/>
      <c r="G208" s="207"/>
      <c r="H208" s="207"/>
      <c r="I208" s="207"/>
      <c r="J208" s="207"/>
      <c r="K208" s="207"/>
      <c r="L208" s="207"/>
      <c r="M208" s="207"/>
      <c r="N208" s="207"/>
      <c r="O208" s="207"/>
      <c r="P208" s="207"/>
      <c r="Q208" s="207"/>
      <c r="R208" s="207"/>
      <c r="S208" s="207"/>
      <c r="T208" s="207"/>
      <c r="U208" s="209"/>
      <c r="V208" s="207"/>
      <c r="W208" s="207"/>
      <c r="X208" s="209">
        <f t="shared" si="39"/>
        <v>0</v>
      </c>
      <c r="Y208" s="209">
        <f t="shared" si="40"/>
        <v>0</v>
      </c>
      <c r="Z208" s="207">
        <v>1</v>
      </c>
      <c r="AA208" s="209" t="str">
        <f t="shared" si="38"/>
        <v/>
      </c>
      <c r="AB208" s="209"/>
      <c r="AC208" s="207">
        <v>0</v>
      </c>
      <c r="AD208" s="207"/>
      <c r="AE208" s="207"/>
      <c r="AF208" s="208" t="str">
        <f>IF(ISBLANK(D208),"",VLOOKUP(F208,'SIZE CALCULATION'!$F:$G,2,0))</f>
        <v/>
      </c>
      <c r="AG208" s="207" t="str">
        <f t="shared" si="36"/>
        <v/>
      </c>
      <c r="AH208" s="207" t="str">
        <f t="shared" si="41"/>
        <v/>
      </c>
      <c r="AI208" s="210" t="str">
        <f>IF(ISBLANK(D208),"",VLOOKUP($A208,INDEX!$D$2:$F$13,3,0))</f>
        <v/>
      </c>
      <c r="AJ208" s="207" t="str">
        <f t="shared" si="42"/>
        <v/>
      </c>
      <c r="AK208" s="207"/>
      <c r="AL208" s="207"/>
      <c r="AM208" s="207" t="str">
        <f>IFERROR(IF(ISBLANK($D208),"",VLOOKUP($N208,'TABLE CHARGE RATE'!$A$30:$K$106,5,0)),"Check")</f>
        <v/>
      </c>
      <c r="AN208" s="207" t="str">
        <f>IFERROR(IF(ISBLANK($D208),"",VLOOKUP($N208,'TABLE CHARGE RATE'!$A$30:$K$106,6,0)),"Check")</f>
        <v/>
      </c>
      <c r="AO208" s="207" t="str">
        <f>IFERROR(IF(ISBLANK($D208),"",VLOOKUP($N208,'TABLE CHARGE RATE'!$A$30:$K$106,7,0)),"Check")</f>
        <v/>
      </c>
      <c r="AP208" s="207" t="str">
        <f>IFERROR(IF(ISBLANK($D208),"",VLOOKUP($N208,'TABLE CHARGE RATE'!$A$30:$K$106,8,0)),"Check")</f>
        <v/>
      </c>
      <c r="AQ208" s="207" t="str">
        <f>IFERROR(IF(ISBLANK($D208),"",VLOOKUP($N208,'TABLE CHARGE RATE'!$A$30:$K$106,9,0)),"Check")</f>
        <v/>
      </c>
      <c r="AR208" s="207" t="str">
        <f>IFERROR(IF(ISBLANK($D208),"",VLOOKUP($N208,'TABLE CHARGE RATE'!$A$30:$K$106,10,0)),"Check")</f>
        <v/>
      </c>
      <c r="AS208" s="207" t="str">
        <f>IFERROR(IF(ISBLANK($D208),"",VLOOKUP($N208,'TABLE CHARGE RATE'!$A$30:$K$106,11,0)),"Check")</f>
        <v/>
      </c>
      <c r="AT208" s="207">
        <f t="shared" si="43"/>
        <v>207</v>
      </c>
    </row>
    <row r="209" spans="1:46" x14ac:dyDescent="0.2">
      <c r="A209" s="207" t="str">
        <f t="shared" si="37"/>
        <v/>
      </c>
      <c r="B209" s="208" t="str">
        <f>IF(ISBLANK(D209),"",VLOOKUP(WEEKDAY($C209,1),INDEX!$J$2:$K$8,2,0))</f>
        <v/>
      </c>
      <c r="C209" s="209"/>
      <c r="D209" s="207"/>
      <c r="E209" s="207"/>
      <c r="F209" s="207"/>
      <c r="G209" s="207"/>
      <c r="H209" s="207"/>
      <c r="I209" s="207"/>
      <c r="J209" s="207"/>
      <c r="K209" s="207"/>
      <c r="L209" s="207"/>
      <c r="M209" s="207"/>
      <c r="N209" s="207"/>
      <c r="O209" s="207"/>
      <c r="P209" s="207"/>
      <c r="Q209" s="207"/>
      <c r="R209" s="207"/>
      <c r="S209" s="207"/>
      <c r="T209" s="207"/>
      <c r="U209" s="209"/>
      <c r="V209" s="207"/>
      <c r="W209" s="207"/>
      <c r="X209" s="209">
        <f t="shared" si="39"/>
        <v>0</v>
      </c>
      <c r="Y209" s="209">
        <f t="shared" si="40"/>
        <v>0</v>
      </c>
      <c r="Z209" s="207">
        <v>1</v>
      </c>
      <c r="AA209" s="209" t="str">
        <f t="shared" si="38"/>
        <v/>
      </c>
      <c r="AB209" s="209"/>
      <c r="AC209" s="207">
        <v>0</v>
      </c>
      <c r="AD209" s="207"/>
      <c r="AE209" s="207"/>
      <c r="AF209" s="208" t="str">
        <f>IF(ISBLANK(D209),"",VLOOKUP(F209,'SIZE CALCULATION'!$F:$G,2,0))</f>
        <v/>
      </c>
      <c r="AG209" s="207" t="str">
        <f t="shared" si="36"/>
        <v/>
      </c>
      <c r="AH209" s="207" t="str">
        <f t="shared" si="41"/>
        <v/>
      </c>
      <c r="AI209" s="210" t="str">
        <f>IF(ISBLANK(D209),"",VLOOKUP($A209,INDEX!$D$2:$F$13,3,0))</f>
        <v/>
      </c>
      <c r="AJ209" s="207" t="str">
        <f t="shared" si="42"/>
        <v/>
      </c>
      <c r="AK209" s="207"/>
      <c r="AL209" s="207"/>
      <c r="AM209" s="207" t="str">
        <f>IFERROR(IF(ISBLANK($D209),"",VLOOKUP($N209,'TABLE CHARGE RATE'!$A$30:$K$106,5,0)),"Check")</f>
        <v/>
      </c>
      <c r="AN209" s="207" t="str">
        <f>IFERROR(IF(ISBLANK($D209),"",VLOOKUP($N209,'TABLE CHARGE RATE'!$A$30:$K$106,6,0)),"Check")</f>
        <v/>
      </c>
      <c r="AO209" s="207" t="str">
        <f>IFERROR(IF(ISBLANK($D209),"",VLOOKUP($N209,'TABLE CHARGE RATE'!$A$30:$K$106,7,0)),"Check")</f>
        <v/>
      </c>
      <c r="AP209" s="207" t="str">
        <f>IFERROR(IF(ISBLANK($D209),"",VLOOKUP($N209,'TABLE CHARGE RATE'!$A$30:$K$106,8,0)),"Check")</f>
        <v/>
      </c>
      <c r="AQ209" s="207" t="str">
        <f>IFERROR(IF(ISBLANK($D209),"",VLOOKUP($N209,'TABLE CHARGE RATE'!$A$30:$K$106,9,0)),"Check")</f>
        <v/>
      </c>
      <c r="AR209" s="207" t="str">
        <f>IFERROR(IF(ISBLANK($D209),"",VLOOKUP($N209,'TABLE CHARGE RATE'!$A$30:$K$106,10,0)),"Check")</f>
        <v/>
      </c>
      <c r="AS209" s="207" t="str">
        <f>IFERROR(IF(ISBLANK($D209),"",VLOOKUP($N209,'TABLE CHARGE RATE'!$A$30:$K$106,11,0)),"Check")</f>
        <v/>
      </c>
      <c r="AT209" s="207">
        <f t="shared" si="43"/>
        <v>208</v>
      </c>
    </row>
    <row r="210" spans="1:46" x14ac:dyDescent="0.2">
      <c r="A210" s="207" t="str">
        <f t="shared" si="37"/>
        <v/>
      </c>
      <c r="B210" s="208" t="str">
        <f>IF(ISBLANK(D210),"",VLOOKUP(WEEKDAY($C210,1),INDEX!$J$2:$K$8,2,0))</f>
        <v/>
      </c>
      <c r="C210" s="209"/>
      <c r="D210" s="207"/>
      <c r="E210" s="207"/>
      <c r="F210" s="207"/>
      <c r="G210" s="207"/>
      <c r="H210" s="207"/>
      <c r="I210" s="207"/>
      <c r="J210" s="207"/>
      <c r="K210" s="207"/>
      <c r="L210" s="207"/>
      <c r="M210" s="207"/>
      <c r="N210" s="207"/>
      <c r="O210" s="207"/>
      <c r="P210" s="207"/>
      <c r="Q210" s="207"/>
      <c r="R210" s="207"/>
      <c r="S210" s="207"/>
      <c r="T210" s="207"/>
      <c r="U210" s="209"/>
      <c r="V210" s="207"/>
      <c r="W210" s="207"/>
      <c r="X210" s="209">
        <f t="shared" si="39"/>
        <v>0</v>
      </c>
      <c r="Y210" s="209">
        <f t="shared" si="40"/>
        <v>0</v>
      </c>
      <c r="Z210" s="207">
        <v>1</v>
      </c>
      <c r="AA210" s="209" t="str">
        <f t="shared" si="38"/>
        <v/>
      </c>
      <c r="AB210" s="209"/>
      <c r="AC210" s="207">
        <v>0</v>
      </c>
      <c r="AD210" s="207"/>
      <c r="AE210" s="207"/>
      <c r="AF210" s="208" t="str">
        <f>IF(ISBLANK(D210),"",VLOOKUP(F210,'SIZE CALCULATION'!$F:$G,2,0))</f>
        <v/>
      </c>
      <c r="AG210" s="207" t="str">
        <f t="shared" si="36"/>
        <v/>
      </c>
      <c r="AH210" s="207" t="str">
        <f t="shared" si="41"/>
        <v/>
      </c>
      <c r="AI210" s="210" t="str">
        <f>IF(ISBLANK(D210),"",VLOOKUP($A210,INDEX!$D$2:$F$13,3,0))</f>
        <v/>
      </c>
      <c r="AJ210" s="207" t="str">
        <f t="shared" si="42"/>
        <v/>
      </c>
      <c r="AK210" s="207"/>
      <c r="AL210" s="207"/>
      <c r="AM210" s="207" t="str">
        <f>IFERROR(IF(ISBLANK($D210),"",VLOOKUP($N210,'TABLE CHARGE RATE'!$A$30:$K$106,5,0)),"Check")</f>
        <v/>
      </c>
      <c r="AN210" s="207" t="str">
        <f>IFERROR(IF(ISBLANK($D210),"",VLOOKUP($N210,'TABLE CHARGE RATE'!$A$30:$K$106,6,0)),"Check")</f>
        <v/>
      </c>
      <c r="AO210" s="207" t="str">
        <f>IFERROR(IF(ISBLANK($D210),"",VLOOKUP($N210,'TABLE CHARGE RATE'!$A$30:$K$106,7,0)),"Check")</f>
        <v/>
      </c>
      <c r="AP210" s="207" t="str">
        <f>IFERROR(IF(ISBLANK($D210),"",VLOOKUP($N210,'TABLE CHARGE RATE'!$A$30:$K$106,8,0)),"Check")</f>
        <v/>
      </c>
      <c r="AQ210" s="207" t="str">
        <f>IFERROR(IF(ISBLANK($D210),"",VLOOKUP($N210,'TABLE CHARGE RATE'!$A$30:$K$106,9,0)),"Check")</f>
        <v/>
      </c>
      <c r="AR210" s="207" t="str">
        <f>IFERROR(IF(ISBLANK($D210),"",VLOOKUP($N210,'TABLE CHARGE RATE'!$A$30:$K$106,10,0)),"Check")</f>
        <v/>
      </c>
      <c r="AS210" s="207" t="str">
        <f>IFERROR(IF(ISBLANK($D210),"",VLOOKUP($N210,'TABLE CHARGE RATE'!$A$30:$K$106,11,0)),"Check")</f>
        <v/>
      </c>
      <c r="AT210" s="207">
        <f t="shared" si="43"/>
        <v>209</v>
      </c>
    </row>
    <row r="211" spans="1:46" x14ac:dyDescent="0.2">
      <c r="A211" s="207" t="str">
        <f t="shared" si="37"/>
        <v/>
      </c>
      <c r="B211" s="208" t="str">
        <f>IF(ISBLANK(D211),"",VLOOKUP(WEEKDAY($C211,1),INDEX!$J$2:$K$8,2,0))</f>
        <v/>
      </c>
      <c r="C211" s="209"/>
      <c r="D211" s="207"/>
      <c r="E211" s="207"/>
      <c r="F211" s="207"/>
      <c r="G211" s="207"/>
      <c r="H211" s="207"/>
      <c r="I211" s="207"/>
      <c r="J211" s="207"/>
      <c r="K211" s="207"/>
      <c r="L211" s="207"/>
      <c r="M211" s="207"/>
      <c r="N211" s="207"/>
      <c r="O211" s="207"/>
      <c r="P211" s="207"/>
      <c r="Q211" s="207"/>
      <c r="R211" s="207"/>
      <c r="S211" s="207"/>
      <c r="T211" s="207"/>
      <c r="U211" s="209"/>
      <c r="V211" s="207"/>
      <c r="W211" s="207"/>
      <c r="X211" s="209">
        <f t="shared" si="39"/>
        <v>0</v>
      </c>
      <c r="Y211" s="209">
        <f t="shared" si="40"/>
        <v>0</v>
      </c>
      <c r="Z211" s="207">
        <v>1</v>
      </c>
      <c r="AA211" s="209" t="str">
        <f t="shared" si="38"/>
        <v/>
      </c>
      <c r="AB211" s="209"/>
      <c r="AC211" s="207">
        <v>0</v>
      </c>
      <c r="AD211" s="207"/>
      <c r="AE211" s="207"/>
      <c r="AF211" s="208" t="str">
        <f>IF(ISBLANK(D211),"",VLOOKUP(F211,'SIZE CALCULATION'!$F:$G,2,0))</f>
        <v/>
      </c>
      <c r="AG211" s="207" t="str">
        <f t="shared" si="36"/>
        <v/>
      </c>
      <c r="AH211" s="207" t="str">
        <f t="shared" si="41"/>
        <v/>
      </c>
      <c r="AI211" s="210" t="str">
        <f>IF(ISBLANK(D211),"",VLOOKUP($A211,INDEX!$D$2:$F$13,3,0))</f>
        <v/>
      </c>
      <c r="AJ211" s="207" t="str">
        <f t="shared" si="42"/>
        <v/>
      </c>
      <c r="AK211" s="207"/>
      <c r="AL211" s="207"/>
      <c r="AM211" s="207" t="str">
        <f>IFERROR(IF(ISBLANK($D211),"",VLOOKUP($N211,'TABLE CHARGE RATE'!$A$30:$K$106,5,0)),"Check")</f>
        <v/>
      </c>
      <c r="AN211" s="207" t="str">
        <f>IFERROR(IF(ISBLANK($D211),"",VLOOKUP($N211,'TABLE CHARGE RATE'!$A$30:$K$106,6,0)),"Check")</f>
        <v/>
      </c>
      <c r="AO211" s="207" t="str">
        <f>IFERROR(IF(ISBLANK($D211),"",VLOOKUP($N211,'TABLE CHARGE RATE'!$A$30:$K$106,7,0)),"Check")</f>
        <v/>
      </c>
      <c r="AP211" s="207" t="str">
        <f>IFERROR(IF(ISBLANK($D211),"",VLOOKUP($N211,'TABLE CHARGE RATE'!$A$30:$K$106,8,0)),"Check")</f>
        <v/>
      </c>
      <c r="AQ211" s="207" t="str">
        <f>IFERROR(IF(ISBLANK($D211),"",VLOOKUP($N211,'TABLE CHARGE RATE'!$A$30:$K$106,9,0)),"Check")</f>
        <v/>
      </c>
      <c r="AR211" s="207" t="str">
        <f>IFERROR(IF(ISBLANK($D211),"",VLOOKUP($N211,'TABLE CHARGE RATE'!$A$30:$K$106,10,0)),"Check")</f>
        <v/>
      </c>
      <c r="AS211" s="207" t="str">
        <f>IFERROR(IF(ISBLANK($D211),"",VLOOKUP($N211,'TABLE CHARGE RATE'!$A$30:$K$106,11,0)),"Check")</f>
        <v/>
      </c>
      <c r="AT211" s="207">
        <f t="shared" si="43"/>
        <v>210</v>
      </c>
    </row>
    <row r="212" spans="1:46" x14ac:dyDescent="0.2">
      <c r="A212" s="207" t="str">
        <f t="shared" si="37"/>
        <v/>
      </c>
      <c r="B212" s="208" t="str">
        <f>IF(ISBLANK(D212),"",VLOOKUP(WEEKDAY($C212,1),INDEX!$J$2:$K$8,2,0))</f>
        <v/>
      </c>
      <c r="C212" s="209"/>
      <c r="D212" s="207"/>
      <c r="E212" s="207"/>
      <c r="F212" s="207"/>
      <c r="G212" s="207"/>
      <c r="H212" s="207"/>
      <c r="I212" s="207"/>
      <c r="J212" s="207"/>
      <c r="K212" s="207"/>
      <c r="L212" s="207"/>
      <c r="M212" s="207"/>
      <c r="N212" s="207"/>
      <c r="O212" s="207"/>
      <c r="P212" s="207"/>
      <c r="Q212" s="207"/>
      <c r="R212" s="207"/>
      <c r="S212" s="207"/>
      <c r="T212" s="207"/>
      <c r="U212" s="209"/>
      <c r="V212" s="207"/>
      <c r="W212" s="207"/>
      <c r="X212" s="209">
        <f t="shared" si="39"/>
        <v>0</v>
      </c>
      <c r="Y212" s="209">
        <f t="shared" si="40"/>
        <v>0</v>
      </c>
      <c r="Z212" s="207">
        <v>1</v>
      </c>
      <c r="AA212" s="209" t="str">
        <f t="shared" si="38"/>
        <v/>
      </c>
      <c r="AB212" s="209"/>
      <c r="AC212" s="207">
        <v>0</v>
      </c>
      <c r="AD212" s="207"/>
      <c r="AE212" s="207"/>
      <c r="AF212" s="208" t="str">
        <f>IF(ISBLANK(D212),"",VLOOKUP(F212,'SIZE CALCULATION'!$F:$G,2,0))</f>
        <v/>
      </c>
      <c r="AG212" s="207" t="str">
        <f t="shared" si="36"/>
        <v/>
      </c>
      <c r="AH212" s="207" t="str">
        <f t="shared" si="41"/>
        <v/>
      </c>
      <c r="AI212" s="210" t="str">
        <f>IF(ISBLANK(D212),"",VLOOKUP($A212,INDEX!$D$2:$F$13,3,0))</f>
        <v/>
      </c>
      <c r="AJ212" s="207" t="str">
        <f t="shared" si="42"/>
        <v/>
      </c>
      <c r="AK212" s="207"/>
      <c r="AL212" s="207"/>
      <c r="AM212" s="207" t="str">
        <f>IFERROR(IF(ISBLANK($D212),"",VLOOKUP($N212,'TABLE CHARGE RATE'!$A$30:$K$106,5,0)),"Check")</f>
        <v/>
      </c>
      <c r="AN212" s="207" t="str">
        <f>IFERROR(IF(ISBLANK($D212),"",VLOOKUP($N212,'TABLE CHARGE RATE'!$A$30:$K$106,6,0)),"Check")</f>
        <v/>
      </c>
      <c r="AO212" s="207" t="str">
        <f>IFERROR(IF(ISBLANK($D212),"",VLOOKUP($N212,'TABLE CHARGE RATE'!$A$30:$K$106,7,0)),"Check")</f>
        <v/>
      </c>
      <c r="AP212" s="207" t="str">
        <f>IFERROR(IF(ISBLANK($D212),"",VLOOKUP($N212,'TABLE CHARGE RATE'!$A$30:$K$106,8,0)),"Check")</f>
        <v/>
      </c>
      <c r="AQ212" s="207" t="str">
        <f>IFERROR(IF(ISBLANK($D212),"",VLOOKUP($N212,'TABLE CHARGE RATE'!$A$30:$K$106,9,0)),"Check")</f>
        <v/>
      </c>
      <c r="AR212" s="207" t="str">
        <f>IFERROR(IF(ISBLANK($D212),"",VLOOKUP($N212,'TABLE CHARGE RATE'!$A$30:$K$106,10,0)),"Check")</f>
        <v/>
      </c>
      <c r="AS212" s="207" t="str">
        <f>IFERROR(IF(ISBLANK($D212),"",VLOOKUP($N212,'TABLE CHARGE RATE'!$A$30:$K$106,11,0)),"Check")</f>
        <v/>
      </c>
      <c r="AT212" s="207">
        <f t="shared" si="43"/>
        <v>211</v>
      </c>
    </row>
    <row r="213" spans="1:46" x14ac:dyDescent="0.2">
      <c r="A213" s="207" t="str">
        <f t="shared" si="37"/>
        <v/>
      </c>
      <c r="B213" s="208" t="str">
        <f>IF(ISBLANK(D213),"",VLOOKUP(WEEKDAY($C213,1),INDEX!$J$2:$K$8,2,0))</f>
        <v/>
      </c>
      <c r="C213" s="209"/>
      <c r="D213" s="207"/>
      <c r="E213" s="207"/>
      <c r="F213" s="207"/>
      <c r="G213" s="207"/>
      <c r="H213" s="207"/>
      <c r="I213" s="207"/>
      <c r="J213" s="207"/>
      <c r="K213" s="207"/>
      <c r="L213" s="207"/>
      <c r="M213" s="207"/>
      <c r="N213" s="207"/>
      <c r="O213" s="207"/>
      <c r="P213" s="207"/>
      <c r="Q213" s="207"/>
      <c r="R213" s="207"/>
      <c r="S213" s="207"/>
      <c r="T213" s="207"/>
      <c r="U213" s="209"/>
      <c r="V213" s="207"/>
      <c r="W213" s="207"/>
      <c r="X213" s="209">
        <f t="shared" si="39"/>
        <v>0</v>
      </c>
      <c r="Y213" s="209">
        <f t="shared" si="40"/>
        <v>0</v>
      </c>
      <c r="Z213" s="207">
        <v>1</v>
      </c>
      <c r="AA213" s="209" t="str">
        <f t="shared" si="38"/>
        <v/>
      </c>
      <c r="AB213" s="209"/>
      <c r="AC213" s="207">
        <v>0</v>
      </c>
      <c r="AD213" s="207"/>
      <c r="AE213" s="207"/>
      <c r="AF213" s="208" t="str">
        <f>IF(ISBLANK(D213),"",VLOOKUP(F213,'SIZE CALCULATION'!$F:$G,2,0))</f>
        <v/>
      </c>
      <c r="AG213" s="207" t="str">
        <f t="shared" si="36"/>
        <v/>
      </c>
      <c r="AH213" s="207" t="str">
        <f t="shared" si="41"/>
        <v/>
      </c>
      <c r="AI213" s="210" t="str">
        <f>IF(ISBLANK(D213),"",VLOOKUP($A213,INDEX!$D$2:$F$13,3,0))</f>
        <v/>
      </c>
      <c r="AJ213" s="207" t="str">
        <f t="shared" si="42"/>
        <v/>
      </c>
      <c r="AK213" s="207"/>
      <c r="AL213" s="207"/>
      <c r="AM213" s="207" t="str">
        <f>IFERROR(IF(ISBLANK($D213),"",VLOOKUP($N213,'TABLE CHARGE RATE'!$A$30:$K$106,5,0)),"Check")</f>
        <v/>
      </c>
      <c r="AN213" s="207" t="str">
        <f>IFERROR(IF(ISBLANK($D213),"",VLOOKUP($N213,'TABLE CHARGE RATE'!$A$30:$K$106,6,0)),"Check")</f>
        <v/>
      </c>
      <c r="AO213" s="207" t="str">
        <f>IFERROR(IF(ISBLANK($D213),"",VLOOKUP($N213,'TABLE CHARGE RATE'!$A$30:$K$106,7,0)),"Check")</f>
        <v/>
      </c>
      <c r="AP213" s="207" t="str">
        <f>IFERROR(IF(ISBLANK($D213),"",VLOOKUP($N213,'TABLE CHARGE RATE'!$A$30:$K$106,8,0)),"Check")</f>
        <v/>
      </c>
      <c r="AQ213" s="207" t="str">
        <f>IFERROR(IF(ISBLANK($D213),"",VLOOKUP($N213,'TABLE CHARGE RATE'!$A$30:$K$106,9,0)),"Check")</f>
        <v/>
      </c>
      <c r="AR213" s="207" t="str">
        <f>IFERROR(IF(ISBLANK($D213),"",VLOOKUP($N213,'TABLE CHARGE RATE'!$A$30:$K$106,10,0)),"Check")</f>
        <v/>
      </c>
      <c r="AS213" s="207" t="str">
        <f>IFERROR(IF(ISBLANK($D213),"",VLOOKUP($N213,'TABLE CHARGE RATE'!$A$30:$K$106,11,0)),"Check")</f>
        <v/>
      </c>
      <c r="AT213" s="207">
        <f t="shared" si="43"/>
        <v>212</v>
      </c>
    </row>
    <row r="214" spans="1:46" x14ac:dyDescent="0.2">
      <c r="A214" s="207" t="str">
        <f t="shared" si="37"/>
        <v/>
      </c>
      <c r="B214" s="208" t="str">
        <f>IF(ISBLANK(D214),"",VLOOKUP(WEEKDAY($C214,1),INDEX!$J$2:$K$8,2,0))</f>
        <v/>
      </c>
      <c r="C214" s="209"/>
      <c r="D214" s="207"/>
      <c r="E214" s="207"/>
      <c r="F214" s="207"/>
      <c r="G214" s="207"/>
      <c r="H214" s="207"/>
      <c r="I214" s="207"/>
      <c r="J214" s="207"/>
      <c r="K214" s="207"/>
      <c r="L214" s="207"/>
      <c r="M214" s="207"/>
      <c r="N214" s="207"/>
      <c r="O214" s="207"/>
      <c r="P214" s="207"/>
      <c r="Q214" s="207"/>
      <c r="R214" s="207"/>
      <c r="S214" s="207"/>
      <c r="T214" s="207"/>
      <c r="U214" s="209"/>
      <c r="V214" s="207"/>
      <c r="W214" s="207"/>
      <c r="X214" s="209">
        <f t="shared" si="39"/>
        <v>0</v>
      </c>
      <c r="Y214" s="209">
        <f t="shared" si="40"/>
        <v>0</v>
      </c>
      <c r="Z214" s="207">
        <v>1</v>
      </c>
      <c r="AA214" s="209" t="str">
        <f t="shared" si="38"/>
        <v/>
      </c>
      <c r="AB214" s="209"/>
      <c r="AC214" s="207">
        <v>0</v>
      </c>
      <c r="AD214" s="207"/>
      <c r="AE214" s="207"/>
      <c r="AF214" s="208" t="str">
        <f>IF(ISBLANK(D214),"",VLOOKUP(F214,'SIZE CALCULATION'!$F:$G,2,0))</f>
        <v/>
      </c>
      <c r="AG214" s="207" t="str">
        <f t="shared" si="36"/>
        <v/>
      </c>
      <c r="AH214" s="207" t="str">
        <f t="shared" si="41"/>
        <v/>
      </c>
      <c r="AI214" s="210" t="str">
        <f>IF(ISBLANK(D214),"",VLOOKUP($A214,INDEX!$D$2:$F$13,3,0))</f>
        <v/>
      </c>
      <c r="AJ214" s="207" t="str">
        <f t="shared" si="42"/>
        <v/>
      </c>
      <c r="AK214" s="207"/>
      <c r="AL214" s="207"/>
      <c r="AM214" s="207" t="str">
        <f>IFERROR(IF(ISBLANK($D214),"",VLOOKUP($N214,'TABLE CHARGE RATE'!$A$30:$K$106,5,0)),"Check")</f>
        <v/>
      </c>
      <c r="AN214" s="207" t="str">
        <f>IFERROR(IF(ISBLANK($D214),"",VLOOKUP($N214,'TABLE CHARGE RATE'!$A$30:$K$106,6,0)),"Check")</f>
        <v/>
      </c>
      <c r="AO214" s="207" t="str">
        <f>IFERROR(IF(ISBLANK($D214),"",VLOOKUP($N214,'TABLE CHARGE RATE'!$A$30:$K$106,7,0)),"Check")</f>
        <v/>
      </c>
      <c r="AP214" s="207" t="str">
        <f>IFERROR(IF(ISBLANK($D214),"",VLOOKUP($N214,'TABLE CHARGE RATE'!$A$30:$K$106,8,0)),"Check")</f>
        <v/>
      </c>
      <c r="AQ214" s="207" t="str">
        <f>IFERROR(IF(ISBLANK($D214),"",VLOOKUP($N214,'TABLE CHARGE RATE'!$A$30:$K$106,9,0)),"Check")</f>
        <v/>
      </c>
      <c r="AR214" s="207" t="str">
        <f>IFERROR(IF(ISBLANK($D214),"",VLOOKUP($N214,'TABLE CHARGE RATE'!$A$30:$K$106,10,0)),"Check")</f>
        <v/>
      </c>
      <c r="AS214" s="207" t="str">
        <f>IFERROR(IF(ISBLANK($D214),"",VLOOKUP($N214,'TABLE CHARGE RATE'!$A$30:$K$106,11,0)),"Check")</f>
        <v/>
      </c>
      <c r="AT214" s="207">
        <f t="shared" si="43"/>
        <v>213</v>
      </c>
    </row>
    <row r="215" spans="1:46" x14ac:dyDescent="0.2">
      <c r="A215" s="207" t="str">
        <f t="shared" si="37"/>
        <v/>
      </c>
      <c r="B215" s="208" t="str">
        <f>IF(ISBLANK(D215),"",VLOOKUP(WEEKDAY($C215,1),INDEX!$J$2:$K$8,2,0))</f>
        <v/>
      </c>
      <c r="C215" s="209"/>
      <c r="D215" s="207"/>
      <c r="E215" s="207"/>
      <c r="F215" s="207"/>
      <c r="G215" s="207"/>
      <c r="H215" s="207"/>
      <c r="I215" s="207"/>
      <c r="J215" s="207"/>
      <c r="K215" s="207"/>
      <c r="L215" s="207"/>
      <c r="M215" s="207"/>
      <c r="N215" s="207"/>
      <c r="O215" s="207"/>
      <c r="P215" s="207"/>
      <c r="Q215" s="207"/>
      <c r="R215" s="207"/>
      <c r="S215" s="207"/>
      <c r="T215" s="207"/>
      <c r="U215" s="209"/>
      <c r="V215" s="207"/>
      <c r="W215" s="207"/>
      <c r="X215" s="209">
        <f t="shared" si="39"/>
        <v>0</v>
      </c>
      <c r="Y215" s="209">
        <f t="shared" si="40"/>
        <v>0</v>
      </c>
      <c r="Z215" s="207">
        <v>1</v>
      </c>
      <c r="AA215" s="209" t="str">
        <f t="shared" si="38"/>
        <v/>
      </c>
      <c r="AB215" s="209"/>
      <c r="AC215" s="207">
        <v>0</v>
      </c>
      <c r="AD215" s="207"/>
      <c r="AE215" s="207"/>
      <c r="AF215" s="208" t="str">
        <f>IF(ISBLANK(D215),"",VLOOKUP(F215,'SIZE CALCULATION'!$F:$G,2,0))</f>
        <v/>
      </c>
      <c r="AG215" s="207" t="str">
        <f t="shared" si="36"/>
        <v/>
      </c>
      <c r="AH215" s="207" t="str">
        <f t="shared" si="41"/>
        <v/>
      </c>
      <c r="AI215" s="210" t="str">
        <f>IF(ISBLANK(D215),"",VLOOKUP($A215,INDEX!$D$2:$F$13,3,0))</f>
        <v/>
      </c>
      <c r="AJ215" s="207" t="str">
        <f t="shared" si="42"/>
        <v/>
      </c>
      <c r="AK215" s="207"/>
      <c r="AL215" s="207"/>
      <c r="AM215" s="207" t="str">
        <f>IFERROR(IF(ISBLANK($D215),"",VLOOKUP($N215,'TABLE CHARGE RATE'!$A$30:$K$106,5,0)),"Check")</f>
        <v/>
      </c>
      <c r="AN215" s="207" t="str">
        <f>IFERROR(IF(ISBLANK($D215),"",VLOOKUP($N215,'TABLE CHARGE RATE'!$A$30:$K$106,6,0)),"Check")</f>
        <v/>
      </c>
      <c r="AO215" s="207" t="str">
        <f>IFERROR(IF(ISBLANK($D215),"",VLOOKUP($N215,'TABLE CHARGE RATE'!$A$30:$K$106,7,0)),"Check")</f>
        <v/>
      </c>
      <c r="AP215" s="207" t="str">
        <f>IFERROR(IF(ISBLANK($D215),"",VLOOKUP($N215,'TABLE CHARGE RATE'!$A$30:$K$106,8,0)),"Check")</f>
        <v/>
      </c>
      <c r="AQ215" s="207" t="str">
        <f>IFERROR(IF(ISBLANK($D215),"",VLOOKUP($N215,'TABLE CHARGE RATE'!$A$30:$K$106,9,0)),"Check")</f>
        <v/>
      </c>
      <c r="AR215" s="207" t="str">
        <f>IFERROR(IF(ISBLANK($D215),"",VLOOKUP($N215,'TABLE CHARGE RATE'!$A$30:$K$106,10,0)),"Check")</f>
        <v/>
      </c>
      <c r="AS215" s="207" t="str">
        <f>IFERROR(IF(ISBLANK($D215),"",VLOOKUP($N215,'TABLE CHARGE RATE'!$A$30:$K$106,11,0)),"Check")</f>
        <v/>
      </c>
      <c r="AT215" s="207">
        <f t="shared" si="43"/>
        <v>214</v>
      </c>
    </row>
    <row r="216" spans="1:46" x14ac:dyDescent="0.2">
      <c r="A216" s="207" t="str">
        <f t="shared" si="37"/>
        <v/>
      </c>
      <c r="B216" s="208" t="str">
        <f>IF(ISBLANK(D216),"",VLOOKUP(WEEKDAY($C216,1),INDEX!$J$2:$K$8,2,0))</f>
        <v/>
      </c>
      <c r="C216" s="209"/>
      <c r="D216" s="207"/>
      <c r="E216" s="207"/>
      <c r="F216" s="207"/>
      <c r="G216" s="207"/>
      <c r="H216" s="207"/>
      <c r="I216" s="207"/>
      <c r="J216" s="207"/>
      <c r="K216" s="207"/>
      <c r="L216" s="207"/>
      <c r="M216" s="207"/>
      <c r="N216" s="207"/>
      <c r="O216" s="207"/>
      <c r="P216" s="207"/>
      <c r="Q216" s="207"/>
      <c r="R216" s="207"/>
      <c r="S216" s="207"/>
      <c r="T216" s="207"/>
      <c r="U216" s="209"/>
      <c r="V216" s="207"/>
      <c r="W216" s="207"/>
      <c r="X216" s="209">
        <f t="shared" si="39"/>
        <v>0</v>
      </c>
      <c r="Y216" s="209">
        <f t="shared" si="40"/>
        <v>0</v>
      </c>
      <c r="Z216" s="207">
        <v>1</v>
      </c>
      <c r="AA216" s="209" t="str">
        <f t="shared" si="38"/>
        <v/>
      </c>
      <c r="AB216" s="209"/>
      <c r="AC216" s="207">
        <v>0</v>
      </c>
      <c r="AD216" s="207"/>
      <c r="AE216" s="207"/>
      <c r="AF216" s="208" t="str">
        <f>IF(ISBLANK(D216),"",VLOOKUP(F216,'SIZE CALCULATION'!$F:$G,2,0))</f>
        <v/>
      </c>
      <c r="AG216" s="207" t="str">
        <f t="shared" si="36"/>
        <v/>
      </c>
      <c r="AH216" s="207" t="str">
        <f t="shared" si="41"/>
        <v/>
      </c>
      <c r="AI216" s="210" t="str">
        <f>IF(ISBLANK(D216),"",VLOOKUP($A216,INDEX!$D$2:$F$13,3,0))</f>
        <v/>
      </c>
      <c r="AJ216" s="207" t="str">
        <f t="shared" si="42"/>
        <v/>
      </c>
      <c r="AK216" s="207"/>
      <c r="AL216" s="207"/>
      <c r="AM216" s="207" t="str">
        <f>IFERROR(IF(ISBLANK($D216),"",VLOOKUP($N216,'TABLE CHARGE RATE'!$A$30:$K$106,5,0)),"Check")</f>
        <v/>
      </c>
      <c r="AN216" s="207" t="str">
        <f>IFERROR(IF(ISBLANK($D216),"",VLOOKUP($N216,'TABLE CHARGE RATE'!$A$30:$K$106,6,0)),"Check")</f>
        <v/>
      </c>
      <c r="AO216" s="207" t="str">
        <f>IFERROR(IF(ISBLANK($D216),"",VLOOKUP($N216,'TABLE CHARGE RATE'!$A$30:$K$106,7,0)),"Check")</f>
        <v/>
      </c>
      <c r="AP216" s="207" t="str">
        <f>IFERROR(IF(ISBLANK($D216),"",VLOOKUP($N216,'TABLE CHARGE RATE'!$A$30:$K$106,8,0)),"Check")</f>
        <v/>
      </c>
      <c r="AQ216" s="207" t="str">
        <f>IFERROR(IF(ISBLANK($D216),"",VLOOKUP($N216,'TABLE CHARGE RATE'!$A$30:$K$106,9,0)),"Check")</f>
        <v/>
      </c>
      <c r="AR216" s="207" t="str">
        <f>IFERROR(IF(ISBLANK($D216),"",VLOOKUP($N216,'TABLE CHARGE RATE'!$A$30:$K$106,10,0)),"Check")</f>
        <v/>
      </c>
      <c r="AS216" s="207" t="str">
        <f>IFERROR(IF(ISBLANK($D216),"",VLOOKUP($N216,'TABLE CHARGE RATE'!$A$30:$K$106,11,0)),"Check")</f>
        <v/>
      </c>
      <c r="AT216" s="207">
        <f t="shared" si="43"/>
        <v>215</v>
      </c>
    </row>
    <row r="217" spans="1:46" x14ac:dyDescent="0.2">
      <c r="A217" s="207" t="str">
        <f t="shared" si="37"/>
        <v/>
      </c>
      <c r="B217" s="208" t="str">
        <f>IF(ISBLANK(D217),"",VLOOKUP(WEEKDAY($C217,1),INDEX!$J$2:$K$8,2,0))</f>
        <v/>
      </c>
      <c r="C217" s="209"/>
      <c r="D217" s="207"/>
      <c r="E217" s="207"/>
      <c r="F217" s="207"/>
      <c r="G217" s="207"/>
      <c r="H217" s="207"/>
      <c r="I217" s="207"/>
      <c r="J217" s="207"/>
      <c r="K217" s="207"/>
      <c r="L217" s="207"/>
      <c r="M217" s="207"/>
      <c r="N217" s="207"/>
      <c r="O217" s="207"/>
      <c r="P217" s="207"/>
      <c r="Q217" s="207"/>
      <c r="R217" s="207"/>
      <c r="S217" s="207"/>
      <c r="T217" s="207"/>
      <c r="U217" s="209"/>
      <c r="V217" s="207"/>
      <c r="W217" s="207"/>
      <c r="X217" s="209">
        <f t="shared" si="39"/>
        <v>0</v>
      </c>
      <c r="Y217" s="209">
        <f t="shared" si="40"/>
        <v>0</v>
      </c>
      <c r="Z217" s="207">
        <v>1</v>
      </c>
      <c r="AA217" s="209" t="str">
        <f t="shared" si="38"/>
        <v/>
      </c>
      <c r="AB217" s="209"/>
      <c r="AC217" s="207">
        <v>0</v>
      </c>
      <c r="AD217" s="207"/>
      <c r="AE217" s="207"/>
      <c r="AF217" s="208" t="str">
        <f>IF(ISBLANK(D217),"",VLOOKUP(F217,'SIZE CALCULATION'!$F:$G,2,0))</f>
        <v/>
      </c>
      <c r="AG217" s="207" t="str">
        <f t="shared" si="36"/>
        <v/>
      </c>
      <c r="AH217" s="207" t="str">
        <f t="shared" si="41"/>
        <v/>
      </c>
      <c r="AI217" s="210" t="str">
        <f>IF(ISBLANK(D217),"",VLOOKUP($A217,INDEX!$D$2:$F$13,3,0))</f>
        <v/>
      </c>
      <c r="AJ217" s="207" t="str">
        <f t="shared" si="42"/>
        <v/>
      </c>
      <c r="AK217" s="207"/>
      <c r="AL217" s="207"/>
      <c r="AM217" s="207" t="str">
        <f>IFERROR(IF(ISBLANK($D217),"",VLOOKUP($N217,'TABLE CHARGE RATE'!$A$30:$K$106,5,0)),"Check")</f>
        <v/>
      </c>
      <c r="AN217" s="207" t="str">
        <f>IFERROR(IF(ISBLANK($D217),"",VLOOKUP($N217,'TABLE CHARGE RATE'!$A$30:$K$106,6,0)),"Check")</f>
        <v/>
      </c>
      <c r="AO217" s="207" t="str">
        <f>IFERROR(IF(ISBLANK($D217),"",VLOOKUP($N217,'TABLE CHARGE RATE'!$A$30:$K$106,7,0)),"Check")</f>
        <v/>
      </c>
      <c r="AP217" s="207" t="str">
        <f>IFERROR(IF(ISBLANK($D217),"",VLOOKUP($N217,'TABLE CHARGE RATE'!$A$30:$K$106,8,0)),"Check")</f>
        <v/>
      </c>
      <c r="AQ217" s="207" t="str">
        <f>IFERROR(IF(ISBLANK($D217),"",VLOOKUP($N217,'TABLE CHARGE RATE'!$A$30:$K$106,9,0)),"Check")</f>
        <v/>
      </c>
      <c r="AR217" s="207" t="str">
        <f>IFERROR(IF(ISBLANK($D217),"",VLOOKUP($N217,'TABLE CHARGE RATE'!$A$30:$K$106,10,0)),"Check")</f>
        <v/>
      </c>
      <c r="AS217" s="207" t="str">
        <f>IFERROR(IF(ISBLANK($D217),"",VLOOKUP($N217,'TABLE CHARGE RATE'!$A$30:$K$106,11,0)),"Check")</f>
        <v/>
      </c>
      <c r="AT217" s="207">
        <f t="shared" si="43"/>
        <v>216</v>
      </c>
    </row>
    <row r="218" spans="1:46" x14ac:dyDescent="0.2">
      <c r="A218" s="207" t="str">
        <f t="shared" si="37"/>
        <v/>
      </c>
      <c r="B218" s="208" t="str">
        <f>IF(ISBLANK(D218),"",VLOOKUP(WEEKDAY($C218,1),INDEX!$J$2:$K$8,2,0))</f>
        <v/>
      </c>
      <c r="C218" s="209"/>
      <c r="D218" s="207"/>
      <c r="E218" s="207"/>
      <c r="F218" s="207"/>
      <c r="G218" s="207"/>
      <c r="H218" s="207"/>
      <c r="I218" s="207"/>
      <c r="J218" s="207"/>
      <c r="K218" s="207"/>
      <c r="L218" s="207"/>
      <c r="M218" s="207"/>
      <c r="N218" s="207"/>
      <c r="O218" s="207"/>
      <c r="P218" s="207"/>
      <c r="Q218" s="207"/>
      <c r="R218" s="207"/>
      <c r="S218" s="207"/>
      <c r="T218" s="207"/>
      <c r="U218" s="209"/>
      <c r="V218" s="207"/>
      <c r="W218" s="207"/>
      <c r="X218" s="209">
        <f t="shared" si="39"/>
        <v>0</v>
      </c>
      <c r="Y218" s="209">
        <f t="shared" si="40"/>
        <v>0</v>
      </c>
      <c r="Z218" s="207">
        <v>1</v>
      </c>
      <c r="AA218" s="209" t="str">
        <f t="shared" si="38"/>
        <v/>
      </c>
      <c r="AB218" s="209"/>
      <c r="AC218" s="207">
        <v>0</v>
      </c>
      <c r="AD218" s="207"/>
      <c r="AE218" s="207"/>
      <c r="AF218" s="208" t="str">
        <f>IF(ISBLANK(D218),"",VLOOKUP(F218,'SIZE CALCULATION'!$F:$G,2,0))</f>
        <v/>
      </c>
      <c r="AG218" s="207" t="str">
        <f t="shared" si="36"/>
        <v/>
      </c>
      <c r="AH218" s="207" t="str">
        <f t="shared" si="41"/>
        <v/>
      </c>
      <c r="AI218" s="210" t="str">
        <f>IF(ISBLANK(D218),"",VLOOKUP($A218,INDEX!$D$2:$F$13,3,0))</f>
        <v/>
      </c>
      <c r="AJ218" s="207" t="str">
        <f t="shared" si="42"/>
        <v/>
      </c>
      <c r="AK218" s="207"/>
      <c r="AL218" s="207"/>
      <c r="AM218" s="207" t="str">
        <f>IFERROR(IF(ISBLANK($D218),"",VLOOKUP($N218,'TABLE CHARGE RATE'!$A$30:$K$106,5,0)),"Check")</f>
        <v/>
      </c>
      <c r="AN218" s="207" t="str">
        <f>IFERROR(IF(ISBLANK($D218),"",VLOOKUP($N218,'TABLE CHARGE RATE'!$A$30:$K$106,6,0)),"Check")</f>
        <v/>
      </c>
      <c r="AO218" s="207" t="str">
        <f>IFERROR(IF(ISBLANK($D218),"",VLOOKUP($N218,'TABLE CHARGE RATE'!$A$30:$K$106,7,0)),"Check")</f>
        <v/>
      </c>
      <c r="AP218" s="207" t="str">
        <f>IFERROR(IF(ISBLANK($D218),"",VLOOKUP($N218,'TABLE CHARGE RATE'!$A$30:$K$106,8,0)),"Check")</f>
        <v/>
      </c>
      <c r="AQ218" s="207" t="str">
        <f>IFERROR(IF(ISBLANK($D218),"",VLOOKUP($N218,'TABLE CHARGE RATE'!$A$30:$K$106,9,0)),"Check")</f>
        <v/>
      </c>
      <c r="AR218" s="207" t="str">
        <f>IFERROR(IF(ISBLANK($D218),"",VLOOKUP($N218,'TABLE CHARGE RATE'!$A$30:$K$106,10,0)),"Check")</f>
        <v/>
      </c>
      <c r="AS218" s="207" t="str">
        <f>IFERROR(IF(ISBLANK($D218),"",VLOOKUP($N218,'TABLE CHARGE RATE'!$A$30:$K$106,11,0)),"Check")</f>
        <v/>
      </c>
      <c r="AT218" s="207">
        <f t="shared" si="43"/>
        <v>217</v>
      </c>
    </row>
    <row r="219" spans="1:46" x14ac:dyDescent="0.2">
      <c r="A219" s="207" t="str">
        <f t="shared" si="37"/>
        <v/>
      </c>
      <c r="B219" s="208" t="str">
        <f>IF(ISBLANK(D219),"",VLOOKUP(WEEKDAY($C219,1),INDEX!$J$2:$K$8,2,0))</f>
        <v/>
      </c>
      <c r="C219" s="209"/>
      <c r="D219" s="207"/>
      <c r="E219" s="207"/>
      <c r="F219" s="207"/>
      <c r="G219" s="207"/>
      <c r="H219" s="207"/>
      <c r="I219" s="207"/>
      <c r="J219" s="207"/>
      <c r="K219" s="207"/>
      <c r="L219" s="207"/>
      <c r="M219" s="207"/>
      <c r="N219" s="207"/>
      <c r="O219" s="207"/>
      <c r="P219" s="207"/>
      <c r="Q219" s="207"/>
      <c r="R219" s="207"/>
      <c r="S219" s="207"/>
      <c r="T219" s="207"/>
      <c r="U219" s="209"/>
      <c r="V219" s="207"/>
      <c r="W219" s="207"/>
      <c r="X219" s="209">
        <f t="shared" si="39"/>
        <v>0</v>
      </c>
      <c r="Y219" s="209">
        <f t="shared" si="40"/>
        <v>0</v>
      </c>
      <c r="Z219" s="207">
        <v>1</v>
      </c>
      <c r="AA219" s="209" t="str">
        <f t="shared" si="38"/>
        <v/>
      </c>
      <c r="AB219" s="209"/>
      <c r="AC219" s="207">
        <v>0</v>
      </c>
      <c r="AD219" s="207"/>
      <c r="AE219" s="207"/>
      <c r="AF219" s="208" t="str">
        <f>IF(ISBLANK(D219),"",VLOOKUP(F219,'SIZE CALCULATION'!$F:$G,2,0))</f>
        <v/>
      </c>
      <c r="AG219" s="207" t="str">
        <f t="shared" si="36"/>
        <v/>
      </c>
      <c r="AH219" s="207" t="str">
        <f t="shared" si="41"/>
        <v/>
      </c>
      <c r="AI219" s="210" t="str">
        <f>IF(ISBLANK(D219),"",VLOOKUP($A219,INDEX!$D$2:$F$13,3,0))</f>
        <v/>
      </c>
      <c r="AJ219" s="207" t="str">
        <f t="shared" si="42"/>
        <v/>
      </c>
      <c r="AK219" s="207"/>
      <c r="AL219" s="207"/>
      <c r="AM219" s="207" t="str">
        <f>IFERROR(IF(ISBLANK($D219),"",VLOOKUP($N219,'TABLE CHARGE RATE'!$A$30:$K$106,5,0)),"Check")</f>
        <v/>
      </c>
      <c r="AN219" s="207" t="str">
        <f>IFERROR(IF(ISBLANK($D219),"",VLOOKUP($N219,'TABLE CHARGE RATE'!$A$30:$K$106,6,0)),"Check")</f>
        <v/>
      </c>
      <c r="AO219" s="207" t="str">
        <f>IFERROR(IF(ISBLANK($D219),"",VLOOKUP($N219,'TABLE CHARGE RATE'!$A$30:$K$106,7,0)),"Check")</f>
        <v/>
      </c>
      <c r="AP219" s="207" t="str">
        <f>IFERROR(IF(ISBLANK($D219),"",VLOOKUP($N219,'TABLE CHARGE RATE'!$A$30:$K$106,8,0)),"Check")</f>
        <v/>
      </c>
      <c r="AQ219" s="207" t="str">
        <f>IFERROR(IF(ISBLANK($D219),"",VLOOKUP($N219,'TABLE CHARGE RATE'!$A$30:$K$106,9,0)),"Check")</f>
        <v/>
      </c>
      <c r="AR219" s="207" t="str">
        <f>IFERROR(IF(ISBLANK($D219),"",VLOOKUP($N219,'TABLE CHARGE RATE'!$A$30:$K$106,10,0)),"Check")</f>
        <v/>
      </c>
      <c r="AS219" s="207" t="str">
        <f>IFERROR(IF(ISBLANK($D219),"",VLOOKUP($N219,'TABLE CHARGE RATE'!$A$30:$K$106,11,0)),"Check")</f>
        <v/>
      </c>
      <c r="AT219" s="207">
        <f t="shared" si="43"/>
        <v>218</v>
      </c>
    </row>
    <row r="220" spans="1:46" x14ac:dyDescent="0.2">
      <c r="A220" s="207" t="str">
        <f t="shared" si="37"/>
        <v/>
      </c>
      <c r="B220" s="208" t="str">
        <f>IF(ISBLANK(D220),"",VLOOKUP(WEEKDAY($C220,1),INDEX!$J$2:$K$8,2,0))</f>
        <v/>
      </c>
      <c r="C220" s="209"/>
      <c r="D220" s="207"/>
      <c r="E220" s="207"/>
      <c r="F220" s="207"/>
      <c r="G220" s="207"/>
      <c r="H220" s="207"/>
      <c r="I220" s="207"/>
      <c r="J220" s="207"/>
      <c r="K220" s="207"/>
      <c r="L220" s="207"/>
      <c r="M220" s="207"/>
      <c r="N220" s="207"/>
      <c r="O220" s="207"/>
      <c r="P220" s="207"/>
      <c r="Q220" s="207"/>
      <c r="R220" s="207"/>
      <c r="S220" s="207"/>
      <c r="T220" s="207"/>
      <c r="U220" s="209"/>
      <c r="V220" s="207"/>
      <c r="W220" s="207"/>
      <c r="X220" s="209">
        <f t="shared" si="39"/>
        <v>0</v>
      </c>
      <c r="Y220" s="209">
        <f t="shared" si="40"/>
        <v>0</v>
      </c>
      <c r="Z220" s="207">
        <v>1</v>
      </c>
      <c r="AA220" s="209" t="str">
        <f t="shared" si="38"/>
        <v/>
      </c>
      <c r="AB220" s="209"/>
      <c r="AC220" s="207">
        <v>0</v>
      </c>
      <c r="AD220" s="207"/>
      <c r="AE220" s="207"/>
      <c r="AF220" s="208" t="str">
        <f>IF(ISBLANK(D220),"",VLOOKUP(F220,'SIZE CALCULATION'!$F:$G,2,0))</f>
        <v/>
      </c>
      <c r="AG220" s="207" t="str">
        <f t="shared" si="36"/>
        <v/>
      </c>
      <c r="AH220" s="207" t="str">
        <f t="shared" si="41"/>
        <v/>
      </c>
      <c r="AI220" s="210" t="str">
        <f>IF(ISBLANK(D220),"",VLOOKUP($A220,INDEX!$D$2:$F$13,3,0))</f>
        <v/>
      </c>
      <c r="AJ220" s="207" t="str">
        <f t="shared" si="42"/>
        <v/>
      </c>
      <c r="AK220" s="207"/>
      <c r="AL220" s="207"/>
      <c r="AM220" s="207" t="str">
        <f>IFERROR(IF(ISBLANK($D220),"",VLOOKUP($N220,'TABLE CHARGE RATE'!$A$30:$K$106,5,0)),"Check")</f>
        <v/>
      </c>
      <c r="AN220" s="207" t="str">
        <f>IFERROR(IF(ISBLANK($D220),"",VLOOKUP($N220,'TABLE CHARGE RATE'!$A$30:$K$106,6,0)),"Check")</f>
        <v/>
      </c>
      <c r="AO220" s="207" t="str">
        <f>IFERROR(IF(ISBLANK($D220),"",VLOOKUP($N220,'TABLE CHARGE RATE'!$A$30:$K$106,7,0)),"Check")</f>
        <v/>
      </c>
      <c r="AP220" s="207" t="str">
        <f>IFERROR(IF(ISBLANK($D220),"",VLOOKUP($N220,'TABLE CHARGE RATE'!$A$30:$K$106,8,0)),"Check")</f>
        <v/>
      </c>
      <c r="AQ220" s="207" t="str">
        <f>IFERROR(IF(ISBLANK($D220),"",VLOOKUP($N220,'TABLE CHARGE RATE'!$A$30:$K$106,9,0)),"Check")</f>
        <v/>
      </c>
      <c r="AR220" s="207" t="str">
        <f>IFERROR(IF(ISBLANK($D220),"",VLOOKUP($N220,'TABLE CHARGE RATE'!$A$30:$K$106,10,0)),"Check")</f>
        <v/>
      </c>
      <c r="AS220" s="207" t="str">
        <f>IFERROR(IF(ISBLANK($D220),"",VLOOKUP($N220,'TABLE CHARGE RATE'!$A$30:$K$106,11,0)),"Check")</f>
        <v/>
      </c>
      <c r="AT220" s="207">
        <f t="shared" si="43"/>
        <v>219</v>
      </c>
    </row>
    <row r="221" spans="1:46" x14ac:dyDescent="0.2">
      <c r="A221" s="207" t="str">
        <f t="shared" si="37"/>
        <v/>
      </c>
      <c r="B221" s="208" t="str">
        <f>IF(ISBLANK(D221),"",VLOOKUP(WEEKDAY($C221,1),INDEX!$J$2:$K$8,2,0))</f>
        <v/>
      </c>
      <c r="C221" s="209"/>
      <c r="D221" s="207"/>
      <c r="E221" s="207"/>
      <c r="F221" s="207"/>
      <c r="G221" s="207"/>
      <c r="H221" s="207"/>
      <c r="I221" s="207"/>
      <c r="J221" s="207"/>
      <c r="K221" s="207"/>
      <c r="L221" s="207"/>
      <c r="M221" s="207"/>
      <c r="N221" s="207"/>
      <c r="O221" s="207"/>
      <c r="P221" s="207"/>
      <c r="Q221" s="207"/>
      <c r="R221" s="207"/>
      <c r="S221" s="207"/>
      <c r="T221" s="207"/>
      <c r="U221" s="209"/>
      <c r="V221" s="207"/>
      <c r="W221" s="207"/>
      <c r="X221" s="209">
        <f t="shared" si="39"/>
        <v>0</v>
      </c>
      <c r="Y221" s="209">
        <f t="shared" si="40"/>
        <v>0</v>
      </c>
      <c r="Z221" s="207">
        <v>1</v>
      </c>
      <c r="AA221" s="209" t="str">
        <f t="shared" si="38"/>
        <v/>
      </c>
      <c r="AB221" s="209"/>
      <c r="AC221" s="207">
        <v>0</v>
      </c>
      <c r="AD221" s="207"/>
      <c r="AE221" s="207"/>
      <c r="AF221" s="208" t="str">
        <f>IF(ISBLANK(D221),"",VLOOKUP(F221,'SIZE CALCULATION'!$F:$G,2,0))</f>
        <v/>
      </c>
      <c r="AG221" s="207" t="str">
        <f t="shared" si="36"/>
        <v/>
      </c>
      <c r="AH221" s="207" t="str">
        <f t="shared" si="41"/>
        <v/>
      </c>
      <c r="AI221" s="210" t="str">
        <f>IF(ISBLANK(D221),"",VLOOKUP($A221,INDEX!$D$2:$F$13,3,0))</f>
        <v/>
      </c>
      <c r="AJ221" s="207" t="str">
        <f t="shared" si="42"/>
        <v/>
      </c>
      <c r="AK221" s="207"/>
      <c r="AL221" s="207"/>
      <c r="AM221" s="207" t="str">
        <f>IFERROR(IF(ISBLANK($D221),"",VLOOKUP($N221,'TABLE CHARGE RATE'!$A$30:$K$106,5,0)),"Check")</f>
        <v/>
      </c>
      <c r="AN221" s="207" t="str">
        <f>IFERROR(IF(ISBLANK($D221),"",VLOOKUP($N221,'TABLE CHARGE RATE'!$A$30:$K$106,6,0)),"Check")</f>
        <v/>
      </c>
      <c r="AO221" s="207" t="str">
        <f>IFERROR(IF(ISBLANK($D221),"",VLOOKUP($N221,'TABLE CHARGE RATE'!$A$30:$K$106,7,0)),"Check")</f>
        <v/>
      </c>
      <c r="AP221" s="207" t="str">
        <f>IFERROR(IF(ISBLANK($D221),"",VLOOKUP($N221,'TABLE CHARGE RATE'!$A$30:$K$106,8,0)),"Check")</f>
        <v/>
      </c>
      <c r="AQ221" s="207" t="str">
        <f>IFERROR(IF(ISBLANK($D221),"",VLOOKUP($N221,'TABLE CHARGE RATE'!$A$30:$K$106,9,0)),"Check")</f>
        <v/>
      </c>
      <c r="AR221" s="207" t="str">
        <f>IFERROR(IF(ISBLANK($D221),"",VLOOKUP($N221,'TABLE CHARGE RATE'!$A$30:$K$106,10,0)),"Check")</f>
        <v/>
      </c>
      <c r="AS221" s="207" t="str">
        <f>IFERROR(IF(ISBLANK($D221),"",VLOOKUP($N221,'TABLE CHARGE RATE'!$A$30:$K$106,11,0)),"Check")</f>
        <v/>
      </c>
      <c r="AT221" s="207">
        <f t="shared" si="43"/>
        <v>220</v>
      </c>
    </row>
    <row r="222" spans="1:46" x14ac:dyDescent="0.2">
      <c r="A222" s="207" t="str">
        <f t="shared" si="37"/>
        <v/>
      </c>
      <c r="B222" s="208" t="str">
        <f>IF(ISBLANK(D222),"",VLOOKUP(WEEKDAY($C222,1),INDEX!$J$2:$K$8,2,0))</f>
        <v/>
      </c>
      <c r="C222" s="209"/>
      <c r="D222" s="207"/>
      <c r="E222" s="207"/>
      <c r="F222" s="207"/>
      <c r="G222" s="207"/>
      <c r="H222" s="207"/>
      <c r="I222" s="207"/>
      <c r="J222" s="207"/>
      <c r="K222" s="207"/>
      <c r="L222" s="207"/>
      <c r="M222" s="207"/>
      <c r="N222" s="207"/>
      <c r="O222" s="207"/>
      <c r="P222" s="207"/>
      <c r="Q222" s="207"/>
      <c r="R222" s="207"/>
      <c r="S222" s="207"/>
      <c r="T222" s="207"/>
      <c r="U222" s="209"/>
      <c r="V222" s="207"/>
      <c r="W222" s="207"/>
      <c r="X222" s="209">
        <f t="shared" si="39"/>
        <v>0</v>
      </c>
      <c r="Y222" s="209">
        <f t="shared" si="40"/>
        <v>0</v>
      </c>
      <c r="Z222" s="207">
        <v>1</v>
      </c>
      <c r="AA222" s="209" t="str">
        <f t="shared" si="38"/>
        <v/>
      </c>
      <c r="AB222" s="209"/>
      <c r="AC222" s="207">
        <v>0</v>
      </c>
      <c r="AD222" s="207"/>
      <c r="AE222" s="207"/>
      <c r="AF222" s="208" t="str">
        <f>IF(ISBLANK(D222),"",VLOOKUP(F222,'SIZE CALCULATION'!$F:$G,2,0))</f>
        <v/>
      </c>
      <c r="AG222" s="207" t="str">
        <f t="shared" si="36"/>
        <v/>
      </c>
      <c r="AH222" s="207" t="str">
        <f t="shared" si="41"/>
        <v/>
      </c>
      <c r="AI222" s="210" t="str">
        <f>IF(ISBLANK(D222),"",VLOOKUP($A222,INDEX!$D$2:$F$13,3,0))</f>
        <v/>
      </c>
      <c r="AJ222" s="207" t="str">
        <f t="shared" si="42"/>
        <v/>
      </c>
      <c r="AK222" s="207"/>
      <c r="AL222" s="207"/>
      <c r="AM222" s="207" t="str">
        <f>IFERROR(IF(ISBLANK($D222),"",VLOOKUP($N222,'TABLE CHARGE RATE'!$A$30:$K$106,5,0)),"Check")</f>
        <v/>
      </c>
      <c r="AN222" s="207" t="str">
        <f>IFERROR(IF(ISBLANK($D222),"",VLOOKUP($N222,'TABLE CHARGE RATE'!$A$30:$K$106,6,0)),"Check")</f>
        <v/>
      </c>
      <c r="AO222" s="207" t="str">
        <f>IFERROR(IF(ISBLANK($D222),"",VLOOKUP($N222,'TABLE CHARGE RATE'!$A$30:$K$106,7,0)),"Check")</f>
        <v/>
      </c>
      <c r="AP222" s="207" t="str">
        <f>IFERROR(IF(ISBLANK($D222),"",VLOOKUP($N222,'TABLE CHARGE RATE'!$A$30:$K$106,8,0)),"Check")</f>
        <v/>
      </c>
      <c r="AQ222" s="207" t="str">
        <f>IFERROR(IF(ISBLANK($D222),"",VLOOKUP($N222,'TABLE CHARGE RATE'!$A$30:$K$106,9,0)),"Check")</f>
        <v/>
      </c>
      <c r="AR222" s="207" t="str">
        <f>IFERROR(IF(ISBLANK($D222),"",VLOOKUP($N222,'TABLE CHARGE RATE'!$A$30:$K$106,10,0)),"Check")</f>
        <v/>
      </c>
      <c r="AS222" s="207" t="str">
        <f>IFERROR(IF(ISBLANK($D222),"",VLOOKUP($N222,'TABLE CHARGE RATE'!$A$30:$K$106,11,0)),"Check")</f>
        <v/>
      </c>
      <c r="AT222" s="207">
        <f t="shared" si="43"/>
        <v>221</v>
      </c>
    </row>
    <row r="223" spans="1:46" x14ac:dyDescent="0.2">
      <c r="A223" s="207" t="str">
        <f t="shared" si="37"/>
        <v/>
      </c>
      <c r="B223" s="208" t="str">
        <f>IF(ISBLANK(D223),"",VLOOKUP(WEEKDAY($C223,1),INDEX!$J$2:$K$8,2,0))</f>
        <v/>
      </c>
      <c r="C223" s="209"/>
      <c r="D223" s="207"/>
      <c r="E223" s="207"/>
      <c r="F223" s="207"/>
      <c r="G223" s="207"/>
      <c r="H223" s="207"/>
      <c r="I223" s="207"/>
      <c r="J223" s="207"/>
      <c r="K223" s="207"/>
      <c r="L223" s="207"/>
      <c r="M223" s="207"/>
      <c r="N223" s="207"/>
      <c r="O223" s="207"/>
      <c r="P223" s="207"/>
      <c r="Q223" s="207"/>
      <c r="R223" s="207"/>
      <c r="S223" s="207"/>
      <c r="T223" s="207"/>
      <c r="U223" s="209"/>
      <c r="V223" s="207"/>
      <c r="W223" s="207"/>
      <c r="X223" s="209">
        <f t="shared" si="39"/>
        <v>0</v>
      </c>
      <c r="Y223" s="209">
        <f t="shared" si="40"/>
        <v>0</v>
      </c>
      <c r="Z223" s="207">
        <v>1</v>
      </c>
      <c r="AA223" s="209" t="str">
        <f t="shared" si="38"/>
        <v/>
      </c>
      <c r="AB223" s="209"/>
      <c r="AC223" s="207">
        <v>0</v>
      </c>
      <c r="AD223" s="207"/>
      <c r="AE223" s="207"/>
      <c r="AF223" s="208" t="str">
        <f>IF(ISBLANK(D223),"",VLOOKUP(F223,'SIZE CALCULATION'!$F:$G,2,0))</f>
        <v/>
      </c>
      <c r="AG223" s="207" t="str">
        <f t="shared" si="36"/>
        <v/>
      </c>
      <c r="AH223" s="207" t="str">
        <f t="shared" si="41"/>
        <v/>
      </c>
      <c r="AI223" s="210" t="str">
        <f>IF(ISBLANK(D223),"",VLOOKUP($A223,INDEX!$D$2:$F$13,3,0))</f>
        <v/>
      </c>
      <c r="AJ223" s="207" t="str">
        <f t="shared" si="42"/>
        <v/>
      </c>
      <c r="AK223" s="207"/>
      <c r="AL223" s="207"/>
      <c r="AM223" s="207" t="str">
        <f>IFERROR(IF(ISBLANK($D223),"",VLOOKUP($N223,'TABLE CHARGE RATE'!$A$30:$K$106,5,0)),"Check")</f>
        <v/>
      </c>
      <c r="AN223" s="207" t="str">
        <f>IFERROR(IF(ISBLANK($D223),"",VLOOKUP($N223,'TABLE CHARGE RATE'!$A$30:$K$106,6,0)),"Check")</f>
        <v/>
      </c>
      <c r="AO223" s="207" t="str">
        <f>IFERROR(IF(ISBLANK($D223),"",VLOOKUP($N223,'TABLE CHARGE RATE'!$A$30:$K$106,7,0)),"Check")</f>
        <v/>
      </c>
      <c r="AP223" s="207" t="str">
        <f>IFERROR(IF(ISBLANK($D223),"",VLOOKUP($N223,'TABLE CHARGE RATE'!$A$30:$K$106,8,0)),"Check")</f>
        <v/>
      </c>
      <c r="AQ223" s="207" t="str">
        <f>IFERROR(IF(ISBLANK($D223),"",VLOOKUP($N223,'TABLE CHARGE RATE'!$A$30:$K$106,9,0)),"Check")</f>
        <v/>
      </c>
      <c r="AR223" s="207" t="str">
        <f>IFERROR(IF(ISBLANK($D223),"",VLOOKUP($N223,'TABLE CHARGE RATE'!$A$30:$K$106,10,0)),"Check")</f>
        <v/>
      </c>
      <c r="AS223" s="207" t="str">
        <f>IFERROR(IF(ISBLANK($D223),"",VLOOKUP($N223,'TABLE CHARGE RATE'!$A$30:$K$106,11,0)),"Check")</f>
        <v/>
      </c>
      <c r="AT223" s="207">
        <f t="shared" si="43"/>
        <v>222</v>
      </c>
    </row>
    <row r="224" spans="1:46" x14ac:dyDescent="0.2">
      <c r="A224" s="207" t="str">
        <f t="shared" si="37"/>
        <v/>
      </c>
      <c r="B224" s="208" t="str">
        <f>IF(ISBLANK(D224),"",VLOOKUP(WEEKDAY($C224,1),INDEX!$J$2:$K$8,2,0))</f>
        <v/>
      </c>
      <c r="C224" s="209"/>
      <c r="D224" s="207"/>
      <c r="E224" s="207"/>
      <c r="F224" s="207"/>
      <c r="G224" s="207"/>
      <c r="H224" s="207"/>
      <c r="I224" s="207"/>
      <c r="J224" s="207"/>
      <c r="K224" s="207"/>
      <c r="L224" s="207"/>
      <c r="M224" s="207"/>
      <c r="N224" s="207"/>
      <c r="O224" s="207"/>
      <c r="P224" s="207"/>
      <c r="Q224" s="207"/>
      <c r="R224" s="207"/>
      <c r="S224" s="207"/>
      <c r="T224" s="207"/>
      <c r="U224" s="209"/>
      <c r="V224" s="207"/>
      <c r="W224" s="207"/>
      <c r="X224" s="209">
        <f t="shared" si="39"/>
        <v>0</v>
      </c>
      <c r="Y224" s="209">
        <f t="shared" si="40"/>
        <v>0</v>
      </c>
      <c r="Z224" s="207">
        <v>1</v>
      </c>
      <c r="AA224" s="209" t="str">
        <f t="shared" si="38"/>
        <v/>
      </c>
      <c r="AB224" s="209"/>
      <c r="AC224" s="207">
        <v>0</v>
      </c>
      <c r="AD224" s="207"/>
      <c r="AE224" s="207"/>
      <c r="AF224" s="208" t="str">
        <f>IF(ISBLANK(D224),"",VLOOKUP(F224,'SIZE CALCULATION'!$F:$G,2,0))</f>
        <v/>
      </c>
      <c r="AG224" s="207" t="str">
        <f t="shared" si="36"/>
        <v/>
      </c>
      <c r="AH224" s="207" t="str">
        <f t="shared" si="41"/>
        <v/>
      </c>
      <c r="AI224" s="210" t="str">
        <f>IF(ISBLANK(D224),"",VLOOKUP($A224,INDEX!$D$2:$F$13,3,0))</f>
        <v/>
      </c>
      <c r="AJ224" s="207" t="str">
        <f t="shared" si="42"/>
        <v/>
      </c>
      <c r="AK224" s="207"/>
      <c r="AL224" s="207"/>
      <c r="AM224" s="207" t="str">
        <f>IFERROR(IF(ISBLANK($D224),"",VLOOKUP($N224,'TABLE CHARGE RATE'!$A$30:$K$106,5,0)),"Check")</f>
        <v/>
      </c>
      <c r="AN224" s="207" t="str">
        <f>IFERROR(IF(ISBLANK($D224),"",VLOOKUP($N224,'TABLE CHARGE RATE'!$A$30:$K$106,6,0)),"Check")</f>
        <v/>
      </c>
      <c r="AO224" s="207" t="str">
        <f>IFERROR(IF(ISBLANK($D224),"",VLOOKUP($N224,'TABLE CHARGE RATE'!$A$30:$K$106,7,0)),"Check")</f>
        <v/>
      </c>
      <c r="AP224" s="207" t="str">
        <f>IFERROR(IF(ISBLANK($D224),"",VLOOKUP($N224,'TABLE CHARGE RATE'!$A$30:$K$106,8,0)),"Check")</f>
        <v/>
      </c>
      <c r="AQ224" s="207" t="str">
        <f>IFERROR(IF(ISBLANK($D224),"",VLOOKUP($N224,'TABLE CHARGE RATE'!$A$30:$K$106,9,0)),"Check")</f>
        <v/>
      </c>
      <c r="AR224" s="207" t="str">
        <f>IFERROR(IF(ISBLANK($D224),"",VLOOKUP($N224,'TABLE CHARGE RATE'!$A$30:$K$106,10,0)),"Check")</f>
        <v/>
      </c>
      <c r="AS224" s="207" t="str">
        <f>IFERROR(IF(ISBLANK($D224),"",VLOOKUP($N224,'TABLE CHARGE RATE'!$A$30:$K$106,11,0)),"Check")</f>
        <v/>
      </c>
      <c r="AT224" s="207">
        <f t="shared" si="43"/>
        <v>223</v>
      </c>
    </row>
    <row r="225" spans="1:46" x14ac:dyDescent="0.2">
      <c r="A225" s="207" t="str">
        <f t="shared" si="37"/>
        <v/>
      </c>
      <c r="B225" s="208" t="str">
        <f>IF(ISBLANK(D225),"",VLOOKUP(WEEKDAY($C225,1),INDEX!$J$2:$K$8,2,0))</f>
        <v/>
      </c>
      <c r="C225" s="209"/>
      <c r="D225" s="207"/>
      <c r="E225" s="207"/>
      <c r="F225" s="207"/>
      <c r="G225" s="207"/>
      <c r="H225" s="207"/>
      <c r="I225" s="207"/>
      <c r="J225" s="207"/>
      <c r="K225" s="207"/>
      <c r="L225" s="207"/>
      <c r="M225" s="207"/>
      <c r="N225" s="207"/>
      <c r="O225" s="207"/>
      <c r="P225" s="207"/>
      <c r="Q225" s="207"/>
      <c r="R225" s="207"/>
      <c r="S225" s="207"/>
      <c r="T225" s="207"/>
      <c r="U225" s="209"/>
      <c r="V225" s="207"/>
      <c r="W225" s="207"/>
      <c r="X225" s="209">
        <f t="shared" si="39"/>
        <v>0</v>
      </c>
      <c r="Y225" s="209">
        <f t="shared" si="40"/>
        <v>0</v>
      </c>
      <c r="Z225" s="207">
        <v>1</v>
      </c>
      <c r="AA225" s="209" t="str">
        <f t="shared" si="38"/>
        <v/>
      </c>
      <c r="AB225" s="209"/>
      <c r="AC225" s="207">
        <v>0</v>
      </c>
      <c r="AD225" s="207"/>
      <c r="AE225" s="207"/>
      <c r="AF225" s="208" t="str">
        <f>IF(ISBLANK(D225),"",VLOOKUP(F225,'SIZE CALCULATION'!$F:$G,2,0))</f>
        <v/>
      </c>
      <c r="AG225" s="207" t="str">
        <f t="shared" si="36"/>
        <v/>
      </c>
      <c r="AH225" s="207" t="str">
        <f t="shared" si="41"/>
        <v/>
      </c>
      <c r="AI225" s="210" t="str">
        <f>IF(ISBLANK(D225),"",VLOOKUP($A225,INDEX!$D$2:$F$13,3,0))</f>
        <v/>
      </c>
      <c r="AJ225" s="207" t="str">
        <f t="shared" si="42"/>
        <v/>
      </c>
      <c r="AK225" s="207"/>
      <c r="AL225" s="207"/>
      <c r="AM225" s="207" t="str">
        <f>IFERROR(IF(ISBLANK($D225),"",VLOOKUP($N225,'TABLE CHARGE RATE'!$A$30:$K$106,5,0)),"Check")</f>
        <v/>
      </c>
      <c r="AN225" s="207" t="str">
        <f>IFERROR(IF(ISBLANK($D225),"",VLOOKUP($N225,'TABLE CHARGE RATE'!$A$30:$K$106,6,0)),"Check")</f>
        <v/>
      </c>
      <c r="AO225" s="207" t="str">
        <f>IFERROR(IF(ISBLANK($D225),"",VLOOKUP($N225,'TABLE CHARGE RATE'!$A$30:$K$106,7,0)),"Check")</f>
        <v/>
      </c>
      <c r="AP225" s="207" t="str">
        <f>IFERROR(IF(ISBLANK($D225),"",VLOOKUP($N225,'TABLE CHARGE RATE'!$A$30:$K$106,8,0)),"Check")</f>
        <v/>
      </c>
      <c r="AQ225" s="207" t="str">
        <f>IFERROR(IF(ISBLANK($D225),"",VLOOKUP($N225,'TABLE CHARGE RATE'!$A$30:$K$106,9,0)),"Check")</f>
        <v/>
      </c>
      <c r="AR225" s="207" t="str">
        <f>IFERROR(IF(ISBLANK($D225),"",VLOOKUP($N225,'TABLE CHARGE RATE'!$A$30:$K$106,10,0)),"Check")</f>
        <v/>
      </c>
      <c r="AS225" s="207" t="str">
        <f>IFERROR(IF(ISBLANK($D225),"",VLOOKUP($N225,'TABLE CHARGE RATE'!$A$30:$K$106,11,0)),"Check")</f>
        <v/>
      </c>
      <c r="AT225" s="207">
        <f t="shared" si="43"/>
        <v>224</v>
      </c>
    </row>
    <row r="226" spans="1:46" x14ac:dyDescent="0.2">
      <c r="A226" s="207" t="str">
        <f t="shared" si="37"/>
        <v/>
      </c>
      <c r="B226" s="208" t="str">
        <f>IF(ISBLANK(D226),"",VLOOKUP(WEEKDAY($C226,1),INDEX!$J$2:$K$8,2,0))</f>
        <v/>
      </c>
      <c r="C226" s="209"/>
      <c r="D226" s="207"/>
      <c r="E226" s="207"/>
      <c r="F226" s="207"/>
      <c r="G226" s="207"/>
      <c r="H226" s="207"/>
      <c r="I226" s="207"/>
      <c r="J226" s="207"/>
      <c r="K226" s="207"/>
      <c r="L226" s="207"/>
      <c r="M226" s="207"/>
      <c r="N226" s="207"/>
      <c r="O226" s="207"/>
      <c r="P226" s="207"/>
      <c r="Q226" s="207"/>
      <c r="R226" s="207"/>
      <c r="S226" s="207"/>
      <c r="T226" s="207"/>
      <c r="U226" s="209"/>
      <c r="V226" s="207"/>
      <c r="W226" s="207"/>
      <c r="X226" s="209">
        <f t="shared" si="39"/>
        <v>0</v>
      </c>
      <c r="Y226" s="209">
        <f t="shared" si="40"/>
        <v>0</v>
      </c>
      <c r="Z226" s="207">
        <v>1</v>
      </c>
      <c r="AA226" s="209" t="str">
        <f t="shared" si="38"/>
        <v/>
      </c>
      <c r="AB226" s="209"/>
      <c r="AC226" s="207">
        <v>0</v>
      </c>
      <c r="AD226" s="207"/>
      <c r="AE226" s="207"/>
      <c r="AF226" s="208" t="str">
        <f>IF(ISBLANK(D226),"",VLOOKUP(F226,'SIZE CALCULATION'!$F:$G,2,0))</f>
        <v/>
      </c>
      <c r="AG226" s="207" t="str">
        <f t="shared" si="36"/>
        <v/>
      </c>
      <c r="AH226" s="207" t="str">
        <f t="shared" si="41"/>
        <v/>
      </c>
      <c r="AI226" s="210" t="str">
        <f>IF(ISBLANK(D226),"",VLOOKUP($A226,INDEX!$D$2:$F$13,3,0))</f>
        <v/>
      </c>
      <c r="AJ226" s="207" t="str">
        <f t="shared" si="42"/>
        <v/>
      </c>
      <c r="AK226" s="207"/>
      <c r="AL226" s="207"/>
      <c r="AM226" s="207" t="str">
        <f>IFERROR(IF(ISBLANK($D226),"",VLOOKUP($N226,'TABLE CHARGE RATE'!$A$30:$K$106,5,0)),"Check")</f>
        <v/>
      </c>
      <c r="AN226" s="207" t="str">
        <f>IFERROR(IF(ISBLANK($D226),"",VLOOKUP($N226,'TABLE CHARGE RATE'!$A$30:$K$106,6,0)),"Check")</f>
        <v/>
      </c>
      <c r="AO226" s="207" t="str">
        <f>IFERROR(IF(ISBLANK($D226),"",VLOOKUP($N226,'TABLE CHARGE RATE'!$A$30:$K$106,7,0)),"Check")</f>
        <v/>
      </c>
      <c r="AP226" s="207" t="str">
        <f>IFERROR(IF(ISBLANK($D226),"",VLOOKUP($N226,'TABLE CHARGE RATE'!$A$30:$K$106,8,0)),"Check")</f>
        <v/>
      </c>
      <c r="AQ226" s="207" t="str">
        <f>IFERROR(IF(ISBLANK($D226),"",VLOOKUP($N226,'TABLE CHARGE RATE'!$A$30:$K$106,9,0)),"Check")</f>
        <v/>
      </c>
      <c r="AR226" s="207" t="str">
        <f>IFERROR(IF(ISBLANK($D226),"",VLOOKUP($N226,'TABLE CHARGE RATE'!$A$30:$K$106,10,0)),"Check")</f>
        <v/>
      </c>
      <c r="AS226" s="207" t="str">
        <f>IFERROR(IF(ISBLANK($D226),"",VLOOKUP($N226,'TABLE CHARGE RATE'!$A$30:$K$106,11,0)),"Check")</f>
        <v/>
      </c>
      <c r="AT226" s="207">
        <f t="shared" si="43"/>
        <v>225</v>
      </c>
    </row>
    <row r="227" spans="1:46" x14ac:dyDescent="0.2">
      <c r="A227" s="207" t="str">
        <f t="shared" si="37"/>
        <v/>
      </c>
      <c r="B227" s="208" t="str">
        <f>IF(ISBLANK(D227),"",VLOOKUP(WEEKDAY($C227,1),INDEX!$J$2:$K$8,2,0))</f>
        <v/>
      </c>
      <c r="C227" s="209"/>
      <c r="D227" s="207"/>
      <c r="E227" s="207"/>
      <c r="F227" s="207"/>
      <c r="G227" s="207"/>
      <c r="H227" s="207"/>
      <c r="I227" s="207"/>
      <c r="J227" s="207"/>
      <c r="K227" s="207"/>
      <c r="L227" s="207"/>
      <c r="M227" s="207"/>
      <c r="N227" s="207"/>
      <c r="O227" s="207"/>
      <c r="P227" s="207"/>
      <c r="Q227" s="207"/>
      <c r="R227" s="207"/>
      <c r="S227" s="207"/>
      <c r="T227" s="207"/>
      <c r="U227" s="209"/>
      <c r="V227" s="207"/>
      <c r="W227" s="207"/>
      <c r="X227" s="209">
        <f t="shared" si="39"/>
        <v>0</v>
      </c>
      <c r="Y227" s="209">
        <f t="shared" si="40"/>
        <v>0</v>
      </c>
      <c r="Z227" s="207">
        <v>1</v>
      </c>
      <c r="AA227" s="209" t="str">
        <f t="shared" si="38"/>
        <v/>
      </c>
      <c r="AB227" s="209"/>
      <c r="AC227" s="207">
        <v>0</v>
      </c>
      <c r="AD227" s="207"/>
      <c r="AE227" s="207"/>
      <c r="AF227" s="208" t="str">
        <f>IF(ISBLANK(D227),"",VLOOKUP(F227,'SIZE CALCULATION'!$F:$G,2,0))</f>
        <v/>
      </c>
      <c r="AG227" s="207" t="str">
        <f t="shared" si="36"/>
        <v/>
      </c>
      <c r="AH227" s="207" t="str">
        <f t="shared" si="41"/>
        <v/>
      </c>
      <c r="AI227" s="210" t="str">
        <f>IF(ISBLANK(D227),"",VLOOKUP($A227,INDEX!$D$2:$F$13,3,0))</f>
        <v/>
      </c>
      <c r="AJ227" s="207" t="str">
        <f t="shared" si="42"/>
        <v/>
      </c>
      <c r="AK227" s="207"/>
      <c r="AL227" s="207"/>
      <c r="AM227" s="207" t="str">
        <f>IFERROR(IF(ISBLANK($D227),"",VLOOKUP($N227,'TABLE CHARGE RATE'!$A$30:$K$106,5,0)),"Check")</f>
        <v/>
      </c>
      <c r="AN227" s="207" t="str">
        <f>IFERROR(IF(ISBLANK($D227),"",VLOOKUP($N227,'TABLE CHARGE RATE'!$A$30:$K$106,6,0)),"Check")</f>
        <v/>
      </c>
      <c r="AO227" s="207" t="str">
        <f>IFERROR(IF(ISBLANK($D227),"",VLOOKUP($N227,'TABLE CHARGE RATE'!$A$30:$K$106,7,0)),"Check")</f>
        <v/>
      </c>
      <c r="AP227" s="207" t="str">
        <f>IFERROR(IF(ISBLANK($D227),"",VLOOKUP($N227,'TABLE CHARGE RATE'!$A$30:$K$106,8,0)),"Check")</f>
        <v/>
      </c>
      <c r="AQ227" s="207" t="str">
        <f>IFERROR(IF(ISBLANK($D227),"",VLOOKUP($N227,'TABLE CHARGE RATE'!$A$30:$K$106,9,0)),"Check")</f>
        <v/>
      </c>
      <c r="AR227" s="207" t="str">
        <f>IFERROR(IF(ISBLANK($D227),"",VLOOKUP($N227,'TABLE CHARGE RATE'!$A$30:$K$106,10,0)),"Check")</f>
        <v/>
      </c>
      <c r="AS227" s="207" t="str">
        <f>IFERROR(IF(ISBLANK($D227),"",VLOOKUP($N227,'TABLE CHARGE RATE'!$A$30:$K$106,11,0)),"Check")</f>
        <v/>
      </c>
      <c r="AT227" s="207">
        <f t="shared" si="43"/>
        <v>226</v>
      </c>
    </row>
    <row r="228" spans="1:46" x14ac:dyDescent="0.2">
      <c r="A228" s="207" t="str">
        <f t="shared" si="37"/>
        <v/>
      </c>
      <c r="B228" s="208" t="str">
        <f>IF(ISBLANK(D228),"",VLOOKUP(WEEKDAY($C228,1),INDEX!$J$2:$K$8,2,0))</f>
        <v/>
      </c>
      <c r="C228" s="209"/>
      <c r="D228" s="207"/>
      <c r="E228" s="207"/>
      <c r="F228" s="207"/>
      <c r="G228" s="207"/>
      <c r="H228" s="207"/>
      <c r="I228" s="207"/>
      <c r="J228" s="207"/>
      <c r="K228" s="207"/>
      <c r="L228" s="207"/>
      <c r="M228" s="207"/>
      <c r="N228" s="207"/>
      <c r="O228" s="207"/>
      <c r="P228" s="207"/>
      <c r="Q228" s="207"/>
      <c r="R228" s="207"/>
      <c r="S228" s="207"/>
      <c r="T228" s="207"/>
      <c r="U228" s="209"/>
      <c r="V228" s="207"/>
      <c r="W228" s="207"/>
      <c r="X228" s="209">
        <f t="shared" si="39"/>
        <v>0</v>
      </c>
      <c r="Y228" s="209">
        <f t="shared" si="40"/>
        <v>0</v>
      </c>
      <c r="Z228" s="207">
        <v>1</v>
      </c>
      <c r="AA228" s="209" t="str">
        <f t="shared" si="38"/>
        <v/>
      </c>
      <c r="AB228" s="209"/>
      <c r="AC228" s="207">
        <v>0</v>
      </c>
      <c r="AD228" s="207"/>
      <c r="AE228" s="207"/>
      <c r="AF228" s="208" t="str">
        <f>IF(ISBLANK(D228),"",VLOOKUP(F228,'SIZE CALCULATION'!$F:$G,2,0))</f>
        <v/>
      </c>
      <c r="AG228" s="207" t="str">
        <f t="shared" si="36"/>
        <v/>
      </c>
      <c r="AH228" s="207" t="str">
        <f t="shared" si="41"/>
        <v/>
      </c>
      <c r="AI228" s="210" t="str">
        <f>IF(ISBLANK(D228),"",VLOOKUP($A228,INDEX!$D$2:$F$13,3,0))</f>
        <v/>
      </c>
      <c r="AJ228" s="207" t="str">
        <f t="shared" si="42"/>
        <v/>
      </c>
      <c r="AK228" s="207"/>
      <c r="AL228" s="207"/>
      <c r="AM228" s="207" t="str">
        <f>IFERROR(IF(ISBLANK($D228),"",VLOOKUP($N228,'TABLE CHARGE RATE'!$A$30:$K$106,5,0)),"Check")</f>
        <v/>
      </c>
      <c r="AN228" s="207" t="str">
        <f>IFERROR(IF(ISBLANK($D228),"",VLOOKUP($N228,'TABLE CHARGE RATE'!$A$30:$K$106,6,0)),"Check")</f>
        <v/>
      </c>
      <c r="AO228" s="207" t="str">
        <f>IFERROR(IF(ISBLANK($D228),"",VLOOKUP($N228,'TABLE CHARGE RATE'!$A$30:$K$106,7,0)),"Check")</f>
        <v/>
      </c>
      <c r="AP228" s="207" t="str">
        <f>IFERROR(IF(ISBLANK($D228),"",VLOOKUP($N228,'TABLE CHARGE RATE'!$A$30:$K$106,8,0)),"Check")</f>
        <v/>
      </c>
      <c r="AQ228" s="207" t="str">
        <f>IFERROR(IF(ISBLANK($D228),"",VLOOKUP($N228,'TABLE CHARGE RATE'!$A$30:$K$106,9,0)),"Check")</f>
        <v/>
      </c>
      <c r="AR228" s="207" t="str">
        <f>IFERROR(IF(ISBLANK($D228),"",VLOOKUP($N228,'TABLE CHARGE RATE'!$A$30:$K$106,10,0)),"Check")</f>
        <v/>
      </c>
      <c r="AS228" s="207" t="str">
        <f>IFERROR(IF(ISBLANK($D228),"",VLOOKUP($N228,'TABLE CHARGE RATE'!$A$30:$K$106,11,0)),"Check")</f>
        <v/>
      </c>
      <c r="AT228" s="207">
        <f t="shared" si="43"/>
        <v>227</v>
      </c>
    </row>
    <row r="229" spans="1:46" x14ac:dyDescent="0.2">
      <c r="A229" s="207" t="str">
        <f t="shared" si="37"/>
        <v/>
      </c>
      <c r="B229" s="208" t="str">
        <f>IF(ISBLANK(D229),"",VLOOKUP(WEEKDAY($C229,1),INDEX!$J$2:$K$8,2,0))</f>
        <v/>
      </c>
      <c r="C229" s="209"/>
      <c r="D229" s="207"/>
      <c r="E229" s="207"/>
      <c r="F229" s="207"/>
      <c r="G229" s="207"/>
      <c r="H229" s="207"/>
      <c r="I229" s="207"/>
      <c r="J229" s="207"/>
      <c r="K229" s="207"/>
      <c r="L229" s="207"/>
      <c r="M229" s="207"/>
      <c r="N229" s="207"/>
      <c r="O229" s="207"/>
      <c r="P229" s="207"/>
      <c r="Q229" s="207"/>
      <c r="R229" s="207"/>
      <c r="S229" s="207"/>
      <c r="T229" s="207"/>
      <c r="U229" s="209"/>
      <c r="V229" s="207"/>
      <c r="W229" s="207"/>
      <c r="X229" s="209">
        <f t="shared" si="39"/>
        <v>0</v>
      </c>
      <c r="Y229" s="209">
        <f t="shared" si="40"/>
        <v>0</v>
      </c>
      <c r="Z229" s="207">
        <v>1</v>
      </c>
      <c r="AA229" s="209" t="str">
        <f t="shared" si="38"/>
        <v/>
      </c>
      <c r="AB229" s="209"/>
      <c r="AC229" s="207">
        <v>0</v>
      </c>
      <c r="AD229" s="207"/>
      <c r="AE229" s="207"/>
      <c r="AF229" s="208" t="str">
        <f>IF(ISBLANK(D229),"",VLOOKUP(F229,'SIZE CALCULATION'!$F:$G,2,0))</f>
        <v/>
      </c>
      <c r="AG229" s="207" t="str">
        <f t="shared" si="36"/>
        <v/>
      </c>
      <c r="AH229" s="207" t="str">
        <f t="shared" si="41"/>
        <v/>
      </c>
      <c r="AI229" s="210" t="str">
        <f>IF(ISBLANK(D229),"",VLOOKUP($A229,INDEX!$D$2:$F$13,3,0))</f>
        <v/>
      </c>
      <c r="AJ229" s="207" t="str">
        <f t="shared" si="42"/>
        <v/>
      </c>
      <c r="AK229" s="207"/>
      <c r="AL229" s="207"/>
      <c r="AM229" s="207" t="str">
        <f>IFERROR(IF(ISBLANK($D229),"",VLOOKUP($N229,'TABLE CHARGE RATE'!$A$30:$K$106,5,0)),"Check")</f>
        <v/>
      </c>
      <c r="AN229" s="207" t="str">
        <f>IFERROR(IF(ISBLANK($D229),"",VLOOKUP($N229,'TABLE CHARGE RATE'!$A$30:$K$106,6,0)),"Check")</f>
        <v/>
      </c>
      <c r="AO229" s="207" t="str">
        <f>IFERROR(IF(ISBLANK($D229),"",VLOOKUP($N229,'TABLE CHARGE RATE'!$A$30:$K$106,7,0)),"Check")</f>
        <v/>
      </c>
      <c r="AP229" s="207" t="str">
        <f>IFERROR(IF(ISBLANK($D229),"",VLOOKUP($N229,'TABLE CHARGE RATE'!$A$30:$K$106,8,0)),"Check")</f>
        <v/>
      </c>
      <c r="AQ229" s="207" t="str">
        <f>IFERROR(IF(ISBLANK($D229),"",VLOOKUP($N229,'TABLE CHARGE RATE'!$A$30:$K$106,9,0)),"Check")</f>
        <v/>
      </c>
      <c r="AR229" s="207" t="str">
        <f>IFERROR(IF(ISBLANK($D229),"",VLOOKUP($N229,'TABLE CHARGE RATE'!$A$30:$K$106,10,0)),"Check")</f>
        <v/>
      </c>
      <c r="AS229" s="207" t="str">
        <f>IFERROR(IF(ISBLANK($D229),"",VLOOKUP($N229,'TABLE CHARGE RATE'!$A$30:$K$106,11,0)),"Check")</f>
        <v/>
      </c>
      <c r="AT229" s="207">
        <f t="shared" si="43"/>
        <v>228</v>
      </c>
    </row>
    <row r="230" spans="1:46" x14ac:dyDescent="0.2">
      <c r="A230" s="207" t="str">
        <f t="shared" si="37"/>
        <v/>
      </c>
      <c r="B230" s="208" t="str">
        <f>IF(ISBLANK(D230),"",VLOOKUP(WEEKDAY($C230,1),INDEX!$J$2:$K$8,2,0))</f>
        <v/>
      </c>
      <c r="C230" s="209"/>
      <c r="D230" s="207"/>
      <c r="E230" s="207"/>
      <c r="F230" s="207"/>
      <c r="G230" s="207"/>
      <c r="H230" s="207"/>
      <c r="I230" s="207"/>
      <c r="J230" s="207"/>
      <c r="K230" s="207"/>
      <c r="L230" s="207"/>
      <c r="M230" s="207"/>
      <c r="N230" s="207"/>
      <c r="O230" s="207"/>
      <c r="P230" s="207"/>
      <c r="Q230" s="207"/>
      <c r="R230" s="207"/>
      <c r="S230" s="207"/>
      <c r="T230" s="207"/>
      <c r="U230" s="209"/>
      <c r="V230" s="207"/>
      <c r="W230" s="207"/>
      <c r="X230" s="209">
        <f t="shared" si="39"/>
        <v>0</v>
      </c>
      <c r="Y230" s="209">
        <f t="shared" si="40"/>
        <v>0</v>
      </c>
      <c r="Z230" s="207">
        <v>1</v>
      </c>
      <c r="AA230" s="209" t="str">
        <f t="shared" si="38"/>
        <v/>
      </c>
      <c r="AB230" s="209"/>
      <c r="AC230" s="207">
        <v>0</v>
      </c>
      <c r="AD230" s="207"/>
      <c r="AE230" s="207"/>
      <c r="AF230" s="208" t="str">
        <f>IF(ISBLANK(D230),"",VLOOKUP(F230,'SIZE CALCULATION'!$F:$G,2,0))</f>
        <v/>
      </c>
      <c r="AG230" s="207" t="str">
        <f t="shared" si="36"/>
        <v/>
      </c>
      <c r="AH230" s="207" t="str">
        <f t="shared" si="41"/>
        <v/>
      </c>
      <c r="AI230" s="210" t="str">
        <f>IF(ISBLANK(D230),"",VLOOKUP($A230,INDEX!$D$2:$F$13,3,0))</f>
        <v/>
      </c>
      <c r="AJ230" s="207" t="str">
        <f t="shared" si="42"/>
        <v/>
      </c>
      <c r="AK230" s="207"/>
      <c r="AL230" s="207"/>
      <c r="AM230" s="207" t="str">
        <f>IFERROR(IF(ISBLANK($D230),"",VLOOKUP($N230,'TABLE CHARGE RATE'!$A$30:$K$106,5,0)),"Check")</f>
        <v/>
      </c>
      <c r="AN230" s="207" t="str">
        <f>IFERROR(IF(ISBLANK($D230),"",VLOOKUP($N230,'TABLE CHARGE RATE'!$A$30:$K$106,6,0)),"Check")</f>
        <v/>
      </c>
      <c r="AO230" s="207" t="str">
        <f>IFERROR(IF(ISBLANK($D230),"",VLOOKUP($N230,'TABLE CHARGE RATE'!$A$30:$K$106,7,0)),"Check")</f>
        <v/>
      </c>
      <c r="AP230" s="207" t="str">
        <f>IFERROR(IF(ISBLANK($D230),"",VLOOKUP($N230,'TABLE CHARGE RATE'!$A$30:$K$106,8,0)),"Check")</f>
        <v/>
      </c>
      <c r="AQ230" s="207" t="str">
        <f>IFERROR(IF(ISBLANK($D230),"",VLOOKUP($N230,'TABLE CHARGE RATE'!$A$30:$K$106,9,0)),"Check")</f>
        <v/>
      </c>
      <c r="AR230" s="207" t="str">
        <f>IFERROR(IF(ISBLANK($D230),"",VLOOKUP($N230,'TABLE CHARGE RATE'!$A$30:$K$106,10,0)),"Check")</f>
        <v/>
      </c>
      <c r="AS230" s="207" t="str">
        <f>IFERROR(IF(ISBLANK($D230),"",VLOOKUP($N230,'TABLE CHARGE RATE'!$A$30:$K$106,11,0)),"Check")</f>
        <v/>
      </c>
      <c r="AT230" s="207">
        <f t="shared" si="43"/>
        <v>229</v>
      </c>
    </row>
    <row r="231" spans="1:46" x14ac:dyDescent="0.2">
      <c r="A231" s="207" t="str">
        <f t="shared" si="37"/>
        <v/>
      </c>
      <c r="B231" s="208" t="str">
        <f>IF(ISBLANK(D231),"",VLOOKUP(WEEKDAY($C231,1),INDEX!$J$2:$K$8,2,0))</f>
        <v/>
      </c>
      <c r="C231" s="209"/>
      <c r="D231" s="207"/>
      <c r="E231" s="207"/>
      <c r="F231" s="207"/>
      <c r="G231" s="207"/>
      <c r="H231" s="207"/>
      <c r="I231" s="207"/>
      <c r="J231" s="207"/>
      <c r="K231" s="207"/>
      <c r="L231" s="207"/>
      <c r="M231" s="207"/>
      <c r="N231" s="207"/>
      <c r="O231" s="207"/>
      <c r="P231" s="207"/>
      <c r="Q231" s="207"/>
      <c r="R231" s="207"/>
      <c r="S231" s="207"/>
      <c r="T231" s="207"/>
      <c r="U231" s="209"/>
      <c r="V231" s="207"/>
      <c r="W231" s="207"/>
      <c r="X231" s="209">
        <f t="shared" si="39"/>
        <v>0</v>
      </c>
      <c r="Y231" s="209">
        <f t="shared" si="40"/>
        <v>0</v>
      </c>
      <c r="Z231" s="207">
        <v>1</v>
      </c>
      <c r="AA231" s="209" t="str">
        <f t="shared" si="38"/>
        <v/>
      </c>
      <c r="AB231" s="209"/>
      <c r="AC231" s="207">
        <v>0</v>
      </c>
      <c r="AD231" s="207"/>
      <c r="AE231" s="207"/>
      <c r="AF231" s="208" t="str">
        <f>IF(ISBLANK(D231),"",VLOOKUP(F231,'SIZE CALCULATION'!$F:$G,2,0))</f>
        <v/>
      </c>
      <c r="AG231" s="207" t="str">
        <f t="shared" si="36"/>
        <v/>
      </c>
      <c r="AH231" s="207" t="str">
        <f t="shared" si="41"/>
        <v/>
      </c>
      <c r="AI231" s="210" t="str">
        <f>IF(ISBLANK(D231),"",VLOOKUP($A231,INDEX!$D$2:$F$13,3,0))</f>
        <v/>
      </c>
      <c r="AJ231" s="207" t="str">
        <f t="shared" si="42"/>
        <v/>
      </c>
      <c r="AK231" s="207"/>
      <c r="AL231" s="207"/>
      <c r="AM231" s="207" t="str">
        <f>IFERROR(IF(ISBLANK($D231),"",VLOOKUP($N231,'TABLE CHARGE RATE'!$A$30:$K$106,5,0)),"Check")</f>
        <v/>
      </c>
      <c r="AN231" s="207" t="str">
        <f>IFERROR(IF(ISBLANK($D231),"",VLOOKUP($N231,'TABLE CHARGE RATE'!$A$30:$K$106,6,0)),"Check")</f>
        <v/>
      </c>
      <c r="AO231" s="207" t="str">
        <f>IFERROR(IF(ISBLANK($D231),"",VLOOKUP($N231,'TABLE CHARGE RATE'!$A$30:$K$106,7,0)),"Check")</f>
        <v/>
      </c>
      <c r="AP231" s="207" t="str">
        <f>IFERROR(IF(ISBLANK($D231),"",VLOOKUP($N231,'TABLE CHARGE RATE'!$A$30:$K$106,8,0)),"Check")</f>
        <v/>
      </c>
      <c r="AQ231" s="207" t="str">
        <f>IFERROR(IF(ISBLANK($D231),"",VLOOKUP($N231,'TABLE CHARGE RATE'!$A$30:$K$106,9,0)),"Check")</f>
        <v/>
      </c>
      <c r="AR231" s="207" t="str">
        <f>IFERROR(IF(ISBLANK($D231),"",VLOOKUP($N231,'TABLE CHARGE RATE'!$A$30:$K$106,10,0)),"Check")</f>
        <v/>
      </c>
      <c r="AS231" s="207" t="str">
        <f>IFERROR(IF(ISBLANK($D231),"",VLOOKUP($N231,'TABLE CHARGE RATE'!$A$30:$K$106,11,0)),"Check")</f>
        <v/>
      </c>
      <c r="AT231" s="207">
        <f t="shared" si="43"/>
        <v>230</v>
      </c>
    </row>
    <row r="232" spans="1:46" x14ac:dyDescent="0.2">
      <c r="A232" s="207" t="str">
        <f t="shared" si="37"/>
        <v/>
      </c>
      <c r="B232" s="208" t="str">
        <f>IF(ISBLANK(D232),"",VLOOKUP(WEEKDAY($C232,1),INDEX!$J$2:$K$8,2,0))</f>
        <v/>
      </c>
      <c r="C232" s="209"/>
      <c r="D232" s="207"/>
      <c r="E232" s="207"/>
      <c r="F232" s="207"/>
      <c r="G232" s="207"/>
      <c r="H232" s="207"/>
      <c r="I232" s="207"/>
      <c r="J232" s="207"/>
      <c r="K232" s="207"/>
      <c r="L232" s="207"/>
      <c r="M232" s="207"/>
      <c r="N232" s="207"/>
      <c r="O232" s="207"/>
      <c r="P232" s="207"/>
      <c r="Q232" s="207"/>
      <c r="R232" s="207"/>
      <c r="S232" s="207"/>
      <c r="T232" s="207"/>
      <c r="U232" s="209"/>
      <c r="V232" s="207"/>
      <c r="W232" s="207"/>
      <c r="X232" s="209">
        <f t="shared" si="39"/>
        <v>0</v>
      </c>
      <c r="Y232" s="209">
        <f t="shared" si="40"/>
        <v>0</v>
      </c>
      <c r="Z232" s="207">
        <v>1</v>
      </c>
      <c r="AA232" s="209" t="str">
        <f t="shared" si="38"/>
        <v/>
      </c>
      <c r="AB232" s="209"/>
      <c r="AC232" s="207">
        <v>0</v>
      </c>
      <c r="AD232" s="207"/>
      <c r="AE232" s="207"/>
      <c r="AF232" s="208" t="str">
        <f>IF(ISBLANK(D232),"",VLOOKUP(F232,'SIZE CALCULATION'!$F:$G,2,0))</f>
        <v/>
      </c>
      <c r="AG232" s="207" t="str">
        <f t="shared" si="36"/>
        <v/>
      </c>
      <c r="AH232" s="207" t="str">
        <f t="shared" si="41"/>
        <v/>
      </c>
      <c r="AI232" s="210" t="str">
        <f>IF(ISBLANK(D232),"",VLOOKUP($A232,INDEX!$D$2:$F$13,3,0))</f>
        <v/>
      </c>
      <c r="AJ232" s="207" t="str">
        <f t="shared" si="42"/>
        <v/>
      </c>
      <c r="AK232" s="207"/>
      <c r="AL232" s="207"/>
      <c r="AM232" s="207" t="str">
        <f>IFERROR(IF(ISBLANK($D232),"",VLOOKUP($N232,'TABLE CHARGE RATE'!$A$30:$K$106,5,0)),"Check")</f>
        <v/>
      </c>
      <c r="AN232" s="207" t="str">
        <f>IFERROR(IF(ISBLANK($D232),"",VLOOKUP($N232,'TABLE CHARGE RATE'!$A$30:$K$106,6,0)),"Check")</f>
        <v/>
      </c>
      <c r="AO232" s="207" t="str">
        <f>IFERROR(IF(ISBLANK($D232),"",VLOOKUP($N232,'TABLE CHARGE RATE'!$A$30:$K$106,7,0)),"Check")</f>
        <v/>
      </c>
      <c r="AP232" s="207" t="str">
        <f>IFERROR(IF(ISBLANK($D232),"",VLOOKUP($N232,'TABLE CHARGE RATE'!$A$30:$K$106,8,0)),"Check")</f>
        <v/>
      </c>
      <c r="AQ232" s="207" t="str">
        <f>IFERROR(IF(ISBLANK($D232),"",VLOOKUP($N232,'TABLE CHARGE RATE'!$A$30:$K$106,9,0)),"Check")</f>
        <v/>
      </c>
      <c r="AR232" s="207" t="str">
        <f>IFERROR(IF(ISBLANK($D232),"",VLOOKUP($N232,'TABLE CHARGE RATE'!$A$30:$K$106,10,0)),"Check")</f>
        <v/>
      </c>
      <c r="AS232" s="207" t="str">
        <f>IFERROR(IF(ISBLANK($D232),"",VLOOKUP($N232,'TABLE CHARGE RATE'!$A$30:$K$106,11,0)),"Check")</f>
        <v/>
      </c>
      <c r="AT232" s="207">
        <f t="shared" si="43"/>
        <v>231</v>
      </c>
    </row>
    <row r="233" spans="1:46" x14ac:dyDescent="0.2">
      <c r="A233" s="207" t="str">
        <f t="shared" si="37"/>
        <v/>
      </c>
      <c r="B233" s="208" t="str">
        <f>IF(ISBLANK(D233),"",VLOOKUP(WEEKDAY($C233,1),INDEX!$J$2:$K$8,2,0))</f>
        <v/>
      </c>
      <c r="C233" s="209"/>
      <c r="D233" s="207"/>
      <c r="E233" s="207"/>
      <c r="F233" s="207"/>
      <c r="G233" s="207"/>
      <c r="H233" s="207"/>
      <c r="I233" s="207"/>
      <c r="J233" s="207"/>
      <c r="K233" s="207"/>
      <c r="L233" s="207"/>
      <c r="M233" s="207"/>
      <c r="N233" s="207"/>
      <c r="O233" s="207"/>
      <c r="P233" s="207"/>
      <c r="Q233" s="207"/>
      <c r="R233" s="207"/>
      <c r="S233" s="207"/>
      <c r="T233" s="207"/>
      <c r="U233" s="209"/>
      <c r="V233" s="207"/>
      <c r="W233" s="207"/>
      <c r="X233" s="209">
        <f t="shared" si="39"/>
        <v>0</v>
      </c>
      <c r="Y233" s="209">
        <f t="shared" si="40"/>
        <v>0</v>
      </c>
      <c r="Z233" s="207">
        <v>1</v>
      </c>
      <c r="AA233" s="209" t="str">
        <f t="shared" si="38"/>
        <v/>
      </c>
      <c r="AB233" s="209"/>
      <c r="AC233" s="207">
        <v>0</v>
      </c>
      <c r="AD233" s="207"/>
      <c r="AE233" s="207"/>
      <c r="AF233" s="208" t="str">
        <f>IF(ISBLANK(D233),"",VLOOKUP(F233,'SIZE CALCULATION'!$F:$G,2,0))</f>
        <v/>
      </c>
      <c r="AG233" s="207" t="str">
        <f t="shared" si="36"/>
        <v/>
      </c>
      <c r="AH233" s="207" t="str">
        <f t="shared" si="41"/>
        <v/>
      </c>
      <c r="AI233" s="210" t="str">
        <f>IF(ISBLANK(D233),"",VLOOKUP($A233,INDEX!$D$2:$F$13,3,0))</f>
        <v/>
      </c>
      <c r="AJ233" s="207" t="str">
        <f t="shared" si="42"/>
        <v/>
      </c>
      <c r="AK233" s="207"/>
      <c r="AL233" s="207"/>
      <c r="AM233" s="207" t="str">
        <f>IFERROR(IF(ISBLANK($D233),"",VLOOKUP($N233,'TABLE CHARGE RATE'!$A$30:$K$106,5,0)),"Check")</f>
        <v/>
      </c>
      <c r="AN233" s="207" t="str">
        <f>IFERROR(IF(ISBLANK($D233),"",VLOOKUP($N233,'TABLE CHARGE RATE'!$A$30:$K$106,6,0)),"Check")</f>
        <v/>
      </c>
      <c r="AO233" s="207" t="str">
        <f>IFERROR(IF(ISBLANK($D233),"",VLOOKUP($N233,'TABLE CHARGE RATE'!$A$30:$K$106,7,0)),"Check")</f>
        <v/>
      </c>
      <c r="AP233" s="207" t="str">
        <f>IFERROR(IF(ISBLANK($D233),"",VLOOKUP($N233,'TABLE CHARGE RATE'!$A$30:$K$106,8,0)),"Check")</f>
        <v/>
      </c>
      <c r="AQ233" s="207" t="str">
        <f>IFERROR(IF(ISBLANK($D233),"",VLOOKUP($N233,'TABLE CHARGE RATE'!$A$30:$K$106,9,0)),"Check")</f>
        <v/>
      </c>
      <c r="AR233" s="207" t="str">
        <f>IFERROR(IF(ISBLANK($D233),"",VLOOKUP($N233,'TABLE CHARGE RATE'!$A$30:$K$106,10,0)),"Check")</f>
        <v/>
      </c>
      <c r="AS233" s="207" t="str">
        <f>IFERROR(IF(ISBLANK($D233),"",VLOOKUP($N233,'TABLE CHARGE RATE'!$A$30:$K$106,11,0)),"Check")</f>
        <v/>
      </c>
      <c r="AT233" s="207">
        <f t="shared" si="43"/>
        <v>232</v>
      </c>
    </row>
    <row r="234" spans="1:46" x14ac:dyDescent="0.2">
      <c r="A234" s="207" t="str">
        <f t="shared" si="37"/>
        <v/>
      </c>
      <c r="B234" s="208" t="str">
        <f>IF(ISBLANK(D234),"",VLOOKUP(WEEKDAY($C234,1),INDEX!$J$2:$K$8,2,0))</f>
        <v/>
      </c>
      <c r="C234" s="209"/>
      <c r="D234" s="207"/>
      <c r="E234" s="207"/>
      <c r="F234" s="207"/>
      <c r="G234" s="207"/>
      <c r="H234" s="207"/>
      <c r="I234" s="207"/>
      <c r="J234" s="207"/>
      <c r="K234" s="207"/>
      <c r="L234" s="207"/>
      <c r="M234" s="207"/>
      <c r="N234" s="207"/>
      <c r="O234" s="207"/>
      <c r="P234" s="207"/>
      <c r="Q234" s="207"/>
      <c r="R234" s="207"/>
      <c r="S234" s="207"/>
      <c r="T234" s="207"/>
      <c r="U234" s="209"/>
      <c r="V234" s="207"/>
      <c r="W234" s="207"/>
      <c r="X234" s="209">
        <f t="shared" si="39"/>
        <v>0</v>
      </c>
      <c r="Y234" s="209">
        <f t="shared" si="40"/>
        <v>0</v>
      </c>
      <c r="Z234" s="207">
        <v>1</v>
      </c>
      <c r="AA234" s="209" t="str">
        <f t="shared" si="38"/>
        <v/>
      </c>
      <c r="AB234" s="209"/>
      <c r="AC234" s="207">
        <v>0</v>
      </c>
      <c r="AD234" s="207"/>
      <c r="AE234" s="207"/>
      <c r="AF234" s="208" t="str">
        <f>IF(ISBLANK(D234),"",VLOOKUP(F234,'SIZE CALCULATION'!$F:$G,2,0))</f>
        <v/>
      </c>
      <c r="AG234" s="207" t="str">
        <f t="shared" si="36"/>
        <v/>
      </c>
      <c r="AH234" s="207" t="str">
        <f t="shared" si="41"/>
        <v/>
      </c>
      <c r="AI234" s="210" t="str">
        <f>IF(ISBLANK(D234),"",VLOOKUP($A234,INDEX!$D$2:$F$13,3,0))</f>
        <v/>
      </c>
      <c r="AJ234" s="207" t="str">
        <f t="shared" si="42"/>
        <v/>
      </c>
      <c r="AK234" s="207"/>
      <c r="AL234" s="207"/>
      <c r="AM234" s="207" t="str">
        <f>IFERROR(IF(ISBLANK($D234),"",VLOOKUP($N234,'TABLE CHARGE RATE'!$A$30:$K$106,5,0)),"Check")</f>
        <v/>
      </c>
      <c r="AN234" s="207" t="str">
        <f>IFERROR(IF(ISBLANK($D234),"",VLOOKUP($N234,'TABLE CHARGE RATE'!$A$30:$K$106,6,0)),"Check")</f>
        <v/>
      </c>
      <c r="AO234" s="207" t="str">
        <f>IFERROR(IF(ISBLANK($D234),"",VLOOKUP($N234,'TABLE CHARGE RATE'!$A$30:$K$106,7,0)),"Check")</f>
        <v/>
      </c>
      <c r="AP234" s="207" t="str">
        <f>IFERROR(IF(ISBLANK($D234),"",VLOOKUP($N234,'TABLE CHARGE RATE'!$A$30:$K$106,8,0)),"Check")</f>
        <v/>
      </c>
      <c r="AQ234" s="207" t="str">
        <f>IFERROR(IF(ISBLANK($D234),"",VLOOKUP($N234,'TABLE CHARGE RATE'!$A$30:$K$106,9,0)),"Check")</f>
        <v/>
      </c>
      <c r="AR234" s="207" t="str">
        <f>IFERROR(IF(ISBLANK($D234),"",VLOOKUP($N234,'TABLE CHARGE RATE'!$A$30:$K$106,10,0)),"Check")</f>
        <v/>
      </c>
      <c r="AS234" s="207" t="str">
        <f>IFERROR(IF(ISBLANK($D234),"",VLOOKUP($N234,'TABLE CHARGE RATE'!$A$30:$K$106,11,0)),"Check")</f>
        <v/>
      </c>
      <c r="AT234" s="207">
        <f t="shared" si="43"/>
        <v>233</v>
      </c>
    </row>
    <row r="235" spans="1:46" x14ac:dyDescent="0.2">
      <c r="A235" s="207" t="str">
        <f t="shared" si="37"/>
        <v/>
      </c>
      <c r="B235" s="208" t="str">
        <f>IF(ISBLANK(D235),"",VLOOKUP(WEEKDAY($C235,1),INDEX!$J$2:$K$8,2,0))</f>
        <v/>
      </c>
      <c r="C235" s="209"/>
      <c r="D235" s="207"/>
      <c r="E235" s="207"/>
      <c r="F235" s="207"/>
      <c r="G235" s="207"/>
      <c r="H235" s="207"/>
      <c r="I235" s="207"/>
      <c r="J235" s="207"/>
      <c r="K235" s="207"/>
      <c r="L235" s="207"/>
      <c r="M235" s="207"/>
      <c r="N235" s="207"/>
      <c r="O235" s="207"/>
      <c r="P235" s="207"/>
      <c r="Q235" s="207"/>
      <c r="R235" s="207"/>
      <c r="S235" s="207"/>
      <c r="T235" s="207"/>
      <c r="U235" s="209"/>
      <c r="V235" s="207"/>
      <c r="W235" s="207"/>
      <c r="X235" s="209">
        <f t="shared" si="39"/>
        <v>0</v>
      </c>
      <c r="Y235" s="209">
        <f t="shared" si="40"/>
        <v>0</v>
      </c>
      <c r="Z235" s="207">
        <v>1</v>
      </c>
      <c r="AA235" s="209" t="str">
        <f t="shared" si="38"/>
        <v/>
      </c>
      <c r="AB235" s="209"/>
      <c r="AC235" s="207">
        <v>0</v>
      </c>
      <c r="AD235" s="207"/>
      <c r="AE235" s="207"/>
      <c r="AF235" s="208" t="str">
        <f>IF(ISBLANK(D235),"",VLOOKUP(F235,'SIZE CALCULATION'!$F:$G,2,0))</f>
        <v/>
      </c>
      <c r="AG235" s="207" t="str">
        <f t="shared" si="36"/>
        <v/>
      </c>
      <c r="AH235" s="207" t="str">
        <f t="shared" si="41"/>
        <v/>
      </c>
      <c r="AI235" s="210" t="str">
        <f>IF(ISBLANK(D235),"",VLOOKUP($A235,INDEX!$D$2:$F$13,3,0))</f>
        <v/>
      </c>
      <c r="AJ235" s="207" t="str">
        <f t="shared" si="42"/>
        <v/>
      </c>
      <c r="AK235" s="207"/>
      <c r="AL235" s="207"/>
      <c r="AM235" s="207" t="str">
        <f>IFERROR(IF(ISBLANK($D235),"",VLOOKUP($N235,'TABLE CHARGE RATE'!$A$30:$K$106,5,0)),"Check")</f>
        <v/>
      </c>
      <c r="AN235" s="207" t="str">
        <f>IFERROR(IF(ISBLANK($D235),"",VLOOKUP($N235,'TABLE CHARGE RATE'!$A$30:$K$106,6,0)),"Check")</f>
        <v/>
      </c>
      <c r="AO235" s="207" t="str">
        <f>IFERROR(IF(ISBLANK($D235),"",VLOOKUP($N235,'TABLE CHARGE RATE'!$A$30:$K$106,7,0)),"Check")</f>
        <v/>
      </c>
      <c r="AP235" s="207" t="str">
        <f>IFERROR(IF(ISBLANK($D235),"",VLOOKUP($N235,'TABLE CHARGE RATE'!$A$30:$K$106,8,0)),"Check")</f>
        <v/>
      </c>
      <c r="AQ235" s="207" t="str">
        <f>IFERROR(IF(ISBLANK($D235),"",VLOOKUP($N235,'TABLE CHARGE RATE'!$A$30:$K$106,9,0)),"Check")</f>
        <v/>
      </c>
      <c r="AR235" s="207" t="str">
        <f>IFERROR(IF(ISBLANK($D235),"",VLOOKUP($N235,'TABLE CHARGE RATE'!$A$30:$K$106,10,0)),"Check")</f>
        <v/>
      </c>
      <c r="AS235" s="207" t="str">
        <f>IFERROR(IF(ISBLANK($D235),"",VLOOKUP($N235,'TABLE CHARGE RATE'!$A$30:$K$106,11,0)),"Check")</f>
        <v/>
      </c>
      <c r="AT235" s="207">
        <f t="shared" si="43"/>
        <v>234</v>
      </c>
    </row>
    <row r="236" spans="1:46" x14ac:dyDescent="0.2">
      <c r="A236" s="207" t="str">
        <f t="shared" si="37"/>
        <v/>
      </c>
      <c r="B236" s="208" t="str">
        <f>IF(ISBLANK(D236),"",VLOOKUP(WEEKDAY($C236,1),INDEX!$J$2:$K$8,2,0))</f>
        <v/>
      </c>
      <c r="C236" s="209"/>
      <c r="D236" s="207"/>
      <c r="E236" s="207"/>
      <c r="F236" s="207"/>
      <c r="G236" s="207"/>
      <c r="H236" s="207"/>
      <c r="I236" s="207"/>
      <c r="J236" s="207"/>
      <c r="K236" s="207"/>
      <c r="L236" s="207"/>
      <c r="M236" s="207"/>
      <c r="N236" s="207"/>
      <c r="O236" s="207"/>
      <c r="P236" s="207"/>
      <c r="Q236" s="207"/>
      <c r="R236" s="207"/>
      <c r="S236" s="207"/>
      <c r="T236" s="207"/>
      <c r="U236" s="209"/>
      <c r="V236" s="207"/>
      <c r="W236" s="207"/>
      <c r="X236" s="209">
        <f t="shared" si="39"/>
        <v>0</v>
      </c>
      <c r="Y236" s="209">
        <f t="shared" si="40"/>
        <v>0</v>
      </c>
      <c r="Z236" s="207">
        <v>1</v>
      </c>
      <c r="AA236" s="209" t="str">
        <f t="shared" si="38"/>
        <v/>
      </c>
      <c r="AB236" s="209"/>
      <c r="AC236" s="207">
        <v>0</v>
      </c>
      <c r="AD236" s="207"/>
      <c r="AE236" s="207"/>
      <c r="AF236" s="208" t="str">
        <f>IF(ISBLANK(D236),"",VLOOKUP(F236,'SIZE CALCULATION'!$F:$G,2,0))</f>
        <v/>
      </c>
      <c r="AG236" s="207" t="str">
        <f t="shared" si="36"/>
        <v/>
      </c>
      <c r="AH236" s="207" t="str">
        <f t="shared" si="41"/>
        <v/>
      </c>
      <c r="AI236" s="210" t="str">
        <f>IF(ISBLANK(D236),"",VLOOKUP($A236,INDEX!$D$2:$F$13,3,0))</f>
        <v/>
      </c>
      <c r="AJ236" s="207" t="str">
        <f t="shared" si="42"/>
        <v/>
      </c>
      <c r="AK236" s="207"/>
      <c r="AL236" s="207"/>
      <c r="AM236" s="207" t="str">
        <f>IFERROR(IF(ISBLANK($D236),"",VLOOKUP($N236,'TABLE CHARGE RATE'!$A$30:$K$106,5,0)),"Check")</f>
        <v/>
      </c>
      <c r="AN236" s="207" t="str">
        <f>IFERROR(IF(ISBLANK($D236),"",VLOOKUP($N236,'TABLE CHARGE RATE'!$A$30:$K$106,6,0)),"Check")</f>
        <v/>
      </c>
      <c r="AO236" s="207" t="str">
        <f>IFERROR(IF(ISBLANK($D236),"",VLOOKUP($N236,'TABLE CHARGE RATE'!$A$30:$K$106,7,0)),"Check")</f>
        <v/>
      </c>
      <c r="AP236" s="207" t="str">
        <f>IFERROR(IF(ISBLANK($D236),"",VLOOKUP($N236,'TABLE CHARGE RATE'!$A$30:$K$106,8,0)),"Check")</f>
        <v/>
      </c>
      <c r="AQ236" s="207" t="str">
        <f>IFERROR(IF(ISBLANK($D236),"",VLOOKUP($N236,'TABLE CHARGE RATE'!$A$30:$K$106,9,0)),"Check")</f>
        <v/>
      </c>
      <c r="AR236" s="207" t="str">
        <f>IFERROR(IF(ISBLANK($D236),"",VLOOKUP($N236,'TABLE CHARGE RATE'!$A$30:$K$106,10,0)),"Check")</f>
        <v/>
      </c>
      <c r="AS236" s="207" t="str">
        <f>IFERROR(IF(ISBLANK($D236),"",VLOOKUP($N236,'TABLE CHARGE RATE'!$A$30:$K$106,11,0)),"Check")</f>
        <v/>
      </c>
      <c r="AT236" s="207">
        <f t="shared" si="43"/>
        <v>235</v>
      </c>
    </row>
    <row r="237" spans="1:46" x14ac:dyDescent="0.2">
      <c r="A237" s="207" t="str">
        <f t="shared" si="37"/>
        <v/>
      </c>
      <c r="B237" s="208" t="str">
        <f>IF(ISBLANK(D237),"",VLOOKUP(WEEKDAY($C237,1),INDEX!$J$2:$K$8,2,0))</f>
        <v/>
      </c>
      <c r="C237" s="209"/>
      <c r="D237" s="207"/>
      <c r="E237" s="207"/>
      <c r="F237" s="207"/>
      <c r="G237" s="207"/>
      <c r="H237" s="207"/>
      <c r="I237" s="207"/>
      <c r="J237" s="207"/>
      <c r="K237" s="207"/>
      <c r="L237" s="207"/>
      <c r="M237" s="207"/>
      <c r="N237" s="207"/>
      <c r="O237" s="207"/>
      <c r="P237" s="207"/>
      <c r="Q237" s="207"/>
      <c r="R237" s="207"/>
      <c r="S237" s="207"/>
      <c r="T237" s="207"/>
      <c r="U237" s="209"/>
      <c r="V237" s="207"/>
      <c r="W237" s="207"/>
      <c r="X237" s="209">
        <f t="shared" si="39"/>
        <v>0</v>
      </c>
      <c r="Y237" s="209">
        <f t="shared" si="40"/>
        <v>0</v>
      </c>
      <c r="Z237" s="207">
        <v>1</v>
      </c>
      <c r="AA237" s="209" t="str">
        <f t="shared" si="38"/>
        <v/>
      </c>
      <c r="AB237" s="209"/>
      <c r="AC237" s="207">
        <v>0</v>
      </c>
      <c r="AD237" s="207"/>
      <c r="AE237" s="207"/>
      <c r="AF237" s="208" t="str">
        <f>IF(ISBLANK(D237),"",VLOOKUP(F237,'SIZE CALCULATION'!$F:$G,2,0))</f>
        <v/>
      </c>
      <c r="AG237" s="207" t="str">
        <f t="shared" si="36"/>
        <v/>
      </c>
      <c r="AH237" s="207" t="str">
        <f t="shared" si="41"/>
        <v/>
      </c>
      <c r="AI237" s="210" t="str">
        <f>IF(ISBLANK(D237),"",VLOOKUP($A237,INDEX!$D$2:$F$13,3,0))</f>
        <v/>
      </c>
      <c r="AJ237" s="207" t="str">
        <f t="shared" si="42"/>
        <v/>
      </c>
      <c r="AK237" s="207"/>
      <c r="AL237" s="207"/>
      <c r="AM237" s="207" t="str">
        <f>IFERROR(IF(ISBLANK($D237),"",VLOOKUP($N237,'TABLE CHARGE RATE'!$A$30:$K$106,5,0)),"Check")</f>
        <v/>
      </c>
      <c r="AN237" s="207" t="str">
        <f>IFERROR(IF(ISBLANK($D237),"",VLOOKUP($N237,'TABLE CHARGE RATE'!$A$30:$K$106,6,0)),"Check")</f>
        <v/>
      </c>
      <c r="AO237" s="207" t="str">
        <f>IFERROR(IF(ISBLANK($D237),"",VLOOKUP($N237,'TABLE CHARGE RATE'!$A$30:$K$106,7,0)),"Check")</f>
        <v/>
      </c>
      <c r="AP237" s="207" t="str">
        <f>IFERROR(IF(ISBLANK($D237),"",VLOOKUP($N237,'TABLE CHARGE RATE'!$A$30:$K$106,8,0)),"Check")</f>
        <v/>
      </c>
      <c r="AQ237" s="207" t="str">
        <f>IFERROR(IF(ISBLANK($D237),"",VLOOKUP($N237,'TABLE CHARGE RATE'!$A$30:$K$106,9,0)),"Check")</f>
        <v/>
      </c>
      <c r="AR237" s="207" t="str">
        <f>IFERROR(IF(ISBLANK($D237),"",VLOOKUP($N237,'TABLE CHARGE RATE'!$A$30:$K$106,10,0)),"Check")</f>
        <v/>
      </c>
      <c r="AS237" s="207" t="str">
        <f>IFERROR(IF(ISBLANK($D237),"",VLOOKUP($N237,'TABLE CHARGE RATE'!$A$30:$K$106,11,0)),"Check")</f>
        <v/>
      </c>
      <c r="AT237" s="207">
        <f t="shared" si="43"/>
        <v>236</v>
      </c>
    </row>
    <row r="238" spans="1:46" x14ac:dyDescent="0.2">
      <c r="A238" s="207" t="str">
        <f t="shared" si="37"/>
        <v/>
      </c>
      <c r="B238" s="208" t="str">
        <f>IF(ISBLANK(D238),"",VLOOKUP(WEEKDAY($C238,1),INDEX!$J$2:$K$8,2,0))</f>
        <v/>
      </c>
      <c r="C238" s="209"/>
      <c r="D238" s="207"/>
      <c r="E238" s="207"/>
      <c r="F238" s="207"/>
      <c r="G238" s="207"/>
      <c r="H238" s="207"/>
      <c r="I238" s="207"/>
      <c r="J238" s="207"/>
      <c r="K238" s="207"/>
      <c r="L238" s="207"/>
      <c r="M238" s="207"/>
      <c r="N238" s="207"/>
      <c r="O238" s="207"/>
      <c r="P238" s="207"/>
      <c r="Q238" s="207"/>
      <c r="R238" s="207"/>
      <c r="S238" s="207"/>
      <c r="T238" s="207"/>
      <c r="U238" s="209"/>
      <c r="V238" s="207"/>
      <c r="W238" s="207"/>
      <c r="X238" s="209">
        <f t="shared" si="39"/>
        <v>0</v>
      </c>
      <c r="Y238" s="209">
        <f t="shared" si="40"/>
        <v>0</v>
      </c>
      <c r="Z238" s="207">
        <v>1</v>
      </c>
      <c r="AA238" s="209" t="str">
        <f t="shared" si="38"/>
        <v/>
      </c>
      <c r="AB238" s="209"/>
      <c r="AC238" s="207">
        <v>0</v>
      </c>
      <c r="AD238" s="207"/>
      <c r="AE238" s="207"/>
      <c r="AF238" s="208" t="str">
        <f>IF(ISBLANK(D238),"",VLOOKUP(F238,'SIZE CALCULATION'!$F:$G,2,0))</f>
        <v/>
      </c>
      <c r="AG238" s="207" t="str">
        <f t="shared" si="36"/>
        <v/>
      </c>
      <c r="AH238" s="207" t="str">
        <f t="shared" si="41"/>
        <v/>
      </c>
      <c r="AI238" s="210" t="str">
        <f>IF(ISBLANK(D238),"",VLOOKUP($A238,INDEX!$D$2:$F$13,3,0))</f>
        <v/>
      </c>
      <c r="AJ238" s="207" t="str">
        <f t="shared" si="42"/>
        <v/>
      </c>
      <c r="AK238" s="207"/>
      <c r="AL238" s="207"/>
      <c r="AM238" s="207" t="str">
        <f>IFERROR(IF(ISBLANK($D238),"",VLOOKUP($N238,'TABLE CHARGE RATE'!$A$30:$K$106,5,0)),"Check")</f>
        <v/>
      </c>
      <c r="AN238" s="207" t="str">
        <f>IFERROR(IF(ISBLANK($D238),"",VLOOKUP($N238,'TABLE CHARGE RATE'!$A$30:$K$106,6,0)),"Check")</f>
        <v/>
      </c>
      <c r="AO238" s="207" t="str">
        <f>IFERROR(IF(ISBLANK($D238),"",VLOOKUP($N238,'TABLE CHARGE RATE'!$A$30:$K$106,7,0)),"Check")</f>
        <v/>
      </c>
      <c r="AP238" s="207" t="str">
        <f>IFERROR(IF(ISBLANK($D238),"",VLOOKUP($N238,'TABLE CHARGE RATE'!$A$30:$K$106,8,0)),"Check")</f>
        <v/>
      </c>
      <c r="AQ238" s="207" t="str">
        <f>IFERROR(IF(ISBLANK($D238),"",VLOOKUP($N238,'TABLE CHARGE RATE'!$A$30:$K$106,9,0)),"Check")</f>
        <v/>
      </c>
      <c r="AR238" s="207" t="str">
        <f>IFERROR(IF(ISBLANK($D238),"",VLOOKUP($N238,'TABLE CHARGE RATE'!$A$30:$K$106,10,0)),"Check")</f>
        <v/>
      </c>
      <c r="AS238" s="207" t="str">
        <f>IFERROR(IF(ISBLANK($D238),"",VLOOKUP($N238,'TABLE CHARGE RATE'!$A$30:$K$106,11,0)),"Check")</f>
        <v/>
      </c>
      <c r="AT238" s="207">
        <f t="shared" si="43"/>
        <v>237</v>
      </c>
    </row>
    <row r="239" spans="1:46" x14ac:dyDescent="0.2">
      <c r="A239" s="207" t="str">
        <f t="shared" si="37"/>
        <v/>
      </c>
      <c r="B239" s="208" t="str">
        <f>IF(ISBLANK(D239),"",VLOOKUP(WEEKDAY($C239,1),INDEX!$J$2:$K$8,2,0))</f>
        <v/>
      </c>
      <c r="C239" s="209"/>
      <c r="D239" s="207"/>
      <c r="E239" s="207"/>
      <c r="F239" s="207"/>
      <c r="G239" s="207"/>
      <c r="H239" s="207"/>
      <c r="I239" s="207"/>
      <c r="J239" s="207"/>
      <c r="K239" s="207"/>
      <c r="L239" s="207"/>
      <c r="M239" s="207"/>
      <c r="N239" s="207"/>
      <c r="O239" s="207"/>
      <c r="P239" s="207"/>
      <c r="Q239" s="207"/>
      <c r="R239" s="207"/>
      <c r="S239" s="207"/>
      <c r="T239" s="207"/>
      <c r="U239" s="209"/>
      <c r="V239" s="207"/>
      <c r="W239" s="207"/>
      <c r="X239" s="209">
        <f t="shared" si="39"/>
        <v>0</v>
      </c>
      <c r="Y239" s="209">
        <f t="shared" si="40"/>
        <v>0</v>
      </c>
      <c r="Z239" s="207">
        <v>1</v>
      </c>
      <c r="AA239" s="209" t="str">
        <f t="shared" si="38"/>
        <v/>
      </c>
      <c r="AB239" s="209"/>
      <c r="AC239" s="207">
        <v>0</v>
      </c>
      <c r="AD239" s="207"/>
      <c r="AE239" s="207"/>
      <c r="AF239" s="208" t="str">
        <f>IF(ISBLANK(D239),"",VLOOKUP(F239,'SIZE CALCULATION'!$F:$G,2,0))</f>
        <v/>
      </c>
      <c r="AG239" s="207" t="str">
        <f t="shared" si="36"/>
        <v/>
      </c>
      <c r="AH239" s="207" t="str">
        <f t="shared" si="41"/>
        <v/>
      </c>
      <c r="AI239" s="210" t="str">
        <f>IF(ISBLANK(D239),"",VLOOKUP($A239,INDEX!$D$2:$F$13,3,0))</f>
        <v/>
      </c>
      <c r="AJ239" s="207" t="str">
        <f t="shared" si="42"/>
        <v/>
      </c>
      <c r="AK239" s="207"/>
      <c r="AL239" s="207"/>
      <c r="AM239" s="207" t="str">
        <f>IFERROR(IF(ISBLANK($D239),"",VLOOKUP($N239,'TABLE CHARGE RATE'!$A$30:$K$106,5,0)),"Check")</f>
        <v/>
      </c>
      <c r="AN239" s="207" t="str">
        <f>IFERROR(IF(ISBLANK($D239),"",VLOOKUP($N239,'TABLE CHARGE RATE'!$A$30:$K$106,6,0)),"Check")</f>
        <v/>
      </c>
      <c r="AO239" s="207" t="str">
        <f>IFERROR(IF(ISBLANK($D239),"",VLOOKUP($N239,'TABLE CHARGE RATE'!$A$30:$K$106,7,0)),"Check")</f>
        <v/>
      </c>
      <c r="AP239" s="207" t="str">
        <f>IFERROR(IF(ISBLANK($D239),"",VLOOKUP($N239,'TABLE CHARGE RATE'!$A$30:$K$106,8,0)),"Check")</f>
        <v/>
      </c>
      <c r="AQ239" s="207" t="str">
        <f>IFERROR(IF(ISBLANK($D239),"",VLOOKUP($N239,'TABLE CHARGE RATE'!$A$30:$K$106,9,0)),"Check")</f>
        <v/>
      </c>
      <c r="AR239" s="207" t="str">
        <f>IFERROR(IF(ISBLANK($D239),"",VLOOKUP($N239,'TABLE CHARGE RATE'!$A$30:$K$106,10,0)),"Check")</f>
        <v/>
      </c>
      <c r="AS239" s="207" t="str">
        <f>IFERROR(IF(ISBLANK($D239),"",VLOOKUP($N239,'TABLE CHARGE RATE'!$A$30:$K$106,11,0)),"Check")</f>
        <v/>
      </c>
      <c r="AT239" s="207">
        <f t="shared" si="43"/>
        <v>238</v>
      </c>
    </row>
    <row r="240" spans="1:46" x14ac:dyDescent="0.2">
      <c r="A240" s="207" t="str">
        <f t="shared" si="37"/>
        <v/>
      </c>
      <c r="B240" s="208" t="str">
        <f>IF(ISBLANK(D240),"",VLOOKUP(WEEKDAY($C240,1),INDEX!$J$2:$K$8,2,0))</f>
        <v/>
      </c>
      <c r="C240" s="209"/>
      <c r="D240" s="207"/>
      <c r="E240" s="207"/>
      <c r="F240" s="207"/>
      <c r="G240" s="207"/>
      <c r="H240" s="207"/>
      <c r="I240" s="207"/>
      <c r="J240" s="207"/>
      <c r="K240" s="207"/>
      <c r="L240" s="207"/>
      <c r="M240" s="207"/>
      <c r="N240" s="207"/>
      <c r="O240" s="207"/>
      <c r="P240" s="207"/>
      <c r="Q240" s="207"/>
      <c r="R240" s="207"/>
      <c r="S240" s="207"/>
      <c r="T240" s="207"/>
      <c r="U240" s="209"/>
      <c r="V240" s="207"/>
      <c r="W240" s="207"/>
      <c r="X240" s="209">
        <f t="shared" si="39"/>
        <v>0</v>
      </c>
      <c r="Y240" s="209">
        <f t="shared" si="40"/>
        <v>0</v>
      </c>
      <c r="Z240" s="207">
        <v>1</v>
      </c>
      <c r="AA240" s="209" t="str">
        <f t="shared" si="38"/>
        <v/>
      </c>
      <c r="AB240" s="209"/>
      <c r="AC240" s="207">
        <v>0</v>
      </c>
      <c r="AD240" s="207"/>
      <c r="AE240" s="207"/>
      <c r="AF240" s="208" t="str">
        <f>IF(ISBLANK(D240),"",VLOOKUP(F240,'SIZE CALCULATION'!$F:$G,2,0))</f>
        <v/>
      </c>
      <c r="AG240" s="207" t="str">
        <f t="shared" si="36"/>
        <v/>
      </c>
      <c r="AH240" s="207" t="str">
        <f t="shared" si="41"/>
        <v/>
      </c>
      <c r="AI240" s="210" t="str">
        <f>IF(ISBLANK(D240),"",VLOOKUP($A240,INDEX!$D$2:$F$13,3,0))</f>
        <v/>
      </c>
      <c r="AJ240" s="207" t="str">
        <f t="shared" si="42"/>
        <v/>
      </c>
      <c r="AK240" s="207"/>
      <c r="AL240" s="207"/>
      <c r="AM240" s="207" t="str">
        <f>IFERROR(IF(ISBLANK($D240),"",VLOOKUP($N240,'TABLE CHARGE RATE'!$A$30:$K$106,5,0)),"Check")</f>
        <v/>
      </c>
      <c r="AN240" s="207" t="str">
        <f>IFERROR(IF(ISBLANK($D240),"",VLOOKUP($N240,'TABLE CHARGE RATE'!$A$30:$K$106,6,0)),"Check")</f>
        <v/>
      </c>
      <c r="AO240" s="207" t="str">
        <f>IFERROR(IF(ISBLANK($D240),"",VLOOKUP($N240,'TABLE CHARGE RATE'!$A$30:$K$106,7,0)),"Check")</f>
        <v/>
      </c>
      <c r="AP240" s="207" t="str">
        <f>IFERROR(IF(ISBLANK($D240),"",VLOOKUP($N240,'TABLE CHARGE RATE'!$A$30:$K$106,8,0)),"Check")</f>
        <v/>
      </c>
      <c r="AQ240" s="207" t="str">
        <f>IFERROR(IF(ISBLANK($D240),"",VLOOKUP($N240,'TABLE CHARGE RATE'!$A$30:$K$106,9,0)),"Check")</f>
        <v/>
      </c>
      <c r="AR240" s="207" t="str">
        <f>IFERROR(IF(ISBLANK($D240),"",VLOOKUP($N240,'TABLE CHARGE RATE'!$A$30:$K$106,10,0)),"Check")</f>
        <v/>
      </c>
      <c r="AS240" s="207" t="str">
        <f>IFERROR(IF(ISBLANK($D240),"",VLOOKUP($N240,'TABLE CHARGE RATE'!$A$30:$K$106,11,0)),"Check")</f>
        <v/>
      </c>
      <c r="AT240" s="207">
        <f t="shared" si="43"/>
        <v>239</v>
      </c>
    </row>
    <row r="241" spans="1:46" x14ac:dyDescent="0.2">
      <c r="A241" s="207" t="str">
        <f t="shared" si="37"/>
        <v/>
      </c>
      <c r="B241" s="208" t="str">
        <f>IF(ISBLANK(D241),"",VLOOKUP(WEEKDAY($C241,1),INDEX!$J$2:$K$8,2,0))</f>
        <v/>
      </c>
      <c r="C241" s="209"/>
      <c r="D241" s="207"/>
      <c r="E241" s="207"/>
      <c r="F241" s="207"/>
      <c r="G241" s="207"/>
      <c r="H241" s="207"/>
      <c r="I241" s="207"/>
      <c r="J241" s="207"/>
      <c r="K241" s="207"/>
      <c r="L241" s="207"/>
      <c r="M241" s="207"/>
      <c r="N241" s="207"/>
      <c r="O241" s="207"/>
      <c r="P241" s="207"/>
      <c r="Q241" s="207"/>
      <c r="R241" s="207"/>
      <c r="S241" s="207"/>
      <c r="T241" s="207"/>
      <c r="U241" s="209"/>
      <c r="V241" s="207"/>
      <c r="W241" s="207"/>
      <c r="X241" s="209">
        <f t="shared" si="39"/>
        <v>0</v>
      </c>
      <c r="Y241" s="209">
        <f t="shared" si="40"/>
        <v>0</v>
      </c>
      <c r="Z241" s="207">
        <v>1</v>
      </c>
      <c r="AA241" s="209" t="str">
        <f t="shared" si="38"/>
        <v/>
      </c>
      <c r="AB241" s="209"/>
      <c r="AC241" s="207">
        <v>0</v>
      </c>
      <c r="AD241" s="207"/>
      <c r="AE241" s="207"/>
      <c r="AF241" s="208" t="str">
        <f>IF(ISBLANK(D241),"",VLOOKUP(F241,'SIZE CALCULATION'!$F:$G,2,0))</f>
        <v/>
      </c>
      <c r="AG241" s="207" t="str">
        <f t="shared" si="36"/>
        <v/>
      </c>
      <c r="AH241" s="207" t="str">
        <f t="shared" si="41"/>
        <v/>
      </c>
      <c r="AI241" s="210" t="str">
        <f>IF(ISBLANK(D241),"",VLOOKUP($A241,INDEX!$D$2:$F$13,3,0))</f>
        <v/>
      </c>
      <c r="AJ241" s="207" t="str">
        <f t="shared" si="42"/>
        <v/>
      </c>
      <c r="AK241" s="207"/>
      <c r="AL241" s="207"/>
      <c r="AM241" s="207" t="str">
        <f>IFERROR(IF(ISBLANK($D241),"",VLOOKUP($N241,'TABLE CHARGE RATE'!$A$30:$K$106,5,0)),"Check")</f>
        <v/>
      </c>
      <c r="AN241" s="207" t="str">
        <f>IFERROR(IF(ISBLANK($D241),"",VLOOKUP($N241,'TABLE CHARGE RATE'!$A$30:$K$106,6,0)),"Check")</f>
        <v/>
      </c>
      <c r="AO241" s="207" t="str">
        <f>IFERROR(IF(ISBLANK($D241),"",VLOOKUP($N241,'TABLE CHARGE RATE'!$A$30:$K$106,7,0)),"Check")</f>
        <v/>
      </c>
      <c r="AP241" s="207" t="str">
        <f>IFERROR(IF(ISBLANK($D241),"",VLOOKUP($N241,'TABLE CHARGE RATE'!$A$30:$K$106,8,0)),"Check")</f>
        <v/>
      </c>
      <c r="AQ241" s="207" t="str">
        <f>IFERROR(IF(ISBLANK($D241),"",VLOOKUP($N241,'TABLE CHARGE RATE'!$A$30:$K$106,9,0)),"Check")</f>
        <v/>
      </c>
      <c r="AR241" s="207" t="str">
        <f>IFERROR(IF(ISBLANK($D241),"",VLOOKUP($N241,'TABLE CHARGE RATE'!$A$30:$K$106,10,0)),"Check")</f>
        <v/>
      </c>
      <c r="AS241" s="207" t="str">
        <f>IFERROR(IF(ISBLANK($D241),"",VLOOKUP($N241,'TABLE CHARGE RATE'!$A$30:$K$106,11,0)),"Check")</f>
        <v/>
      </c>
      <c r="AT241" s="207">
        <f t="shared" si="43"/>
        <v>240</v>
      </c>
    </row>
    <row r="242" spans="1:46" x14ac:dyDescent="0.2">
      <c r="A242" s="207" t="str">
        <f t="shared" si="37"/>
        <v/>
      </c>
      <c r="B242" s="208" t="str">
        <f>IF(ISBLANK(D242),"",VLOOKUP(WEEKDAY($C242,1),INDEX!$J$2:$K$8,2,0))</f>
        <v/>
      </c>
      <c r="C242" s="209"/>
      <c r="D242" s="207"/>
      <c r="E242" s="207"/>
      <c r="F242" s="207"/>
      <c r="G242" s="207"/>
      <c r="H242" s="207"/>
      <c r="I242" s="207"/>
      <c r="J242" s="207"/>
      <c r="K242" s="207"/>
      <c r="L242" s="207"/>
      <c r="M242" s="207"/>
      <c r="N242" s="207"/>
      <c r="O242" s="207"/>
      <c r="P242" s="207"/>
      <c r="Q242" s="207"/>
      <c r="R242" s="207"/>
      <c r="S242" s="207"/>
      <c r="T242" s="207"/>
      <c r="U242" s="209"/>
      <c r="V242" s="207"/>
      <c r="W242" s="207"/>
      <c r="X242" s="209">
        <f t="shared" si="39"/>
        <v>0</v>
      </c>
      <c r="Y242" s="209">
        <f t="shared" si="40"/>
        <v>0</v>
      </c>
      <c r="Z242" s="207">
        <v>1</v>
      </c>
      <c r="AA242" s="209" t="str">
        <f t="shared" si="38"/>
        <v/>
      </c>
      <c r="AB242" s="209"/>
      <c r="AC242" s="207">
        <v>0</v>
      </c>
      <c r="AD242" s="207"/>
      <c r="AE242" s="207"/>
      <c r="AF242" s="208" t="str">
        <f>IF(ISBLANK(D242),"",VLOOKUP(F242,'SIZE CALCULATION'!$F:$G,2,0))</f>
        <v/>
      </c>
      <c r="AG242" s="207" t="str">
        <f t="shared" si="36"/>
        <v/>
      </c>
      <c r="AH242" s="207" t="str">
        <f t="shared" si="41"/>
        <v/>
      </c>
      <c r="AI242" s="210" t="str">
        <f>IF(ISBLANK(D242),"",VLOOKUP($A242,INDEX!$D$2:$F$13,3,0))</f>
        <v/>
      </c>
      <c r="AJ242" s="207" t="str">
        <f t="shared" si="42"/>
        <v/>
      </c>
      <c r="AK242" s="207"/>
      <c r="AL242" s="207"/>
      <c r="AM242" s="207" t="str">
        <f>IFERROR(IF(ISBLANK($D242),"",VLOOKUP($N242,'TABLE CHARGE RATE'!$A$30:$K$106,5,0)),"Check")</f>
        <v/>
      </c>
      <c r="AN242" s="207" t="str">
        <f>IFERROR(IF(ISBLANK($D242),"",VLOOKUP($N242,'TABLE CHARGE RATE'!$A$30:$K$106,6,0)),"Check")</f>
        <v/>
      </c>
      <c r="AO242" s="207" t="str">
        <f>IFERROR(IF(ISBLANK($D242),"",VLOOKUP($N242,'TABLE CHARGE RATE'!$A$30:$K$106,7,0)),"Check")</f>
        <v/>
      </c>
      <c r="AP242" s="207" t="str">
        <f>IFERROR(IF(ISBLANK($D242),"",VLOOKUP($N242,'TABLE CHARGE RATE'!$A$30:$K$106,8,0)),"Check")</f>
        <v/>
      </c>
      <c r="AQ242" s="207" t="str">
        <f>IFERROR(IF(ISBLANK($D242),"",VLOOKUP($N242,'TABLE CHARGE RATE'!$A$30:$K$106,9,0)),"Check")</f>
        <v/>
      </c>
      <c r="AR242" s="207" t="str">
        <f>IFERROR(IF(ISBLANK($D242),"",VLOOKUP($N242,'TABLE CHARGE RATE'!$A$30:$K$106,10,0)),"Check")</f>
        <v/>
      </c>
      <c r="AS242" s="207" t="str">
        <f>IFERROR(IF(ISBLANK($D242),"",VLOOKUP($N242,'TABLE CHARGE RATE'!$A$30:$K$106,11,0)),"Check")</f>
        <v/>
      </c>
      <c r="AT242" s="207">
        <f t="shared" si="43"/>
        <v>241</v>
      </c>
    </row>
    <row r="243" spans="1:46" x14ac:dyDescent="0.2">
      <c r="A243" s="207" t="str">
        <f t="shared" si="37"/>
        <v/>
      </c>
      <c r="B243" s="208" t="str">
        <f>IF(ISBLANK(D243),"",VLOOKUP(WEEKDAY($C243,1),INDEX!$J$2:$K$8,2,0))</f>
        <v/>
      </c>
      <c r="C243" s="209"/>
      <c r="D243" s="207"/>
      <c r="E243" s="207"/>
      <c r="F243" s="207"/>
      <c r="G243" s="207"/>
      <c r="H243" s="207"/>
      <c r="I243" s="207"/>
      <c r="J243" s="207"/>
      <c r="K243" s="207"/>
      <c r="L243" s="207"/>
      <c r="M243" s="207"/>
      <c r="N243" s="207"/>
      <c r="O243" s="207"/>
      <c r="P243" s="207"/>
      <c r="Q243" s="207"/>
      <c r="R243" s="207"/>
      <c r="S243" s="207"/>
      <c r="T243" s="207"/>
      <c r="U243" s="209"/>
      <c r="V243" s="207"/>
      <c r="W243" s="207"/>
      <c r="X243" s="209">
        <f t="shared" si="39"/>
        <v>0</v>
      </c>
      <c r="Y243" s="209">
        <f t="shared" si="40"/>
        <v>0</v>
      </c>
      <c r="Z243" s="207">
        <v>1</v>
      </c>
      <c r="AA243" s="209" t="str">
        <f t="shared" si="38"/>
        <v/>
      </c>
      <c r="AB243" s="209"/>
      <c r="AC243" s="207" t="s">
        <v>545</v>
      </c>
      <c r="AD243" s="207"/>
      <c r="AE243" s="207"/>
      <c r="AF243" s="208" t="str">
        <f>IF(ISBLANK(D243),"",VLOOKUP(F243,'SIZE CALCULATION'!$F:$G,2,0))</f>
        <v/>
      </c>
      <c r="AG243" s="207" t="str">
        <f t="shared" ref="AG243:AG306" si="44">IF(ISBLANK(D243),"",HLOOKUP($AF243,$AM$1:$AR$966,$AT243,0))</f>
        <v/>
      </c>
      <c r="AH243" s="207" t="str">
        <f t="shared" si="41"/>
        <v/>
      </c>
      <c r="AI243" s="210" t="str">
        <f>IF(ISBLANK(D243),"",VLOOKUP($A243,INDEX!$D$2:$F$13,3,0))</f>
        <v/>
      </c>
      <c r="AJ243" s="207" t="str">
        <f t="shared" si="42"/>
        <v/>
      </c>
      <c r="AK243" s="207"/>
      <c r="AL243" s="207"/>
      <c r="AM243" s="207" t="str">
        <f>IFERROR(IF(ISBLANK($D243),"",VLOOKUP($N243,'TABLE CHARGE RATE'!$A$30:$K$106,5,0)),"Check")</f>
        <v/>
      </c>
      <c r="AN243" s="207" t="str">
        <f>IFERROR(IF(ISBLANK($D243),"",VLOOKUP($N243,'TABLE CHARGE RATE'!$A$30:$K$106,6,0)),"Check")</f>
        <v/>
      </c>
      <c r="AO243" s="207" t="str">
        <f>IFERROR(IF(ISBLANK($D243),"",VLOOKUP($N243,'TABLE CHARGE RATE'!$A$30:$K$106,7,0)),"Check")</f>
        <v/>
      </c>
      <c r="AP243" s="207" t="str">
        <f>IFERROR(IF(ISBLANK($D243),"",VLOOKUP($N243,'TABLE CHARGE RATE'!$A$30:$K$106,8,0)),"Check")</f>
        <v/>
      </c>
      <c r="AQ243" s="207" t="str">
        <f>IFERROR(IF(ISBLANK($D243),"",VLOOKUP($N243,'TABLE CHARGE RATE'!$A$30:$K$106,9,0)),"Check")</f>
        <v/>
      </c>
      <c r="AR243" s="207" t="str">
        <f>IFERROR(IF(ISBLANK($D243),"",VLOOKUP($N243,'TABLE CHARGE RATE'!$A$30:$K$106,10,0)),"Check")</f>
        <v/>
      </c>
      <c r="AS243" s="207" t="str">
        <f>IFERROR(IF(ISBLANK($D243),"",VLOOKUP($N243,'TABLE CHARGE RATE'!$A$30:$K$106,11,0)),"Check")</f>
        <v/>
      </c>
      <c r="AT243" s="207">
        <f t="shared" si="43"/>
        <v>242</v>
      </c>
    </row>
    <row r="244" spans="1:46" x14ac:dyDescent="0.2">
      <c r="A244" s="207" t="str">
        <f t="shared" si="37"/>
        <v/>
      </c>
      <c r="B244" s="208" t="str">
        <f>IF(ISBLANK(D244),"",VLOOKUP(WEEKDAY($C244,1),INDEX!$J$2:$K$8,2,0))</f>
        <v/>
      </c>
      <c r="C244" s="209"/>
      <c r="D244" s="207"/>
      <c r="E244" s="207"/>
      <c r="F244" s="207"/>
      <c r="G244" s="207"/>
      <c r="H244" s="207"/>
      <c r="I244" s="207"/>
      <c r="J244" s="207"/>
      <c r="K244" s="207"/>
      <c r="L244" s="207"/>
      <c r="M244" s="207"/>
      <c r="N244" s="207"/>
      <c r="O244" s="207"/>
      <c r="P244" s="207"/>
      <c r="Q244" s="207"/>
      <c r="R244" s="207"/>
      <c r="S244" s="207"/>
      <c r="T244" s="207"/>
      <c r="U244" s="209"/>
      <c r="V244" s="207"/>
      <c r="W244" s="207"/>
      <c r="X244" s="209">
        <f t="shared" si="39"/>
        <v>0</v>
      </c>
      <c r="Y244" s="209">
        <f t="shared" si="40"/>
        <v>0</v>
      </c>
      <c r="Z244" s="207">
        <v>1</v>
      </c>
      <c r="AA244" s="209" t="str">
        <f t="shared" si="38"/>
        <v/>
      </c>
      <c r="AB244" s="209"/>
      <c r="AC244" s="207" t="s">
        <v>545</v>
      </c>
      <c r="AD244" s="207"/>
      <c r="AE244" s="207"/>
      <c r="AF244" s="208" t="str">
        <f>IF(ISBLANK(D244),"",VLOOKUP(F244,'SIZE CALCULATION'!$F:$G,2,0))</f>
        <v/>
      </c>
      <c r="AG244" s="207" t="str">
        <f t="shared" si="44"/>
        <v/>
      </c>
      <c r="AH244" s="207" t="str">
        <f t="shared" si="41"/>
        <v/>
      </c>
      <c r="AI244" s="210" t="str">
        <f>IF(ISBLANK(D244),"",VLOOKUP($A244,INDEX!$D$2:$F$13,3,0))</f>
        <v/>
      </c>
      <c r="AJ244" s="207" t="str">
        <f t="shared" si="42"/>
        <v/>
      </c>
      <c r="AK244" s="207"/>
      <c r="AL244" s="207"/>
      <c r="AM244" s="207" t="str">
        <f>IFERROR(IF(ISBLANK($D244),"",VLOOKUP($N244,'TABLE CHARGE RATE'!$A$30:$K$106,5,0)),"Check")</f>
        <v/>
      </c>
      <c r="AN244" s="207" t="str">
        <f>IFERROR(IF(ISBLANK($D244),"",VLOOKUP($N244,'TABLE CHARGE RATE'!$A$30:$K$106,6,0)),"Check")</f>
        <v/>
      </c>
      <c r="AO244" s="207" t="str">
        <f>IFERROR(IF(ISBLANK($D244),"",VLOOKUP($N244,'TABLE CHARGE RATE'!$A$30:$K$106,7,0)),"Check")</f>
        <v/>
      </c>
      <c r="AP244" s="207" t="str">
        <f>IFERROR(IF(ISBLANK($D244),"",VLOOKUP($N244,'TABLE CHARGE RATE'!$A$30:$K$106,8,0)),"Check")</f>
        <v/>
      </c>
      <c r="AQ244" s="207" t="str">
        <f>IFERROR(IF(ISBLANK($D244),"",VLOOKUP($N244,'TABLE CHARGE RATE'!$A$30:$K$106,9,0)),"Check")</f>
        <v/>
      </c>
      <c r="AR244" s="207" t="str">
        <f>IFERROR(IF(ISBLANK($D244),"",VLOOKUP($N244,'TABLE CHARGE RATE'!$A$30:$K$106,10,0)),"Check")</f>
        <v/>
      </c>
      <c r="AS244" s="207" t="str">
        <f>IFERROR(IF(ISBLANK($D244),"",VLOOKUP($N244,'TABLE CHARGE RATE'!$A$30:$K$106,11,0)),"Check")</f>
        <v/>
      </c>
      <c r="AT244" s="207">
        <f t="shared" si="43"/>
        <v>243</v>
      </c>
    </row>
    <row r="245" spans="1:46" x14ac:dyDescent="0.2">
      <c r="A245" s="207" t="str">
        <f t="shared" si="37"/>
        <v/>
      </c>
      <c r="B245" s="208" t="str">
        <f>IF(ISBLANK(D245),"",VLOOKUP(WEEKDAY($C245,1),INDEX!$J$2:$K$8,2,0))</f>
        <v/>
      </c>
      <c r="C245" s="209"/>
      <c r="D245" s="207"/>
      <c r="E245" s="207"/>
      <c r="F245" s="207"/>
      <c r="G245" s="207"/>
      <c r="H245" s="207"/>
      <c r="I245" s="207"/>
      <c r="J245" s="207"/>
      <c r="K245" s="207"/>
      <c r="L245" s="207"/>
      <c r="M245" s="207"/>
      <c r="N245" s="207"/>
      <c r="O245" s="207"/>
      <c r="P245" s="207"/>
      <c r="Q245" s="207"/>
      <c r="R245" s="207"/>
      <c r="S245" s="207"/>
      <c r="T245" s="207"/>
      <c r="U245" s="209"/>
      <c r="V245" s="207"/>
      <c r="W245" s="207"/>
      <c r="X245" s="209">
        <f t="shared" si="39"/>
        <v>0</v>
      </c>
      <c r="Y245" s="209">
        <f t="shared" si="40"/>
        <v>0</v>
      </c>
      <c r="Z245" s="207">
        <v>1</v>
      </c>
      <c r="AA245" s="209" t="str">
        <f t="shared" si="38"/>
        <v/>
      </c>
      <c r="AB245" s="209"/>
      <c r="AC245" s="207" t="s">
        <v>545</v>
      </c>
      <c r="AD245" s="207"/>
      <c r="AE245" s="207"/>
      <c r="AF245" s="208" t="str">
        <f>IF(ISBLANK(D245),"",VLOOKUP(F245,'SIZE CALCULATION'!$F:$G,2,0))</f>
        <v/>
      </c>
      <c r="AG245" s="207" t="str">
        <f t="shared" si="44"/>
        <v/>
      </c>
      <c r="AH245" s="207" t="str">
        <f t="shared" si="41"/>
        <v/>
      </c>
      <c r="AI245" s="210" t="str">
        <f>IF(ISBLANK(D245),"",VLOOKUP($A245,INDEX!$D$2:$F$13,3,0))</f>
        <v/>
      </c>
      <c r="AJ245" s="207" t="str">
        <f t="shared" si="42"/>
        <v/>
      </c>
      <c r="AK245" s="207"/>
      <c r="AL245" s="207"/>
      <c r="AM245" s="207" t="str">
        <f>IFERROR(IF(ISBLANK($D245),"",VLOOKUP($N245,'TABLE CHARGE RATE'!$A$30:$K$106,5,0)),"Check")</f>
        <v/>
      </c>
      <c r="AN245" s="207" t="str">
        <f>IFERROR(IF(ISBLANK($D245),"",VLOOKUP($N245,'TABLE CHARGE RATE'!$A$30:$K$106,6,0)),"Check")</f>
        <v/>
      </c>
      <c r="AO245" s="207" t="str">
        <f>IFERROR(IF(ISBLANK($D245),"",VLOOKUP($N245,'TABLE CHARGE RATE'!$A$30:$K$106,7,0)),"Check")</f>
        <v/>
      </c>
      <c r="AP245" s="207" t="str">
        <f>IFERROR(IF(ISBLANK($D245),"",VLOOKUP($N245,'TABLE CHARGE RATE'!$A$30:$K$106,8,0)),"Check")</f>
        <v/>
      </c>
      <c r="AQ245" s="207" t="str">
        <f>IFERROR(IF(ISBLANK($D245),"",VLOOKUP($N245,'TABLE CHARGE RATE'!$A$30:$K$106,9,0)),"Check")</f>
        <v/>
      </c>
      <c r="AR245" s="207" t="str">
        <f>IFERROR(IF(ISBLANK($D245),"",VLOOKUP($N245,'TABLE CHARGE RATE'!$A$30:$K$106,10,0)),"Check")</f>
        <v/>
      </c>
      <c r="AS245" s="207" t="str">
        <f>IFERROR(IF(ISBLANK($D245),"",VLOOKUP($N245,'TABLE CHARGE RATE'!$A$30:$K$106,11,0)),"Check")</f>
        <v/>
      </c>
      <c r="AT245" s="207">
        <f t="shared" si="43"/>
        <v>244</v>
      </c>
    </row>
    <row r="246" spans="1:46" x14ac:dyDescent="0.2">
      <c r="A246" s="207" t="str">
        <f t="shared" si="37"/>
        <v/>
      </c>
      <c r="B246" s="208" t="str">
        <f>IF(ISBLANK(D246),"",VLOOKUP(WEEKDAY($C246,1),INDEX!$J$2:$K$8,2,0))</f>
        <v/>
      </c>
      <c r="C246" s="209"/>
      <c r="D246" s="207"/>
      <c r="E246" s="207"/>
      <c r="F246" s="207"/>
      <c r="G246" s="207"/>
      <c r="H246" s="207"/>
      <c r="I246" s="207"/>
      <c r="J246" s="207"/>
      <c r="K246" s="207"/>
      <c r="L246" s="207"/>
      <c r="M246" s="207"/>
      <c r="N246" s="207"/>
      <c r="O246" s="207"/>
      <c r="P246" s="207"/>
      <c r="Q246" s="207"/>
      <c r="R246" s="207"/>
      <c r="S246" s="207"/>
      <c r="T246" s="207"/>
      <c r="U246" s="209"/>
      <c r="V246" s="207"/>
      <c r="W246" s="207"/>
      <c r="X246" s="209">
        <f t="shared" si="39"/>
        <v>0</v>
      </c>
      <c r="Y246" s="209">
        <f t="shared" si="40"/>
        <v>0</v>
      </c>
      <c r="Z246" s="207">
        <v>1</v>
      </c>
      <c r="AA246" s="209" t="str">
        <f t="shared" si="38"/>
        <v/>
      </c>
      <c r="AB246" s="209"/>
      <c r="AC246" s="207" t="s">
        <v>545</v>
      </c>
      <c r="AD246" s="207"/>
      <c r="AE246" s="207"/>
      <c r="AF246" s="208" t="str">
        <f>IF(ISBLANK(D246),"",VLOOKUP(F246,'SIZE CALCULATION'!$F:$G,2,0))</f>
        <v/>
      </c>
      <c r="AG246" s="207" t="str">
        <f t="shared" si="44"/>
        <v/>
      </c>
      <c r="AH246" s="207" t="str">
        <f t="shared" si="41"/>
        <v/>
      </c>
      <c r="AI246" s="210" t="str">
        <f>IF(ISBLANK(D246),"",VLOOKUP($A246,INDEX!$D$2:$F$13,3,0))</f>
        <v/>
      </c>
      <c r="AJ246" s="207" t="str">
        <f t="shared" si="42"/>
        <v/>
      </c>
      <c r="AK246" s="207"/>
      <c r="AL246" s="207"/>
      <c r="AM246" s="207" t="str">
        <f>IFERROR(IF(ISBLANK($D246),"",VLOOKUP($N246,'TABLE CHARGE RATE'!$A$30:$K$106,5,0)),"Check")</f>
        <v/>
      </c>
      <c r="AN246" s="207" t="str">
        <f>IFERROR(IF(ISBLANK($D246),"",VLOOKUP($N246,'TABLE CHARGE RATE'!$A$30:$K$106,6,0)),"Check")</f>
        <v/>
      </c>
      <c r="AO246" s="207" t="str">
        <f>IFERROR(IF(ISBLANK($D246),"",VLOOKUP($N246,'TABLE CHARGE RATE'!$A$30:$K$106,7,0)),"Check")</f>
        <v/>
      </c>
      <c r="AP246" s="207" t="str">
        <f>IFERROR(IF(ISBLANK($D246),"",VLOOKUP($N246,'TABLE CHARGE RATE'!$A$30:$K$106,8,0)),"Check")</f>
        <v/>
      </c>
      <c r="AQ246" s="207" t="str">
        <f>IFERROR(IF(ISBLANK($D246),"",VLOOKUP($N246,'TABLE CHARGE RATE'!$A$30:$K$106,9,0)),"Check")</f>
        <v/>
      </c>
      <c r="AR246" s="207" t="str">
        <f>IFERROR(IF(ISBLANK($D246),"",VLOOKUP($N246,'TABLE CHARGE RATE'!$A$30:$K$106,10,0)),"Check")</f>
        <v/>
      </c>
      <c r="AS246" s="207" t="str">
        <f>IFERROR(IF(ISBLANK($D246),"",VLOOKUP($N246,'TABLE CHARGE RATE'!$A$30:$K$106,11,0)),"Check")</f>
        <v/>
      </c>
      <c r="AT246" s="207">
        <f t="shared" si="43"/>
        <v>245</v>
      </c>
    </row>
    <row r="247" spans="1:46" x14ac:dyDescent="0.2">
      <c r="A247" s="207" t="str">
        <f t="shared" si="37"/>
        <v/>
      </c>
      <c r="B247" s="208" t="str">
        <f>IF(ISBLANK(D247),"",VLOOKUP(WEEKDAY($C247,1),INDEX!$J$2:$K$8,2,0))</f>
        <v/>
      </c>
      <c r="C247" s="209"/>
      <c r="D247" s="207"/>
      <c r="E247" s="207"/>
      <c r="F247" s="207"/>
      <c r="G247" s="207"/>
      <c r="H247" s="207"/>
      <c r="I247" s="207"/>
      <c r="J247" s="207"/>
      <c r="K247" s="207"/>
      <c r="L247" s="207"/>
      <c r="M247" s="207"/>
      <c r="N247" s="207"/>
      <c r="O247" s="207"/>
      <c r="P247" s="207"/>
      <c r="Q247" s="207"/>
      <c r="R247" s="207"/>
      <c r="S247" s="207"/>
      <c r="T247" s="207"/>
      <c r="U247" s="209"/>
      <c r="V247" s="207"/>
      <c r="W247" s="207"/>
      <c r="X247" s="209">
        <f t="shared" si="39"/>
        <v>0</v>
      </c>
      <c r="Y247" s="209">
        <f t="shared" si="40"/>
        <v>0</v>
      </c>
      <c r="Z247" s="207">
        <v>1</v>
      </c>
      <c r="AA247" s="209" t="str">
        <f t="shared" si="38"/>
        <v/>
      </c>
      <c r="AB247" s="209"/>
      <c r="AC247" s="207" t="s">
        <v>545</v>
      </c>
      <c r="AD247" s="207"/>
      <c r="AE247" s="207"/>
      <c r="AF247" s="208" t="str">
        <f>IF(ISBLANK(D247),"",VLOOKUP(F247,'SIZE CALCULATION'!$F:$G,2,0))</f>
        <v/>
      </c>
      <c r="AG247" s="207" t="str">
        <f t="shared" si="44"/>
        <v/>
      </c>
      <c r="AH247" s="207" t="str">
        <f t="shared" si="41"/>
        <v/>
      </c>
      <c r="AI247" s="210" t="str">
        <f>IF(ISBLANK(D247),"",VLOOKUP($A247,INDEX!$D$2:$F$13,3,0))</f>
        <v/>
      </c>
      <c r="AJ247" s="207" t="str">
        <f t="shared" si="42"/>
        <v/>
      </c>
      <c r="AK247" s="207"/>
      <c r="AL247" s="207"/>
      <c r="AM247" s="207" t="str">
        <f>IFERROR(IF(ISBLANK($D247),"",VLOOKUP($N247,'TABLE CHARGE RATE'!$A$30:$K$106,5,0)),"Check")</f>
        <v/>
      </c>
      <c r="AN247" s="207" t="str">
        <f>IFERROR(IF(ISBLANK($D247),"",VLOOKUP($N247,'TABLE CHARGE RATE'!$A$30:$K$106,6,0)),"Check")</f>
        <v/>
      </c>
      <c r="AO247" s="207" t="str">
        <f>IFERROR(IF(ISBLANK($D247),"",VLOOKUP($N247,'TABLE CHARGE RATE'!$A$30:$K$106,7,0)),"Check")</f>
        <v/>
      </c>
      <c r="AP247" s="207" t="str">
        <f>IFERROR(IF(ISBLANK($D247),"",VLOOKUP($N247,'TABLE CHARGE RATE'!$A$30:$K$106,8,0)),"Check")</f>
        <v/>
      </c>
      <c r="AQ247" s="207" t="str">
        <f>IFERROR(IF(ISBLANK($D247),"",VLOOKUP($N247,'TABLE CHARGE RATE'!$A$30:$K$106,9,0)),"Check")</f>
        <v/>
      </c>
      <c r="AR247" s="207" t="str">
        <f>IFERROR(IF(ISBLANK($D247),"",VLOOKUP($N247,'TABLE CHARGE RATE'!$A$30:$K$106,10,0)),"Check")</f>
        <v/>
      </c>
      <c r="AS247" s="207" t="str">
        <f>IFERROR(IF(ISBLANK($D247),"",VLOOKUP($N247,'TABLE CHARGE RATE'!$A$30:$K$106,11,0)),"Check")</f>
        <v/>
      </c>
      <c r="AT247" s="207">
        <f t="shared" si="43"/>
        <v>246</v>
      </c>
    </row>
    <row r="248" spans="1:46" x14ac:dyDescent="0.2">
      <c r="A248" s="207" t="str">
        <f t="shared" si="37"/>
        <v/>
      </c>
      <c r="B248" s="208" t="str">
        <f>IF(ISBLANK(D248),"",VLOOKUP(WEEKDAY($C248,1),INDEX!$J$2:$K$8,2,0))</f>
        <v/>
      </c>
      <c r="C248" s="209"/>
      <c r="D248" s="207"/>
      <c r="E248" s="207"/>
      <c r="F248" s="207"/>
      <c r="G248" s="207"/>
      <c r="H248" s="207"/>
      <c r="I248" s="207"/>
      <c r="J248" s="207"/>
      <c r="K248" s="207"/>
      <c r="L248" s="207"/>
      <c r="M248" s="207"/>
      <c r="N248" s="207"/>
      <c r="O248" s="207"/>
      <c r="P248" s="207"/>
      <c r="Q248" s="207"/>
      <c r="R248" s="207"/>
      <c r="S248" s="207"/>
      <c r="T248" s="207"/>
      <c r="U248" s="209"/>
      <c r="V248" s="207"/>
      <c r="W248" s="207"/>
      <c r="X248" s="209">
        <f t="shared" si="39"/>
        <v>0</v>
      </c>
      <c r="Y248" s="209">
        <f t="shared" si="40"/>
        <v>0</v>
      </c>
      <c r="Z248" s="207">
        <v>1</v>
      </c>
      <c r="AA248" s="209" t="str">
        <f t="shared" si="38"/>
        <v/>
      </c>
      <c r="AB248" s="209"/>
      <c r="AC248" s="207" t="s">
        <v>545</v>
      </c>
      <c r="AD248" s="207"/>
      <c r="AE248" s="207"/>
      <c r="AF248" s="208" t="str">
        <f>IF(ISBLANK(D248),"",VLOOKUP(F248,'SIZE CALCULATION'!$F:$G,2,0))</f>
        <v/>
      </c>
      <c r="AG248" s="207" t="str">
        <f t="shared" si="44"/>
        <v/>
      </c>
      <c r="AH248" s="207" t="str">
        <f t="shared" si="41"/>
        <v/>
      </c>
      <c r="AI248" s="210" t="str">
        <f>IF(ISBLANK(D248),"",VLOOKUP($A248,INDEX!$D$2:$F$13,3,0))</f>
        <v/>
      </c>
      <c r="AJ248" s="207" t="str">
        <f t="shared" si="42"/>
        <v/>
      </c>
      <c r="AK248" s="207"/>
      <c r="AL248" s="207"/>
      <c r="AM248" s="207" t="str">
        <f>IFERROR(IF(ISBLANK($D248),"",VLOOKUP($N248,'TABLE CHARGE RATE'!$A$30:$K$106,5,0)),"Check")</f>
        <v/>
      </c>
      <c r="AN248" s="207" t="str">
        <f>IFERROR(IF(ISBLANK($D248),"",VLOOKUP($N248,'TABLE CHARGE RATE'!$A$30:$K$106,6,0)),"Check")</f>
        <v/>
      </c>
      <c r="AO248" s="207" t="str">
        <f>IFERROR(IF(ISBLANK($D248),"",VLOOKUP($N248,'TABLE CHARGE RATE'!$A$30:$K$106,7,0)),"Check")</f>
        <v/>
      </c>
      <c r="AP248" s="207" t="str">
        <f>IFERROR(IF(ISBLANK($D248),"",VLOOKUP($N248,'TABLE CHARGE RATE'!$A$30:$K$106,8,0)),"Check")</f>
        <v/>
      </c>
      <c r="AQ248" s="207" t="str">
        <f>IFERROR(IF(ISBLANK($D248),"",VLOOKUP($N248,'TABLE CHARGE RATE'!$A$30:$K$106,9,0)),"Check")</f>
        <v/>
      </c>
      <c r="AR248" s="207" t="str">
        <f>IFERROR(IF(ISBLANK($D248),"",VLOOKUP($N248,'TABLE CHARGE RATE'!$A$30:$K$106,10,0)),"Check")</f>
        <v/>
      </c>
      <c r="AS248" s="207" t="str">
        <f>IFERROR(IF(ISBLANK($D248),"",VLOOKUP($N248,'TABLE CHARGE RATE'!$A$30:$K$106,11,0)),"Check")</f>
        <v/>
      </c>
      <c r="AT248" s="207">
        <f t="shared" si="43"/>
        <v>247</v>
      </c>
    </row>
    <row r="249" spans="1:46" x14ac:dyDescent="0.2">
      <c r="A249" s="207" t="str">
        <f t="shared" si="37"/>
        <v/>
      </c>
      <c r="B249" s="208" t="str">
        <f>IF(ISBLANK(D249),"",VLOOKUP(WEEKDAY($C249,1),INDEX!$J$2:$K$8,2,0))</f>
        <v/>
      </c>
      <c r="C249" s="209"/>
      <c r="D249" s="207"/>
      <c r="E249" s="207"/>
      <c r="F249" s="207"/>
      <c r="G249" s="207"/>
      <c r="H249" s="207"/>
      <c r="I249" s="207"/>
      <c r="J249" s="207"/>
      <c r="K249" s="207"/>
      <c r="L249" s="207"/>
      <c r="M249" s="207"/>
      <c r="N249" s="207"/>
      <c r="O249" s="207"/>
      <c r="P249" s="207"/>
      <c r="Q249" s="207"/>
      <c r="R249" s="207"/>
      <c r="S249" s="207"/>
      <c r="T249" s="207"/>
      <c r="U249" s="209"/>
      <c r="V249" s="207"/>
      <c r="W249" s="207"/>
      <c r="X249" s="209">
        <f t="shared" si="39"/>
        <v>0</v>
      </c>
      <c r="Y249" s="209">
        <f t="shared" si="40"/>
        <v>0</v>
      </c>
      <c r="Z249" s="207">
        <v>1</v>
      </c>
      <c r="AA249" s="209" t="str">
        <f t="shared" si="38"/>
        <v/>
      </c>
      <c r="AB249" s="209"/>
      <c r="AC249" s="207" t="s">
        <v>545</v>
      </c>
      <c r="AD249" s="207"/>
      <c r="AE249" s="207"/>
      <c r="AF249" s="208" t="str">
        <f>IF(ISBLANK(D249),"",VLOOKUP(F249,'SIZE CALCULATION'!$F:$G,2,0))</f>
        <v/>
      </c>
      <c r="AG249" s="207" t="str">
        <f t="shared" si="44"/>
        <v/>
      </c>
      <c r="AH249" s="207" t="str">
        <f t="shared" si="41"/>
        <v/>
      </c>
      <c r="AI249" s="210" t="str">
        <f>IF(ISBLANK(D249),"",VLOOKUP($A249,INDEX!$D$2:$F$13,3,0))</f>
        <v/>
      </c>
      <c r="AJ249" s="207" t="str">
        <f t="shared" si="42"/>
        <v/>
      </c>
      <c r="AK249" s="207"/>
      <c r="AL249" s="207"/>
      <c r="AM249" s="207" t="str">
        <f>IFERROR(IF(ISBLANK($D249),"",VLOOKUP($N249,'TABLE CHARGE RATE'!$A$30:$K$106,5,0)),"Check")</f>
        <v/>
      </c>
      <c r="AN249" s="207" t="str">
        <f>IFERROR(IF(ISBLANK($D249),"",VLOOKUP($N249,'TABLE CHARGE RATE'!$A$30:$K$106,6,0)),"Check")</f>
        <v/>
      </c>
      <c r="AO249" s="207" t="str">
        <f>IFERROR(IF(ISBLANK($D249),"",VLOOKUP($N249,'TABLE CHARGE RATE'!$A$30:$K$106,7,0)),"Check")</f>
        <v/>
      </c>
      <c r="AP249" s="207" t="str">
        <f>IFERROR(IF(ISBLANK($D249),"",VLOOKUP($N249,'TABLE CHARGE RATE'!$A$30:$K$106,8,0)),"Check")</f>
        <v/>
      </c>
      <c r="AQ249" s="207" t="str">
        <f>IFERROR(IF(ISBLANK($D249),"",VLOOKUP($N249,'TABLE CHARGE RATE'!$A$30:$K$106,9,0)),"Check")</f>
        <v/>
      </c>
      <c r="AR249" s="207" t="str">
        <f>IFERROR(IF(ISBLANK($D249),"",VLOOKUP($N249,'TABLE CHARGE RATE'!$A$30:$K$106,10,0)),"Check")</f>
        <v/>
      </c>
      <c r="AS249" s="207" t="str">
        <f>IFERROR(IF(ISBLANK($D249),"",VLOOKUP($N249,'TABLE CHARGE RATE'!$A$30:$K$106,11,0)),"Check")</f>
        <v/>
      </c>
      <c r="AT249" s="207">
        <f t="shared" si="43"/>
        <v>248</v>
      </c>
    </row>
    <row r="250" spans="1:46" x14ac:dyDescent="0.2">
      <c r="A250" s="207" t="str">
        <f t="shared" si="37"/>
        <v/>
      </c>
      <c r="B250" s="208" t="str">
        <f>IF(ISBLANK(D250),"",VLOOKUP(WEEKDAY($C250,1),INDEX!$J$2:$K$8,2,0))</f>
        <v/>
      </c>
      <c r="C250" s="209"/>
      <c r="D250" s="207"/>
      <c r="E250" s="207"/>
      <c r="F250" s="207"/>
      <c r="G250" s="207"/>
      <c r="H250" s="207"/>
      <c r="I250" s="207"/>
      <c r="J250" s="207"/>
      <c r="K250" s="207"/>
      <c r="L250" s="207"/>
      <c r="M250" s="207"/>
      <c r="N250" s="207"/>
      <c r="O250" s="207"/>
      <c r="P250" s="207"/>
      <c r="Q250" s="207"/>
      <c r="R250" s="207"/>
      <c r="S250" s="207"/>
      <c r="T250" s="207"/>
      <c r="U250" s="209"/>
      <c r="V250" s="207"/>
      <c r="W250" s="207"/>
      <c r="X250" s="209">
        <f t="shared" si="39"/>
        <v>0</v>
      </c>
      <c r="Y250" s="209">
        <f t="shared" si="40"/>
        <v>0</v>
      </c>
      <c r="Z250" s="207">
        <v>1</v>
      </c>
      <c r="AA250" s="209" t="str">
        <f t="shared" si="38"/>
        <v/>
      </c>
      <c r="AB250" s="209"/>
      <c r="AC250" s="207" t="s">
        <v>545</v>
      </c>
      <c r="AD250" s="207"/>
      <c r="AE250" s="207"/>
      <c r="AF250" s="208" t="str">
        <f>IF(ISBLANK(D250),"",VLOOKUP(F250,'SIZE CALCULATION'!$F:$G,2,0))</f>
        <v/>
      </c>
      <c r="AG250" s="207" t="str">
        <f t="shared" si="44"/>
        <v/>
      </c>
      <c r="AH250" s="207" t="str">
        <f t="shared" si="41"/>
        <v/>
      </c>
      <c r="AI250" s="210" t="str">
        <f>IF(ISBLANK(D250),"",VLOOKUP($A250,INDEX!$D$2:$F$13,3,0))</f>
        <v/>
      </c>
      <c r="AJ250" s="207" t="str">
        <f t="shared" si="42"/>
        <v/>
      </c>
      <c r="AK250" s="207"/>
      <c r="AL250" s="207"/>
      <c r="AM250" s="207" t="str">
        <f>IFERROR(IF(ISBLANK($D250),"",VLOOKUP($N250,'TABLE CHARGE RATE'!$A$30:$K$106,5,0)),"Check")</f>
        <v/>
      </c>
      <c r="AN250" s="207" t="str">
        <f>IFERROR(IF(ISBLANK($D250),"",VLOOKUP($N250,'TABLE CHARGE RATE'!$A$30:$K$106,6,0)),"Check")</f>
        <v/>
      </c>
      <c r="AO250" s="207" t="str">
        <f>IFERROR(IF(ISBLANK($D250),"",VLOOKUP($N250,'TABLE CHARGE RATE'!$A$30:$K$106,7,0)),"Check")</f>
        <v/>
      </c>
      <c r="AP250" s="207" t="str">
        <f>IFERROR(IF(ISBLANK($D250),"",VLOOKUP($N250,'TABLE CHARGE RATE'!$A$30:$K$106,8,0)),"Check")</f>
        <v/>
      </c>
      <c r="AQ250" s="207" t="str">
        <f>IFERROR(IF(ISBLANK($D250),"",VLOOKUP($N250,'TABLE CHARGE RATE'!$A$30:$K$106,9,0)),"Check")</f>
        <v/>
      </c>
      <c r="AR250" s="207" t="str">
        <f>IFERROR(IF(ISBLANK($D250),"",VLOOKUP($N250,'TABLE CHARGE RATE'!$A$30:$K$106,10,0)),"Check")</f>
        <v/>
      </c>
      <c r="AS250" s="207" t="str">
        <f>IFERROR(IF(ISBLANK($D250),"",VLOOKUP($N250,'TABLE CHARGE RATE'!$A$30:$K$106,11,0)),"Check")</f>
        <v/>
      </c>
      <c r="AT250" s="207">
        <f t="shared" si="43"/>
        <v>249</v>
      </c>
    </row>
    <row r="251" spans="1:46" x14ac:dyDescent="0.2">
      <c r="A251" s="207" t="str">
        <f t="shared" si="37"/>
        <v/>
      </c>
      <c r="B251" s="208" t="str">
        <f>IF(ISBLANK(D251),"",VLOOKUP(WEEKDAY($C251,1),INDEX!$J$2:$K$8,2,0))</f>
        <v/>
      </c>
      <c r="C251" s="209"/>
      <c r="D251" s="207"/>
      <c r="E251" s="207"/>
      <c r="F251" s="207"/>
      <c r="G251" s="207"/>
      <c r="H251" s="207"/>
      <c r="I251" s="207"/>
      <c r="J251" s="207"/>
      <c r="K251" s="207"/>
      <c r="L251" s="207"/>
      <c r="M251" s="207"/>
      <c r="N251" s="207"/>
      <c r="O251" s="207"/>
      <c r="P251" s="207"/>
      <c r="Q251" s="207"/>
      <c r="R251" s="207"/>
      <c r="S251" s="207"/>
      <c r="T251" s="207"/>
      <c r="U251" s="209"/>
      <c r="V251" s="207"/>
      <c r="W251" s="207"/>
      <c r="X251" s="209">
        <f t="shared" si="39"/>
        <v>0</v>
      </c>
      <c r="Y251" s="209">
        <f t="shared" si="40"/>
        <v>0</v>
      </c>
      <c r="Z251" s="207">
        <v>1</v>
      </c>
      <c r="AA251" s="209" t="str">
        <f t="shared" si="38"/>
        <v/>
      </c>
      <c r="AB251" s="209"/>
      <c r="AC251" s="207" t="s">
        <v>545</v>
      </c>
      <c r="AD251" s="207"/>
      <c r="AE251" s="207"/>
      <c r="AF251" s="208" t="str">
        <f>IF(ISBLANK(D251),"",VLOOKUP(F251,'SIZE CALCULATION'!$F:$G,2,0))</f>
        <v/>
      </c>
      <c r="AG251" s="207" t="str">
        <f t="shared" si="44"/>
        <v/>
      </c>
      <c r="AH251" s="207" t="str">
        <f t="shared" si="41"/>
        <v/>
      </c>
      <c r="AI251" s="210" t="str">
        <f>IF(ISBLANK(D251),"",VLOOKUP($A251,INDEX!$D$2:$F$13,3,0))</f>
        <v/>
      </c>
      <c r="AJ251" s="207" t="str">
        <f t="shared" si="42"/>
        <v/>
      </c>
      <c r="AK251" s="207"/>
      <c r="AL251" s="207"/>
      <c r="AM251" s="207" t="str">
        <f>IFERROR(IF(ISBLANK($D251),"",VLOOKUP($N251,'TABLE CHARGE RATE'!$A$30:$K$106,5,0)),"Check")</f>
        <v/>
      </c>
      <c r="AN251" s="207" t="str">
        <f>IFERROR(IF(ISBLANK($D251),"",VLOOKUP($N251,'TABLE CHARGE RATE'!$A$30:$K$106,6,0)),"Check")</f>
        <v/>
      </c>
      <c r="AO251" s="207" t="str">
        <f>IFERROR(IF(ISBLANK($D251),"",VLOOKUP($N251,'TABLE CHARGE RATE'!$A$30:$K$106,7,0)),"Check")</f>
        <v/>
      </c>
      <c r="AP251" s="207" t="str">
        <f>IFERROR(IF(ISBLANK($D251),"",VLOOKUP($N251,'TABLE CHARGE RATE'!$A$30:$K$106,8,0)),"Check")</f>
        <v/>
      </c>
      <c r="AQ251" s="207" t="str">
        <f>IFERROR(IF(ISBLANK($D251),"",VLOOKUP($N251,'TABLE CHARGE RATE'!$A$30:$K$106,9,0)),"Check")</f>
        <v/>
      </c>
      <c r="AR251" s="207" t="str">
        <f>IFERROR(IF(ISBLANK($D251),"",VLOOKUP($N251,'TABLE CHARGE RATE'!$A$30:$K$106,10,0)),"Check")</f>
        <v/>
      </c>
      <c r="AS251" s="207" t="str">
        <f>IFERROR(IF(ISBLANK($D251),"",VLOOKUP($N251,'TABLE CHARGE RATE'!$A$30:$K$106,11,0)),"Check")</f>
        <v/>
      </c>
      <c r="AT251" s="207">
        <f t="shared" si="43"/>
        <v>250</v>
      </c>
    </row>
    <row r="252" spans="1:46" x14ac:dyDescent="0.2">
      <c r="A252" s="207" t="str">
        <f t="shared" si="37"/>
        <v/>
      </c>
      <c r="B252" s="208" t="str">
        <f>IF(ISBLANK(D252),"",VLOOKUP(WEEKDAY($C252,1),INDEX!$J$2:$K$8,2,0))</f>
        <v/>
      </c>
      <c r="C252" s="209"/>
      <c r="D252" s="207"/>
      <c r="E252" s="207"/>
      <c r="F252" s="207"/>
      <c r="G252" s="207"/>
      <c r="H252" s="207"/>
      <c r="I252" s="207"/>
      <c r="J252" s="207"/>
      <c r="K252" s="207"/>
      <c r="L252" s="207"/>
      <c r="M252" s="207"/>
      <c r="N252" s="207"/>
      <c r="O252" s="207"/>
      <c r="P252" s="207"/>
      <c r="Q252" s="207"/>
      <c r="R252" s="207"/>
      <c r="S252" s="207"/>
      <c r="T252" s="207"/>
      <c r="U252" s="209"/>
      <c r="V252" s="207"/>
      <c r="W252" s="207"/>
      <c r="X252" s="209">
        <f t="shared" si="39"/>
        <v>0</v>
      </c>
      <c r="Y252" s="209">
        <f t="shared" si="40"/>
        <v>0</v>
      </c>
      <c r="Z252" s="207">
        <v>1</v>
      </c>
      <c r="AA252" s="209" t="str">
        <f t="shared" si="38"/>
        <v/>
      </c>
      <c r="AB252" s="209"/>
      <c r="AC252" s="207" t="s">
        <v>545</v>
      </c>
      <c r="AD252" s="207"/>
      <c r="AE252" s="207"/>
      <c r="AF252" s="208" t="str">
        <f>IF(ISBLANK(D252),"",VLOOKUP(F252,'SIZE CALCULATION'!$F:$G,2,0))</f>
        <v/>
      </c>
      <c r="AG252" s="207" t="str">
        <f t="shared" si="44"/>
        <v/>
      </c>
      <c r="AH252" s="207" t="str">
        <f t="shared" si="41"/>
        <v/>
      </c>
      <c r="AI252" s="210" t="str">
        <f>IF(ISBLANK(D252),"",VLOOKUP($A252,INDEX!$D$2:$F$13,3,0))</f>
        <v/>
      </c>
      <c r="AJ252" s="207" t="str">
        <f t="shared" si="42"/>
        <v/>
      </c>
      <c r="AK252" s="207"/>
      <c r="AL252" s="207"/>
      <c r="AM252" s="207" t="str">
        <f>IFERROR(IF(ISBLANK($D252),"",VLOOKUP($N252,'TABLE CHARGE RATE'!$A$30:$K$106,5,0)),"Check")</f>
        <v/>
      </c>
      <c r="AN252" s="207" t="str">
        <f>IFERROR(IF(ISBLANK($D252),"",VLOOKUP($N252,'TABLE CHARGE RATE'!$A$30:$K$106,6,0)),"Check")</f>
        <v/>
      </c>
      <c r="AO252" s="207" t="str">
        <f>IFERROR(IF(ISBLANK($D252),"",VLOOKUP($N252,'TABLE CHARGE RATE'!$A$30:$K$106,7,0)),"Check")</f>
        <v/>
      </c>
      <c r="AP252" s="207" t="str">
        <f>IFERROR(IF(ISBLANK($D252),"",VLOOKUP($N252,'TABLE CHARGE RATE'!$A$30:$K$106,8,0)),"Check")</f>
        <v/>
      </c>
      <c r="AQ252" s="207" t="str">
        <f>IFERROR(IF(ISBLANK($D252),"",VLOOKUP($N252,'TABLE CHARGE RATE'!$A$30:$K$106,9,0)),"Check")</f>
        <v/>
      </c>
      <c r="AR252" s="207" t="str">
        <f>IFERROR(IF(ISBLANK($D252),"",VLOOKUP($N252,'TABLE CHARGE RATE'!$A$30:$K$106,10,0)),"Check")</f>
        <v/>
      </c>
      <c r="AS252" s="207" t="str">
        <f>IFERROR(IF(ISBLANK($D252),"",VLOOKUP($N252,'TABLE CHARGE RATE'!$A$30:$K$106,11,0)),"Check")</f>
        <v/>
      </c>
      <c r="AT252" s="207">
        <f t="shared" si="43"/>
        <v>251</v>
      </c>
    </row>
    <row r="253" spans="1:46" x14ac:dyDescent="0.2">
      <c r="A253" s="207" t="str">
        <f t="shared" si="37"/>
        <v/>
      </c>
      <c r="B253" s="208" t="str">
        <f>IF(ISBLANK(D253),"",VLOOKUP(WEEKDAY($C253,1),INDEX!$J$2:$K$8,2,0))</f>
        <v/>
      </c>
      <c r="C253" s="209"/>
      <c r="D253" s="207"/>
      <c r="E253" s="207"/>
      <c r="F253" s="207"/>
      <c r="G253" s="207"/>
      <c r="H253" s="207"/>
      <c r="I253" s="207"/>
      <c r="J253" s="207"/>
      <c r="K253" s="207"/>
      <c r="L253" s="207"/>
      <c r="M253" s="207"/>
      <c r="N253" s="207"/>
      <c r="O253" s="207"/>
      <c r="P253" s="207"/>
      <c r="Q253" s="207"/>
      <c r="R253" s="207"/>
      <c r="S253" s="207"/>
      <c r="T253" s="207"/>
      <c r="U253" s="209"/>
      <c r="V253" s="207"/>
      <c r="W253" s="207"/>
      <c r="X253" s="209">
        <f t="shared" si="39"/>
        <v>0</v>
      </c>
      <c r="Y253" s="209">
        <f t="shared" si="40"/>
        <v>0</v>
      </c>
      <c r="Z253" s="207">
        <v>1</v>
      </c>
      <c r="AA253" s="209" t="str">
        <f t="shared" si="38"/>
        <v/>
      </c>
      <c r="AB253" s="209"/>
      <c r="AC253" s="207" t="s">
        <v>545</v>
      </c>
      <c r="AD253" s="207"/>
      <c r="AE253" s="207"/>
      <c r="AF253" s="208" t="str">
        <f>IF(ISBLANK(D253),"",VLOOKUP(F253,'SIZE CALCULATION'!$F:$G,2,0))</f>
        <v/>
      </c>
      <c r="AG253" s="207" t="str">
        <f t="shared" si="44"/>
        <v/>
      </c>
      <c r="AH253" s="207" t="str">
        <f t="shared" si="41"/>
        <v/>
      </c>
      <c r="AI253" s="210" t="str">
        <f>IF(ISBLANK(D253),"",VLOOKUP($A253,INDEX!$D$2:$F$13,3,0))</f>
        <v/>
      </c>
      <c r="AJ253" s="207" t="str">
        <f t="shared" si="42"/>
        <v/>
      </c>
      <c r="AK253" s="207"/>
      <c r="AL253" s="207"/>
      <c r="AM253" s="207" t="str">
        <f>IFERROR(IF(ISBLANK($D253),"",VLOOKUP($N253,'TABLE CHARGE RATE'!$A$30:$K$106,5,0)),"Check")</f>
        <v/>
      </c>
      <c r="AN253" s="207" t="str">
        <f>IFERROR(IF(ISBLANK($D253),"",VLOOKUP($N253,'TABLE CHARGE RATE'!$A$30:$K$106,6,0)),"Check")</f>
        <v/>
      </c>
      <c r="AO253" s="207" t="str">
        <f>IFERROR(IF(ISBLANK($D253),"",VLOOKUP($N253,'TABLE CHARGE RATE'!$A$30:$K$106,7,0)),"Check")</f>
        <v/>
      </c>
      <c r="AP253" s="207" t="str">
        <f>IFERROR(IF(ISBLANK($D253),"",VLOOKUP($N253,'TABLE CHARGE RATE'!$A$30:$K$106,8,0)),"Check")</f>
        <v/>
      </c>
      <c r="AQ253" s="207" t="str">
        <f>IFERROR(IF(ISBLANK($D253),"",VLOOKUP($N253,'TABLE CHARGE RATE'!$A$30:$K$106,9,0)),"Check")</f>
        <v/>
      </c>
      <c r="AR253" s="207" t="str">
        <f>IFERROR(IF(ISBLANK($D253),"",VLOOKUP($N253,'TABLE CHARGE RATE'!$A$30:$K$106,10,0)),"Check")</f>
        <v/>
      </c>
      <c r="AS253" s="207" t="str">
        <f>IFERROR(IF(ISBLANK($D253),"",VLOOKUP($N253,'TABLE CHARGE RATE'!$A$30:$K$106,11,0)),"Check")</f>
        <v/>
      </c>
      <c r="AT253" s="207">
        <f t="shared" si="43"/>
        <v>252</v>
      </c>
    </row>
    <row r="254" spans="1:46" x14ac:dyDescent="0.2">
      <c r="A254" s="207" t="str">
        <f t="shared" ref="A254:A317" si="45">IF(ISBLANK(D254),"",MONTH(C254))</f>
        <v/>
      </c>
      <c r="B254" s="208" t="str">
        <f>IF(ISBLANK(D254),"",VLOOKUP(WEEKDAY($C254,1),INDEX!$J$2:$K$8,2,0))</f>
        <v/>
      </c>
      <c r="C254" s="209"/>
      <c r="D254" s="207"/>
      <c r="E254" s="207"/>
      <c r="F254" s="207"/>
      <c r="G254" s="207"/>
      <c r="H254" s="207"/>
      <c r="I254" s="207"/>
      <c r="J254" s="207"/>
      <c r="K254" s="207"/>
      <c r="L254" s="207"/>
      <c r="M254" s="207"/>
      <c r="N254" s="207"/>
      <c r="O254" s="207"/>
      <c r="P254" s="207"/>
      <c r="Q254" s="207"/>
      <c r="R254" s="207"/>
      <c r="S254" s="207"/>
      <c r="T254" s="207"/>
      <c r="U254" s="209"/>
      <c r="V254" s="207"/>
      <c r="W254" s="207"/>
      <c r="X254" s="209">
        <f t="shared" si="39"/>
        <v>0</v>
      </c>
      <c r="Y254" s="209">
        <f t="shared" si="40"/>
        <v>0</v>
      </c>
      <c r="Z254" s="207">
        <v>1</v>
      </c>
      <c r="AA254" s="209" t="str">
        <f t="shared" si="38"/>
        <v/>
      </c>
      <c r="AB254" s="209"/>
      <c r="AC254" s="207" t="s">
        <v>545</v>
      </c>
      <c r="AD254" s="207"/>
      <c r="AE254" s="207"/>
      <c r="AF254" s="208" t="str">
        <f>IF(ISBLANK(D254),"",VLOOKUP(F254,'SIZE CALCULATION'!$F:$G,2,0))</f>
        <v/>
      </c>
      <c r="AG254" s="207" t="str">
        <f t="shared" si="44"/>
        <v/>
      </c>
      <c r="AH254" s="207" t="str">
        <f t="shared" si="41"/>
        <v/>
      </c>
      <c r="AI254" s="210" t="str">
        <f>IF(ISBLANK(D254),"",VLOOKUP($A254,INDEX!$D$2:$F$13,3,0))</f>
        <v/>
      </c>
      <c r="AJ254" s="207" t="str">
        <f t="shared" si="42"/>
        <v/>
      </c>
      <c r="AK254" s="207"/>
      <c r="AL254" s="207"/>
      <c r="AM254" s="207" t="str">
        <f>IFERROR(IF(ISBLANK($D254),"",VLOOKUP($N254,'TABLE CHARGE RATE'!$A$30:$K$106,5,0)),"Check")</f>
        <v/>
      </c>
      <c r="AN254" s="207" t="str">
        <f>IFERROR(IF(ISBLANK($D254),"",VLOOKUP($N254,'TABLE CHARGE RATE'!$A$30:$K$106,6,0)),"Check")</f>
        <v/>
      </c>
      <c r="AO254" s="207" t="str">
        <f>IFERROR(IF(ISBLANK($D254),"",VLOOKUP($N254,'TABLE CHARGE RATE'!$A$30:$K$106,7,0)),"Check")</f>
        <v/>
      </c>
      <c r="AP254" s="207" t="str">
        <f>IFERROR(IF(ISBLANK($D254),"",VLOOKUP($N254,'TABLE CHARGE RATE'!$A$30:$K$106,8,0)),"Check")</f>
        <v/>
      </c>
      <c r="AQ254" s="207" t="str">
        <f>IFERROR(IF(ISBLANK($D254),"",VLOOKUP($N254,'TABLE CHARGE RATE'!$A$30:$K$106,9,0)),"Check")</f>
        <v/>
      </c>
      <c r="AR254" s="207" t="str">
        <f>IFERROR(IF(ISBLANK($D254),"",VLOOKUP($N254,'TABLE CHARGE RATE'!$A$30:$K$106,10,0)),"Check")</f>
        <v/>
      </c>
      <c r="AS254" s="207" t="str">
        <f>IFERROR(IF(ISBLANK($D254),"",VLOOKUP($N254,'TABLE CHARGE RATE'!$A$30:$K$106,11,0)),"Check")</f>
        <v/>
      </c>
      <c r="AT254" s="207">
        <f t="shared" si="43"/>
        <v>253</v>
      </c>
    </row>
    <row r="255" spans="1:46" x14ac:dyDescent="0.2">
      <c r="A255" s="207" t="str">
        <f t="shared" si="45"/>
        <v/>
      </c>
      <c r="B255" s="208" t="str">
        <f>IF(ISBLANK(D255),"",VLOOKUP(WEEKDAY($C255,1),INDEX!$J$2:$K$8,2,0))</f>
        <v/>
      </c>
      <c r="C255" s="209"/>
      <c r="D255" s="207"/>
      <c r="E255" s="207"/>
      <c r="F255" s="207"/>
      <c r="G255" s="207"/>
      <c r="H255" s="207"/>
      <c r="I255" s="207"/>
      <c r="J255" s="207"/>
      <c r="K255" s="207"/>
      <c r="L255" s="207"/>
      <c r="M255" s="207"/>
      <c r="N255" s="207"/>
      <c r="O255" s="207"/>
      <c r="P255" s="207"/>
      <c r="Q255" s="207"/>
      <c r="R255" s="207"/>
      <c r="S255" s="207"/>
      <c r="T255" s="207"/>
      <c r="U255" s="209"/>
      <c r="V255" s="207"/>
      <c r="W255" s="207"/>
      <c r="X255" s="209">
        <f t="shared" si="39"/>
        <v>0</v>
      </c>
      <c r="Y255" s="209">
        <f t="shared" si="40"/>
        <v>0</v>
      </c>
      <c r="Z255" s="207">
        <v>1</v>
      </c>
      <c r="AA255" s="209" t="str">
        <f t="shared" si="38"/>
        <v/>
      </c>
      <c r="AB255" s="209"/>
      <c r="AC255" s="207" t="s">
        <v>545</v>
      </c>
      <c r="AD255" s="207"/>
      <c r="AE255" s="207"/>
      <c r="AF255" s="208" t="str">
        <f>IF(ISBLANK(D255),"",VLOOKUP(F255,'SIZE CALCULATION'!$F:$G,2,0))</f>
        <v/>
      </c>
      <c r="AG255" s="207" t="str">
        <f t="shared" si="44"/>
        <v/>
      </c>
      <c r="AH255" s="207" t="str">
        <f t="shared" si="41"/>
        <v/>
      </c>
      <c r="AI255" s="210" t="str">
        <f>IF(ISBLANK(D255),"",VLOOKUP($A255,INDEX!$D$2:$F$13,3,0))</f>
        <v/>
      </c>
      <c r="AJ255" s="207" t="str">
        <f t="shared" si="42"/>
        <v/>
      </c>
      <c r="AK255" s="207"/>
      <c r="AL255" s="207"/>
      <c r="AM255" s="207" t="str">
        <f>IFERROR(IF(ISBLANK($D255),"",VLOOKUP($N255,'TABLE CHARGE RATE'!$A$30:$K$106,5,0)),"Check")</f>
        <v/>
      </c>
      <c r="AN255" s="207" t="str">
        <f>IFERROR(IF(ISBLANK($D255),"",VLOOKUP($N255,'TABLE CHARGE RATE'!$A$30:$K$106,6,0)),"Check")</f>
        <v/>
      </c>
      <c r="AO255" s="207" t="str">
        <f>IFERROR(IF(ISBLANK($D255),"",VLOOKUP($N255,'TABLE CHARGE RATE'!$A$30:$K$106,7,0)),"Check")</f>
        <v/>
      </c>
      <c r="AP255" s="207" t="str">
        <f>IFERROR(IF(ISBLANK($D255),"",VLOOKUP($N255,'TABLE CHARGE RATE'!$A$30:$K$106,8,0)),"Check")</f>
        <v/>
      </c>
      <c r="AQ255" s="207" t="str">
        <f>IFERROR(IF(ISBLANK($D255),"",VLOOKUP($N255,'TABLE CHARGE RATE'!$A$30:$K$106,9,0)),"Check")</f>
        <v/>
      </c>
      <c r="AR255" s="207" t="str">
        <f>IFERROR(IF(ISBLANK($D255),"",VLOOKUP($N255,'TABLE CHARGE RATE'!$A$30:$K$106,10,0)),"Check")</f>
        <v/>
      </c>
      <c r="AS255" s="207" t="str">
        <f>IFERROR(IF(ISBLANK($D255),"",VLOOKUP($N255,'TABLE CHARGE RATE'!$A$30:$K$106,11,0)),"Check")</f>
        <v/>
      </c>
      <c r="AT255" s="207">
        <f t="shared" si="43"/>
        <v>254</v>
      </c>
    </row>
    <row r="256" spans="1:46" x14ac:dyDescent="0.2">
      <c r="A256" s="207" t="str">
        <f t="shared" si="45"/>
        <v/>
      </c>
      <c r="B256" s="208" t="str">
        <f>IF(ISBLANK(D256),"",VLOOKUP(WEEKDAY($C256,1),INDEX!$J$2:$K$8,2,0))</f>
        <v/>
      </c>
      <c r="C256" s="209"/>
      <c r="D256" s="207"/>
      <c r="E256" s="207"/>
      <c r="F256" s="207"/>
      <c r="G256" s="207"/>
      <c r="H256" s="207"/>
      <c r="I256" s="207"/>
      <c r="J256" s="207"/>
      <c r="K256" s="207"/>
      <c r="L256" s="207"/>
      <c r="M256" s="207"/>
      <c r="N256" s="207"/>
      <c r="O256" s="207"/>
      <c r="P256" s="207"/>
      <c r="Q256" s="207"/>
      <c r="R256" s="207"/>
      <c r="S256" s="207"/>
      <c r="T256" s="207"/>
      <c r="U256" s="209"/>
      <c r="V256" s="207"/>
      <c r="W256" s="207"/>
      <c r="X256" s="209">
        <f t="shared" si="39"/>
        <v>0</v>
      </c>
      <c r="Y256" s="209">
        <f t="shared" si="40"/>
        <v>0</v>
      </c>
      <c r="Z256" s="207">
        <v>1</v>
      </c>
      <c r="AA256" s="209" t="str">
        <f t="shared" si="38"/>
        <v/>
      </c>
      <c r="AB256" s="209"/>
      <c r="AC256" s="207" t="s">
        <v>545</v>
      </c>
      <c r="AD256" s="207"/>
      <c r="AE256" s="207"/>
      <c r="AF256" s="208" t="str">
        <f>IF(ISBLANK(D256),"",VLOOKUP(F256,'SIZE CALCULATION'!$F:$G,2,0))</f>
        <v/>
      </c>
      <c r="AG256" s="207" t="str">
        <f t="shared" si="44"/>
        <v/>
      </c>
      <c r="AH256" s="207" t="str">
        <f t="shared" si="41"/>
        <v/>
      </c>
      <c r="AI256" s="210" t="str">
        <f>IF(ISBLANK(D256),"",VLOOKUP($A256,INDEX!$D$2:$F$13,3,0))</f>
        <v/>
      </c>
      <c r="AJ256" s="207" t="str">
        <f t="shared" si="42"/>
        <v/>
      </c>
      <c r="AK256" s="207"/>
      <c r="AL256" s="207"/>
      <c r="AM256" s="207" t="str">
        <f>IFERROR(IF(ISBLANK($D256),"",VLOOKUP($N256,'TABLE CHARGE RATE'!$A$30:$K$106,5,0)),"Check")</f>
        <v/>
      </c>
      <c r="AN256" s="207" t="str">
        <f>IFERROR(IF(ISBLANK($D256),"",VLOOKUP($N256,'TABLE CHARGE RATE'!$A$30:$K$106,6,0)),"Check")</f>
        <v/>
      </c>
      <c r="AO256" s="207" t="str">
        <f>IFERROR(IF(ISBLANK($D256),"",VLOOKUP($N256,'TABLE CHARGE RATE'!$A$30:$K$106,7,0)),"Check")</f>
        <v/>
      </c>
      <c r="AP256" s="207" t="str">
        <f>IFERROR(IF(ISBLANK($D256),"",VLOOKUP($N256,'TABLE CHARGE RATE'!$A$30:$K$106,8,0)),"Check")</f>
        <v/>
      </c>
      <c r="AQ256" s="207" t="str">
        <f>IFERROR(IF(ISBLANK($D256),"",VLOOKUP($N256,'TABLE CHARGE RATE'!$A$30:$K$106,9,0)),"Check")</f>
        <v/>
      </c>
      <c r="AR256" s="207" t="str">
        <f>IFERROR(IF(ISBLANK($D256),"",VLOOKUP($N256,'TABLE CHARGE RATE'!$A$30:$K$106,10,0)),"Check")</f>
        <v/>
      </c>
      <c r="AS256" s="207" t="str">
        <f>IFERROR(IF(ISBLANK($D256),"",VLOOKUP($N256,'TABLE CHARGE RATE'!$A$30:$K$106,11,0)),"Check")</f>
        <v/>
      </c>
      <c r="AT256" s="207">
        <f t="shared" si="43"/>
        <v>255</v>
      </c>
    </row>
    <row r="257" spans="1:46" x14ac:dyDescent="0.2">
      <c r="A257" s="207" t="str">
        <f t="shared" si="45"/>
        <v/>
      </c>
      <c r="B257" s="208" t="str">
        <f>IF(ISBLANK(D257),"",VLOOKUP(WEEKDAY($C257,1),INDEX!$J$2:$K$8,2,0))</f>
        <v/>
      </c>
      <c r="C257" s="209"/>
      <c r="D257" s="207"/>
      <c r="E257" s="207"/>
      <c r="F257" s="207"/>
      <c r="G257" s="207"/>
      <c r="H257" s="207"/>
      <c r="I257" s="207"/>
      <c r="J257" s="207"/>
      <c r="K257" s="207"/>
      <c r="L257" s="207"/>
      <c r="M257" s="207"/>
      <c r="N257" s="207"/>
      <c r="O257" s="207"/>
      <c r="P257" s="207"/>
      <c r="Q257" s="207"/>
      <c r="R257" s="207"/>
      <c r="S257" s="207"/>
      <c r="T257" s="207"/>
      <c r="U257" s="209"/>
      <c r="V257" s="207"/>
      <c r="W257" s="207"/>
      <c r="X257" s="209">
        <f t="shared" si="39"/>
        <v>0</v>
      </c>
      <c r="Y257" s="209">
        <f t="shared" si="40"/>
        <v>0</v>
      </c>
      <c r="Z257" s="207">
        <v>1</v>
      </c>
      <c r="AA257" s="209" t="str">
        <f t="shared" si="38"/>
        <v/>
      </c>
      <c r="AB257" s="209"/>
      <c r="AC257" s="207" t="s">
        <v>545</v>
      </c>
      <c r="AD257" s="207"/>
      <c r="AE257" s="207"/>
      <c r="AF257" s="208" t="str">
        <f>IF(ISBLANK(D257),"",VLOOKUP(F257,'SIZE CALCULATION'!$F:$G,2,0))</f>
        <v/>
      </c>
      <c r="AG257" s="207" t="str">
        <f t="shared" si="44"/>
        <v/>
      </c>
      <c r="AH257" s="207" t="str">
        <f t="shared" si="41"/>
        <v/>
      </c>
      <c r="AI257" s="210" t="str">
        <f>IF(ISBLANK(D257),"",VLOOKUP($A257,INDEX!$D$2:$F$13,3,0))</f>
        <v/>
      </c>
      <c r="AJ257" s="207" t="str">
        <f t="shared" si="42"/>
        <v/>
      </c>
      <c r="AK257" s="207"/>
      <c r="AL257" s="207"/>
      <c r="AM257" s="207" t="str">
        <f>IFERROR(IF(ISBLANK($D257),"",VLOOKUP($N257,'TABLE CHARGE RATE'!$A$30:$K$106,5,0)),"Check")</f>
        <v/>
      </c>
      <c r="AN257" s="207" t="str">
        <f>IFERROR(IF(ISBLANK($D257),"",VLOOKUP($N257,'TABLE CHARGE RATE'!$A$30:$K$106,6,0)),"Check")</f>
        <v/>
      </c>
      <c r="AO257" s="207" t="str">
        <f>IFERROR(IF(ISBLANK($D257),"",VLOOKUP($N257,'TABLE CHARGE RATE'!$A$30:$K$106,7,0)),"Check")</f>
        <v/>
      </c>
      <c r="AP257" s="207" t="str">
        <f>IFERROR(IF(ISBLANK($D257),"",VLOOKUP($N257,'TABLE CHARGE RATE'!$A$30:$K$106,8,0)),"Check")</f>
        <v/>
      </c>
      <c r="AQ257" s="207" t="str">
        <f>IFERROR(IF(ISBLANK($D257),"",VLOOKUP($N257,'TABLE CHARGE RATE'!$A$30:$K$106,9,0)),"Check")</f>
        <v/>
      </c>
      <c r="AR257" s="207" t="str">
        <f>IFERROR(IF(ISBLANK($D257),"",VLOOKUP($N257,'TABLE CHARGE RATE'!$A$30:$K$106,10,0)),"Check")</f>
        <v/>
      </c>
      <c r="AS257" s="207" t="str">
        <f>IFERROR(IF(ISBLANK($D257),"",VLOOKUP($N257,'TABLE CHARGE RATE'!$A$30:$K$106,11,0)),"Check")</f>
        <v/>
      </c>
      <c r="AT257" s="207">
        <f t="shared" si="43"/>
        <v>256</v>
      </c>
    </row>
    <row r="258" spans="1:46" x14ac:dyDescent="0.2">
      <c r="A258" s="207" t="str">
        <f t="shared" si="45"/>
        <v/>
      </c>
      <c r="B258" s="208" t="str">
        <f>IF(ISBLANK(D258),"",VLOOKUP(WEEKDAY($C258,1),INDEX!$J$2:$K$8,2,0))</f>
        <v/>
      </c>
      <c r="C258" s="209"/>
      <c r="D258" s="207"/>
      <c r="E258" s="207"/>
      <c r="F258" s="207"/>
      <c r="G258" s="207"/>
      <c r="H258" s="207"/>
      <c r="I258" s="207"/>
      <c r="J258" s="207"/>
      <c r="K258" s="207"/>
      <c r="L258" s="207"/>
      <c r="M258" s="207"/>
      <c r="N258" s="207"/>
      <c r="O258" s="207"/>
      <c r="P258" s="207"/>
      <c r="Q258" s="207"/>
      <c r="R258" s="207"/>
      <c r="S258" s="207"/>
      <c r="T258" s="207"/>
      <c r="U258" s="209"/>
      <c r="V258" s="207"/>
      <c r="W258" s="207"/>
      <c r="X258" s="209">
        <f t="shared" si="39"/>
        <v>0</v>
      </c>
      <c r="Y258" s="209">
        <f t="shared" si="40"/>
        <v>0</v>
      </c>
      <c r="Z258" s="207">
        <v>1</v>
      </c>
      <c r="AA258" s="209" t="str">
        <f t="shared" ref="AA258:AA321" si="46">IF(ISBLANK(D258),"",Y258+10)</f>
        <v/>
      </c>
      <c r="AB258" s="209"/>
      <c r="AC258" s="207" t="s">
        <v>545</v>
      </c>
      <c r="AD258" s="207"/>
      <c r="AE258" s="207"/>
      <c r="AF258" s="208" t="str">
        <f>IF(ISBLANK(D258),"",VLOOKUP(F258,'SIZE CALCULATION'!$F:$G,2,0))</f>
        <v/>
      </c>
      <c r="AG258" s="207" t="str">
        <f t="shared" si="44"/>
        <v/>
      </c>
      <c r="AH258" s="207" t="str">
        <f t="shared" si="41"/>
        <v/>
      </c>
      <c r="AI258" s="210" t="str">
        <f>IF(ISBLANK(D258),"",VLOOKUP($A258,INDEX!$D$2:$F$13,3,0))</f>
        <v/>
      </c>
      <c r="AJ258" s="207" t="str">
        <f t="shared" si="42"/>
        <v/>
      </c>
      <c r="AK258" s="207"/>
      <c r="AL258" s="207"/>
      <c r="AM258" s="207" t="str">
        <f>IFERROR(IF(ISBLANK($D258),"",VLOOKUP($N258,'TABLE CHARGE RATE'!$A$30:$K$106,5,0)),"Check")</f>
        <v/>
      </c>
      <c r="AN258" s="207" t="str">
        <f>IFERROR(IF(ISBLANK($D258),"",VLOOKUP($N258,'TABLE CHARGE RATE'!$A$30:$K$106,6,0)),"Check")</f>
        <v/>
      </c>
      <c r="AO258" s="207" t="str">
        <f>IFERROR(IF(ISBLANK($D258),"",VLOOKUP($N258,'TABLE CHARGE RATE'!$A$30:$K$106,7,0)),"Check")</f>
        <v/>
      </c>
      <c r="AP258" s="207" t="str">
        <f>IFERROR(IF(ISBLANK($D258),"",VLOOKUP($N258,'TABLE CHARGE RATE'!$A$30:$K$106,8,0)),"Check")</f>
        <v/>
      </c>
      <c r="AQ258" s="207" t="str">
        <f>IFERROR(IF(ISBLANK($D258),"",VLOOKUP($N258,'TABLE CHARGE RATE'!$A$30:$K$106,9,0)),"Check")</f>
        <v/>
      </c>
      <c r="AR258" s="207" t="str">
        <f>IFERROR(IF(ISBLANK($D258),"",VLOOKUP($N258,'TABLE CHARGE RATE'!$A$30:$K$106,10,0)),"Check")</f>
        <v/>
      </c>
      <c r="AS258" s="207" t="str">
        <f>IFERROR(IF(ISBLANK($D258),"",VLOOKUP($N258,'TABLE CHARGE RATE'!$A$30:$K$106,11,0)),"Check")</f>
        <v/>
      </c>
      <c r="AT258" s="207">
        <f t="shared" si="43"/>
        <v>257</v>
      </c>
    </row>
    <row r="259" spans="1:46" x14ac:dyDescent="0.2">
      <c r="A259" s="207" t="str">
        <f t="shared" si="45"/>
        <v/>
      </c>
      <c r="B259" s="208" t="str">
        <f>IF(ISBLANK(D259),"",VLOOKUP(WEEKDAY($C259,1),INDEX!$J$2:$K$8,2,0))</f>
        <v/>
      </c>
      <c r="C259" s="209"/>
      <c r="D259" s="207"/>
      <c r="E259" s="207"/>
      <c r="F259" s="207"/>
      <c r="G259" s="207"/>
      <c r="H259" s="207"/>
      <c r="I259" s="207"/>
      <c r="J259" s="207"/>
      <c r="K259" s="207"/>
      <c r="L259" s="207"/>
      <c r="M259" s="207"/>
      <c r="N259" s="207"/>
      <c r="O259" s="207"/>
      <c r="P259" s="207"/>
      <c r="Q259" s="207"/>
      <c r="R259" s="207"/>
      <c r="S259" s="207"/>
      <c r="T259" s="207"/>
      <c r="U259" s="209"/>
      <c r="V259" s="207"/>
      <c r="W259" s="207"/>
      <c r="X259" s="209">
        <f t="shared" ref="X259:X322" si="47">U259</f>
        <v>0</v>
      </c>
      <c r="Y259" s="209">
        <f t="shared" ref="Y259:Y322" si="48">U259</f>
        <v>0</v>
      </c>
      <c r="Z259" s="207">
        <v>1</v>
      </c>
      <c r="AA259" s="209" t="str">
        <f t="shared" si="46"/>
        <v/>
      </c>
      <c r="AB259" s="209"/>
      <c r="AC259" s="207" t="s">
        <v>545</v>
      </c>
      <c r="AD259" s="207"/>
      <c r="AE259" s="207"/>
      <c r="AF259" s="208" t="str">
        <f>IF(ISBLANK(D259),"",VLOOKUP(F259,'SIZE CALCULATION'!$F:$G,2,0))</f>
        <v/>
      </c>
      <c r="AG259" s="207" t="str">
        <f t="shared" si="44"/>
        <v/>
      </c>
      <c r="AH259" s="207" t="str">
        <f t="shared" si="41"/>
        <v/>
      </c>
      <c r="AI259" s="210" t="str">
        <f>IF(ISBLANK(D259),"",VLOOKUP($A259,INDEX!$D$2:$F$13,3,0))</f>
        <v/>
      </c>
      <c r="AJ259" s="207" t="str">
        <f t="shared" si="42"/>
        <v/>
      </c>
      <c r="AK259" s="207"/>
      <c r="AL259" s="207"/>
      <c r="AM259" s="207" t="str">
        <f>IFERROR(IF(ISBLANK($D259),"",VLOOKUP($N259,'TABLE CHARGE RATE'!$A$30:$K$106,5,0)),"Check")</f>
        <v/>
      </c>
      <c r="AN259" s="207" t="str">
        <f>IFERROR(IF(ISBLANK($D259),"",VLOOKUP($N259,'TABLE CHARGE RATE'!$A$30:$K$106,6,0)),"Check")</f>
        <v/>
      </c>
      <c r="AO259" s="207" t="str">
        <f>IFERROR(IF(ISBLANK($D259),"",VLOOKUP($N259,'TABLE CHARGE RATE'!$A$30:$K$106,7,0)),"Check")</f>
        <v/>
      </c>
      <c r="AP259" s="207" t="str">
        <f>IFERROR(IF(ISBLANK($D259),"",VLOOKUP($N259,'TABLE CHARGE RATE'!$A$30:$K$106,8,0)),"Check")</f>
        <v/>
      </c>
      <c r="AQ259" s="207" t="str">
        <f>IFERROR(IF(ISBLANK($D259),"",VLOOKUP($N259,'TABLE CHARGE RATE'!$A$30:$K$106,9,0)),"Check")</f>
        <v/>
      </c>
      <c r="AR259" s="207" t="str">
        <f>IFERROR(IF(ISBLANK($D259),"",VLOOKUP($N259,'TABLE CHARGE RATE'!$A$30:$K$106,10,0)),"Check")</f>
        <v/>
      </c>
      <c r="AS259" s="207" t="str">
        <f>IFERROR(IF(ISBLANK($D259),"",VLOOKUP($N259,'TABLE CHARGE RATE'!$A$30:$K$106,11,0)),"Check")</f>
        <v/>
      </c>
      <c r="AT259" s="207">
        <f t="shared" si="43"/>
        <v>258</v>
      </c>
    </row>
    <row r="260" spans="1:46" x14ac:dyDescent="0.2">
      <c r="A260" s="207" t="str">
        <f t="shared" si="45"/>
        <v/>
      </c>
      <c r="B260" s="208" t="str">
        <f>IF(ISBLANK(D260),"",VLOOKUP(WEEKDAY($C260,1),INDEX!$J$2:$K$8,2,0))</f>
        <v/>
      </c>
      <c r="C260" s="209"/>
      <c r="D260" s="207"/>
      <c r="E260" s="207"/>
      <c r="F260" s="207"/>
      <c r="G260" s="207"/>
      <c r="H260" s="207"/>
      <c r="I260" s="207"/>
      <c r="J260" s="207"/>
      <c r="K260" s="207"/>
      <c r="L260" s="207"/>
      <c r="M260" s="207"/>
      <c r="N260" s="207"/>
      <c r="O260" s="207"/>
      <c r="P260" s="207"/>
      <c r="Q260" s="207"/>
      <c r="R260" s="207"/>
      <c r="S260" s="207"/>
      <c r="T260" s="207"/>
      <c r="U260" s="209"/>
      <c r="V260" s="207"/>
      <c r="W260" s="207"/>
      <c r="X260" s="209">
        <f t="shared" si="47"/>
        <v>0</v>
      </c>
      <c r="Y260" s="209">
        <f t="shared" si="48"/>
        <v>0</v>
      </c>
      <c r="Z260" s="207">
        <v>1</v>
      </c>
      <c r="AA260" s="209" t="str">
        <f t="shared" si="46"/>
        <v/>
      </c>
      <c r="AB260" s="209"/>
      <c r="AC260" s="207" t="s">
        <v>545</v>
      </c>
      <c r="AD260" s="207"/>
      <c r="AE260" s="207"/>
      <c r="AF260" s="208" t="str">
        <f>IF(ISBLANK(D260),"",VLOOKUP(F260,'SIZE CALCULATION'!$F:$G,2,0))</f>
        <v/>
      </c>
      <c r="AG260" s="207" t="str">
        <f t="shared" si="44"/>
        <v/>
      </c>
      <c r="AH260" s="207" t="str">
        <f t="shared" si="41"/>
        <v/>
      </c>
      <c r="AI260" s="210" t="str">
        <f>IF(ISBLANK(D260),"",VLOOKUP($A260,INDEX!$D$2:$F$13,3,0))</f>
        <v/>
      </c>
      <c r="AJ260" s="207" t="str">
        <f t="shared" si="42"/>
        <v/>
      </c>
      <c r="AK260" s="207"/>
      <c r="AL260" s="207"/>
      <c r="AM260" s="207" t="str">
        <f>IFERROR(IF(ISBLANK($D260),"",VLOOKUP($N260,'TABLE CHARGE RATE'!$A$30:$K$106,5,0)),"Check")</f>
        <v/>
      </c>
      <c r="AN260" s="207" t="str">
        <f>IFERROR(IF(ISBLANK($D260),"",VLOOKUP($N260,'TABLE CHARGE RATE'!$A$30:$K$106,6,0)),"Check")</f>
        <v/>
      </c>
      <c r="AO260" s="207" t="str">
        <f>IFERROR(IF(ISBLANK($D260),"",VLOOKUP($N260,'TABLE CHARGE RATE'!$A$30:$K$106,7,0)),"Check")</f>
        <v/>
      </c>
      <c r="AP260" s="207" t="str">
        <f>IFERROR(IF(ISBLANK($D260),"",VLOOKUP($N260,'TABLE CHARGE RATE'!$A$30:$K$106,8,0)),"Check")</f>
        <v/>
      </c>
      <c r="AQ260" s="207" t="str">
        <f>IFERROR(IF(ISBLANK($D260),"",VLOOKUP($N260,'TABLE CHARGE RATE'!$A$30:$K$106,9,0)),"Check")</f>
        <v/>
      </c>
      <c r="AR260" s="207" t="str">
        <f>IFERROR(IF(ISBLANK($D260),"",VLOOKUP($N260,'TABLE CHARGE RATE'!$A$30:$K$106,10,0)),"Check")</f>
        <v/>
      </c>
      <c r="AS260" s="207" t="str">
        <f>IFERROR(IF(ISBLANK($D260),"",VLOOKUP($N260,'TABLE CHARGE RATE'!$A$30:$K$106,11,0)),"Check")</f>
        <v/>
      </c>
      <c r="AT260" s="207">
        <f t="shared" si="43"/>
        <v>259</v>
      </c>
    </row>
    <row r="261" spans="1:46" x14ac:dyDescent="0.2">
      <c r="A261" s="207" t="str">
        <f t="shared" si="45"/>
        <v/>
      </c>
      <c r="B261" s="208" t="str">
        <f>IF(ISBLANK(D261),"",VLOOKUP(WEEKDAY($C261,1),INDEX!$J$2:$K$8,2,0))</f>
        <v/>
      </c>
      <c r="C261" s="209"/>
      <c r="D261" s="207"/>
      <c r="E261" s="207"/>
      <c r="F261" s="207"/>
      <c r="G261" s="207"/>
      <c r="H261" s="207"/>
      <c r="I261" s="207"/>
      <c r="J261" s="207"/>
      <c r="K261" s="207"/>
      <c r="L261" s="207"/>
      <c r="M261" s="207"/>
      <c r="N261" s="207"/>
      <c r="O261" s="207"/>
      <c r="P261" s="207"/>
      <c r="Q261" s="207"/>
      <c r="R261" s="207"/>
      <c r="S261" s="207"/>
      <c r="T261" s="207"/>
      <c r="U261" s="209"/>
      <c r="V261" s="207"/>
      <c r="W261" s="207"/>
      <c r="X261" s="209">
        <f t="shared" si="47"/>
        <v>0</v>
      </c>
      <c r="Y261" s="209">
        <f t="shared" si="48"/>
        <v>0</v>
      </c>
      <c r="Z261" s="207">
        <v>1</v>
      </c>
      <c r="AA261" s="209" t="str">
        <f t="shared" si="46"/>
        <v/>
      </c>
      <c r="AB261" s="209"/>
      <c r="AC261" s="207" t="s">
        <v>545</v>
      </c>
      <c r="AD261" s="207"/>
      <c r="AE261" s="207"/>
      <c r="AF261" s="208" t="str">
        <f>IF(ISBLANK(D261),"",VLOOKUP(F261,'SIZE CALCULATION'!$F:$G,2,0))</f>
        <v/>
      </c>
      <c r="AG261" s="207" t="str">
        <f t="shared" si="44"/>
        <v/>
      </c>
      <c r="AH261" s="207" t="str">
        <f t="shared" ref="AH261:AH324" si="49">IF(ISBLANK(D261),"",IFERROR(AG261*G261,0))</f>
        <v/>
      </c>
      <c r="AI261" s="210" t="str">
        <f>IF(ISBLANK(D261),"",VLOOKUP($A261,INDEX!$D$2:$F$13,3,0))</f>
        <v/>
      </c>
      <c r="AJ261" s="207" t="str">
        <f t="shared" ref="AJ261:AJ324" si="50">IF(ISBLANK(D261),"",AH261+(AH261*AI261))</f>
        <v/>
      </c>
      <c r="AK261" s="207"/>
      <c r="AL261" s="207"/>
      <c r="AM261" s="207" t="str">
        <f>IFERROR(IF(ISBLANK($D261),"",VLOOKUP($N261,'TABLE CHARGE RATE'!$A$30:$K$106,5,0)),"Check")</f>
        <v/>
      </c>
      <c r="AN261" s="207" t="str">
        <f>IFERROR(IF(ISBLANK($D261),"",VLOOKUP($N261,'TABLE CHARGE RATE'!$A$30:$K$106,6,0)),"Check")</f>
        <v/>
      </c>
      <c r="AO261" s="207" t="str">
        <f>IFERROR(IF(ISBLANK($D261),"",VLOOKUP($N261,'TABLE CHARGE RATE'!$A$30:$K$106,7,0)),"Check")</f>
        <v/>
      </c>
      <c r="AP261" s="207" t="str">
        <f>IFERROR(IF(ISBLANK($D261),"",VLOOKUP($N261,'TABLE CHARGE RATE'!$A$30:$K$106,8,0)),"Check")</f>
        <v/>
      </c>
      <c r="AQ261" s="207" t="str">
        <f>IFERROR(IF(ISBLANK($D261),"",VLOOKUP($N261,'TABLE CHARGE RATE'!$A$30:$K$106,9,0)),"Check")</f>
        <v/>
      </c>
      <c r="AR261" s="207" t="str">
        <f>IFERROR(IF(ISBLANK($D261),"",VLOOKUP($N261,'TABLE CHARGE RATE'!$A$30:$K$106,10,0)),"Check")</f>
        <v/>
      </c>
      <c r="AS261" s="207" t="str">
        <f>IFERROR(IF(ISBLANK($D261),"",VLOOKUP($N261,'TABLE CHARGE RATE'!$A$30:$K$106,11,0)),"Check")</f>
        <v/>
      </c>
      <c r="AT261" s="207">
        <f t="shared" ref="AT261:AT324" si="51">AT260+1</f>
        <v>260</v>
      </c>
    </row>
    <row r="262" spans="1:46" x14ac:dyDescent="0.2">
      <c r="A262" s="207" t="str">
        <f t="shared" si="45"/>
        <v/>
      </c>
      <c r="B262" s="208" t="str">
        <f>IF(ISBLANK(D262),"",VLOOKUP(WEEKDAY($C262,1),INDEX!$J$2:$K$8,2,0))</f>
        <v/>
      </c>
      <c r="C262" s="209"/>
      <c r="D262" s="207"/>
      <c r="E262" s="207"/>
      <c r="F262" s="207"/>
      <c r="G262" s="207"/>
      <c r="H262" s="207"/>
      <c r="I262" s="207"/>
      <c r="J262" s="207"/>
      <c r="K262" s="207"/>
      <c r="L262" s="207"/>
      <c r="M262" s="207"/>
      <c r="N262" s="207"/>
      <c r="O262" s="207"/>
      <c r="P262" s="207"/>
      <c r="Q262" s="207"/>
      <c r="R262" s="207"/>
      <c r="S262" s="207"/>
      <c r="T262" s="207"/>
      <c r="U262" s="209"/>
      <c r="V262" s="207"/>
      <c r="W262" s="207"/>
      <c r="X262" s="209">
        <f t="shared" si="47"/>
        <v>0</v>
      </c>
      <c r="Y262" s="209">
        <f t="shared" si="48"/>
        <v>0</v>
      </c>
      <c r="Z262" s="207">
        <v>1</v>
      </c>
      <c r="AA262" s="209" t="str">
        <f t="shared" si="46"/>
        <v/>
      </c>
      <c r="AB262" s="209"/>
      <c r="AC262" s="207" t="s">
        <v>545</v>
      </c>
      <c r="AD262" s="207"/>
      <c r="AE262" s="207"/>
      <c r="AF262" s="208" t="str">
        <f>IF(ISBLANK(D262),"",VLOOKUP(F262,'SIZE CALCULATION'!$F:$G,2,0))</f>
        <v/>
      </c>
      <c r="AG262" s="207" t="str">
        <f t="shared" si="44"/>
        <v/>
      </c>
      <c r="AH262" s="207" t="str">
        <f t="shared" si="49"/>
        <v/>
      </c>
      <c r="AI262" s="210" t="str">
        <f>IF(ISBLANK(D262),"",VLOOKUP($A262,INDEX!$D$2:$F$13,3,0))</f>
        <v/>
      </c>
      <c r="AJ262" s="207" t="str">
        <f t="shared" si="50"/>
        <v/>
      </c>
      <c r="AK262" s="207"/>
      <c r="AL262" s="207"/>
      <c r="AM262" s="207" t="str">
        <f>IFERROR(IF(ISBLANK($D262),"",VLOOKUP($N262,'TABLE CHARGE RATE'!$A$30:$K$106,5,0)),"Check")</f>
        <v/>
      </c>
      <c r="AN262" s="207" t="str">
        <f>IFERROR(IF(ISBLANK($D262),"",VLOOKUP($N262,'TABLE CHARGE RATE'!$A$30:$K$106,6,0)),"Check")</f>
        <v/>
      </c>
      <c r="AO262" s="207" t="str">
        <f>IFERROR(IF(ISBLANK($D262),"",VLOOKUP($N262,'TABLE CHARGE RATE'!$A$30:$K$106,7,0)),"Check")</f>
        <v/>
      </c>
      <c r="AP262" s="207" t="str">
        <f>IFERROR(IF(ISBLANK($D262),"",VLOOKUP($N262,'TABLE CHARGE RATE'!$A$30:$K$106,8,0)),"Check")</f>
        <v/>
      </c>
      <c r="AQ262" s="207" t="str">
        <f>IFERROR(IF(ISBLANK($D262),"",VLOOKUP($N262,'TABLE CHARGE RATE'!$A$30:$K$106,9,0)),"Check")</f>
        <v/>
      </c>
      <c r="AR262" s="207" t="str">
        <f>IFERROR(IF(ISBLANK($D262),"",VLOOKUP($N262,'TABLE CHARGE RATE'!$A$30:$K$106,10,0)),"Check")</f>
        <v/>
      </c>
      <c r="AS262" s="207" t="str">
        <f>IFERROR(IF(ISBLANK($D262),"",VLOOKUP($N262,'TABLE CHARGE RATE'!$A$30:$K$106,11,0)),"Check")</f>
        <v/>
      </c>
      <c r="AT262" s="207">
        <f t="shared" si="51"/>
        <v>261</v>
      </c>
    </row>
    <row r="263" spans="1:46" x14ac:dyDescent="0.2">
      <c r="A263" s="207" t="str">
        <f t="shared" si="45"/>
        <v/>
      </c>
      <c r="B263" s="208" t="str">
        <f>IF(ISBLANK(D263),"",VLOOKUP(WEEKDAY($C263,1),INDEX!$J$2:$K$8,2,0))</f>
        <v/>
      </c>
      <c r="C263" s="209"/>
      <c r="D263" s="207"/>
      <c r="E263" s="207"/>
      <c r="F263" s="207"/>
      <c r="G263" s="207"/>
      <c r="H263" s="207"/>
      <c r="I263" s="207"/>
      <c r="J263" s="207"/>
      <c r="K263" s="207"/>
      <c r="L263" s="207"/>
      <c r="M263" s="207"/>
      <c r="N263" s="207"/>
      <c r="O263" s="207"/>
      <c r="P263" s="207"/>
      <c r="Q263" s="207"/>
      <c r="R263" s="207"/>
      <c r="S263" s="207"/>
      <c r="T263" s="207"/>
      <c r="U263" s="209"/>
      <c r="V263" s="207"/>
      <c r="W263" s="207"/>
      <c r="X263" s="209">
        <f t="shared" si="47"/>
        <v>0</v>
      </c>
      <c r="Y263" s="209">
        <f t="shared" si="48"/>
        <v>0</v>
      </c>
      <c r="Z263" s="207">
        <v>1</v>
      </c>
      <c r="AA263" s="209" t="str">
        <f t="shared" si="46"/>
        <v/>
      </c>
      <c r="AB263" s="209"/>
      <c r="AC263" s="207" t="s">
        <v>545</v>
      </c>
      <c r="AD263" s="207"/>
      <c r="AE263" s="207"/>
      <c r="AF263" s="208" t="str">
        <f>IF(ISBLANK(D263),"",VLOOKUP(F263,'SIZE CALCULATION'!$F:$G,2,0))</f>
        <v/>
      </c>
      <c r="AG263" s="207" t="str">
        <f t="shared" si="44"/>
        <v/>
      </c>
      <c r="AH263" s="207" t="str">
        <f t="shared" si="49"/>
        <v/>
      </c>
      <c r="AI263" s="210" t="str">
        <f>IF(ISBLANK(D263),"",VLOOKUP($A263,INDEX!$D$2:$F$13,3,0))</f>
        <v/>
      </c>
      <c r="AJ263" s="207" t="str">
        <f t="shared" si="50"/>
        <v/>
      </c>
      <c r="AK263" s="207"/>
      <c r="AL263" s="207"/>
      <c r="AM263" s="207" t="str">
        <f>IFERROR(IF(ISBLANK($D263),"",VLOOKUP($N263,'TABLE CHARGE RATE'!$A$30:$K$106,5,0)),"Check")</f>
        <v/>
      </c>
      <c r="AN263" s="207" t="str">
        <f>IFERROR(IF(ISBLANK($D263),"",VLOOKUP($N263,'TABLE CHARGE RATE'!$A$30:$K$106,6,0)),"Check")</f>
        <v/>
      </c>
      <c r="AO263" s="207" t="str">
        <f>IFERROR(IF(ISBLANK($D263),"",VLOOKUP($N263,'TABLE CHARGE RATE'!$A$30:$K$106,7,0)),"Check")</f>
        <v/>
      </c>
      <c r="AP263" s="207" t="str">
        <f>IFERROR(IF(ISBLANK($D263),"",VLOOKUP($N263,'TABLE CHARGE RATE'!$A$30:$K$106,8,0)),"Check")</f>
        <v/>
      </c>
      <c r="AQ263" s="207" t="str">
        <f>IFERROR(IF(ISBLANK($D263),"",VLOOKUP($N263,'TABLE CHARGE RATE'!$A$30:$K$106,9,0)),"Check")</f>
        <v/>
      </c>
      <c r="AR263" s="207" t="str">
        <f>IFERROR(IF(ISBLANK($D263),"",VLOOKUP($N263,'TABLE CHARGE RATE'!$A$30:$K$106,10,0)),"Check")</f>
        <v/>
      </c>
      <c r="AS263" s="207" t="str">
        <f>IFERROR(IF(ISBLANK($D263),"",VLOOKUP($N263,'TABLE CHARGE RATE'!$A$30:$K$106,11,0)),"Check")</f>
        <v/>
      </c>
      <c r="AT263" s="207">
        <f t="shared" si="51"/>
        <v>262</v>
      </c>
    </row>
    <row r="264" spans="1:46" x14ac:dyDescent="0.2">
      <c r="A264" s="207" t="str">
        <f t="shared" si="45"/>
        <v/>
      </c>
      <c r="B264" s="208" t="str">
        <f>IF(ISBLANK(D264),"",VLOOKUP(WEEKDAY($C264,1),INDEX!$J$2:$K$8,2,0))</f>
        <v/>
      </c>
      <c r="C264" s="209"/>
      <c r="D264" s="207"/>
      <c r="E264" s="207"/>
      <c r="F264" s="207"/>
      <c r="G264" s="207"/>
      <c r="H264" s="207"/>
      <c r="I264" s="207"/>
      <c r="J264" s="207"/>
      <c r="K264" s="207"/>
      <c r="L264" s="207"/>
      <c r="M264" s="207"/>
      <c r="N264" s="207"/>
      <c r="O264" s="207"/>
      <c r="P264" s="207"/>
      <c r="Q264" s="207"/>
      <c r="R264" s="207"/>
      <c r="S264" s="207"/>
      <c r="T264" s="207"/>
      <c r="U264" s="209"/>
      <c r="V264" s="207"/>
      <c r="W264" s="207"/>
      <c r="X264" s="209">
        <f t="shared" si="47"/>
        <v>0</v>
      </c>
      <c r="Y264" s="209">
        <f t="shared" si="48"/>
        <v>0</v>
      </c>
      <c r="Z264" s="207">
        <v>1</v>
      </c>
      <c r="AA264" s="209" t="str">
        <f t="shared" si="46"/>
        <v/>
      </c>
      <c r="AB264" s="209"/>
      <c r="AC264" s="207" t="s">
        <v>545</v>
      </c>
      <c r="AD264" s="207"/>
      <c r="AE264" s="207"/>
      <c r="AF264" s="208" t="str">
        <f>IF(ISBLANK(D264),"",VLOOKUP(F264,'SIZE CALCULATION'!$F:$G,2,0))</f>
        <v/>
      </c>
      <c r="AG264" s="207" t="str">
        <f t="shared" si="44"/>
        <v/>
      </c>
      <c r="AH264" s="207" t="str">
        <f t="shared" si="49"/>
        <v/>
      </c>
      <c r="AI264" s="210" t="str">
        <f>IF(ISBLANK(D264),"",VLOOKUP($A264,INDEX!$D$2:$F$13,3,0))</f>
        <v/>
      </c>
      <c r="AJ264" s="207" t="str">
        <f t="shared" si="50"/>
        <v/>
      </c>
      <c r="AK264" s="207"/>
      <c r="AL264" s="207"/>
      <c r="AM264" s="207" t="str">
        <f>IFERROR(IF(ISBLANK($D264),"",VLOOKUP($N264,'TABLE CHARGE RATE'!$A$30:$K$106,5,0)),"Check")</f>
        <v/>
      </c>
      <c r="AN264" s="207" t="str">
        <f>IFERROR(IF(ISBLANK($D264),"",VLOOKUP($N264,'TABLE CHARGE RATE'!$A$30:$K$106,6,0)),"Check")</f>
        <v/>
      </c>
      <c r="AO264" s="207" t="str">
        <f>IFERROR(IF(ISBLANK($D264),"",VLOOKUP($N264,'TABLE CHARGE RATE'!$A$30:$K$106,7,0)),"Check")</f>
        <v/>
      </c>
      <c r="AP264" s="207" t="str">
        <f>IFERROR(IF(ISBLANK($D264),"",VLOOKUP($N264,'TABLE CHARGE RATE'!$A$30:$K$106,8,0)),"Check")</f>
        <v/>
      </c>
      <c r="AQ264" s="207" t="str">
        <f>IFERROR(IF(ISBLANK($D264),"",VLOOKUP($N264,'TABLE CHARGE RATE'!$A$30:$K$106,9,0)),"Check")</f>
        <v/>
      </c>
      <c r="AR264" s="207" t="str">
        <f>IFERROR(IF(ISBLANK($D264),"",VLOOKUP($N264,'TABLE CHARGE RATE'!$A$30:$K$106,10,0)),"Check")</f>
        <v/>
      </c>
      <c r="AS264" s="207" t="str">
        <f>IFERROR(IF(ISBLANK($D264),"",VLOOKUP($N264,'TABLE CHARGE RATE'!$A$30:$K$106,11,0)),"Check")</f>
        <v/>
      </c>
      <c r="AT264" s="207">
        <f t="shared" si="51"/>
        <v>263</v>
      </c>
    </row>
    <row r="265" spans="1:46" x14ac:dyDescent="0.2">
      <c r="A265" s="207" t="str">
        <f t="shared" si="45"/>
        <v/>
      </c>
      <c r="B265" s="208" t="str">
        <f>IF(ISBLANK(D265),"",VLOOKUP(WEEKDAY($C265,1),INDEX!$J$2:$K$8,2,0))</f>
        <v/>
      </c>
      <c r="C265" s="209"/>
      <c r="D265" s="207"/>
      <c r="E265" s="207"/>
      <c r="F265" s="207"/>
      <c r="G265" s="207"/>
      <c r="H265" s="207"/>
      <c r="I265" s="207"/>
      <c r="J265" s="207"/>
      <c r="K265" s="207"/>
      <c r="L265" s="207"/>
      <c r="M265" s="207"/>
      <c r="N265" s="207"/>
      <c r="O265" s="207"/>
      <c r="P265" s="207"/>
      <c r="Q265" s="207"/>
      <c r="R265" s="207"/>
      <c r="S265" s="207"/>
      <c r="T265" s="207"/>
      <c r="U265" s="209"/>
      <c r="V265" s="207"/>
      <c r="W265" s="207"/>
      <c r="X265" s="209">
        <f t="shared" si="47"/>
        <v>0</v>
      </c>
      <c r="Y265" s="209">
        <f t="shared" si="48"/>
        <v>0</v>
      </c>
      <c r="Z265" s="207">
        <v>1</v>
      </c>
      <c r="AA265" s="209" t="str">
        <f t="shared" si="46"/>
        <v/>
      </c>
      <c r="AB265" s="209"/>
      <c r="AC265" s="207" t="s">
        <v>545</v>
      </c>
      <c r="AD265" s="207"/>
      <c r="AE265" s="207"/>
      <c r="AF265" s="208" t="str">
        <f>IF(ISBLANK(D265),"",VLOOKUP(F265,'SIZE CALCULATION'!$F:$G,2,0))</f>
        <v/>
      </c>
      <c r="AG265" s="207" t="str">
        <f t="shared" si="44"/>
        <v/>
      </c>
      <c r="AH265" s="207" t="str">
        <f t="shared" si="49"/>
        <v/>
      </c>
      <c r="AI265" s="210" t="str">
        <f>IF(ISBLANK(D265),"",VLOOKUP($A265,INDEX!$D$2:$F$13,3,0))</f>
        <v/>
      </c>
      <c r="AJ265" s="207" t="str">
        <f t="shared" si="50"/>
        <v/>
      </c>
      <c r="AK265" s="207"/>
      <c r="AL265" s="207"/>
      <c r="AM265" s="207" t="str">
        <f>IFERROR(IF(ISBLANK($D265),"",VLOOKUP($N265,'TABLE CHARGE RATE'!$A$30:$K$106,5,0)),"Check")</f>
        <v/>
      </c>
      <c r="AN265" s="207" t="str">
        <f>IFERROR(IF(ISBLANK($D265),"",VLOOKUP($N265,'TABLE CHARGE RATE'!$A$30:$K$106,6,0)),"Check")</f>
        <v/>
      </c>
      <c r="AO265" s="207" t="str">
        <f>IFERROR(IF(ISBLANK($D265),"",VLOOKUP($N265,'TABLE CHARGE RATE'!$A$30:$K$106,7,0)),"Check")</f>
        <v/>
      </c>
      <c r="AP265" s="207" t="str">
        <f>IFERROR(IF(ISBLANK($D265),"",VLOOKUP($N265,'TABLE CHARGE RATE'!$A$30:$K$106,8,0)),"Check")</f>
        <v/>
      </c>
      <c r="AQ265" s="207" t="str">
        <f>IFERROR(IF(ISBLANK($D265),"",VLOOKUP($N265,'TABLE CHARGE RATE'!$A$30:$K$106,9,0)),"Check")</f>
        <v/>
      </c>
      <c r="AR265" s="207" t="str">
        <f>IFERROR(IF(ISBLANK($D265),"",VLOOKUP($N265,'TABLE CHARGE RATE'!$A$30:$K$106,10,0)),"Check")</f>
        <v/>
      </c>
      <c r="AS265" s="207" t="str">
        <f>IFERROR(IF(ISBLANK($D265),"",VLOOKUP($N265,'TABLE CHARGE RATE'!$A$30:$K$106,11,0)),"Check")</f>
        <v/>
      </c>
      <c r="AT265" s="207">
        <f t="shared" si="51"/>
        <v>264</v>
      </c>
    </row>
    <row r="266" spans="1:46" x14ac:dyDescent="0.2">
      <c r="A266" s="207" t="str">
        <f t="shared" si="45"/>
        <v/>
      </c>
      <c r="B266" s="208" t="str">
        <f>IF(ISBLANK(D266),"",VLOOKUP(WEEKDAY($C266,1),INDEX!$J$2:$K$8,2,0))</f>
        <v/>
      </c>
      <c r="C266" s="209"/>
      <c r="D266" s="207"/>
      <c r="E266" s="207"/>
      <c r="F266" s="207"/>
      <c r="G266" s="207"/>
      <c r="H266" s="207"/>
      <c r="I266" s="207"/>
      <c r="J266" s="207"/>
      <c r="K266" s="207"/>
      <c r="L266" s="207"/>
      <c r="M266" s="207"/>
      <c r="N266" s="207"/>
      <c r="O266" s="207"/>
      <c r="P266" s="207"/>
      <c r="Q266" s="207"/>
      <c r="R266" s="207"/>
      <c r="S266" s="207"/>
      <c r="T266" s="207"/>
      <c r="U266" s="209"/>
      <c r="V266" s="207"/>
      <c r="W266" s="207"/>
      <c r="X266" s="209">
        <f t="shared" si="47"/>
        <v>0</v>
      </c>
      <c r="Y266" s="209">
        <f t="shared" si="48"/>
        <v>0</v>
      </c>
      <c r="Z266" s="207">
        <v>1</v>
      </c>
      <c r="AA266" s="209" t="str">
        <f t="shared" si="46"/>
        <v/>
      </c>
      <c r="AB266" s="209"/>
      <c r="AC266" s="207" t="s">
        <v>545</v>
      </c>
      <c r="AD266" s="207"/>
      <c r="AE266" s="207"/>
      <c r="AF266" s="208" t="str">
        <f>IF(ISBLANK(D266),"",VLOOKUP(F266,'SIZE CALCULATION'!$F:$G,2,0))</f>
        <v/>
      </c>
      <c r="AG266" s="207" t="str">
        <f t="shared" si="44"/>
        <v/>
      </c>
      <c r="AH266" s="207" t="str">
        <f t="shared" si="49"/>
        <v/>
      </c>
      <c r="AI266" s="210" t="str">
        <f>IF(ISBLANK(D266),"",VLOOKUP($A266,INDEX!$D$2:$F$13,3,0))</f>
        <v/>
      </c>
      <c r="AJ266" s="207" t="str">
        <f t="shared" si="50"/>
        <v/>
      </c>
      <c r="AK266" s="207"/>
      <c r="AL266" s="207"/>
      <c r="AM266" s="207" t="str">
        <f>IFERROR(IF(ISBLANK($D266),"",VLOOKUP($N266,'TABLE CHARGE RATE'!$A$30:$K$106,5,0)),"Check")</f>
        <v/>
      </c>
      <c r="AN266" s="207" t="str">
        <f>IFERROR(IF(ISBLANK($D266),"",VLOOKUP($N266,'TABLE CHARGE RATE'!$A$30:$K$106,6,0)),"Check")</f>
        <v/>
      </c>
      <c r="AO266" s="207" t="str">
        <f>IFERROR(IF(ISBLANK($D266),"",VLOOKUP($N266,'TABLE CHARGE RATE'!$A$30:$K$106,7,0)),"Check")</f>
        <v/>
      </c>
      <c r="AP266" s="207" t="str">
        <f>IFERROR(IF(ISBLANK($D266),"",VLOOKUP($N266,'TABLE CHARGE RATE'!$A$30:$K$106,8,0)),"Check")</f>
        <v/>
      </c>
      <c r="AQ266" s="207" t="str">
        <f>IFERROR(IF(ISBLANK($D266),"",VLOOKUP($N266,'TABLE CHARGE RATE'!$A$30:$K$106,9,0)),"Check")</f>
        <v/>
      </c>
      <c r="AR266" s="207" t="str">
        <f>IFERROR(IF(ISBLANK($D266),"",VLOOKUP($N266,'TABLE CHARGE RATE'!$A$30:$K$106,10,0)),"Check")</f>
        <v/>
      </c>
      <c r="AS266" s="207" t="str">
        <f>IFERROR(IF(ISBLANK($D266),"",VLOOKUP($N266,'TABLE CHARGE RATE'!$A$30:$K$106,11,0)),"Check")</f>
        <v/>
      </c>
      <c r="AT266" s="207">
        <f t="shared" si="51"/>
        <v>265</v>
      </c>
    </row>
    <row r="267" spans="1:46" x14ac:dyDescent="0.2">
      <c r="A267" s="207" t="str">
        <f t="shared" si="45"/>
        <v/>
      </c>
      <c r="B267" s="208" t="str">
        <f>IF(ISBLANK(D267),"",VLOOKUP(WEEKDAY($C267,1),INDEX!$J$2:$K$8,2,0))</f>
        <v/>
      </c>
      <c r="C267" s="209"/>
      <c r="D267" s="207"/>
      <c r="E267" s="207"/>
      <c r="F267" s="207"/>
      <c r="G267" s="207"/>
      <c r="H267" s="207"/>
      <c r="I267" s="207"/>
      <c r="J267" s="207"/>
      <c r="K267" s="207"/>
      <c r="L267" s="207"/>
      <c r="M267" s="207"/>
      <c r="N267" s="207"/>
      <c r="O267" s="207"/>
      <c r="P267" s="207"/>
      <c r="Q267" s="207"/>
      <c r="R267" s="207"/>
      <c r="S267" s="207"/>
      <c r="T267" s="207"/>
      <c r="U267" s="209"/>
      <c r="V267" s="207"/>
      <c r="W267" s="207"/>
      <c r="X267" s="209">
        <f t="shared" si="47"/>
        <v>0</v>
      </c>
      <c r="Y267" s="209">
        <f t="shared" si="48"/>
        <v>0</v>
      </c>
      <c r="Z267" s="207">
        <v>1</v>
      </c>
      <c r="AA267" s="209" t="str">
        <f t="shared" si="46"/>
        <v/>
      </c>
      <c r="AB267" s="209"/>
      <c r="AC267" s="207" t="s">
        <v>545</v>
      </c>
      <c r="AD267" s="207"/>
      <c r="AE267" s="207"/>
      <c r="AF267" s="208" t="str">
        <f>IF(ISBLANK(D267),"",VLOOKUP(F267,'SIZE CALCULATION'!$F:$G,2,0))</f>
        <v/>
      </c>
      <c r="AG267" s="207" t="str">
        <f t="shared" si="44"/>
        <v/>
      </c>
      <c r="AH267" s="207" t="str">
        <f t="shared" si="49"/>
        <v/>
      </c>
      <c r="AI267" s="210" t="str">
        <f>IF(ISBLANK(D267),"",VLOOKUP($A267,INDEX!$D$2:$F$13,3,0))</f>
        <v/>
      </c>
      <c r="AJ267" s="207" t="str">
        <f t="shared" si="50"/>
        <v/>
      </c>
      <c r="AK267" s="207"/>
      <c r="AL267" s="207"/>
      <c r="AM267" s="207" t="str">
        <f>IFERROR(IF(ISBLANK($D267),"",VLOOKUP($N267,'TABLE CHARGE RATE'!$A$30:$K$106,5,0)),"Check")</f>
        <v/>
      </c>
      <c r="AN267" s="207" t="str">
        <f>IFERROR(IF(ISBLANK($D267),"",VLOOKUP($N267,'TABLE CHARGE RATE'!$A$30:$K$106,6,0)),"Check")</f>
        <v/>
      </c>
      <c r="AO267" s="207" t="str">
        <f>IFERROR(IF(ISBLANK($D267),"",VLOOKUP($N267,'TABLE CHARGE RATE'!$A$30:$K$106,7,0)),"Check")</f>
        <v/>
      </c>
      <c r="AP267" s="207" t="str">
        <f>IFERROR(IF(ISBLANK($D267),"",VLOOKUP($N267,'TABLE CHARGE RATE'!$A$30:$K$106,8,0)),"Check")</f>
        <v/>
      </c>
      <c r="AQ267" s="207" t="str">
        <f>IFERROR(IF(ISBLANK($D267),"",VLOOKUP($N267,'TABLE CHARGE RATE'!$A$30:$K$106,9,0)),"Check")</f>
        <v/>
      </c>
      <c r="AR267" s="207" t="str">
        <f>IFERROR(IF(ISBLANK($D267),"",VLOOKUP($N267,'TABLE CHARGE RATE'!$A$30:$K$106,10,0)),"Check")</f>
        <v/>
      </c>
      <c r="AS267" s="207" t="str">
        <f>IFERROR(IF(ISBLANK($D267),"",VLOOKUP($N267,'TABLE CHARGE RATE'!$A$30:$K$106,11,0)),"Check")</f>
        <v/>
      </c>
      <c r="AT267" s="207">
        <f t="shared" si="51"/>
        <v>266</v>
      </c>
    </row>
    <row r="268" spans="1:46" x14ac:dyDescent="0.2">
      <c r="A268" s="207" t="str">
        <f t="shared" si="45"/>
        <v/>
      </c>
      <c r="B268" s="208" t="str">
        <f>IF(ISBLANK(D268),"",VLOOKUP(WEEKDAY($C268,1),INDEX!$J$2:$K$8,2,0))</f>
        <v/>
      </c>
      <c r="C268" s="209"/>
      <c r="D268" s="207"/>
      <c r="E268" s="207"/>
      <c r="F268" s="207"/>
      <c r="G268" s="207"/>
      <c r="H268" s="207"/>
      <c r="I268" s="207"/>
      <c r="J268" s="207"/>
      <c r="K268" s="207"/>
      <c r="L268" s="207"/>
      <c r="M268" s="207"/>
      <c r="N268" s="207"/>
      <c r="O268" s="207"/>
      <c r="P268" s="207"/>
      <c r="Q268" s="207"/>
      <c r="R268" s="207"/>
      <c r="S268" s="207"/>
      <c r="T268" s="207"/>
      <c r="U268" s="209"/>
      <c r="V268" s="207"/>
      <c r="W268" s="207"/>
      <c r="X268" s="209">
        <f t="shared" si="47"/>
        <v>0</v>
      </c>
      <c r="Y268" s="209">
        <f t="shared" si="48"/>
        <v>0</v>
      </c>
      <c r="Z268" s="207">
        <v>1</v>
      </c>
      <c r="AA268" s="209" t="str">
        <f t="shared" si="46"/>
        <v/>
      </c>
      <c r="AB268" s="209"/>
      <c r="AC268" s="207" t="s">
        <v>545</v>
      </c>
      <c r="AD268" s="207"/>
      <c r="AE268" s="207"/>
      <c r="AF268" s="208" t="str">
        <f>IF(ISBLANK(D268),"",VLOOKUP(F268,'SIZE CALCULATION'!$F:$G,2,0))</f>
        <v/>
      </c>
      <c r="AG268" s="207" t="str">
        <f t="shared" si="44"/>
        <v/>
      </c>
      <c r="AH268" s="207" t="str">
        <f t="shared" si="49"/>
        <v/>
      </c>
      <c r="AI268" s="210" t="str">
        <f>IF(ISBLANK(D268),"",VLOOKUP($A268,INDEX!$D$2:$F$13,3,0))</f>
        <v/>
      </c>
      <c r="AJ268" s="207" t="str">
        <f t="shared" si="50"/>
        <v/>
      </c>
      <c r="AK268" s="207"/>
      <c r="AL268" s="207"/>
      <c r="AM268" s="207" t="str">
        <f>IFERROR(IF(ISBLANK($D268),"",VLOOKUP($N268,'TABLE CHARGE RATE'!$A$30:$K$106,5,0)),"Check")</f>
        <v/>
      </c>
      <c r="AN268" s="207" t="str">
        <f>IFERROR(IF(ISBLANK($D268),"",VLOOKUP($N268,'TABLE CHARGE RATE'!$A$30:$K$106,6,0)),"Check")</f>
        <v/>
      </c>
      <c r="AO268" s="207" t="str">
        <f>IFERROR(IF(ISBLANK($D268),"",VLOOKUP($N268,'TABLE CHARGE RATE'!$A$30:$K$106,7,0)),"Check")</f>
        <v/>
      </c>
      <c r="AP268" s="207" t="str">
        <f>IFERROR(IF(ISBLANK($D268),"",VLOOKUP($N268,'TABLE CHARGE RATE'!$A$30:$K$106,8,0)),"Check")</f>
        <v/>
      </c>
      <c r="AQ268" s="207" t="str">
        <f>IFERROR(IF(ISBLANK($D268),"",VLOOKUP($N268,'TABLE CHARGE RATE'!$A$30:$K$106,9,0)),"Check")</f>
        <v/>
      </c>
      <c r="AR268" s="207" t="str">
        <f>IFERROR(IF(ISBLANK($D268),"",VLOOKUP($N268,'TABLE CHARGE RATE'!$A$30:$K$106,10,0)),"Check")</f>
        <v/>
      </c>
      <c r="AS268" s="207" t="str">
        <f>IFERROR(IF(ISBLANK($D268),"",VLOOKUP($N268,'TABLE CHARGE RATE'!$A$30:$K$106,11,0)),"Check")</f>
        <v/>
      </c>
      <c r="AT268" s="207">
        <f t="shared" si="51"/>
        <v>267</v>
      </c>
    </row>
    <row r="269" spans="1:46" x14ac:dyDescent="0.2">
      <c r="A269" s="207" t="str">
        <f t="shared" si="45"/>
        <v/>
      </c>
      <c r="B269" s="208" t="str">
        <f>IF(ISBLANK(D269),"",VLOOKUP(WEEKDAY($C269,1),INDEX!$J$2:$K$8,2,0))</f>
        <v/>
      </c>
      <c r="C269" s="209"/>
      <c r="D269" s="207"/>
      <c r="E269" s="207"/>
      <c r="F269" s="207"/>
      <c r="G269" s="207"/>
      <c r="H269" s="207"/>
      <c r="I269" s="207"/>
      <c r="J269" s="207"/>
      <c r="K269" s="207"/>
      <c r="L269" s="207"/>
      <c r="M269" s="207"/>
      <c r="N269" s="207"/>
      <c r="O269" s="207"/>
      <c r="P269" s="207"/>
      <c r="Q269" s="207"/>
      <c r="R269" s="207"/>
      <c r="S269" s="207"/>
      <c r="T269" s="207"/>
      <c r="U269" s="209"/>
      <c r="V269" s="207"/>
      <c r="W269" s="207"/>
      <c r="X269" s="209">
        <f t="shared" si="47"/>
        <v>0</v>
      </c>
      <c r="Y269" s="209">
        <f t="shared" si="48"/>
        <v>0</v>
      </c>
      <c r="Z269" s="207">
        <v>1</v>
      </c>
      <c r="AA269" s="209" t="str">
        <f t="shared" si="46"/>
        <v/>
      </c>
      <c r="AB269" s="209"/>
      <c r="AC269" s="207" t="s">
        <v>545</v>
      </c>
      <c r="AD269" s="207"/>
      <c r="AE269" s="207"/>
      <c r="AF269" s="208" t="str">
        <f>IF(ISBLANK(D269),"",VLOOKUP(F269,'SIZE CALCULATION'!$F:$G,2,0))</f>
        <v/>
      </c>
      <c r="AG269" s="207" t="str">
        <f t="shared" si="44"/>
        <v/>
      </c>
      <c r="AH269" s="207" t="str">
        <f t="shared" si="49"/>
        <v/>
      </c>
      <c r="AI269" s="210" t="str">
        <f>IF(ISBLANK(D269),"",VLOOKUP($A269,INDEX!$D$2:$F$13,3,0))</f>
        <v/>
      </c>
      <c r="AJ269" s="207" t="str">
        <f t="shared" si="50"/>
        <v/>
      </c>
      <c r="AK269" s="207"/>
      <c r="AL269" s="207"/>
      <c r="AM269" s="207" t="str">
        <f>IFERROR(IF(ISBLANK($D269),"",VLOOKUP($N269,'TABLE CHARGE RATE'!$A$30:$K$106,5,0)),"Check")</f>
        <v/>
      </c>
      <c r="AN269" s="207" t="str">
        <f>IFERROR(IF(ISBLANK($D269),"",VLOOKUP($N269,'TABLE CHARGE RATE'!$A$30:$K$106,6,0)),"Check")</f>
        <v/>
      </c>
      <c r="AO269" s="207" t="str">
        <f>IFERROR(IF(ISBLANK($D269),"",VLOOKUP($N269,'TABLE CHARGE RATE'!$A$30:$K$106,7,0)),"Check")</f>
        <v/>
      </c>
      <c r="AP269" s="207" t="str">
        <f>IFERROR(IF(ISBLANK($D269),"",VLOOKUP($N269,'TABLE CHARGE RATE'!$A$30:$K$106,8,0)),"Check")</f>
        <v/>
      </c>
      <c r="AQ269" s="207" t="str">
        <f>IFERROR(IF(ISBLANK($D269),"",VLOOKUP($N269,'TABLE CHARGE RATE'!$A$30:$K$106,9,0)),"Check")</f>
        <v/>
      </c>
      <c r="AR269" s="207" t="str">
        <f>IFERROR(IF(ISBLANK($D269),"",VLOOKUP($N269,'TABLE CHARGE RATE'!$A$30:$K$106,10,0)),"Check")</f>
        <v/>
      </c>
      <c r="AS269" s="207" t="str">
        <f>IFERROR(IF(ISBLANK($D269),"",VLOOKUP($N269,'TABLE CHARGE RATE'!$A$30:$K$106,11,0)),"Check")</f>
        <v/>
      </c>
      <c r="AT269" s="207">
        <f t="shared" si="51"/>
        <v>268</v>
      </c>
    </row>
    <row r="270" spans="1:46" x14ac:dyDescent="0.2">
      <c r="A270" s="207" t="str">
        <f t="shared" si="45"/>
        <v/>
      </c>
      <c r="B270" s="208" t="str">
        <f>IF(ISBLANK(D270),"",VLOOKUP(WEEKDAY($C270,1),INDEX!$J$2:$K$8,2,0))</f>
        <v/>
      </c>
      <c r="C270" s="209"/>
      <c r="D270" s="207"/>
      <c r="E270" s="207"/>
      <c r="F270" s="207"/>
      <c r="G270" s="207"/>
      <c r="H270" s="207"/>
      <c r="I270" s="207"/>
      <c r="J270" s="207"/>
      <c r="K270" s="207"/>
      <c r="L270" s="207"/>
      <c r="M270" s="207"/>
      <c r="N270" s="207"/>
      <c r="O270" s="207"/>
      <c r="P270" s="207"/>
      <c r="Q270" s="207"/>
      <c r="R270" s="207"/>
      <c r="S270" s="207"/>
      <c r="T270" s="207"/>
      <c r="U270" s="209"/>
      <c r="V270" s="207"/>
      <c r="W270" s="207"/>
      <c r="X270" s="209">
        <f t="shared" si="47"/>
        <v>0</v>
      </c>
      <c r="Y270" s="209">
        <f t="shared" si="48"/>
        <v>0</v>
      </c>
      <c r="Z270" s="207">
        <v>1</v>
      </c>
      <c r="AA270" s="209" t="str">
        <f t="shared" si="46"/>
        <v/>
      </c>
      <c r="AB270" s="209"/>
      <c r="AC270" s="207" t="s">
        <v>545</v>
      </c>
      <c r="AD270" s="207"/>
      <c r="AE270" s="207"/>
      <c r="AF270" s="208" t="str">
        <f>IF(ISBLANK(D270),"",VLOOKUP(F270,'SIZE CALCULATION'!$F:$G,2,0))</f>
        <v/>
      </c>
      <c r="AG270" s="207" t="str">
        <f t="shared" si="44"/>
        <v/>
      </c>
      <c r="AH270" s="207" t="str">
        <f t="shared" si="49"/>
        <v/>
      </c>
      <c r="AI270" s="210" t="str">
        <f>IF(ISBLANK(D270),"",VLOOKUP($A270,INDEX!$D$2:$F$13,3,0))</f>
        <v/>
      </c>
      <c r="AJ270" s="207" t="str">
        <f t="shared" si="50"/>
        <v/>
      </c>
      <c r="AK270" s="207"/>
      <c r="AL270" s="207"/>
      <c r="AM270" s="207" t="str">
        <f>IFERROR(IF(ISBLANK($D270),"",VLOOKUP($N270,'TABLE CHARGE RATE'!$A$30:$K$106,5,0)),"Check")</f>
        <v/>
      </c>
      <c r="AN270" s="207" t="str">
        <f>IFERROR(IF(ISBLANK($D270),"",VLOOKUP($N270,'TABLE CHARGE RATE'!$A$30:$K$106,6,0)),"Check")</f>
        <v/>
      </c>
      <c r="AO270" s="207" t="str">
        <f>IFERROR(IF(ISBLANK($D270),"",VLOOKUP($N270,'TABLE CHARGE RATE'!$A$30:$K$106,7,0)),"Check")</f>
        <v/>
      </c>
      <c r="AP270" s="207" t="str">
        <f>IFERROR(IF(ISBLANK($D270),"",VLOOKUP($N270,'TABLE CHARGE RATE'!$A$30:$K$106,8,0)),"Check")</f>
        <v/>
      </c>
      <c r="AQ270" s="207" t="str">
        <f>IFERROR(IF(ISBLANK($D270),"",VLOOKUP($N270,'TABLE CHARGE RATE'!$A$30:$K$106,9,0)),"Check")</f>
        <v/>
      </c>
      <c r="AR270" s="207" t="str">
        <f>IFERROR(IF(ISBLANK($D270),"",VLOOKUP($N270,'TABLE CHARGE RATE'!$A$30:$K$106,10,0)),"Check")</f>
        <v/>
      </c>
      <c r="AS270" s="207" t="str">
        <f>IFERROR(IF(ISBLANK($D270),"",VLOOKUP($N270,'TABLE CHARGE RATE'!$A$30:$K$106,11,0)),"Check")</f>
        <v/>
      </c>
      <c r="AT270" s="207">
        <f t="shared" si="51"/>
        <v>269</v>
      </c>
    </row>
    <row r="271" spans="1:46" x14ac:dyDescent="0.2">
      <c r="A271" s="207" t="str">
        <f t="shared" si="45"/>
        <v/>
      </c>
      <c r="B271" s="208" t="str">
        <f>IF(ISBLANK(D271),"",VLOOKUP(WEEKDAY($C271,1),INDEX!$J$2:$K$8,2,0))</f>
        <v/>
      </c>
      <c r="C271" s="209"/>
      <c r="D271" s="207"/>
      <c r="E271" s="207"/>
      <c r="F271" s="207"/>
      <c r="G271" s="207"/>
      <c r="H271" s="207"/>
      <c r="I271" s="207"/>
      <c r="J271" s="207"/>
      <c r="K271" s="207"/>
      <c r="L271" s="207"/>
      <c r="M271" s="207"/>
      <c r="N271" s="207"/>
      <c r="O271" s="207"/>
      <c r="P271" s="207"/>
      <c r="Q271" s="207"/>
      <c r="R271" s="207"/>
      <c r="S271" s="207"/>
      <c r="T271" s="207"/>
      <c r="U271" s="209"/>
      <c r="V271" s="207"/>
      <c r="W271" s="207"/>
      <c r="X271" s="209">
        <f t="shared" si="47"/>
        <v>0</v>
      </c>
      <c r="Y271" s="209">
        <f t="shared" si="48"/>
        <v>0</v>
      </c>
      <c r="Z271" s="207">
        <v>1</v>
      </c>
      <c r="AA271" s="209" t="str">
        <f t="shared" si="46"/>
        <v/>
      </c>
      <c r="AB271" s="209"/>
      <c r="AC271" s="207" t="s">
        <v>545</v>
      </c>
      <c r="AD271" s="207"/>
      <c r="AE271" s="207"/>
      <c r="AF271" s="208" t="str">
        <f>IF(ISBLANK(D271),"",VLOOKUP(F271,'SIZE CALCULATION'!$F:$G,2,0))</f>
        <v/>
      </c>
      <c r="AG271" s="207" t="str">
        <f t="shared" si="44"/>
        <v/>
      </c>
      <c r="AH271" s="207" t="str">
        <f t="shared" si="49"/>
        <v/>
      </c>
      <c r="AI271" s="210" t="str">
        <f>IF(ISBLANK(D271),"",VLOOKUP($A271,INDEX!$D$2:$F$13,3,0))</f>
        <v/>
      </c>
      <c r="AJ271" s="207" t="str">
        <f t="shared" si="50"/>
        <v/>
      </c>
      <c r="AK271" s="207"/>
      <c r="AL271" s="207"/>
      <c r="AM271" s="207" t="str">
        <f>IFERROR(IF(ISBLANK($D271),"",VLOOKUP($N271,'TABLE CHARGE RATE'!$A$30:$K$106,5,0)),"Check")</f>
        <v/>
      </c>
      <c r="AN271" s="207" t="str">
        <f>IFERROR(IF(ISBLANK($D271),"",VLOOKUP($N271,'TABLE CHARGE RATE'!$A$30:$K$106,6,0)),"Check")</f>
        <v/>
      </c>
      <c r="AO271" s="207" t="str">
        <f>IFERROR(IF(ISBLANK($D271),"",VLOOKUP($N271,'TABLE CHARGE RATE'!$A$30:$K$106,7,0)),"Check")</f>
        <v/>
      </c>
      <c r="AP271" s="207" t="str">
        <f>IFERROR(IF(ISBLANK($D271),"",VLOOKUP($N271,'TABLE CHARGE RATE'!$A$30:$K$106,8,0)),"Check")</f>
        <v/>
      </c>
      <c r="AQ271" s="207" t="str">
        <f>IFERROR(IF(ISBLANK($D271),"",VLOOKUP($N271,'TABLE CHARGE RATE'!$A$30:$K$106,9,0)),"Check")</f>
        <v/>
      </c>
      <c r="AR271" s="207" t="str">
        <f>IFERROR(IF(ISBLANK($D271),"",VLOOKUP($N271,'TABLE CHARGE RATE'!$A$30:$K$106,10,0)),"Check")</f>
        <v/>
      </c>
      <c r="AS271" s="207" t="str">
        <f>IFERROR(IF(ISBLANK($D271),"",VLOOKUP($N271,'TABLE CHARGE RATE'!$A$30:$K$106,11,0)),"Check")</f>
        <v/>
      </c>
      <c r="AT271" s="207">
        <f t="shared" si="51"/>
        <v>270</v>
      </c>
    </row>
    <row r="272" spans="1:46" x14ac:dyDescent="0.2">
      <c r="A272" s="207" t="str">
        <f t="shared" si="45"/>
        <v/>
      </c>
      <c r="B272" s="208" t="str">
        <f>IF(ISBLANK(D272),"",VLOOKUP(WEEKDAY($C272,1),INDEX!$J$2:$K$8,2,0))</f>
        <v/>
      </c>
      <c r="C272" s="209"/>
      <c r="D272" s="207"/>
      <c r="E272" s="207"/>
      <c r="F272" s="207"/>
      <c r="G272" s="207"/>
      <c r="H272" s="207"/>
      <c r="I272" s="207"/>
      <c r="J272" s="207"/>
      <c r="K272" s="207"/>
      <c r="L272" s="207"/>
      <c r="M272" s="207"/>
      <c r="N272" s="207"/>
      <c r="O272" s="207"/>
      <c r="P272" s="207"/>
      <c r="Q272" s="207"/>
      <c r="R272" s="207"/>
      <c r="S272" s="207"/>
      <c r="T272" s="207"/>
      <c r="U272" s="209"/>
      <c r="V272" s="207"/>
      <c r="W272" s="207"/>
      <c r="X272" s="209">
        <f t="shared" si="47"/>
        <v>0</v>
      </c>
      <c r="Y272" s="209">
        <f t="shared" si="48"/>
        <v>0</v>
      </c>
      <c r="Z272" s="207">
        <v>1</v>
      </c>
      <c r="AA272" s="209" t="str">
        <f t="shared" si="46"/>
        <v/>
      </c>
      <c r="AB272" s="209"/>
      <c r="AC272" s="207" t="s">
        <v>545</v>
      </c>
      <c r="AD272" s="207"/>
      <c r="AE272" s="207"/>
      <c r="AF272" s="208" t="str">
        <f>IF(ISBLANK(D272),"",VLOOKUP(F272,'SIZE CALCULATION'!$F:$G,2,0))</f>
        <v/>
      </c>
      <c r="AG272" s="207" t="str">
        <f t="shared" si="44"/>
        <v/>
      </c>
      <c r="AH272" s="207" t="str">
        <f t="shared" si="49"/>
        <v/>
      </c>
      <c r="AI272" s="210" t="str">
        <f>IF(ISBLANK(D272),"",VLOOKUP($A272,INDEX!$D$2:$F$13,3,0))</f>
        <v/>
      </c>
      <c r="AJ272" s="207" t="str">
        <f t="shared" si="50"/>
        <v/>
      </c>
      <c r="AK272" s="207"/>
      <c r="AL272" s="207"/>
      <c r="AM272" s="207" t="str">
        <f>IFERROR(IF(ISBLANK($D272),"",VLOOKUP($N272,'TABLE CHARGE RATE'!$A$30:$K$106,5,0)),"Check")</f>
        <v/>
      </c>
      <c r="AN272" s="207" t="str">
        <f>IFERROR(IF(ISBLANK($D272),"",VLOOKUP($N272,'TABLE CHARGE RATE'!$A$30:$K$106,6,0)),"Check")</f>
        <v/>
      </c>
      <c r="AO272" s="207" t="str">
        <f>IFERROR(IF(ISBLANK($D272),"",VLOOKUP($N272,'TABLE CHARGE RATE'!$A$30:$K$106,7,0)),"Check")</f>
        <v/>
      </c>
      <c r="AP272" s="207" t="str">
        <f>IFERROR(IF(ISBLANK($D272),"",VLOOKUP($N272,'TABLE CHARGE RATE'!$A$30:$K$106,8,0)),"Check")</f>
        <v/>
      </c>
      <c r="AQ272" s="207" t="str">
        <f>IFERROR(IF(ISBLANK($D272),"",VLOOKUP($N272,'TABLE CHARGE RATE'!$A$30:$K$106,9,0)),"Check")</f>
        <v/>
      </c>
      <c r="AR272" s="207" t="str">
        <f>IFERROR(IF(ISBLANK($D272),"",VLOOKUP($N272,'TABLE CHARGE RATE'!$A$30:$K$106,10,0)),"Check")</f>
        <v/>
      </c>
      <c r="AS272" s="207" t="str">
        <f>IFERROR(IF(ISBLANK($D272),"",VLOOKUP($N272,'TABLE CHARGE RATE'!$A$30:$K$106,11,0)),"Check")</f>
        <v/>
      </c>
      <c r="AT272" s="207">
        <f t="shared" si="51"/>
        <v>271</v>
      </c>
    </row>
    <row r="273" spans="1:46" x14ac:dyDescent="0.2">
      <c r="A273" s="207" t="str">
        <f t="shared" si="45"/>
        <v/>
      </c>
      <c r="B273" s="208" t="str">
        <f>IF(ISBLANK(D273),"",VLOOKUP(WEEKDAY($C273,1),INDEX!$J$2:$K$8,2,0))</f>
        <v/>
      </c>
      <c r="C273" s="209"/>
      <c r="D273" s="207"/>
      <c r="E273" s="207"/>
      <c r="F273" s="207"/>
      <c r="G273" s="207"/>
      <c r="H273" s="207"/>
      <c r="I273" s="207"/>
      <c r="J273" s="207"/>
      <c r="K273" s="207"/>
      <c r="L273" s="207"/>
      <c r="M273" s="207"/>
      <c r="N273" s="207"/>
      <c r="O273" s="207"/>
      <c r="P273" s="207"/>
      <c r="Q273" s="207"/>
      <c r="R273" s="207"/>
      <c r="S273" s="207"/>
      <c r="T273" s="207"/>
      <c r="U273" s="209"/>
      <c r="V273" s="207"/>
      <c r="W273" s="207"/>
      <c r="X273" s="209">
        <f t="shared" si="47"/>
        <v>0</v>
      </c>
      <c r="Y273" s="209">
        <f t="shared" si="48"/>
        <v>0</v>
      </c>
      <c r="Z273" s="207">
        <v>1</v>
      </c>
      <c r="AA273" s="209" t="str">
        <f t="shared" si="46"/>
        <v/>
      </c>
      <c r="AB273" s="209"/>
      <c r="AC273" s="207" t="s">
        <v>545</v>
      </c>
      <c r="AD273" s="207"/>
      <c r="AE273" s="207"/>
      <c r="AF273" s="208" t="str">
        <f>IF(ISBLANK(D273),"",VLOOKUP(F273,'SIZE CALCULATION'!$F:$G,2,0))</f>
        <v/>
      </c>
      <c r="AG273" s="207" t="str">
        <f t="shared" si="44"/>
        <v/>
      </c>
      <c r="AH273" s="207" t="str">
        <f t="shared" si="49"/>
        <v/>
      </c>
      <c r="AI273" s="210" t="str">
        <f>IF(ISBLANK(D273),"",VLOOKUP($A273,INDEX!$D$2:$F$13,3,0))</f>
        <v/>
      </c>
      <c r="AJ273" s="207" t="str">
        <f t="shared" si="50"/>
        <v/>
      </c>
      <c r="AK273" s="207"/>
      <c r="AL273" s="207"/>
      <c r="AM273" s="207" t="str">
        <f>IFERROR(IF(ISBLANK($D273),"",VLOOKUP($N273,'TABLE CHARGE RATE'!$A$30:$K$106,5,0)),"Check")</f>
        <v/>
      </c>
      <c r="AN273" s="207" t="str">
        <f>IFERROR(IF(ISBLANK($D273),"",VLOOKUP($N273,'TABLE CHARGE RATE'!$A$30:$K$106,6,0)),"Check")</f>
        <v/>
      </c>
      <c r="AO273" s="207" t="str">
        <f>IFERROR(IF(ISBLANK($D273),"",VLOOKUP($N273,'TABLE CHARGE RATE'!$A$30:$K$106,7,0)),"Check")</f>
        <v/>
      </c>
      <c r="AP273" s="207" t="str">
        <f>IFERROR(IF(ISBLANK($D273),"",VLOOKUP($N273,'TABLE CHARGE RATE'!$A$30:$K$106,8,0)),"Check")</f>
        <v/>
      </c>
      <c r="AQ273" s="207" t="str">
        <f>IFERROR(IF(ISBLANK($D273),"",VLOOKUP($N273,'TABLE CHARGE RATE'!$A$30:$K$106,9,0)),"Check")</f>
        <v/>
      </c>
      <c r="AR273" s="207" t="str">
        <f>IFERROR(IF(ISBLANK($D273),"",VLOOKUP($N273,'TABLE CHARGE RATE'!$A$30:$K$106,10,0)),"Check")</f>
        <v/>
      </c>
      <c r="AS273" s="207" t="str">
        <f>IFERROR(IF(ISBLANK($D273),"",VLOOKUP($N273,'TABLE CHARGE RATE'!$A$30:$K$106,11,0)),"Check")</f>
        <v/>
      </c>
      <c r="AT273" s="207">
        <f t="shared" si="51"/>
        <v>272</v>
      </c>
    </row>
    <row r="274" spans="1:46" x14ac:dyDescent="0.2">
      <c r="A274" s="207" t="str">
        <f t="shared" si="45"/>
        <v/>
      </c>
      <c r="B274" s="208" t="str">
        <f>IF(ISBLANK(D274),"",VLOOKUP(WEEKDAY($C274,1),INDEX!$J$2:$K$8,2,0))</f>
        <v/>
      </c>
      <c r="C274" s="209"/>
      <c r="D274" s="207"/>
      <c r="E274" s="207"/>
      <c r="F274" s="207"/>
      <c r="G274" s="207"/>
      <c r="H274" s="207"/>
      <c r="I274" s="207"/>
      <c r="J274" s="207"/>
      <c r="K274" s="207"/>
      <c r="L274" s="207"/>
      <c r="M274" s="207"/>
      <c r="N274" s="207"/>
      <c r="O274" s="207"/>
      <c r="P274" s="207"/>
      <c r="Q274" s="207"/>
      <c r="R274" s="207"/>
      <c r="S274" s="207"/>
      <c r="T274" s="207"/>
      <c r="U274" s="209"/>
      <c r="V274" s="207"/>
      <c r="W274" s="207"/>
      <c r="X274" s="209">
        <f t="shared" si="47"/>
        <v>0</v>
      </c>
      <c r="Y274" s="209">
        <f t="shared" si="48"/>
        <v>0</v>
      </c>
      <c r="Z274" s="207">
        <v>1</v>
      </c>
      <c r="AA274" s="209" t="str">
        <f t="shared" si="46"/>
        <v/>
      </c>
      <c r="AB274" s="209"/>
      <c r="AC274" s="207" t="s">
        <v>545</v>
      </c>
      <c r="AD274" s="207"/>
      <c r="AE274" s="207"/>
      <c r="AF274" s="208" t="str">
        <f>IF(ISBLANK(D274),"",VLOOKUP(F274,'SIZE CALCULATION'!$F:$G,2,0))</f>
        <v/>
      </c>
      <c r="AG274" s="207" t="str">
        <f t="shared" si="44"/>
        <v/>
      </c>
      <c r="AH274" s="207" t="str">
        <f t="shared" si="49"/>
        <v/>
      </c>
      <c r="AI274" s="210" t="str">
        <f>IF(ISBLANK(D274),"",VLOOKUP($A274,INDEX!$D$2:$F$13,3,0))</f>
        <v/>
      </c>
      <c r="AJ274" s="207" t="str">
        <f t="shared" si="50"/>
        <v/>
      </c>
      <c r="AK274" s="207"/>
      <c r="AL274" s="207"/>
      <c r="AM274" s="207" t="str">
        <f>IFERROR(IF(ISBLANK($D274),"",VLOOKUP($N274,'TABLE CHARGE RATE'!$A$30:$K$106,5,0)),"Check")</f>
        <v/>
      </c>
      <c r="AN274" s="207" t="str">
        <f>IFERROR(IF(ISBLANK($D274),"",VLOOKUP($N274,'TABLE CHARGE RATE'!$A$30:$K$106,6,0)),"Check")</f>
        <v/>
      </c>
      <c r="AO274" s="207" t="str">
        <f>IFERROR(IF(ISBLANK($D274),"",VLOOKUP($N274,'TABLE CHARGE RATE'!$A$30:$K$106,7,0)),"Check")</f>
        <v/>
      </c>
      <c r="AP274" s="207" t="str">
        <f>IFERROR(IF(ISBLANK($D274),"",VLOOKUP($N274,'TABLE CHARGE RATE'!$A$30:$K$106,8,0)),"Check")</f>
        <v/>
      </c>
      <c r="AQ274" s="207" t="str">
        <f>IFERROR(IF(ISBLANK($D274),"",VLOOKUP($N274,'TABLE CHARGE RATE'!$A$30:$K$106,9,0)),"Check")</f>
        <v/>
      </c>
      <c r="AR274" s="207" t="str">
        <f>IFERROR(IF(ISBLANK($D274),"",VLOOKUP($N274,'TABLE CHARGE RATE'!$A$30:$K$106,10,0)),"Check")</f>
        <v/>
      </c>
      <c r="AS274" s="207" t="str">
        <f>IFERROR(IF(ISBLANK($D274),"",VLOOKUP($N274,'TABLE CHARGE RATE'!$A$30:$K$106,11,0)),"Check")</f>
        <v/>
      </c>
      <c r="AT274" s="207">
        <f t="shared" si="51"/>
        <v>273</v>
      </c>
    </row>
    <row r="275" spans="1:46" x14ac:dyDescent="0.2">
      <c r="A275" s="207" t="str">
        <f t="shared" si="45"/>
        <v/>
      </c>
      <c r="B275" s="208" t="str">
        <f>IF(ISBLANK(D275),"",VLOOKUP(WEEKDAY($C275,1),INDEX!$J$2:$K$8,2,0))</f>
        <v/>
      </c>
      <c r="C275" s="209"/>
      <c r="D275" s="207"/>
      <c r="E275" s="207"/>
      <c r="F275" s="207"/>
      <c r="G275" s="207"/>
      <c r="H275" s="207"/>
      <c r="I275" s="207"/>
      <c r="J275" s="207"/>
      <c r="K275" s="207"/>
      <c r="L275" s="207"/>
      <c r="M275" s="207"/>
      <c r="N275" s="207"/>
      <c r="O275" s="207"/>
      <c r="P275" s="207"/>
      <c r="Q275" s="207"/>
      <c r="R275" s="207"/>
      <c r="S275" s="207"/>
      <c r="T275" s="207"/>
      <c r="U275" s="209"/>
      <c r="V275" s="207"/>
      <c r="W275" s="207"/>
      <c r="X275" s="209">
        <f t="shared" si="47"/>
        <v>0</v>
      </c>
      <c r="Y275" s="209">
        <f t="shared" si="48"/>
        <v>0</v>
      </c>
      <c r="Z275" s="207">
        <v>1</v>
      </c>
      <c r="AA275" s="209" t="str">
        <f t="shared" si="46"/>
        <v/>
      </c>
      <c r="AB275" s="209"/>
      <c r="AC275" s="207" t="s">
        <v>545</v>
      </c>
      <c r="AD275" s="207"/>
      <c r="AE275" s="207"/>
      <c r="AF275" s="208" t="str">
        <f>IF(ISBLANK(D275),"",VLOOKUP(F275,'SIZE CALCULATION'!$F:$G,2,0))</f>
        <v/>
      </c>
      <c r="AG275" s="207" t="str">
        <f t="shared" si="44"/>
        <v/>
      </c>
      <c r="AH275" s="207" t="str">
        <f t="shared" si="49"/>
        <v/>
      </c>
      <c r="AI275" s="210" t="str">
        <f>IF(ISBLANK(D275),"",VLOOKUP($A275,INDEX!$D$2:$F$13,3,0))</f>
        <v/>
      </c>
      <c r="AJ275" s="207" t="str">
        <f t="shared" si="50"/>
        <v/>
      </c>
      <c r="AK275" s="207"/>
      <c r="AL275" s="207"/>
      <c r="AM275" s="207" t="str">
        <f>IFERROR(IF(ISBLANK($D275),"",VLOOKUP($N275,'TABLE CHARGE RATE'!$A$30:$K$106,5,0)),"Check")</f>
        <v/>
      </c>
      <c r="AN275" s="207" t="str">
        <f>IFERROR(IF(ISBLANK($D275),"",VLOOKUP($N275,'TABLE CHARGE RATE'!$A$30:$K$106,6,0)),"Check")</f>
        <v/>
      </c>
      <c r="AO275" s="207" t="str">
        <f>IFERROR(IF(ISBLANK($D275),"",VLOOKUP($N275,'TABLE CHARGE RATE'!$A$30:$K$106,7,0)),"Check")</f>
        <v/>
      </c>
      <c r="AP275" s="207" t="str">
        <f>IFERROR(IF(ISBLANK($D275),"",VLOOKUP($N275,'TABLE CHARGE RATE'!$A$30:$K$106,8,0)),"Check")</f>
        <v/>
      </c>
      <c r="AQ275" s="207" t="str">
        <f>IFERROR(IF(ISBLANK($D275),"",VLOOKUP($N275,'TABLE CHARGE RATE'!$A$30:$K$106,9,0)),"Check")</f>
        <v/>
      </c>
      <c r="AR275" s="207" t="str">
        <f>IFERROR(IF(ISBLANK($D275),"",VLOOKUP($N275,'TABLE CHARGE RATE'!$A$30:$K$106,10,0)),"Check")</f>
        <v/>
      </c>
      <c r="AS275" s="207" t="str">
        <f>IFERROR(IF(ISBLANK($D275),"",VLOOKUP($N275,'TABLE CHARGE RATE'!$A$30:$K$106,11,0)),"Check")</f>
        <v/>
      </c>
      <c r="AT275" s="207">
        <f t="shared" si="51"/>
        <v>274</v>
      </c>
    </row>
    <row r="276" spans="1:46" x14ac:dyDescent="0.2">
      <c r="A276" s="207" t="str">
        <f t="shared" si="45"/>
        <v/>
      </c>
      <c r="B276" s="208" t="str">
        <f>IF(ISBLANK(D276),"",VLOOKUP(WEEKDAY($C276,1),INDEX!$J$2:$K$8,2,0))</f>
        <v/>
      </c>
      <c r="C276" s="209"/>
      <c r="D276" s="207"/>
      <c r="E276" s="207"/>
      <c r="F276" s="207"/>
      <c r="G276" s="207"/>
      <c r="H276" s="207"/>
      <c r="I276" s="207"/>
      <c r="J276" s="207"/>
      <c r="K276" s="207"/>
      <c r="L276" s="207"/>
      <c r="M276" s="207"/>
      <c r="N276" s="207"/>
      <c r="O276" s="207"/>
      <c r="P276" s="207"/>
      <c r="Q276" s="207"/>
      <c r="R276" s="207"/>
      <c r="S276" s="207"/>
      <c r="T276" s="207"/>
      <c r="U276" s="209"/>
      <c r="V276" s="207"/>
      <c r="W276" s="207"/>
      <c r="X276" s="209">
        <f t="shared" si="47"/>
        <v>0</v>
      </c>
      <c r="Y276" s="209">
        <f t="shared" si="48"/>
        <v>0</v>
      </c>
      <c r="Z276" s="207">
        <v>1</v>
      </c>
      <c r="AA276" s="209" t="str">
        <f t="shared" si="46"/>
        <v/>
      </c>
      <c r="AB276" s="209"/>
      <c r="AC276" s="207" t="s">
        <v>545</v>
      </c>
      <c r="AD276" s="207"/>
      <c r="AE276" s="207"/>
      <c r="AF276" s="208" t="str">
        <f>IF(ISBLANK(D276),"",VLOOKUP(F276,'SIZE CALCULATION'!$F:$G,2,0))</f>
        <v/>
      </c>
      <c r="AG276" s="207" t="str">
        <f t="shared" si="44"/>
        <v/>
      </c>
      <c r="AH276" s="207" t="str">
        <f t="shared" si="49"/>
        <v/>
      </c>
      <c r="AI276" s="210" t="str">
        <f>IF(ISBLANK(D276),"",VLOOKUP($A276,INDEX!$D$2:$F$13,3,0))</f>
        <v/>
      </c>
      <c r="AJ276" s="207" t="str">
        <f t="shared" si="50"/>
        <v/>
      </c>
      <c r="AK276" s="207"/>
      <c r="AL276" s="207"/>
      <c r="AM276" s="207" t="str">
        <f>IFERROR(IF(ISBLANK($D276),"",VLOOKUP($N276,'TABLE CHARGE RATE'!$A$30:$K$106,5,0)),"Check")</f>
        <v/>
      </c>
      <c r="AN276" s="207" t="str">
        <f>IFERROR(IF(ISBLANK($D276),"",VLOOKUP($N276,'TABLE CHARGE RATE'!$A$30:$K$106,6,0)),"Check")</f>
        <v/>
      </c>
      <c r="AO276" s="207" t="str">
        <f>IFERROR(IF(ISBLANK($D276),"",VLOOKUP($N276,'TABLE CHARGE RATE'!$A$30:$K$106,7,0)),"Check")</f>
        <v/>
      </c>
      <c r="AP276" s="207" t="str">
        <f>IFERROR(IF(ISBLANK($D276),"",VLOOKUP($N276,'TABLE CHARGE RATE'!$A$30:$K$106,8,0)),"Check")</f>
        <v/>
      </c>
      <c r="AQ276" s="207" t="str">
        <f>IFERROR(IF(ISBLANK($D276),"",VLOOKUP($N276,'TABLE CHARGE RATE'!$A$30:$K$106,9,0)),"Check")</f>
        <v/>
      </c>
      <c r="AR276" s="207" t="str">
        <f>IFERROR(IF(ISBLANK($D276),"",VLOOKUP($N276,'TABLE CHARGE RATE'!$A$30:$K$106,10,0)),"Check")</f>
        <v/>
      </c>
      <c r="AS276" s="207" t="str">
        <f>IFERROR(IF(ISBLANK($D276),"",VLOOKUP($N276,'TABLE CHARGE RATE'!$A$30:$K$106,11,0)),"Check")</f>
        <v/>
      </c>
      <c r="AT276" s="207">
        <f t="shared" si="51"/>
        <v>275</v>
      </c>
    </row>
    <row r="277" spans="1:46" x14ac:dyDescent="0.2">
      <c r="A277" s="207" t="str">
        <f t="shared" si="45"/>
        <v/>
      </c>
      <c r="B277" s="208" t="str">
        <f>IF(ISBLANK(D277),"",VLOOKUP(WEEKDAY($C277,1),INDEX!$J$2:$K$8,2,0))</f>
        <v/>
      </c>
      <c r="C277" s="209"/>
      <c r="D277" s="207"/>
      <c r="E277" s="207"/>
      <c r="F277" s="207"/>
      <c r="G277" s="207"/>
      <c r="H277" s="207"/>
      <c r="I277" s="207"/>
      <c r="J277" s="207"/>
      <c r="K277" s="207"/>
      <c r="L277" s="207"/>
      <c r="M277" s="207"/>
      <c r="N277" s="207"/>
      <c r="O277" s="207"/>
      <c r="P277" s="207"/>
      <c r="Q277" s="207"/>
      <c r="R277" s="207"/>
      <c r="S277" s="207"/>
      <c r="T277" s="207"/>
      <c r="U277" s="209"/>
      <c r="V277" s="207"/>
      <c r="W277" s="207"/>
      <c r="X277" s="209">
        <f t="shared" si="47"/>
        <v>0</v>
      </c>
      <c r="Y277" s="209">
        <f t="shared" si="48"/>
        <v>0</v>
      </c>
      <c r="Z277" s="207">
        <v>1</v>
      </c>
      <c r="AA277" s="209" t="str">
        <f t="shared" si="46"/>
        <v/>
      </c>
      <c r="AB277" s="209"/>
      <c r="AC277" s="207" t="s">
        <v>545</v>
      </c>
      <c r="AD277" s="207"/>
      <c r="AE277" s="207"/>
      <c r="AF277" s="208" t="str">
        <f>IF(ISBLANK(D277),"",VLOOKUP(F277,'SIZE CALCULATION'!$F:$G,2,0))</f>
        <v/>
      </c>
      <c r="AG277" s="207" t="str">
        <f t="shared" si="44"/>
        <v/>
      </c>
      <c r="AH277" s="207" t="str">
        <f t="shared" si="49"/>
        <v/>
      </c>
      <c r="AI277" s="210" t="str">
        <f>IF(ISBLANK(D277),"",VLOOKUP($A277,INDEX!$D$2:$F$13,3,0))</f>
        <v/>
      </c>
      <c r="AJ277" s="207" t="str">
        <f t="shared" si="50"/>
        <v/>
      </c>
      <c r="AK277" s="207"/>
      <c r="AL277" s="207"/>
      <c r="AM277" s="207" t="str">
        <f>IFERROR(IF(ISBLANK($D277),"",VLOOKUP($N277,'TABLE CHARGE RATE'!$A$30:$K$106,5,0)),"Check")</f>
        <v/>
      </c>
      <c r="AN277" s="207" t="str">
        <f>IFERROR(IF(ISBLANK($D277),"",VLOOKUP($N277,'TABLE CHARGE RATE'!$A$30:$K$106,6,0)),"Check")</f>
        <v/>
      </c>
      <c r="AO277" s="207" t="str">
        <f>IFERROR(IF(ISBLANK($D277),"",VLOOKUP($N277,'TABLE CHARGE RATE'!$A$30:$K$106,7,0)),"Check")</f>
        <v/>
      </c>
      <c r="AP277" s="207" t="str">
        <f>IFERROR(IF(ISBLANK($D277),"",VLOOKUP($N277,'TABLE CHARGE RATE'!$A$30:$K$106,8,0)),"Check")</f>
        <v/>
      </c>
      <c r="AQ277" s="207" t="str">
        <f>IFERROR(IF(ISBLANK($D277),"",VLOOKUP($N277,'TABLE CHARGE RATE'!$A$30:$K$106,9,0)),"Check")</f>
        <v/>
      </c>
      <c r="AR277" s="207" t="str">
        <f>IFERROR(IF(ISBLANK($D277),"",VLOOKUP($N277,'TABLE CHARGE RATE'!$A$30:$K$106,10,0)),"Check")</f>
        <v/>
      </c>
      <c r="AS277" s="207" t="str">
        <f>IFERROR(IF(ISBLANK($D277),"",VLOOKUP($N277,'TABLE CHARGE RATE'!$A$30:$K$106,11,0)),"Check")</f>
        <v/>
      </c>
      <c r="AT277" s="207">
        <f t="shared" si="51"/>
        <v>276</v>
      </c>
    </row>
    <row r="278" spans="1:46" x14ac:dyDescent="0.2">
      <c r="A278" s="207" t="str">
        <f t="shared" si="45"/>
        <v/>
      </c>
      <c r="B278" s="208" t="str">
        <f>IF(ISBLANK(D278),"",VLOOKUP(WEEKDAY($C278,1),INDEX!$J$2:$K$8,2,0))</f>
        <v/>
      </c>
      <c r="C278" s="209"/>
      <c r="D278" s="207"/>
      <c r="E278" s="207"/>
      <c r="F278" s="207"/>
      <c r="G278" s="207"/>
      <c r="H278" s="207"/>
      <c r="I278" s="207"/>
      <c r="J278" s="207"/>
      <c r="K278" s="207"/>
      <c r="L278" s="207"/>
      <c r="M278" s="207"/>
      <c r="N278" s="207"/>
      <c r="O278" s="207"/>
      <c r="P278" s="207"/>
      <c r="Q278" s="207"/>
      <c r="R278" s="207"/>
      <c r="S278" s="207"/>
      <c r="T278" s="207"/>
      <c r="U278" s="209"/>
      <c r="V278" s="207"/>
      <c r="W278" s="207"/>
      <c r="X278" s="209">
        <f t="shared" si="47"/>
        <v>0</v>
      </c>
      <c r="Y278" s="209">
        <f t="shared" si="48"/>
        <v>0</v>
      </c>
      <c r="Z278" s="207">
        <v>1</v>
      </c>
      <c r="AA278" s="209" t="str">
        <f t="shared" si="46"/>
        <v/>
      </c>
      <c r="AB278" s="209"/>
      <c r="AC278" s="207" t="s">
        <v>545</v>
      </c>
      <c r="AD278" s="207"/>
      <c r="AE278" s="207"/>
      <c r="AF278" s="208" t="str">
        <f>IF(ISBLANK(D278),"",VLOOKUP(F278,'SIZE CALCULATION'!$F:$G,2,0))</f>
        <v/>
      </c>
      <c r="AG278" s="207" t="str">
        <f t="shared" si="44"/>
        <v/>
      </c>
      <c r="AH278" s="207" t="str">
        <f t="shared" si="49"/>
        <v/>
      </c>
      <c r="AI278" s="210" t="str">
        <f>IF(ISBLANK(D278),"",VLOOKUP($A278,INDEX!$D$2:$F$13,3,0))</f>
        <v/>
      </c>
      <c r="AJ278" s="207" t="str">
        <f t="shared" si="50"/>
        <v/>
      </c>
      <c r="AK278" s="207"/>
      <c r="AL278" s="207"/>
      <c r="AM278" s="207" t="str">
        <f>IFERROR(IF(ISBLANK($D278),"",VLOOKUP($N278,'TABLE CHARGE RATE'!$A$30:$K$106,5,0)),"Check")</f>
        <v/>
      </c>
      <c r="AN278" s="207" t="str">
        <f>IFERROR(IF(ISBLANK($D278),"",VLOOKUP($N278,'TABLE CHARGE RATE'!$A$30:$K$106,6,0)),"Check")</f>
        <v/>
      </c>
      <c r="AO278" s="207" t="str">
        <f>IFERROR(IF(ISBLANK($D278),"",VLOOKUP($N278,'TABLE CHARGE RATE'!$A$30:$K$106,7,0)),"Check")</f>
        <v/>
      </c>
      <c r="AP278" s="207" t="str">
        <f>IFERROR(IF(ISBLANK($D278),"",VLOOKUP($N278,'TABLE CHARGE RATE'!$A$30:$K$106,8,0)),"Check")</f>
        <v/>
      </c>
      <c r="AQ278" s="207" t="str">
        <f>IFERROR(IF(ISBLANK($D278),"",VLOOKUP($N278,'TABLE CHARGE RATE'!$A$30:$K$106,9,0)),"Check")</f>
        <v/>
      </c>
      <c r="AR278" s="207" t="str">
        <f>IFERROR(IF(ISBLANK($D278),"",VLOOKUP($N278,'TABLE CHARGE RATE'!$A$30:$K$106,10,0)),"Check")</f>
        <v/>
      </c>
      <c r="AS278" s="207" t="str">
        <f>IFERROR(IF(ISBLANK($D278),"",VLOOKUP($N278,'TABLE CHARGE RATE'!$A$30:$K$106,11,0)),"Check")</f>
        <v/>
      </c>
      <c r="AT278" s="207">
        <f t="shared" si="51"/>
        <v>277</v>
      </c>
    </row>
    <row r="279" spans="1:46" x14ac:dyDescent="0.2">
      <c r="A279" s="207" t="str">
        <f t="shared" si="45"/>
        <v/>
      </c>
      <c r="B279" s="208" t="str">
        <f>IF(ISBLANK(D279),"",VLOOKUP(WEEKDAY($C279,1),INDEX!$J$2:$K$8,2,0))</f>
        <v/>
      </c>
      <c r="C279" s="209"/>
      <c r="D279" s="207"/>
      <c r="E279" s="207"/>
      <c r="F279" s="207"/>
      <c r="G279" s="207"/>
      <c r="H279" s="207"/>
      <c r="I279" s="207"/>
      <c r="J279" s="207"/>
      <c r="K279" s="207"/>
      <c r="L279" s="207"/>
      <c r="M279" s="207"/>
      <c r="N279" s="207"/>
      <c r="O279" s="207"/>
      <c r="P279" s="207"/>
      <c r="Q279" s="207"/>
      <c r="R279" s="207"/>
      <c r="S279" s="207"/>
      <c r="T279" s="207"/>
      <c r="U279" s="209"/>
      <c r="V279" s="207"/>
      <c r="W279" s="207"/>
      <c r="X279" s="209">
        <f t="shared" si="47"/>
        <v>0</v>
      </c>
      <c r="Y279" s="209">
        <f t="shared" si="48"/>
        <v>0</v>
      </c>
      <c r="Z279" s="207">
        <v>1</v>
      </c>
      <c r="AA279" s="209" t="str">
        <f t="shared" si="46"/>
        <v/>
      </c>
      <c r="AB279" s="209"/>
      <c r="AC279" s="207" t="s">
        <v>545</v>
      </c>
      <c r="AD279" s="207"/>
      <c r="AE279" s="207"/>
      <c r="AF279" s="208" t="str">
        <f>IF(ISBLANK(D279),"",VLOOKUP(F279,'SIZE CALCULATION'!$F:$G,2,0))</f>
        <v/>
      </c>
      <c r="AG279" s="207" t="str">
        <f t="shared" si="44"/>
        <v/>
      </c>
      <c r="AH279" s="207" t="str">
        <f t="shared" si="49"/>
        <v/>
      </c>
      <c r="AI279" s="210" t="str">
        <f>IF(ISBLANK(D279),"",VLOOKUP($A279,INDEX!$D$2:$F$13,3,0))</f>
        <v/>
      </c>
      <c r="AJ279" s="207" t="str">
        <f t="shared" si="50"/>
        <v/>
      </c>
      <c r="AK279" s="207"/>
      <c r="AL279" s="207"/>
      <c r="AM279" s="207" t="str">
        <f>IFERROR(IF(ISBLANK($D279),"",VLOOKUP($N279,'TABLE CHARGE RATE'!$A$30:$K$106,5,0)),"Check")</f>
        <v/>
      </c>
      <c r="AN279" s="207" t="str">
        <f>IFERROR(IF(ISBLANK($D279),"",VLOOKUP($N279,'TABLE CHARGE RATE'!$A$30:$K$106,6,0)),"Check")</f>
        <v/>
      </c>
      <c r="AO279" s="207" t="str">
        <f>IFERROR(IF(ISBLANK($D279),"",VLOOKUP($N279,'TABLE CHARGE RATE'!$A$30:$K$106,7,0)),"Check")</f>
        <v/>
      </c>
      <c r="AP279" s="207" t="str">
        <f>IFERROR(IF(ISBLANK($D279),"",VLOOKUP($N279,'TABLE CHARGE RATE'!$A$30:$K$106,8,0)),"Check")</f>
        <v/>
      </c>
      <c r="AQ279" s="207" t="str">
        <f>IFERROR(IF(ISBLANK($D279),"",VLOOKUP($N279,'TABLE CHARGE RATE'!$A$30:$K$106,9,0)),"Check")</f>
        <v/>
      </c>
      <c r="AR279" s="207" t="str">
        <f>IFERROR(IF(ISBLANK($D279),"",VLOOKUP($N279,'TABLE CHARGE RATE'!$A$30:$K$106,10,0)),"Check")</f>
        <v/>
      </c>
      <c r="AS279" s="207" t="str">
        <f>IFERROR(IF(ISBLANK($D279),"",VLOOKUP($N279,'TABLE CHARGE RATE'!$A$30:$K$106,11,0)),"Check")</f>
        <v/>
      </c>
      <c r="AT279" s="207">
        <f t="shared" si="51"/>
        <v>278</v>
      </c>
    </row>
    <row r="280" spans="1:46" x14ac:dyDescent="0.2">
      <c r="A280" s="207" t="str">
        <f t="shared" si="45"/>
        <v/>
      </c>
      <c r="B280" s="208" t="str">
        <f>IF(ISBLANK(D280),"",VLOOKUP(WEEKDAY($C280,1),INDEX!$J$2:$K$8,2,0))</f>
        <v/>
      </c>
      <c r="C280" s="209"/>
      <c r="D280" s="207"/>
      <c r="E280" s="207"/>
      <c r="F280" s="207"/>
      <c r="G280" s="207"/>
      <c r="H280" s="207"/>
      <c r="I280" s="207"/>
      <c r="J280" s="207"/>
      <c r="K280" s="207"/>
      <c r="L280" s="207"/>
      <c r="M280" s="207"/>
      <c r="N280" s="207"/>
      <c r="O280" s="207"/>
      <c r="P280" s="207"/>
      <c r="Q280" s="207"/>
      <c r="R280" s="207"/>
      <c r="S280" s="207"/>
      <c r="T280" s="207"/>
      <c r="U280" s="209"/>
      <c r="V280" s="207"/>
      <c r="W280" s="207"/>
      <c r="X280" s="209">
        <f t="shared" si="47"/>
        <v>0</v>
      </c>
      <c r="Y280" s="209">
        <f t="shared" si="48"/>
        <v>0</v>
      </c>
      <c r="Z280" s="207">
        <v>1</v>
      </c>
      <c r="AA280" s="209" t="str">
        <f t="shared" si="46"/>
        <v/>
      </c>
      <c r="AB280" s="209"/>
      <c r="AC280" s="207" t="s">
        <v>545</v>
      </c>
      <c r="AD280" s="207"/>
      <c r="AE280" s="207"/>
      <c r="AF280" s="208" t="str">
        <f>IF(ISBLANK(D280),"",VLOOKUP(F280,'SIZE CALCULATION'!$F:$G,2,0))</f>
        <v/>
      </c>
      <c r="AG280" s="207" t="str">
        <f t="shared" si="44"/>
        <v/>
      </c>
      <c r="AH280" s="207" t="str">
        <f t="shared" si="49"/>
        <v/>
      </c>
      <c r="AI280" s="210" t="str">
        <f>IF(ISBLANK(D280),"",VLOOKUP($A280,INDEX!$D$2:$F$13,3,0))</f>
        <v/>
      </c>
      <c r="AJ280" s="207" t="str">
        <f t="shared" si="50"/>
        <v/>
      </c>
      <c r="AK280" s="207"/>
      <c r="AL280" s="207"/>
      <c r="AM280" s="207" t="str">
        <f>IFERROR(IF(ISBLANK($D280),"",VLOOKUP($N280,'TABLE CHARGE RATE'!$A$30:$K$106,5,0)),"Check")</f>
        <v/>
      </c>
      <c r="AN280" s="207" t="str">
        <f>IFERROR(IF(ISBLANK($D280),"",VLOOKUP($N280,'TABLE CHARGE RATE'!$A$30:$K$106,6,0)),"Check")</f>
        <v/>
      </c>
      <c r="AO280" s="207" t="str">
        <f>IFERROR(IF(ISBLANK($D280),"",VLOOKUP($N280,'TABLE CHARGE RATE'!$A$30:$K$106,7,0)),"Check")</f>
        <v/>
      </c>
      <c r="AP280" s="207" t="str">
        <f>IFERROR(IF(ISBLANK($D280),"",VLOOKUP($N280,'TABLE CHARGE RATE'!$A$30:$K$106,8,0)),"Check")</f>
        <v/>
      </c>
      <c r="AQ280" s="207" t="str">
        <f>IFERROR(IF(ISBLANK($D280),"",VLOOKUP($N280,'TABLE CHARGE RATE'!$A$30:$K$106,9,0)),"Check")</f>
        <v/>
      </c>
      <c r="AR280" s="207" t="str">
        <f>IFERROR(IF(ISBLANK($D280),"",VLOOKUP($N280,'TABLE CHARGE RATE'!$A$30:$K$106,10,0)),"Check")</f>
        <v/>
      </c>
      <c r="AS280" s="207" t="str">
        <f>IFERROR(IF(ISBLANK($D280),"",VLOOKUP($N280,'TABLE CHARGE RATE'!$A$30:$K$106,11,0)),"Check")</f>
        <v/>
      </c>
      <c r="AT280" s="207">
        <f t="shared" si="51"/>
        <v>279</v>
      </c>
    </row>
    <row r="281" spans="1:46" x14ac:dyDescent="0.2">
      <c r="A281" s="207" t="str">
        <f t="shared" si="45"/>
        <v/>
      </c>
      <c r="B281" s="208" t="str">
        <f>IF(ISBLANK(D281),"",VLOOKUP(WEEKDAY($C281,1),INDEX!$J$2:$K$8,2,0))</f>
        <v/>
      </c>
      <c r="C281" s="209"/>
      <c r="D281" s="207"/>
      <c r="E281" s="207"/>
      <c r="F281" s="207"/>
      <c r="G281" s="207"/>
      <c r="H281" s="207"/>
      <c r="I281" s="207"/>
      <c r="J281" s="207"/>
      <c r="K281" s="207"/>
      <c r="L281" s="207"/>
      <c r="M281" s="207"/>
      <c r="N281" s="207"/>
      <c r="O281" s="207"/>
      <c r="P281" s="207"/>
      <c r="Q281" s="207"/>
      <c r="R281" s="207"/>
      <c r="S281" s="207"/>
      <c r="T281" s="207"/>
      <c r="U281" s="209"/>
      <c r="V281" s="207"/>
      <c r="W281" s="207"/>
      <c r="X281" s="209">
        <f t="shared" si="47"/>
        <v>0</v>
      </c>
      <c r="Y281" s="209">
        <f t="shared" si="48"/>
        <v>0</v>
      </c>
      <c r="Z281" s="207">
        <v>1</v>
      </c>
      <c r="AA281" s="209" t="str">
        <f t="shared" si="46"/>
        <v/>
      </c>
      <c r="AB281" s="209"/>
      <c r="AC281" s="207" t="s">
        <v>545</v>
      </c>
      <c r="AD281" s="207"/>
      <c r="AE281" s="207"/>
      <c r="AF281" s="208" t="str">
        <f>IF(ISBLANK(D281),"",VLOOKUP(F281,'SIZE CALCULATION'!$F:$G,2,0))</f>
        <v/>
      </c>
      <c r="AG281" s="207" t="str">
        <f t="shared" si="44"/>
        <v/>
      </c>
      <c r="AH281" s="207" t="str">
        <f t="shared" si="49"/>
        <v/>
      </c>
      <c r="AI281" s="210" t="str">
        <f>IF(ISBLANK(D281),"",VLOOKUP($A281,INDEX!$D$2:$F$13,3,0))</f>
        <v/>
      </c>
      <c r="AJ281" s="207" t="str">
        <f t="shared" si="50"/>
        <v/>
      </c>
      <c r="AK281" s="207"/>
      <c r="AL281" s="207"/>
      <c r="AM281" s="207" t="str">
        <f>IFERROR(IF(ISBLANK($D281),"",VLOOKUP($N281,'TABLE CHARGE RATE'!$A$30:$K$106,5,0)),"Check")</f>
        <v/>
      </c>
      <c r="AN281" s="207" t="str">
        <f>IFERROR(IF(ISBLANK($D281),"",VLOOKUP($N281,'TABLE CHARGE RATE'!$A$30:$K$106,6,0)),"Check")</f>
        <v/>
      </c>
      <c r="AO281" s="207" t="str">
        <f>IFERROR(IF(ISBLANK($D281),"",VLOOKUP($N281,'TABLE CHARGE RATE'!$A$30:$K$106,7,0)),"Check")</f>
        <v/>
      </c>
      <c r="AP281" s="207" t="str">
        <f>IFERROR(IF(ISBLANK($D281),"",VLOOKUP($N281,'TABLE CHARGE RATE'!$A$30:$K$106,8,0)),"Check")</f>
        <v/>
      </c>
      <c r="AQ281" s="207" t="str">
        <f>IFERROR(IF(ISBLANK($D281),"",VLOOKUP($N281,'TABLE CHARGE RATE'!$A$30:$K$106,9,0)),"Check")</f>
        <v/>
      </c>
      <c r="AR281" s="207" t="str">
        <f>IFERROR(IF(ISBLANK($D281),"",VLOOKUP($N281,'TABLE CHARGE RATE'!$A$30:$K$106,10,0)),"Check")</f>
        <v/>
      </c>
      <c r="AS281" s="207" t="str">
        <f>IFERROR(IF(ISBLANK($D281),"",VLOOKUP($N281,'TABLE CHARGE RATE'!$A$30:$K$106,11,0)),"Check")</f>
        <v/>
      </c>
      <c r="AT281" s="207">
        <f t="shared" si="51"/>
        <v>280</v>
      </c>
    </row>
    <row r="282" spans="1:46" x14ac:dyDescent="0.2">
      <c r="A282" s="207" t="str">
        <f t="shared" si="45"/>
        <v/>
      </c>
      <c r="B282" s="208" t="str">
        <f>IF(ISBLANK(D282),"",VLOOKUP(WEEKDAY($C282,1),INDEX!$J$2:$K$8,2,0))</f>
        <v/>
      </c>
      <c r="C282" s="209"/>
      <c r="D282" s="207"/>
      <c r="E282" s="207"/>
      <c r="F282" s="207"/>
      <c r="G282" s="207"/>
      <c r="H282" s="207"/>
      <c r="I282" s="207"/>
      <c r="J282" s="207"/>
      <c r="K282" s="207"/>
      <c r="L282" s="207"/>
      <c r="M282" s="207"/>
      <c r="N282" s="207"/>
      <c r="O282" s="207"/>
      <c r="P282" s="207"/>
      <c r="Q282" s="207"/>
      <c r="R282" s="207"/>
      <c r="S282" s="207"/>
      <c r="T282" s="207"/>
      <c r="U282" s="209"/>
      <c r="V282" s="207"/>
      <c r="W282" s="207"/>
      <c r="X282" s="209">
        <f t="shared" si="47"/>
        <v>0</v>
      </c>
      <c r="Y282" s="209">
        <f t="shared" si="48"/>
        <v>0</v>
      </c>
      <c r="Z282" s="207">
        <v>1</v>
      </c>
      <c r="AA282" s="209" t="str">
        <f t="shared" si="46"/>
        <v/>
      </c>
      <c r="AB282" s="209"/>
      <c r="AC282" s="207" t="s">
        <v>545</v>
      </c>
      <c r="AD282" s="207"/>
      <c r="AE282" s="207"/>
      <c r="AF282" s="208" t="str">
        <f>IF(ISBLANK(D282),"",VLOOKUP(F282,'SIZE CALCULATION'!$F:$G,2,0))</f>
        <v/>
      </c>
      <c r="AG282" s="207" t="str">
        <f t="shared" si="44"/>
        <v/>
      </c>
      <c r="AH282" s="207" t="str">
        <f t="shared" si="49"/>
        <v/>
      </c>
      <c r="AI282" s="210" t="str">
        <f>IF(ISBLANK(D282),"",VLOOKUP($A282,INDEX!$D$2:$F$13,3,0))</f>
        <v/>
      </c>
      <c r="AJ282" s="207" t="str">
        <f t="shared" si="50"/>
        <v/>
      </c>
      <c r="AK282" s="207"/>
      <c r="AL282" s="207"/>
      <c r="AM282" s="207" t="str">
        <f>IFERROR(IF(ISBLANK($D282),"",VLOOKUP($N282,'TABLE CHARGE RATE'!$A$30:$K$106,5,0)),"Check")</f>
        <v/>
      </c>
      <c r="AN282" s="207" t="str">
        <f>IFERROR(IF(ISBLANK($D282),"",VLOOKUP($N282,'TABLE CHARGE RATE'!$A$30:$K$106,6,0)),"Check")</f>
        <v/>
      </c>
      <c r="AO282" s="207" t="str">
        <f>IFERROR(IF(ISBLANK($D282),"",VLOOKUP($N282,'TABLE CHARGE RATE'!$A$30:$K$106,7,0)),"Check")</f>
        <v/>
      </c>
      <c r="AP282" s="207" t="str">
        <f>IFERROR(IF(ISBLANK($D282),"",VLOOKUP($N282,'TABLE CHARGE RATE'!$A$30:$K$106,8,0)),"Check")</f>
        <v/>
      </c>
      <c r="AQ282" s="207" t="str">
        <f>IFERROR(IF(ISBLANK($D282),"",VLOOKUP($N282,'TABLE CHARGE RATE'!$A$30:$K$106,9,0)),"Check")</f>
        <v/>
      </c>
      <c r="AR282" s="207" t="str">
        <f>IFERROR(IF(ISBLANK($D282),"",VLOOKUP($N282,'TABLE CHARGE RATE'!$A$30:$K$106,10,0)),"Check")</f>
        <v/>
      </c>
      <c r="AS282" s="207" t="str">
        <f>IFERROR(IF(ISBLANK($D282),"",VLOOKUP($N282,'TABLE CHARGE RATE'!$A$30:$K$106,11,0)),"Check")</f>
        <v/>
      </c>
      <c r="AT282" s="207">
        <f t="shared" si="51"/>
        <v>281</v>
      </c>
    </row>
    <row r="283" spans="1:46" x14ac:dyDescent="0.2">
      <c r="A283" s="207" t="str">
        <f t="shared" si="45"/>
        <v/>
      </c>
      <c r="B283" s="208" t="str">
        <f>IF(ISBLANK(D283),"",VLOOKUP(WEEKDAY($C283,1),INDEX!$J$2:$K$8,2,0))</f>
        <v/>
      </c>
      <c r="C283" s="209"/>
      <c r="D283" s="207"/>
      <c r="E283" s="207"/>
      <c r="F283" s="207"/>
      <c r="G283" s="207"/>
      <c r="H283" s="207"/>
      <c r="I283" s="207"/>
      <c r="J283" s="207"/>
      <c r="K283" s="207"/>
      <c r="L283" s="207"/>
      <c r="M283" s="207"/>
      <c r="N283" s="207"/>
      <c r="O283" s="207"/>
      <c r="P283" s="207"/>
      <c r="Q283" s="207"/>
      <c r="R283" s="207"/>
      <c r="S283" s="207"/>
      <c r="T283" s="207"/>
      <c r="U283" s="209"/>
      <c r="V283" s="207"/>
      <c r="W283" s="207"/>
      <c r="X283" s="209">
        <f t="shared" si="47"/>
        <v>0</v>
      </c>
      <c r="Y283" s="209">
        <f t="shared" si="48"/>
        <v>0</v>
      </c>
      <c r="Z283" s="207">
        <v>1</v>
      </c>
      <c r="AA283" s="209" t="str">
        <f t="shared" si="46"/>
        <v/>
      </c>
      <c r="AB283" s="209"/>
      <c r="AC283" s="207" t="s">
        <v>545</v>
      </c>
      <c r="AD283" s="207"/>
      <c r="AE283" s="207"/>
      <c r="AF283" s="208" t="str">
        <f>IF(ISBLANK(D283),"",VLOOKUP(F283,'SIZE CALCULATION'!$F:$G,2,0))</f>
        <v/>
      </c>
      <c r="AG283" s="207" t="str">
        <f t="shared" si="44"/>
        <v/>
      </c>
      <c r="AH283" s="207" t="str">
        <f t="shared" si="49"/>
        <v/>
      </c>
      <c r="AI283" s="210" t="str">
        <f>IF(ISBLANK(D283),"",VLOOKUP($A283,INDEX!$D$2:$F$13,3,0))</f>
        <v/>
      </c>
      <c r="AJ283" s="207" t="str">
        <f t="shared" si="50"/>
        <v/>
      </c>
      <c r="AK283" s="207"/>
      <c r="AL283" s="207"/>
      <c r="AM283" s="207" t="str">
        <f>IFERROR(IF(ISBLANK($D283),"",VLOOKUP($N283,'TABLE CHARGE RATE'!$A$30:$K$106,5,0)),"Check")</f>
        <v/>
      </c>
      <c r="AN283" s="207" t="str">
        <f>IFERROR(IF(ISBLANK($D283),"",VLOOKUP($N283,'TABLE CHARGE RATE'!$A$30:$K$106,6,0)),"Check")</f>
        <v/>
      </c>
      <c r="AO283" s="207" t="str">
        <f>IFERROR(IF(ISBLANK($D283),"",VLOOKUP($N283,'TABLE CHARGE RATE'!$A$30:$K$106,7,0)),"Check")</f>
        <v/>
      </c>
      <c r="AP283" s="207" t="str">
        <f>IFERROR(IF(ISBLANK($D283),"",VLOOKUP($N283,'TABLE CHARGE RATE'!$A$30:$K$106,8,0)),"Check")</f>
        <v/>
      </c>
      <c r="AQ283" s="207" t="str">
        <f>IFERROR(IF(ISBLANK($D283),"",VLOOKUP($N283,'TABLE CHARGE RATE'!$A$30:$K$106,9,0)),"Check")</f>
        <v/>
      </c>
      <c r="AR283" s="207" t="str">
        <f>IFERROR(IF(ISBLANK($D283),"",VLOOKUP($N283,'TABLE CHARGE RATE'!$A$30:$K$106,10,0)),"Check")</f>
        <v/>
      </c>
      <c r="AS283" s="207" t="str">
        <f>IFERROR(IF(ISBLANK($D283),"",VLOOKUP($N283,'TABLE CHARGE RATE'!$A$30:$K$106,11,0)),"Check")</f>
        <v/>
      </c>
      <c r="AT283" s="207">
        <f t="shared" si="51"/>
        <v>282</v>
      </c>
    </row>
    <row r="284" spans="1:46" x14ac:dyDescent="0.2">
      <c r="A284" s="207" t="str">
        <f t="shared" si="45"/>
        <v/>
      </c>
      <c r="B284" s="208" t="str">
        <f>IF(ISBLANK(D284),"",VLOOKUP(WEEKDAY($C284,1),INDEX!$J$2:$K$8,2,0))</f>
        <v/>
      </c>
      <c r="C284" s="209"/>
      <c r="D284" s="207"/>
      <c r="E284" s="207"/>
      <c r="F284" s="207"/>
      <c r="G284" s="207"/>
      <c r="H284" s="207"/>
      <c r="I284" s="207"/>
      <c r="J284" s="207"/>
      <c r="K284" s="207"/>
      <c r="L284" s="207"/>
      <c r="M284" s="207"/>
      <c r="N284" s="207"/>
      <c r="O284" s="207"/>
      <c r="P284" s="207"/>
      <c r="Q284" s="207"/>
      <c r="R284" s="207"/>
      <c r="S284" s="207"/>
      <c r="T284" s="207"/>
      <c r="U284" s="209"/>
      <c r="V284" s="207"/>
      <c r="W284" s="207"/>
      <c r="X284" s="209">
        <f t="shared" si="47"/>
        <v>0</v>
      </c>
      <c r="Y284" s="209">
        <f t="shared" si="48"/>
        <v>0</v>
      </c>
      <c r="Z284" s="207">
        <v>1</v>
      </c>
      <c r="AA284" s="209" t="str">
        <f t="shared" si="46"/>
        <v/>
      </c>
      <c r="AB284" s="209"/>
      <c r="AC284" s="207" t="s">
        <v>545</v>
      </c>
      <c r="AD284" s="207"/>
      <c r="AE284" s="207"/>
      <c r="AF284" s="208" t="str">
        <f>IF(ISBLANK(D284),"",VLOOKUP(F284,'SIZE CALCULATION'!$F:$G,2,0))</f>
        <v/>
      </c>
      <c r="AG284" s="207" t="str">
        <f t="shared" si="44"/>
        <v/>
      </c>
      <c r="AH284" s="207" t="str">
        <f t="shared" si="49"/>
        <v/>
      </c>
      <c r="AI284" s="210" t="str">
        <f>IF(ISBLANK(D284),"",VLOOKUP($A284,INDEX!$D$2:$F$13,3,0))</f>
        <v/>
      </c>
      <c r="AJ284" s="207" t="str">
        <f t="shared" si="50"/>
        <v/>
      </c>
      <c r="AK284" s="207"/>
      <c r="AL284" s="207"/>
      <c r="AM284" s="207" t="str">
        <f>IFERROR(IF(ISBLANK($D284),"",VLOOKUP($N284,'TABLE CHARGE RATE'!$A$30:$K$106,5,0)),"Check")</f>
        <v/>
      </c>
      <c r="AN284" s="207" t="str">
        <f>IFERROR(IF(ISBLANK($D284),"",VLOOKUP($N284,'TABLE CHARGE RATE'!$A$30:$K$106,6,0)),"Check")</f>
        <v/>
      </c>
      <c r="AO284" s="207" t="str">
        <f>IFERROR(IF(ISBLANK($D284),"",VLOOKUP($N284,'TABLE CHARGE RATE'!$A$30:$K$106,7,0)),"Check")</f>
        <v/>
      </c>
      <c r="AP284" s="207" t="str">
        <f>IFERROR(IF(ISBLANK($D284),"",VLOOKUP($N284,'TABLE CHARGE RATE'!$A$30:$K$106,8,0)),"Check")</f>
        <v/>
      </c>
      <c r="AQ284" s="207" t="str">
        <f>IFERROR(IF(ISBLANK($D284),"",VLOOKUP($N284,'TABLE CHARGE RATE'!$A$30:$K$106,9,0)),"Check")</f>
        <v/>
      </c>
      <c r="AR284" s="207" t="str">
        <f>IFERROR(IF(ISBLANK($D284),"",VLOOKUP($N284,'TABLE CHARGE RATE'!$A$30:$K$106,10,0)),"Check")</f>
        <v/>
      </c>
      <c r="AS284" s="207" t="str">
        <f>IFERROR(IF(ISBLANK($D284),"",VLOOKUP($N284,'TABLE CHARGE RATE'!$A$30:$K$106,11,0)),"Check")</f>
        <v/>
      </c>
      <c r="AT284" s="207">
        <f t="shared" si="51"/>
        <v>283</v>
      </c>
    </row>
    <row r="285" spans="1:46" x14ac:dyDescent="0.2">
      <c r="A285" s="207" t="str">
        <f t="shared" si="45"/>
        <v/>
      </c>
      <c r="B285" s="208" t="str">
        <f>IF(ISBLANK(D285),"",VLOOKUP(WEEKDAY($C285,1),INDEX!$J$2:$K$8,2,0))</f>
        <v/>
      </c>
      <c r="C285" s="209"/>
      <c r="D285" s="207"/>
      <c r="E285" s="207"/>
      <c r="F285" s="207"/>
      <c r="G285" s="207"/>
      <c r="H285" s="207"/>
      <c r="I285" s="207"/>
      <c r="J285" s="207"/>
      <c r="K285" s="207"/>
      <c r="L285" s="207"/>
      <c r="M285" s="207"/>
      <c r="N285" s="207"/>
      <c r="O285" s="207"/>
      <c r="P285" s="207"/>
      <c r="Q285" s="207"/>
      <c r="R285" s="207"/>
      <c r="S285" s="207"/>
      <c r="T285" s="207"/>
      <c r="U285" s="209"/>
      <c r="V285" s="207"/>
      <c r="W285" s="207"/>
      <c r="X285" s="209">
        <f t="shared" si="47"/>
        <v>0</v>
      </c>
      <c r="Y285" s="209">
        <f t="shared" si="48"/>
        <v>0</v>
      </c>
      <c r="Z285" s="207">
        <v>1</v>
      </c>
      <c r="AA285" s="209" t="str">
        <f t="shared" si="46"/>
        <v/>
      </c>
      <c r="AB285" s="209"/>
      <c r="AC285" s="207" t="s">
        <v>545</v>
      </c>
      <c r="AD285" s="207"/>
      <c r="AE285" s="207"/>
      <c r="AF285" s="208" t="str">
        <f>IF(ISBLANK(D285),"",VLOOKUP(F285,'SIZE CALCULATION'!$F:$G,2,0))</f>
        <v/>
      </c>
      <c r="AG285" s="207" t="str">
        <f t="shared" si="44"/>
        <v/>
      </c>
      <c r="AH285" s="207" t="str">
        <f t="shared" si="49"/>
        <v/>
      </c>
      <c r="AI285" s="210" t="str">
        <f>IF(ISBLANK(D285),"",VLOOKUP($A285,INDEX!$D$2:$F$13,3,0))</f>
        <v/>
      </c>
      <c r="AJ285" s="207" t="str">
        <f t="shared" si="50"/>
        <v/>
      </c>
      <c r="AK285" s="207"/>
      <c r="AL285" s="207"/>
      <c r="AM285" s="207" t="str">
        <f>IFERROR(IF(ISBLANK($D285),"",VLOOKUP($N285,'TABLE CHARGE RATE'!$A$30:$K$106,5,0)),"Check")</f>
        <v/>
      </c>
      <c r="AN285" s="207" t="str">
        <f>IFERROR(IF(ISBLANK($D285),"",VLOOKUP($N285,'TABLE CHARGE RATE'!$A$30:$K$106,6,0)),"Check")</f>
        <v/>
      </c>
      <c r="AO285" s="207" t="str">
        <f>IFERROR(IF(ISBLANK($D285),"",VLOOKUP($N285,'TABLE CHARGE RATE'!$A$30:$K$106,7,0)),"Check")</f>
        <v/>
      </c>
      <c r="AP285" s="207" t="str">
        <f>IFERROR(IF(ISBLANK($D285),"",VLOOKUP($N285,'TABLE CHARGE RATE'!$A$30:$K$106,8,0)),"Check")</f>
        <v/>
      </c>
      <c r="AQ285" s="207" t="str">
        <f>IFERROR(IF(ISBLANK($D285),"",VLOOKUP($N285,'TABLE CHARGE RATE'!$A$30:$K$106,9,0)),"Check")</f>
        <v/>
      </c>
      <c r="AR285" s="207" t="str">
        <f>IFERROR(IF(ISBLANK($D285),"",VLOOKUP($N285,'TABLE CHARGE RATE'!$A$30:$K$106,10,0)),"Check")</f>
        <v/>
      </c>
      <c r="AS285" s="207" t="str">
        <f>IFERROR(IF(ISBLANK($D285),"",VLOOKUP($N285,'TABLE CHARGE RATE'!$A$30:$K$106,11,0)),"Check")</f>
        <v/>
      </c>
      <c r="AT285" s="207">
        <f t="shared" si="51"/>
        <v>284</v>
      </c>
    </row>
    <row r="286" spans="1:46" x14ac:dyDescent="0.2">
      <c r="A286" s="207" t="str">
        <f t="shared" si="45"/>
        <v/>
      </c>
      <c r="B286" s="208" t="str">
        <f>IF(ISBLANK(D286),"",VLOOKUP(WEEKDAY($C286,1),INDEX!$J$2:$K$8,2,0))</f>
        <v/>
      </c>
      <c r="C286" s="209"/>
      <c r="D286" s="207"/>
      <c r="E286" s="207"/>
      <c r="F286" s="207"/>
      <c r="G286" s="207"/>
      <c r="H286" s="207"/>
      <c r="I286" s="207"/>
      <c r="J286" s="207"/>
      <c r="K286" s="207"/>
      <c r="L286" s="207"/>
      <c r="M286" s="207"/>
      <c r="N286" s="207"/>
      <c r="O286" s="207"/>
      <c r="P286" s="207"/>
      <c r="Q286" s="207"/>
      <c r="R286" s="207"/>
      <c r="S286" s="207"/>
      <c r="T286" s="207"/>
      <c r="U286" s="209"/>
      <c r="V286" s="207"/>
      <c r="W286" s="207"/>
      <c r="X286" s="209">
        <f t="shared" si="47"/>
        <v>0</v>
      </c>
      <c r="Y286" s="209">
        <f t="shared" si="48"/>
        <v>0</v>
      </c>
      <c r="Z286" s="207">
        <v>1</v>
      </c>
      <c r="AA286" s="209" t="str">
        <f t="shared" si="46"/>
        <v/>
      </c>
      <c r="AB286" s="209"/>
      <c r="AC286" s="207" t="s">
        <v>545</v>
      </c>
      <c r="AD286" s="207"/>
      <c r="AE286" s="207"/>
      <c r="AF286" s="208" t="str">
        <f>IF(ISBLANK(D286),"",VLOOKUP(F286,'SIZE CALCULATION'!$F:$G,2,0))</f>
        <v/>
      </c>
      <c r="AG286" s="207" t="str">
        <f t="shared" si="44"/>
        <v/>
      </c>
      <c r="AH286" s="207" t="str">
        <f t="shared" si="49"/>
        <v/>
      </c>
      <c r="AI286" s="210" t="str">
        <f>IF(ISBLANK(D286),"",VLOOKUP($A286,INDEX!$D$2:$F$13,3,0))</f>
        <v/>
      </c>
      <c r="AJ286" s="207" t="str">
        <f t="shared" si="50"/>
        <v/>
      </c>
      <c r="AK286" s="207"/>
      <c r="AL286" s="207"/>
      <c r="AM286" s="207" t="str">
        <f>IFERROR(IF(ISBLANK($D286),"",VLOOKUP($N286,'TABLE CHARGE RATE'!$A$30:$K$106,5,0)),"Check")</f>
        <v/>
      </c>
      <c r="AN286" s="207" t="str">
        <f>IFERROR(IF(ISBLANK($D286),"",VLOOKUP($N286,'TABLE CHARGE RATE'!$A$30:$K$106,6,0)),"Check")</f>
        <v/>
      </c>
      <c r="AO286" s="207" t="str">
        <f>IFERROR(IF(ISBLANK($D286),"",VLOOKUP($N286,'TABLE CHARGE RATE'!$A$30:$K$106,7,0)),"Check")</f>
        <v/>
      </c>
      <c r="AP286" s="207" t="str">
        <f>IFERROR(IF(ISBLANK($D286),"",VLOOKUP($N286,'TABLE CHARGE RATE'!$A$30:$K$106,8,0)),"Check")</f>
        <v/>
      </c>
      <c r="AQ286" s="207" t="str">
        <f>IFERROR(IF(ISBLANK($D286),"",VLOOKUP($N286,'TABLE CHARGE RATE'!$A$30:$K$106,9,0)),"Check")</f>
        <v/>
      </c>
      <c r="AR286" s="207" t="str">
        <f>IFERROR(IF(ISBLANK($D286),"",VLOOKUP($N286,'TABLE CHARGE RATE'!$A$30:$K$106,10,0)),"Check")</f>
        <v/>
      </c>
      <c r="AS286" s="207" t="str">
        <f>IFERROR(IF(ISBLANK($D286),"",VLOOKUP($N286,'TABLE CHARGE RATE'!$A$30:$K$106,11,0)),"Check")</f>
        <v/>
      </c>
      <c r="AT286" s="207">
        <f t="shared" si="51"/>
        <v>285</v>
      </c>
    </row>
    <row r="287" spans="1:46" x14ac:dyDescent="0.2">
      <c r="A287" s="207" t="str">
        <f t="shared" si="45"/>
        <v/>
      </c>
      <c r="B287" s="208" t="str">
        <f>IF(ISBLANK(D287),"",VLOOKUP(WEEKDAY($C287,1),INDEX!$J$2:$K$8,2,0))</f>
        <v/>
      </c>
      <c r="C287" s="209"/>
      <c r="D287" s="207"/>
      <c r="E287" s="207"/>
      <c r="F287" s="207"/>
      <c r="G287" s="207"/>
      <c r="H287" s="207"/>
      <c r="I287" s="207"/>
      <c r="J287" s="207"/>
      <c r="K287" s="207"/>
      <c r="L287" s="207"/>
      <c r="M287" s="207"/>
      <c r="N287" s="207"/>
      <c r="O287" s="207"/>
      <c r="P287" s="207"/>
      <c r="Q287" s="207"/>
      <c r="R287" s="207"/>
      <c r="S287" s="207"/>
      <c r="T287" s="207"/>
      <c r="U287" s="209"/>
      <c r="V287" s="207"/>
      <c r="W287" s="207"/>
      <c r="X287" s="209">
        <f t="shared" si="47"/>
        <v>0</v>
      </c>
      <c r="Y287" s="209">
        <f t="shared" si="48"/>
        <v>0</v>
      </c>
      <c r="Z287" s="207">
        <v>1</v>
      </c>
      <c r="AA287" s="209" t="str">
        <f t="shared" si="46"/>
        <v/>
      </c>
      <c r="AB287" s="209"/>
      <c r="AC287" s="207" t="s">
        <v>545</v>
      </c>
      <c r="AD287" s="207"/>
      <c r="AE287" s="207"/>
      <c r="AF287" s="208" t="str">
        <f>IF(ISBLANK(D287),"",VLOOKUP(F287,'SIZE CALCULATION'!$F:$G,2,0))</f>
        <v/>
      </c>
      <c r="AG287" s="207" t="str">
        <f t="shared" si="44"/>
        <v/>
      </c>
      <c r="AH287" s="207" t="str">
        <f t="shared" si="49"/>
        <v/>
      </c>
      <c r="AI287" s="210" t="str">
        <f>IF(ISBLANK(D287),"",VLOOKUP($A287,INDEX!$D$2:$F$13,3,0))</f>
        <v/>
      </c>
      <c r="AJ287" s="207" t="str">
        <f t="shared" si="50"/>
        <v/>
      </c>
      <c r="AK287" s="207"/>
      <c r="AL287" s="207"/>
      <c r="AM287" s="207" t="str">
        <f>IFERROR(IF(ISBLANK($D287),"",VLOOKUP($N287,'TABLE CHARGE RATE'!$A$30:$K$106,5,0)),"Check")</f>
        <v/>
      </c>
      <c r="AN287" s="207" t="str">
        <f>IFERROR(IF(ISBLANK($D287),"",VLOOKUP($N287,'TABLE CHARGE RATE'!$A$30:$K$106,6,0)),"Check")</f>
        <v/>
      </c>
      <c r="AO287" s="207" t="str">
        <f>IFERROR(IF(ISBLANK($D287),"",VLOOKUP($N287,'TABLE CHARGE RATE'!$A$30:$K$106,7,0)),"Check")</f>
        <v/>
      </c>
      <c r="AP287" s="207" t="str">
        <f>IFERROR(IF(ISBLANK($D287),"",VLOOKUP($N287,'TABLE CHARGE RATE'!$A$30:$K$106,8,0)),"Check")</f>
        <v/>
      </c>
      <c r="AQ287" s="207" t="str">
        <f>IFERROR(IF(ISBLANK($D287),"",VLOOKUP($N287,'TABLE CHARGE RATE'!$A$30:$K$106,9,0)),"Check")</f>
        <v/>
      </c>
      <c r="AR287" s="207" t="str">
        <f>IFERROR(IF(ISBLANK($D287),"",VLOOKUP($N287,'TABLE CHARGE RATE'!$A$30:$K$106,10,0)),"Check")</f>
        <v/>
      </c>
      <c r="AS287" s="207" t="str">
        <f>IFERROR(IF(ISBLANK($D287),"",VLOOKUP($N287,'TABLE CHARGE RATE'!$A$30:$K$106,11,0)),"Check")</f>
        <v/>
      </c>
      <c r="AT287" s="207">
        <f t="shared" si="51"/>
        <v>286</v>
      </c>
    </row>
    <row r="288" spans="1:46" x14ac:dyDescent="0.2">
      <c r="A288" s="207" t="str">
        <f t="shared" si="45"/>
        <v/>
      </c>
      <c r="B288" s="208" t="str">
        <f>IF(ISBLANK(D288),"",VLOOKUP(WEEKDAY($C288,1),INDEX!$J$2:$K$8,2,0))</f>
        <v/>
      </c>
      <c r="C288" s="209"/>
      <c r="D288" s="207"/>
      <c r="E288" s="207"/>
      <c r="F288" s="207"/>
      <c r="G288" s="207"/>
      <c r="H288" s="207"/>
      <c r="I288" s="207"/>
      <c r="J288" s="207"/>
      <c r="K288" s="207"/>
      <c r="L288" s="207"/>
      <c r="M288" s="207"/>
      <c r="N288" s="207"/>
      <c r="O288" s="207"/>
      <c r="P288" s="207"/>
      <c r="Q288" s="207"/>
      <c r="R288" s="207"/>
      <c r="S288" s="207"/>
      <c r="T288" s="207"/>
      <c r="U288" s="209"/>
      <c r="V288" s="207"/>
      <c r="W288" s="207"/>
      <c r="X288" s="209">
        <f t="shared" si="47"/>
        <v>0</v>
      </c>
      <c r="Y288" s="209">
        <f t="shared" si="48"/>
        <v>0</v>
      </c>
      <c r="Z288" s="207">
        <v>1</v>
      </c>
      <c r="AA288" s="209" t="str">
        <f t="shared" si="46"/>
        <v/>
      </c>
      <c r="AB288" s="209"/>
      <c r="AC288" s="207" t="s">
        <v>545</v>
      </c>
      <c r="AD288" s="207"/>
      <c r="AE288" s="207"/>
      <c r="AF288" s="208" t="str">
        <f>IF(ISBLANK(D288),"",VLOOKUP(F288,'SIZE CALCULATION'!$F:$G,2,0))</f>
        <v/>
      </c>
      <c r="AG288" s="207" t="str">
        <f t="shared" si="44"/>
        <v/>
      </c>
      <c r="AH288" s="207" t="str">
        <f t="shared" si="49"/>
        <v/>
      </c>
      <c r="AI288" s="210" t="str">
        <f>IF(ISBLANK(D288),"",VLOOKUP($A288,INDEX!$D$2:$F$13,3,0))</f>
        <v/>
      </c>
      <c r="AJ288" s="207" t="str">
        <f t="shared" si="50"/>
        <v/>
      </c>
      <c r="AK288" s="207"/>
      <c r="AL288" s="207"/>
      <c r="AM288" s="207" t="str">
        <f>IFERROR(IF(ISBLANK($D288),"",VLOOKUP($N288,'TABLE CHARGE RATE'!$A$30:$K$106,5,0)),"Check")</f>
        <v/>
      </c>
      <c r="AN288" s="207" t="str">
        <f>IFERROR(IF(ISBLANK($D288),"",VLOOKUP($N288,'TABLE CHARGE RATE'!$A$30:$K$106,6,0)),"Check")</f>
        <v/>
      </c>
      <c r="AO288" s="207" t="str">
        <f>IFERROR(IF(ISBLANK($D288),"",VLOOKUP($N288,'TABLE CHARGE RATE'!$A$30:$K$106,7,0)),"Check")</f>
        <v/>
      </c>
      <c r="AP288" s="207" t="str">
        <f>IFERROR(IF(ISBLANK($D288),"",VLOOKUP($N288,'TABLE CHARGE RATE'!$A$30:$K$106,8,0)),"Check")</f>
        <v/>
      </c>
      <c r="AQ288" s="207" t="str">
        <f>IFERROR(IF(ISBLANK($D288),"",VLOOKUP($N288,'TABLE CHARGE RATE'!$A$30:$K$106,9,0)),"Check")</f>
        <v/>
      </c>
      <c r="AR288" s="207" t="str">
        <f>IFERROR(IF(ISBLANK($D288),"",VLOOKUP($N288,'TABLE CHARGE RATE'!$A$30:$K$106,10,0)),"Check")</f>
        <v/>
      </c>
      <c r="AS288" s="207" t="str">
        <f>IFERROR(IF(ISBLANK($D288),"",VLOOKUP($N288,'TABLE CHARGE RATE'!$A$30:$K$106,11,0)),"Check")</f>
        <v/>
      </c>
      <c r="AT288" s="207">
        <f t="shared" si="51"/>
        <v>287</v>
      </c>
    </row>
    <row r="289" spans="1:46" x14ac:dyDescent="0.2">
      <c r="A289" s="207" t="str">
        <f t="shared" si="45"/>
        <v/>
      </c>
      <c r="B289" s="208" t="str">
        <f>IF(ISBLANK(D289),"",VLOOKUP(WEEKDAY($C289,1),INDEX!$J$2:$K$8,2,0))</f>
        <v/>
      </c>
      <c r="C289" s="209"/>
      <c r="D289" s="207"/>
      <c r="E289" s="207"/>
      <c r="F289" s="207"/>
      <c r="G289" s="207"/>
      <c r="H289" s="207"/>
      <c r="I289" s="207"/>
      <c r="J289" s="207"/>
      <c r="K289" s="207"/>
      <c r="L289" s="207"/>
      <c r="M289" s="207"/>
      <c r="N289" s="207"/>
      <c r="O289" s="207"/>
      <c r="P289" s="207"/>
      <c r="Q289" s="207"/>
      <c r="R289" s="207"/>
      <c r="S289" s="207"/>
      <c r="T289" s="207"/>
      <c r="U289" s="209"/>
      <c r="V289" s="207"/>
      <c r="W289" s="207"/>
      <c r="X289" s="209">
        <f t="shared" si="47"/>
        <v>0</v>
      </c>
      <c r="Y289" s="209">
        <f t="shared" si="48"/>
        <v>0</v>
      </c>
      <c r="Z289" s="207">
        <v>1</v>
      </c>
      <c r="AA289" s="209" t="str">
        <f t="shared" si="46"/>
        <v/>
      </c>
      <c r="AB289" s="209"/>
      <c r="AC289" s="207" t="s">
        <v>545</v>
      </c>
      <c r="AD289" s="207"/>
      <c r="AE289" s="207"/>
      <c r="AF289" s="208" t="str">
        <f>IF(ISBLANK(D289),"",VLOOKUP(F289,'SIZE CALCULATION'!$F:$G,2,0))</f>
        <v/>
      </c>
      <c r="AG289" s="207" t="str">
        <f t="shared" si="44"/>
        <v/>
      </c>
      <c r="AH289" s="207" t="str">
        <f t="shared" si="49"/>
        <v/>
      </c>
      <c r="AI289" s="210" t="str">
        <f>IF(ISBLANK(D289),"",VLOOKUP($A289,INDEX!$D$2:$F$13,3,0))</f>
        <v/>
      </c>
      <c r="AJ289" s="207" t="str">
        <f t="shared" si="50"/>
        <v/>
      </c>
      <c r="AK289" s="207"/>
      <c r="AL289" s="207"/>
      <c r="AM289" s="207" t="str">
        <f>IFERROR(IF(ISBLANK($D289),"",VLOOKUP($N289,'TABLE CHARGE RATE'!$A$30:$K$106,5,0)),"Check")</f>
        <v/>
      </c>
      <c r="AN289" s="207" t="str">
        <f>IFERROR(IF(ISBLANK($D289),"",VLOOKUP($N289,'TABLE CHARGE RATE'!$A$30:$K$106,6,0)),"Check")</f>
        <v/>
      </c>
      <c r="AO289" s="207" t="str">
        <f>IFERROR(IF(ISBLANK($D289),"",VLOOKUP($N289,'TABLE CHARGE RATE'!$A$30:$K$106,7,0)),"Check")</f>
        <v/>
      </c>
      <c r="AP289" s="207" t="str">
        <f>IFERROR(IF(ISBLANK($D289),"",VLOOKUP($N289,'TABLE CHARGE RATE'!$A$30:$K$106,8,0)),"Check")</f>
        <v/>
      </c>
      <c r="AQ289" s="207" t="str">
        <f>IFERROR(IF(ISBLANK($D289),"",VLOOKUP($N289,'TABLE CHARGE RATE'!$A$30:$K$106,9,0)),"Check")</f>
        <v/>
      </c>
      <c r="AR289" s="207" t="str">
        <f>IFERROR(IF(ISBLANK($D289),"",VLOOKUP($N289,'TABLE CHARGE RATE'!$A$30:$K$106,10,0)),"Check")</f>
        <v/>
      </c>
      <c r="AS289" s="207" t="str">
        <f>IFERROR(IF(ISBLANK($D289),"",VLOOKUP($N289,'TABLE CHARGE RATE'!$A$30:$K$106,11,0)),"Check")</f>
        <v/>
      </c>
      <c r="AT289" s="207">
        <f t="shared" si="51"/>
        <v>288</v>
      </c>
    </row>
    <row r="290" spans="1:46" x14ac:dyDescent="0.2">
      <c r="A290" s="207" t="str">
        <f t="shared" si="45"/>
        <v/>
      </c>
      <c r="B290" s="208" t="str">
        <f>IF(ISBLANK(D290),"",VLOOKUP(WEEKDAY($C290,1),INDEX!$J$2:$K$8,2,0))</f>
        <v/>
      </c>
      <c r="C290" s="209"/>
      <c r="D290" s="207"/>
      <c r="E290" s="207"/>
      <c r="F290" s="207"/>
      <c r="G290" s="207"/>
      <c r="H290" s="207"/>
      <c r="I290" s="207"/>
      <c r="J290" s="207"/>
      <c r="K290" s="207"/>
      <c r="L290" s="207"/>
      <c r="M290" s="207"/>
      <c r="N290" s="207"/>
      <c r="O290" s="207"/>
      <c r="P290" s="207"/>
      <c r="Q290" s="207"/>
      <c r="R290" s="207"/>
      <c r="S290" s="207"/>
      <c r="T290" s="207"/>
      <c r="U290" s="209"/>
      <c r="V290" s="207"/>
      <c r="W290" s="207"/>
      <c r="X290" s="209">
        <f t="shared" si="47"/>
        <v>0</v>
      </c>
      <c r="Y290" s="209">
        <f t="shared" si="48"/>
        <v>0</v>
      </c>
      <c r="Z290" s="207">
        <v>1</v>
      </c>
      <c r="AA290" s="209" t="str">
        <f t="shared" si="46"/>
        <v/>
      </c>
      <c r="AB290" s="209"/>
      <c r="AC290" s="207" t="s">
        <v>545</v>
      </c>
      <c r="AD290" s="207"/>
      <c r="AE290" s="207"/>
      <c r="AF290" s="208" t="str">
        <f>IF(ISBLANK(D290),"",VLOOKUP(F290,'SIZE CALCULATION'!$F:$G,2,0))</f>
        <v/>
      </c>
      <c r="AG290" s="207" t="str">
        <f t="shared" si="44"/>
        <v/>
      </c>
      <c r="AH290" s="207" t="str">
        <f t="shared" si="49"/>
        <v/>
      </c>
      <c r="AI290" s="210" t="str">
        <f>IF(ISBLANK(D290),"",VLOOKUP($A290,INDEX!$D$2:$F$13,3,0))</f>
        <v/>
      </c>
      <c r="AJ290" s="207" t="str">
        <f t="shared" si="50"/>
        <v/>
      </c>
      <c r="AK290" s="207"/>
      <c r="AL290" s="207"/>
      <c r="AM290" s="207" t="str">
        <f>IFERROR(IF(ISBLANK($D290),"",VLOOKUP($N290,'TABLE CHARGE RATE'!$A$30:$K$106,5,0)),"Check")</f>
        <v/>
      </c>
      <c r="AN290" s="207" t="str">
        <f>IFERROR(IF(ISBLANK($D290),"",VLOOKUP($N290,'TABLE CHARGE RATE'!$A$30:$K$106,6,0)),"Check")</f>
        <v/>
      </c>
      <c r="AO290" s="207" t="str">
        <f>IFERROR(IF(ISBLANK($D290),"",VLOOKUP($N290,'TABLE CHARGE RATE'!$A$30:$K$106,7,0)),"Check")</f>
        <v/>
      </c>
      <c r="AP290" s="207" t="str">
        <f>IFERROR(IF(ISBLANK($D290),"",VLOOKUP($N290,'TABLE CHARGE RATE'!$A$30:$K$106,8,0)),"Check")</f>
        <v/>
      </c>
      <c r="AQ290" s="207" t="str">
        <f>IFERROR(IF(ISBLANK($D290),"",VLOOKUP($N290,'TABLE CHARGE RATE'!$A$30:$K$106,9,0)),"Check")</f>
        <v/>
      </c>
      <c r="AR290" s="207" t="str">
        <f>IFERROR(IF(ISBLANK($D290),"",VLOOKUP($N290,'TABLE CHARGE RATE'!$A$30:$K$106,10,0)),"Check")</f>
        <v/>
      </c>
      <c r="AS290" s="207" t="str">
        <f>IFERROR(IF(ISBLANK($D290),"",VLOOKUP($N290,'TABLE CHARGE RATE'!$A$30:$K$106,11,0)),"Check")</f>
        <v/>
      </c>
      <c r="AT290" s="207">
        <f t="shared" si="51"/>
        <v>289</v>
      </c>
    </row>
    <row r="291" spans="1:46" x14ac:dyDescent="0.2">
      <c r="A291" s="207" t="str">
        <f t="shared" si="45"/>
        <v/>
      </c>
      <c r="B291" s="208" t="str">
        <f>IF(ISBLANK(D291),"",VLOOKUP(WEEKDAY($C291,1),INDEX!$J$2:$K$8,2,0))</f>
        <v/>
      </c>
      <c r="C291" s="209"/>
      <c r="D291" s="207"/>
      <c r="E291" s="207"/>
      <c r="F291" s="207"/>
      <c r="G291" s="207"/>
      <c r="H291" s="207"/>
      <c r="I291" s="207"/>
      <c r="J291" s="207"/>
      <c r="K291" s="207"/>
      <c r="L291" s="207"/>
      <c r="M291" s="207"/>
      <c r="N291" s="207"/>
      <c r="O291" s="207"/>
      <c r="P291" s="207"/>
      <c r="Q291" s="207"/>
      <c r="R291" s="207"/>
      <c r="S291" s="207"/>
      <c r="T291" s="207"/>
      <c r="U291" s="209"/>
      <c r="V291" s="207"/>
      <c r="W291" s="207"/>
      <c r="X291" s="209">
        <f t="shared" si="47"/>
        <v>0</v>
      </c>
      <c r="Y291" s="209">
        <f t="shared" si="48"/>
        <v>0</v>
      </c>
      <c r="Z291" s="207">
        <v>1</v>
      </c>
      <c r="AA291" s="209" t="str">
        <f t="shared" si="46"/>
        <v/>
      </c>
      <c r="AB291" s="209"/>
      <c r="AC291" s="207" t="s">
        <v>545</v>
      </c>
      <c r="AD291" s="207"/>
      <c r="AE291" s="207"/>
      <c r="AF291" s="208" t="str">
        <f>IF(ISBLANK(D291),"",VLOOKUP(F291,'SIZE CALCULATION'!$F:$G,2,0))</f>
        <v/>
      </c>
      <c r="AG291" s="207" t="str">
        <f t="shared" si="44"/>
        <v/>
      </c>
      <c r="AH291" s="207" t="str">
        <f t="shared" si="49"/>
        <v/>
      </c>
      <c r="AI291" s="210" t="str">
        <f>IF(ISBLANK(D291),"",VLOOKUP($A291,INDEX!$D$2:$F$13,3,0))</f>
        <v/>
      </c>
      <c r="AJ291" s="207" t="str">
        <f t="shared" si="50"/>
        <v/>
      </c>
      <c r="AK291" s="207"/>
      <c r="AL291" s="207"/>
      <c r="AM291" s="207" t="str">
        <f>IFERROR(IF(ISBLANK($D291),"",VLOOKUP($N291,'TABLE CHARGE RATE'!$A$30:$K$106,5,0)),"Check")</f>
        <v/>
      </c>
      <c r="AN291" s="207" t="str">
        <f>IFERROR(IF(ISBLANK($D291),"",VLOOKUP($N291,'TABLE CHARGE RATE'!$A$30:$K$106,6,0)),"Check")</f>
        <v/>
      </c>
      <c r="AO291" s="207" t="str">
        <f>IFERROR(IF(ISBLANK($D291),"",VLOOKUP($N291,'TABLE CHARGE RATE'!$A$30:$K$106,7,0)),"Check")</f>
        <v/>
      </c>
      <c r="AP291" s="207" t="str">
        <f>IFERROR(IF(ISBLANK($D291),"",VLOOKUP($N291,'TABLE CHARGE RATE'!$A$30:$K$106,8,0)),"Check")</f>
        <v/>
      </c>
      <c r="AQ291" s="207" t="str">
        <f>IFERROR(IF(ISBLANK($D291),"",VLOOKUP($N291,'TABLE CHARGE RATE'!$A$30:$K$106,9,0)),"Check")</f>
        <v/>
      </c>
      <c r="AR291" s="207" t="str">
        <f>IFERROR(IF(ISBLANK($D291),"",VLOOKUP($N291,'TABLE CHARGE RATE'!$A$30:$K$106,10,0)),"Check")</f>
        <v/>
      </c>
      <c r="AS291" s="207" t="str">
        <f>IFERROR(IF(ISBLANK($D291),"",VLOOKUP($N291,'TABLE CHARGE RATE'!$A$30:$K$106,11,0)),"Check")</f>
        <v/>
      </c>
      <c r="AT291" s="207">
        <f t="shared" si="51"/>
        <v>290</v>
      </c>
    </row>
    <row r="292" spans="1:46" x14ac:dyDescent="0.2">
      <c r="A292" s="207" t="str">
        <f t="shared" si="45"/>
        <v/>
      </c>
      <c r="B292" s="208" t="str">
        <f>IF(ISBLANK(D292),"",VLOOKUP(WEEKDAY($C292,1),INDEX!$J$2:$K$8,2,0))</f>
        <v/>
      </c>
      <c r="C292" s="209"/>
      <c r="D292" s="207"/>
      <c r="E292" s="207"/>
      <c r="F292" s="207"/>
      <c r="G292" s="207"/>
      <c r="H292" s="207"/>
      <c r="I292" s="207"/>
      <c r="J292" s="207"/>
      <c r="K292" s="207"/>
      <c r="L292" s="207"/>
      <c r="M292" s="207"/>
      <c r="N292" s="207"/>
      <c r="O292" s="207"/>
      <c r="P292" s="207"/>
      <c r="Q292" s="207"/>
      <c r="R292" s="207"/>
      <c r="S292" s="207"/>
      <c r="T292" s="207"/>
      <c r="U292" s="209"/>
      <c r="V292" s="207"/>
      <c r="W292" s="207"/>
      <c r="X292" s="209">
        <f t="shared" si="47"/>
        <v>0</v>
      </c>
      <c r="Y292" s="209">
        <f t="shared" si="48"/>
        <v>0</v>
      </c>
      <c r="Z292" s="207">
        <v>1</v>
      </c>
      <c r="AA292" s="209" t="str">
        <f t="shared" si="46"/>
        <v/>
      </c>
      <c r="AB292" s="209"/>
      <c r="AC292" s="207" t="s">
        <v>545</v>
      </c>
      <c r="AD292" s="207"/>
      <c r="AE292" s="207"/>
      <c r="AF292" s="208" t="str">
        <f>IF(ISBLANK(D292),"",VLOOKUP(F292,'SIZE CALCULATION'!$F:$G,2,0))</f>
        <v/>
      </c>
      <c r="AG292" s="207" t="str">
        <f t="shared" si="44"/>
        <v/>
      </c>
      <c r="AH292" s="207" t="str">
        <f t="shared" si="49"/>
        <v/>
      </c>
      <c r="AI292" s="210" t="str">
        <f>IF(ISBLANK(D292),"",VLOOKUP($A292,INDEX!$D$2:$F$13,3,0))</f>
        <v/>
      </c>
      <c r="AJ292" s="207" t="str">
        <f t="shared" si="50"/>
        <v/>
      </c>
      <c r="AK292" s="207"/>
      <c r="AL292" s="207"/>
      <c r="AM292" s="207" t="str">
        <f>IFERROR(IF(ISBLANK($D292),"",VLOOKUP($N292,'TABLE CHARGE RATE'!$A$30:$K$106,5,0)),"Check")</f>
        <v/>
      </c>
      <c r="AN292" s="207" t="str">
        <f>IFERROR(IF(ISBLANK($D292),"",VLOOKUP($N292,'TABLE CHARGE RATE'!$A$30:$K$106,6,0)),"Check")</f>
        <v/>
      </c>
      <c r="AO292" s="207" t="str">
        <f>IFERROR(IF(ISBLANK($D292),"",VLOOKUP($N292,'TABLE CHARGE RATE'!$A$30:$K$106,7,0)),"Check")</f>
        <v/>
      </c>
      <c r="AP292" s="207" t="str">
        <f>IFERROR(IF(ISBLANK($D292),"",VLOOKUP($N292,'TABLE CHARGE RATE'!$A$30:$K$106,8,0)),"Check")</f>
        <v/>
      </c>
      <c r="AQ292" s="207" t="str">
        <f>IFERROR(IF(ISBLANK($D292),"",VLOOKUP($N292,'TABLE CHARGE RATE'!$A$30:$K$106,9,0)),"Check")</f>
        <v/>
      </c>
      <c r="AR292" s="207" t="str">
        <f>IFERROR(IF(ISBLANK($D292),"",VLOOKUP($N292,'TABLE CHARGE RATE'!$A$30:$K$106,10,0)),"Check")</f>
        <v/>
      </c>
      <c r="AS292" s="207" t="str">
        <f>IFERROR(IF(ISBLANK($D292),"",VLOOKUP($N292,'TABLE CHARGE RATE'!$A$30:$K$106,11,0)),"Check")</f>
        <v/>
      </c>
      <c r="AT292" s="207">
        <f t="shared" si="51"/>
        <v>291</v>
      </c>
    </row>
    <row r="293" spans="1:46" x14ac:dyDescent="0.2">
      <c r="A293" s="207" t="str">
        <f t="shared" si="45"/>
        <v/>
      </c>
      <c r="B293" s="208" t="str">
        <f>IF(ISBLANK(D293),"",VLOOKUP(WEEKDAY($C293,1),INDEX!$J$2:$K$8,2,0))</f>
        <v/>
      </c>
      <c r="C293" s="209"/>
      <c r="D293" s="207"/>
      <c r="E293" s="207"/>
      <c r="F293" s="207"/>
      <c r="G293" s="207"/>
      <c r="H293" s="207"/>
      <c r="I293" s="207"/>
      <c r="J293" s="207"/>
      <c r="K293" s="207"/>
      <c r="L293" s="207"/>
      <c r="M293" s="207"/>
      <c r="N293" s="207"/>
      <c r="O293" s="207"/>
      <c r="P293" s="207"/>
      <c r="Q293" s="207"/>
      <c r="R293" s="207"/>
      <c r="S293" s="207"/>
      <c r="T293" s="207"/>
      <c r="U293" s="209"/>
      <c r="V293" s="207"/>
      <c r="W293" s="207"/>
      <c r="X293" s="209">
        <f t="shared" si="47"/>
        <v>0</v>
      </c>
      <c r="Y293" s="209">
        <f t="shared" si="48"/>
        <v>0</v>
      </c>
      <c r="Z293" s="207">
        <v>1</v>
      </c>
      <c r="AA293" s="209" t="str">
        <f t="shared" si="46"/>
        <v/>
      </c>
      <c r="AB293" s="209"/>
      <c r="AC293" s="207" t="s">
        <v>545</v>
      </c>
      <c r="AD293" s="207"/>
      <c r="AE293" s="207"/>
      <c r="AF293" s="208" t="str">
        <f>IF(ISBLANK(D293),"",VLOOKUP(F293,'SIZE CALCULATION'!$F:$G,2,0))</f>
        <v/>
      </c>
      <c r="AG293" s="207" t="str">
        <f t="shared" si="44"/>
        <v/>
      </c>
      <c r="AH293" s="207" t="str">
        <f t="shared" si="49"/>
        <v/>
      </c>
      <c r="AI293" s="210" t="str">
        <f>IF(ISBLANK(D293),"",VLOOKUP($A293,INDEX!$D$2:$F$13,3,0))</f>
        <v/>
      </c>
      <c r="AJ293" s="207" t="str">
        <f t="shared" si="50"/>
        <v/>
      </c>
      <c r="AK293" s="207"/>
      <c r="AL293" s="207"/>
      <c r="AM293" s="207" t="str">
        <f>IFERROR(IF(ISBLANK($D293),"",VLOOKUP($N293,'TABLE CHARGE RATE'!$A$30:$K$106,5,0)),"Check")</f>
        <v/>
      </c>
      <c r="AN293" s="207" t="str">
        <f>IFERROR(IF(ISBLANK($D293),"",VLOOKUP($N293,'TABLE CHARGE RATE'!$A$30:$K$106,6,0)),"Check")</f>
        <v/>
      </c>
      <c r="AO293" s="207" t="str">
        <f>IFERROR(IF(ISBLANK($D293),"",VLOOKUP($N293,'TABLE CHARGE RATE'!$A$30:$K$106,7,0)),"Check")</f>
        <v/>
      </c>
      <c r="AP293" s="207" t="str">
        <f>IFERROR(IF(ISBLANK($D293),"",VLOOKUP($N293,'TABLE CHARGE RATE'!$A$30:$K$106,8,0)),"Check")</f>
        <v/>
      </c>
      <c r="AQ293" s="207" t="str">
        <f>IFERROR(IF(ISBLANK($D293),"",VLOOKUP($N293,'TABLE CHARGE RATE'!$A$30:$K$106,9,0)),"Check")</f>
        <v/>
      </c>
      <c r="AR293" s="207" t="str">
        <f>IFERROR(IF(ISBLANK($D293),"",VLOOKUP($N293,'TABLE CHARGE RATE'!$A$30:$K$106,10,0)),"Check")</f>
        <v/>
      </c>
      <c r="AS293" s="207" t="str">
        <f>IFERROR(IF(ISBLANK($D293),"",VLOOKUP($N293,'TABLE CHARGE RATE'!$A$30:$K$106,11,0)),"Check")</f>
        <v/>
      </c>
      <c r="AT293" s="207">
        <f t="shared" si="51"/>
        <v>292</v>
      </c>
    </row>
    <row r="294" spans="1:46" x14ac:dyDescent="0.2">
      <c r="A294" s="207" t="str">
        <f t="shared" si="45"/>
        <v/>
      </c>
      <c r="B294" s="208" t="str">
        <f>IF(ISBLANK(D294),"",VLOOKUP(WEEKDAY($C294,1),INDEX!$J$2:$K$8,2,0))</f>
        <v/>
      </c>
      <c r="C294" s="209"/>
      <c r="D294" s="207"/>
      <c r="E294" s="207"/>
      <c r="F294" s="207"/>
      <c r="G294" s="207"/>
      <c r="H294" s="207"/>
      <c r="I294" s="207"/>
      <c r="J294" s="207"/>
      <c r="K294" s="207"/>
      <c r="L294" s="207"/>
      <c r="M294" s="207"/>
      <c r="N294" s="207"/>
      <c r="O294" s="207"/>
      <c r="P294" s="207"/>
      <c r="Q294" s="207"/>
      <c r="R294" s="207"/>
      <c r="S294" s="207"/>
      <c r="T294" s="207"/>
      <c r="U294" s="209"/>
      <c r="V294" s="207"/>
      <c r="W294" s="207"/>
      <c r="X294" s="209">
        <f t="shared" si="47"/>
        <v>0</v>
      </c>
      <c r="Y294" s="209">
        <f t="shared" si="48"/>
        <v>0</v>
      </c>
      <c r="Z294" s="207">
        <v>1</v>
      </c>
      <c r="AA294" s="209" t="str">
        <f t="shared" si="46"/>
        <v/>
      </c>
      <c r="AB294" s="209"/>
      <c r="AC294" s="207" t="s">
        <v>545</v>
      </c>
      <c r="AD294" s="207"/>
      <c r="AE294" s="207"/>
      <c r="AF294" s="208" t="str">
        <f>IF(ISBLANK(D294),"",VLOOKUP(F294,'SIZE CALCULATION'!$F:$G,2,0))</f>
        <v/>
      </c>
      <c r="AG294" s="207" t="str">
        <f t="shared" si="44"/>
        <v/>
      </c>
      <c r="AH294" s="207" t="str">
        <f t="shared" si="49"/>
        <v/>
      </c>
      <c r="AI294" s="210" t="str">
        <f>IF(ISBLANK(D294),"",VLOOKUP($A294,INDEX!$D$2:$F$13,3,0))</f>
        <v/>
      </c>
      <c r="AJ294" s="207" t="str">
        <f t="shared" si="50"/>
        <v/>
      </c>
      <c r="AK294" s="207"/>
      <c r="AL294" s="207"/>
      <c r="AM294" s="207" t="str">
        <f>IFERROR(IF(ISBLANK($D294),"",VLOOKUP($N294,'TABLE CHARGE RATE'!$A$30:$K$106,5,0)),"Check")</f>
        <v/>
      </c>
      <c r="AN294" s="207" t="str">
        <f>IFERROR(IF(ISBLANK($D294),"",VLOOKUP($N294,'TABLE CHARGE RATE'!$A$30:$K$106,6,0)),"Check")</f>
        <v/>
      </c>
      <c r="AO294" s="207" t="str">
        <f>IFERROR(IF(ISBLANK($D294),"",VLOOKUP($N294,'TABLE CHARGE RATE'!$A$30:$K$106,7,0)),"Check")</f>
        <v/>
      </c>
      <c r="AP294" s="207" t="str">
        <f>IFERROR(IF(ISBLANK($D294),"",VLOOKUP($N294,'TABLE CHARGE RATE'!$A$30:$K$106,8,0)),"Check")</f>
        <v/>
      </c>
      <c r="AQ294" s="207" t="str">
        <f>IFERROR(IF(ISBLANK($D294),"",VLOOKUP($N294,'TABLE CHARGE RATE'!$A$30:$K$106,9,0)),"Check")</f>
        <v/>
      </c>
      <c r="AR294" s="207" t="str">
        <f>IFERROR(IF(ISBLANK($D294),"",VLOOKUP($N294,'TABLE CHARGE RATE'!$A$30:$K$106,10,0)),"Check")</f>
        <v/>
      </c>
      <c r="AS294" s="207" t="str">
        <f>IFERROR(IF(ISBLANK($D294),"",VLOOKUP($N294,'TABLE CHARGE RATE'!$A$30:$K$106,11,0)),"Check")</f>
        <v/>
      </c>
      <c r="AT294" s="207">
        <f t="shared" si="51"/>
        <v>293</v>
      </c>
    </row>
    <row r="295" spans="1:46" x14ac:dyDescent="0.2">
      <c r="A295" s="207" t="str">
        <f t="shared" si="45"/>
        <v/>
      </c>
      <c r="B295" s="208" t="str">
        <f>IF(ISBLANK(D295),"",VLOOKUP(WEEKDAY($C295,1),INDEX!$J$2:$K$8,2,0))</f>
        <v/>
      </c>
      <c r="C295" s="209"/>
      <c r="D295" s="207"/>
      <c r="E295" s="207"/>
      <c r="F295" s="207"/>
      <c r="G295" s="207"/>
      <c r="H295" s="207"/>
      <c r="I295" s="207"/>
      <c r="J295" s="207"/>
      <c r="K295" s="207"/>
      <c r="L295" s="207"/>
      <c r="M295" s="207"/>
      <c r="N295" s="207"/>
      <c r="O295" s="207"/>
      <c r="P295" s="207"/>
      <c r="Q295" s="207"/>
      <c r="R295" s="207"/>
      <c r="S295" s="207"/>
      <c r="T295" s="207"/>
      <c r="U295" s="209"/>
      <c r="V295" s="207"/>
      <c r="W295" s="207"/>
      <c r="X295" s="209">
        <f t="shared" si="47"/>
        <v>0</v>
      </c>
      <c r="Y295" s="209">
        <f t="shared" si="48"/>
        <v>0</v>
      </c>
      <c r="Z295" s="207">
        <v>1</v>
      </c>
      <c r="AA295" s="209" t="str">
        <f t="shared" si="46"/>
        <v/>
      </c>
      <c r="AB295" s="209"/>
      <c r="AC295" s="207" t="s">
        <v>545</v>
      </c>
      <c r="AD295" s="207"/>
      <c r="AE295" s="207"/>
      <c r="AF295" s="208" t="str">
        <f>IF(ISBLANK(D295),"",VLOOKUP(F295,'SIZE CALCULATION'!$F:$G,2,0))</f>
        <v/>
      </c>
      <c r="AG295" s="207" t="str">
        <f t="shared" si="44"/>
        <v/>
      </c>
      <c r="AH295" s="207" t="str">
        <f t="shared" si="49"/>
        <v/>
      </c>
      <c r="AI295" s="210" t="str">
        <f>IF(ISBLANK(D295),"",VLOOKUP($A295,INDEX!$D$2:$F$13,3,0))</f>
        <v/>
      </c>
      <c r="AJ295" s="207" t="str">
        <f t="shared" si="50"/>
        <v/>
      </c>
      <c r="AK295" s="207"/>
      <c r="AL295" s="207"/>
      <c r="AM295" s="207" t="str">
        <f>IFERROR(IF(ISBLANK($D295),"",VLOOKUP($N295,'TABLE CHARGE RATE'!$A$30:$K$106,5,0)),"Check")</f>
        <v/>
      </c>
      <c r="AN295" s="207" t="str">
        <f>IFERROR(IF(ISBLANK($D295),"",VLOOKUP($N295,'TABLE CHARGE RATE'!$A$30:$K$106,6,0)),"Check")</f>
        <v/>
      </c>
      <c r="AO295" s="207" t="str">
        <f>IFERROR(IF(ISBLANK($D295),"",VLOOKUP($N295,'TABLE CHARGE RATE'!$A$30:$K$106,7,0)),"Check")</f>
        <v/>
      </c>
      <c r="AP295" s="207" t="str">
        <f>IFERROR(IF(ISBLANK($D295),"",VLOOKUP($N295,'TABLE CHARGE RATE'!$A$30:$K$106,8,0)),"Check")</f>
        <v/>
      </c>
      <c r="AQ295" s="207" t="str">
        <f>IFERROR(IF(ISBLANK($D295),"",VLOOKUP($N295,'TABLE CHARGE RATE'!$A$30:$K$106,9,0)),"Check")</f>
        <v/>
      </c>
      <c r="AR295" s="207" t="str">
        <f>IFERROR(IF(ISBLANK($D295),"",VLOOKUP($N295,'TABLE CHARGE RATE'!$A$30:$K$106,10,0)),"Check")</f>
        <v/>
      </c>
      <c r="AS295" s="207" t="str">
        <f>IFERROR(IF(ISBLANK($D295),"",VLOOKUP($N295,'TABLE CHARGE RATE'!$A$30:$K$106,11,0)),"Check")</f>
        <v/>
      </c>
      <c r="AT295" s="207">
        <f t="shared" si="51"/>
        <v>294</v>
      </c>
    </row>
    <row r="296" spans="1:46" x14ac:dyDescent="0.2">
      <c r="A296" s="207" t="str">
        <f t="shared" si="45"/>
        <v/>
      </c>
      <c r="B296" s="208" t="str">
        <f>IF(ISBLANK(D296),"",VLOOKUP(WEEKDAY($C296,1),INDEX!$J$2:$K$8,2,0))</f>
        <v/>
      </c>
      <c r="C296" s="209"/>
      <c r="D296" s="207"/>
      <c r="E296" s="207"/>
      <c r="F296" s="207"/>
      <c r="G296" s="207"/>
      <c r="H296" s="207"/>
      <c r="I296" s="207"/>
      <c r="J296" s="207"/>
      <c r="K296" s="207"/>
      <c r="L296" s="207"/>
      <c r="M296" s="207"/>
      <c r="N296" s="207"/>
      <c r="O296" s="207"/>
      <c r="P296" s="207"/>
      <c r="Q296" s="207"/>
      <c r="R296" s="207"/>
      <c r="S296" s="207"/>
      <c r="T296" s="207"/>
      <c r="U296" s="209"/>
      <c r="V296" s="207"/>
      <c r="W296" s="207"/>
      <c r="X296" s="209">
        <f t="shared" si="47"/>
        <v>0</v>
      </c>
      <c r="Y296" s="209">
        <f t="shared" si="48"/>
        <v>0</v>
      </c>
      <c r="Z296" s="207">
        <v>1</v>
      </c>
      <c r="AA296" s="209" t="str">
        <f t="shared" si="46"/>
        <v/>
      </c>
      <c r="AB296" s="209"/>
      <c r="AC296" s="207" t="s">
        <v>545</v>
      </c>
      <c r="AD296" s="207"/>
      <c r="AE296" s="207"/>
      <c r="AF296" s="208" t="str">
        <f>IF(ISBLANK(D296),"",VLOOKUP(F296,'SIZE CALCULATION'!$F:$G,2,0))</f>
        <v/>
      </c>
      <c r="AG296" s="207" t="str">
        <f t="shared" si="44"/>
        <v/>
      </c>
      <c r="AH296" s="207" t="str">
        <f t="shared" si="49"/>
        <v/>
      </c>
      <c r="AI296" s="210" t="str">
        <f>IF(ISBLANK(D296),"",VLOOKUP($A296,INDEX!$D$2:$F$13,3,0))</f>
        <v/>
      </c>
      <c r="AJ296" s="207" t="str">
        <f t="shared" si="50"/>
        <v/>
      </c>
      <c r="AK296" s="207"/>
      <c r="AL296" s="207"/>
      <c r="AM296" s="207" t="str">
        <f>IFERROR(IF(ISBLANK($D296),"",VLOOKUP($N296,'TABLE CHARGE RATE'!$A$30:$K$106,5,0)),"Check")</f>
        <v/>
      </c>
      <c r="AN296" s="207" t="str">
        <f>IFERROR(IF(ISBLANK($D296),"",VLOOKUP($N296,'TABLE CHARGE RATE'!$A$30:$K$106,6,0)),"Check")</f>
        <v/>
      </c>
      <c r="AO296" s="207" t="str">
        <f>IFERROR(IF(ISBLANK($D296),"",VLOOKUP($N296,'TABLE CHARGE RATE'!$A$30:$K$106,7,0)),"Check")</f>
        <v/>
      </c>
      <c r="AP296" s="207" t="str">
        <f>IFERROR(IF(ISBLANK($D296),"",VLOOKUP($N296,'TABLE CHARGE RATE'!$A$30:$K$106,8,0)),"Check")</f>
        <v/>
      </c>
      <c r="AQ296" s="207" t="str">
        <f>IFERROR(IF(ISBLANK($D296),"",VLOOKUP($N296,'TABLE CHARGE RATE'!$A$30:$K$106,9,0)),"Check")</f>
        <v/>
      </c>
      <c r="AR296" s="207" t="str">
        <f>IFERROR(IF(ISBLANK($D296),"",VLOOKUP($N296,'TABLE CHARGE RATE'!$A$30:$K$106,10,0)),"Check")</f>
        <v/>
      </c>
      <c r="AS296" s="207" t="str">
        <f>IFERROR(IF(ISBLANK($D296),"",VLOOKUP($N296,'TABLE CHARGE RATE'!$A$30:$K$106,11,0)),"Check")</f>
        <v/>
      </c>
      <c r="AT296" s="207">
        <f t="shared" si="51"/>
        <v>295</v>
      </c>
    </row>
    <row r="297" spans="1:46" x14ac:dyDescent="0.2">
      <c r="A297" s="207" t="str">
        <f t="shared" si="45"/>
        <v/>
      </c>
      <c r="B297" s="208" t="str">
        <f>IF(ISBLANK(D297),"",VLOOKUP(WEEKDAY($C297,1),INDEX!$J$2:$K$8,2,0))</f>
        <v/>
      </c>
      <c r="C297" s="209"/>
      <c r="D297" s="207"/>
      <c r="E297" s="207"/>
      <c r="F297" s="207"/>
      <c r="G297" s="207"/>
      <c r="H297" s="207"/>
      <c r="I297" s="207"/>
      <c r="J297" s="207"/>
      <c r="K297" s="207"/>
      <c r="L297" s="207"/>
      <c r="M297" s="207"/>
      <c r="N297" s="207"/>
      <c r="O297" s="207"/>
      <c r="P297" s="207"/>
      <c r="Q297" s="207"/>
      <c r="R297" s="207"/>
      <c r="S297" s="207"/>
      <c r="T297" s="207"/>
      <c r="U297" s="209"/>
      <c r="V297" s="207"/>
      <c r="W297" s="207"/>
      <c r="X297" s="209">
        <f t="shared" si="47"/>
        <v>0</v>
      </c>
      <c r="Y297" s="209">
        <f t="shared" si="48"/>
        <v>0</v>
      </c>
      <c r="Z297" s="207">
        <v>1</v>
      </c>
      <c r="AA297" s="209" t="str">
        <f t="shared" si="46"/>
        <v/>
      </c>
      <c r="AB297" s="209"/>
      <c r="AC297" s="207" t="s">
        <v>545</v>
      </c>
      <c r="AD297" s="207"/>
      <c r="AE297" s="207"/>
      <c r="AF297" s="208" t="str">
        <f>IF(ISBLANK(D297),"",VLOOKUP(F297,'SIZE CALCULATION'!$F:$G,2,0))</f>
        <v/>
      </c>
      <c r="AG297" s="207" t="str">
        <f t="shared" si="44"/>
        <v/>
      </c>
      <c r="AH297" s="207" t="str">
        <f t="shared" si="49"/>
        <v/>
      </c>
      <c r="AI297" s="210" t="str">
        <f>IF(ISBLANK(D297),"",VLOOKUP($A297,INDEX!$D$2:$F$13,3,0))</f>
        <v/>
      </c>
      <c r="AJ297" s="207" t="str">
        <f t="shared" si="50"/>
        <v/>
      </c>
      <c r="AK297" s="207"/>
      <c r="AL297" s="207"/>
      <c r="AM297" s="207" t="str">
        <f>IFERROR(IF(ISBLANK($D297),"",VLOOKUP($N297,'TABLE CHARGE RATE'!$A$30:$K$106,5,0)),"Check")</f>
        <v/>
      </c>
      <c r="AN297" s="207" t="str">
        <f>IFERROR(IF(ISBLANK($D297),"",VLOOKUP($N297,'TABLE CHARGE RATE'!$A$30:$K$106,6,0)),"Check")</f>
        <v/>
      </c>
      <c r="AO297" s="207" t="str">
        <f>IFERROR(IF(ISBLANK($D297),"",VLOOKUP($N297,'TABLE CHARGE RATE'!$A$30:$K$106,7,0)),"Check")</f>
        <v/>
      </c>
      <c r="AP297" s="207" t="str">
        <f>IFERROR(IF(ISBLANK($D297),"",VLOOKUP($N297,'TABLE CHARGE RATE'!$A$30:$K$106,8,0)),"Check")</f>
        <v/>
      </c>
      <c r="AQ297" s="207" t="str">
        <f>IFERROR(IF(ISBLANK($D297),"",VLOOKUP($N297,'TABLE CHARGE RATE'!$A$30:$K$106,9,0)),"Check")</f>
        <v/>
      </c>
      <c r="AR297" s="207" t="str">
        <f>IFERROR(IF(ISBLANK($D297),"",VLOOKUP($N297,'TABLE CHARGE RATE'!$A$30:$K$106,10,0)),"Check")</f>
        <v/>
      </c>
      <c r="AS297" s="207" t="str">
        <f>IFERROR(IF(ISBLANK($D297),"",VLOOKUP($N297,'TABLE CHARGE RATE'!$A$30:$K$106,11,0)),"Check")</f>
        <v/>
      </c>
      <c r="AT297" s="207">
        <f t="shared" si="51"/>
        <v>296</v>
      </c>
    </row>
    <row r="298" spans="1:46" x14ac:dyDescent="0.2">
      <c r="A298" s="207" t="str">
        <f t="shared" si="45"/>
        <v/>
      </c>
      <c r="B298" s="208" t="str">
        <f>IF(ISBLANK(D298),"",VLOOKUP(WEEKDAY($C298,1),INDEX!$J$2:$K$8,2,0))</f>
        <v/>
      </c>
      <c r="C298" s="209"/>
      <c r="D298" s="207"/>
      <c r="E298" s="207"/>
      <c r="F298" s="207"/>
      <c r="G298" s="207"/>
      <c r="H298" s="207"/>
      <c r="I298" s="207"/>
      <c r="J298" s="207"/>
      <c r="K298" s="207"/>
      <c r="L298" s="207"/>
      <c r="M298" s="207"/>
      <c r="N298" s="207"/>
      <c r="O298" s="207"/>
      <c r="P298" s="207"/>
      <c r="Q298" s="207"/>
      <c r="R298" s="207"/>
      <c r="S298" s="207"/>
      <c r="T298" s="207"/>
      <c r="U298" s="209"/>
      <c r="V298" s="207"/>
      <c r="W298" s="207"/>
      <c r="X298" s="209">
        <f t="shared" si="47"/>
        <v>0</v>
      </c>
      <c r="Y298" s="209">
        <f t="shared" si="48"/>
        <v>0</v>
      </c>
      <c r="Z298" s="207">
        <v>1</v>
      </c>
      <c r="AA298" s="209" t="str">
        <f t="shared" si="46"/>
        <v/>
      </c>
      <c r="AB298" s="209"/>
      <c r="AC298" s="207" t="s">
        <v>545</v>
      </c>
      <c r="AD298" s="207"/>
      <c r="AE298" s="207"/>
      <c r="AF298" s="208" t="str">
        <f>IF(ISBLANK(D298),"",VLOOKUP(F298,'SIZE CALCULATION'!$F:$G,2,0))</f>
        <v/>
      </c>
      <c r="AG298" s="207" t="str">
        <f t="shared" si="44"/>
        <v/>
      </c>
      <c r="AH298" s="207" t="str">
        <f t="shared" si="49"/>
        <v/>
      </c>
      <c r="AI298" s="210" t="str">
        <f>IF(ISBLANK(D298),"",VLOOKUP($A298,INDEX!$D$2:$F$13,3,0))</f>
        <v/>
      </c>
      <c r="AJ298" s="207" t="str">
        <f t="shared" si="50"/>
        <v/>
      </c>
      <c r="AK298" s="207"/>
      <c r="AL298" s="207"/>
      <c r="AM298" s="207" t="str">
        <f>IFERROR(IF(ISBLANK($D298),"",VLOOKUP($N298,'TABLE CHARGE RATE'!$A$30:$K$106,5,0)),"Check")</f>
        <v/>
      </c>
      <c r="AN298" s="207" t="str">
        <f>IFERROR(IF(ISBLANK($D298),"",VLOOKUP($N298,'TABLE CHARGE RATE'!$A$30:$K$106,6,0)),"Check")</f>
        <v/>
      </c>
      <c r="AO298" s="207" t="str">
        <f>IFERROR(IF(ISBLANK($D298),"",VLOOKUP($N298,'TABLE CHARGE RATE'!$A$30:$K$106,7,0)),"Check")</f>
        <v/>
      </c>
      <c r="AP298" s="207" t="str">
        <f>IFERROR(IF(ISBLANK($D298),"",VLOOKUP($N298,'TABLE CHARGE RATE'!$A$30:$K$106,8,0)),"Check")</f>
        <v/>
      </c>
      <c r="AQ298" s="207" t="str">
        <f>IFERROR(IF(ISBLANK($D298),"",VLOOKUP($N298,'TABLE CHARGE RATE'!$A$30:$K$106,9,0)),"Check")</f>
        <v/>
      </c>
      <c r="AR298" s="207" t="str">
        <f>IFERROR(IF(ISBLANK($D298),"",VLOOKUP($N298,'TABLE CHARGE RATE'!$A$30:$K$106,10,0)),"Check")</f>
        <v/>
      </c>
      <c r="AS298" s="207" t="str">
        <f>IFERROR(IF(ISBLANK($D298),"",VLOOKUP($N298,'TABLE CHARGE RATE'!$A$30:$K$106,11,0)),"Check")</f>
        <v/>
      </c>
      <c r="AT298" s="207">
        <f t="shared" si="51"/>
        <v>297</v>
      </c>
    </row>
    <row r="299" spans="1:46" x14ac:dyDescent="0.2">
      <c r="A299" s="207" t="str">
        <f t="shared" si="45"/>
        <v/>
      </c>
      <c r="B299" s="208" t="str">
        <f>IF(ISBLANK(D299),"",VLOOKUP(WEEKDAY($C299,1),INDEX!$J$2:$K$8,2,0))</f>
        <v/>
      </c>
      <c r="C299" s="209"/>
      <c r="D299" s="207"/>
      <c r="E299" s="207"/>
      <c r="F299" s="207"/>
      <c r="G299" s="207"/>
      <c r="H299" s="207"/>
      <c r="I299" s="207"/>
      <c r="J299" s="207"/>
      <c r="K299" s="207"/>
      <c r="L299" s="207"/>
      <c r="M299" s="207"/>
      <c r="N299" s="207"/>
      <c r="O299" s="207"/>
      <c r="P299" s="207"/>
      <c r="Q299" s="207"/>
      <c r="R299" s="207"/>
      <c r="S299" s="207"/>
      <c r="T299" s="207"/>
      <c r="U299" s="209"/>
      <c r="V299" s="207"/>
      <c r="W299" s="207"/>
      <c r="X299" s="209">
        <f t="shared" si="47"/>
        <v>0</v>
      </c>
      <c r="Y299" s="209">
        <f t="shared" si="48"/>
        <v>0</v>
      </c>
      <c r="Z299" s="207">
        <v>1</v>
      </c>
      <c r="AA299" s="209" t="str">
        <f t="shared" si="46"/>
        <v/>
      </c>
      <c r="AB299" s="209"/>
      <c r="AC299" s="207" t="s">
        <v>545</v>
      </c>
      <c r="AD299" s="207"/>
      <c r="AE299" s="207"/>
      <c r="AF299" s="208" t="str">
        <f>IF(ISBLANK(D299),"",VLOOKUP(F299,'SIZE CALCULATION'!$F:$G,2,0))</f>
        <v/>
      </c>
      <c r="AG299" s="207" t="str">
        <f t="shared" si="44"/>
        <v/>
      </c>
      <c r="AH299" s="207" t="str">
        <f t="shared" si="49"/>
        <v/>
      </c>
      <c r="AI299" s="210" t="str">
        <f>IF(ISBLANK(D299),"",VLOOKUP($A299,INDEX!$D$2:$F$13,3,0))</f>
        <v/>
      </c>
      <c r="AJ299" s="207" t="str">
        <f t="shared" si="50"/>
        <v/>
      </c>
      <c r="AK299" s="207"/>
      <c r="AL299" s="207"/>
      <c r="AM299" s="207" t="str">
        <f>IFERROR(IF(ISBLANK($D299),"",VLOOKUP($N299,'TABLE CHARGE RATE'!$A$30:$K$106,5,0)),"Check")</f>
        <v/>
      </c>
      <c r="AN299" s="207" t="str">
        <f>IFERROR(IF(ISBLANK($D299),"",VLOOKUP($N299,'TABLE CHARGE RATE'!$A$30:$K$106,6,0)),"Check")</f>
        <v/>
      </c>
      <c r="AO299" s="207" t="str">
        <f>IFERROR(IF(ISBLANK($D299),"",VLOOKUP($N299,'TABLE CHARGE RATE'!$A$30:$K$106,7,0)),"Check")</f>
        <v/>
      </c>
      <c r="AP299" s="207" t="str">
        <f>IFERROR(IF(ISBLANK($D299),"",VLOOKUP($N299,'TABLE CHARGE RATE'!$A$30:$K$106,8,0)),"Check")</f>
        <v/>
      </c>
      <c r="AQ299" s="207" t="str">
        <f>IFERROR(IF(ISBLANK($D299),"",VLOOKUP($N299,'TABLE CHARGE RATE'!$A$30:$K$106,9,0)),"Check")</f>
        <v/>
      </c>
      <c r="AR299" s="207" t="str">
        <f>IFERROR(IF(ISBLANK($D299),"",VLOOKUP($N299,'TABLE CHARGE RATE'!$A$30:$K$106,10,0)),"Check")</f>
        <v/>
      </c>
      <c r="AS299" s="207" t="str">
        <f>IFERROR(IF(ISBLANK($D299),"",VLOOKUP($N299,'TABLE CHARGE RATE'!$A$30:$K$106,11,0)),"Check")</f>
        <v/>
      </c>
      <c r="AT299" s="207">
        <f t="shared" si="51"/>
        <v>298</v>
      </c>
    </row>
    <row r="300" spans="1:46" x14ac:dyDescent="0.2">
      <c r="A300" s="207" t="str">
        <f t="shared" si="45"/>
        <v/>
      </c>
      <c r="B300" s="208" t="str">
        <f>IF(ISBLANK(D300),"",VLOOKUP(WEEKDAY($C300,1),INDEX!$J$2:$K$8,2,0))</f>
        <v/>
      </c>
      <c r="C300" s="209"/>
      <c r="D300" s="207"/>
      <c r="E300" s="207"/>
      <c r="F300" s="207"/>
      <c r="G300" s="207"/>
      <c r="H300" s="207"/>
      <c r="I300" s="207"/>
      <c r="J300" s="207"/>
      <c r="K300" s="207"/>
      <c r="L300" s="207"/>
      <c r="M300" s="207"/>
      <c r="N300" s="207"/>
      <c r="O300" s="207"/>
      <c r="P300" s="207"/>
      <c r="Q300" s="207"/>
      <c r="R300" s="207"/>
      <c r="S300" s="207"/>
      <c r="T300" s="207"/>
      <c r="U300" s="209"/>
      <c r="V300" s="207"/>
      <c r="W300" s="207"/>
      <c r="X300" s="209">
        <f t="shared" si="47"/>
        <v>0</v>
      </c>
      <c r="Y300" s="209">
        <f t="shared" si="48"/>
        <v>0</v>
      </c>
      <c r="Z300" s="207">
        <v>1</v>
      </c>
      <c r="AA300" s="209" t="str">
        <f t="shared" si="46"/>
        <v/>
      </c>
      <c r="AB300" s="209"/>
      <c r="AC300" s="207" t="s">
        <v>545</v>
      </c>
      <c r="AD300" s="207"/>
      <c r="AE300" s="207"/>
      <c r="AF300" s="208" t="str">
        <f>IF(ISBLANK(D300),"",VLOOKUP(F300,'SIZE CALCULATION'!$F:$G,2,0))</f>
        <v/>
      </c>
      <c r="AG300" s="207" t="str">
        <f t="shared" si="44"/>
        <v/>
      </c>
      <c r="AH300" s="207" t="str">
        <f t="shared" si="49"/>
        <v/>
      </c>
      <c r="AI300" s="210" t="str">
        <f>IF(ISBLANK(D300),"",VLOOKUP($A300,INDEX!$D$2:$F$13,3,0))</f>
        <v/>
      </c>
      <c r="AJ300" s="207" t="str">
        <f t="shared" si="50"/>
        <v/>
      </c>
      <c r="AK300" s="207"/>
      <c r="AL300" s="207"/>
      <c r="AM300" s="207" t="str">
        <f>IFERROR(IF(ISBLANK($D300),"",VLOOKUP($N300,'TABLE CHARGE RATE'!$A$30:$K$106,5,0)),"Check")</f>
        <v/>
      </c>
      <c r="AN300" s="207" t="str">
        <f>IFERROR(IF(ISBLANK($D300),"",VLOOKUP($N300,'TABLE CHARGE RATE'!$A$30:$K$106,6,0)),"Check")</f>
        <v/>
      </c>
      <c r="AO300" s="207" t="str">
        <f>IFERROR(IF(ISBLANK($D300),"",VLOOKUP($N300,'TABLE CHARGE RATE'!$A$30:$K$106,7,0)),"Check")</f>
        <v/>
      </c>
      <c r="AP300" s="207" t="str">
        <f>IFERROR(IF(ISBLANK($D300),"",VLOOKUP($N300,'TABLE CHARGE RATE'!$A$30:$K$106,8,0)),"Check")</f>
        <v/>
      </c>
      <c r="AQ300" s="207" t="str">
        <f>IFERROR(IF(ISBLANK($D300),"",VLOOKUP($N300,'TABLE CHARGE RATE'!$A$30:$K$106,9,0)),"Check")</f>
        <v/>
      </c>
      <c r="AR300" s="207" t="str">
        <f>IFERROR(IF(ISBLANK($D300),"",VLOOKUP($N300,'TABLE CHARGE RATE'!$A$30:$K$106,10,0)),"Check")</f>
        <v/>
      </c>
      <c r="AS300" s="207" t="str">
        <f>IFERROR(IF(ISBLANK($D300),"",VLOOKUP($N300,'TABLE CHARGE RATE'!$A$30:$K$106,11,0)),"Check")</f>
        <v/>
      </c>
      <c r="AT300" s="207">
        <f t="shared" si="51"/>
        <v>299</v>
      </c>
    </row>
    <row r="301" spans="1:46" x14ac:dyDescent="0.2">
      <c r="A301" s="207" t="str">
        <f t="shared" si="45"/>
        <v/>
      </c>
      <c r="B301" s="208" t="str">
        <f>IF(ISBLANK(D301),"",VLOOKUP(WEEKDAY($C301,1),INDEX!$J$2:$K$8,2,0))</f>
        <v/>
      </c>
      <c r="C301" s="209"/>
      <c r="D301" s="207"/>
      <c r="E301" s="207"/>
      <c r="F301" s="207"/>
      <c r="G301" s="207"/>
      <c r="H301" s="207"/>
      <c r="I301" s="207"/>
      <c r="J301" s="207"/>
      <c r="K301" s="207"/>
      <c r="L301" s="207"/>
      <c r="M301" s="207"/>
      <c r="N301" s="207"/>
      <c r="O301" s="207"/>
      <c r="P301" s="207"/>
      <c r="Q301" s="207"/>
      <c r="R301" s="207"/>
      <c r="S301" s="207"/>
      <c r="T301" s="207"/>
      <c r="U301" s="209"/>
      <c r="V301" s="207"/>
      <c r="W301" s="207"/>
      <c r="X301" s="209">
        <f t="shared" si="47"/>
        <v>0</v>
      </c>
      <c r="Y301" s="209">
        <f t="shared" si="48"/>
        <v>0</v>
      </c>
      <c r="Z301" s="207">
        <v>1</v>
      </c>
      <c r="AA301" s="209" t="str">
        <f t="shared" si="46"/>
        <v/>
      </c>
      <c r="AB301" s="209"/>
      <c r="AC301" s="207" t="s">
        <v>545</v>
      </c>
      <c r="AD301" s="207"/>
      <c r="AE301" s="207"/>
      <c r="AF301" s="208" t="str">
        <f>IF(ISBLANK(D301),"",VLOOKUP(F301,'SIZE CALCULATION'!$F:$G,2,0))</f>
        <v/>
      </c>
      <c r="AG301" s="207" t="str">
        <f t="shared" si="44"/>
        <v/>
      </c>
      <c r="AH301" s="207" t="str">
        <f t="shared" si="49"/>
        <v/>
      </c>
      <c r="AI301" s="210" t="str">
        <f>IF(ISBLANK(D301),"",VLOOKUP($A301,INDEX!$D$2:$F$13,3,0))</f>
        <v/>
      </c>
      <c r="AJ301" s="207" t="str">
        <f t="shared" si="50"/>
        <v/>
      </c>
      <c r="AK301" s="207"/>
      <c r="AL301" s="207"/>
      <c r="AM301" s="207" t="str">
        <f>IFERROR(IF(ISBLANK($D301),"",VLOOKUP($N301,'TABLE CHARGE RATE'!$A$30:$K$106,5,0)),"Check")</f>
        <v/>
      </c>
      <c r="AN301" s="207" t="str">
        <f>IFERROR(IF(ISBLANK($D301),"",VLOOKUP($N301,'TABLE CHARGE RATE'!$A$30:$K$106,6,0)),"Check")</f>
        <v/>
      </c>
      <c r="AO301" s="207" t="str">
        <f>IFERROR(IF(ISBLANK($D301),"",VLOOKUP($N301,'TABLE CHARGE RATE'!$A$30:$K$106,7,0)),"Check")</f>
        <v/>
      </c>
      <c r="AP301" s="207" t="str">
        <f>IFERROR(IF(ISBLANK($D301),"",VLOOKUP($N301,'TABLE CHARGE RATE'!$A$30:$K$106,8,0)),"Check")</f>
        <v/>
      </c>
      <c r="AQ301" s="207" t="str">
        <f>IFERROR(IF(ISBLANK($D301),"",VLOOKUP($N301,'TABLE CHARGE RATE'!$A$30:$K$106,9,0)),"Check")</f>
        <v/>
      </c>
      <c r="AR301" s="207" t="str">
        <f>IFERROR(IF(ISBLANK($D301),"",VLOOKUP($N301,'TABLE CHARGE RATE'!$A$30:$K$106,10,0)),"Check")</f>
        <v/>
      </c>
      <c r="AS301" s="207" t="str">
        <f>IFERROR(IF(ISBLANK($D301),"",VLOOKUP($N301,'TABLE CHARGE RATE'!$A$30:$K$106,11,0)),"Check")</f>
        <v/>
      </c>
      <c r="AT301" s="207">
        <f t="shared" si="51"/>
        <v>300</v>
      </c>
    </row>
    <row r="302" spans="1:46" x14ac:dyDescent="0.2">
      <c r="A302" s="207" t="str">
        <f t="shared" si="45"/>
        <v/>
      </c>
      <c r="B302" s="208" t="str">
        <f>IF(ISBLANK(D302),"",VLOOKUP(WEEKDAY($C302,1),INDEX!$J$2:$K$8,2,0))</f>
        <v/>
      </c>
      <c r="C302" s="209"/>
      <c r="D302" s="207"/>
      <c r="E302" s="207"/>
      <c r="F302" s="207"/>
      <c r="G302" s="207"/>
      <c r="H302" s="207"/>
      <c r="I302" s="207"/>
      <c r="J302" s="207"/>
      <c r="K302" s="207"/>
      <c r="L302" s="207"/>
      <c r="M302" s="207"/>
      <c r="N302" s="207"/>
      <c r="O302" s="207"/>
      <c r="P302" s="207"/>
      <c r="Q302" s="207"/>
      <c r="R302" s="207"/>
      <c r="S302" s="207"/>
      <c r="T302" s="207"/>
      <c r="U302" s="209"/>
      <c r="V302" s="207"/>
      <c r="W302" s="207"/>
      <c r="X302" s="209">
        <f t="shared" si="47"/>
        <v>0</v>
      </c>
      <c r="Y302" s="209">
        <f t="shared" si="48"/>
        <v>0</v>
      </c>
      <c r="Z302" s="207">
        <v>1</v>
      </c>
      <c r="AA302" s="209" t="str">
        <f t="shared" si="46"/>
        <v/>
      </c>
      <c r="AB302" s="209"/>
      <c r="AC302" s="207" t="s">
        <v>545</v>
      </c>
      <c r="AD302" s="207"/>
      <c r="AE302" s="207"/>
      <c r="AF302" s="208" t="str">
        <f>IF(ISBLANK(D302),"",VLOOKUP(F302,'SIZE CALCULATION'!$F:$G,2,0))</f>
        <v/>
      </c>
      <c r="AG302" s="207" t="str">
        <f t="shared" si="44"/>
        <v/>
      </c>
      <c r="AH302" s="207" t="str">
        <f t="shared" si="49"/>
        <v/>
      </c>
      <c r="AI302" s="210" t="str">
        <f>IF(ISBLANK(D302),"",VLOOKUP($A302,INDEX!$D$2:$F$13,3,0))</f>
        <v/>
      </c>
      <c r="AJ302" s="207" t="str">
        <f t="shared" si="50"/>
        <v/>
      </c>
      <c r="AK302" s="207"/>
      <c r="AL302" s="207"/>
      <c r="AM302" s="207" t="str">
        <f>IFERROR(IF(ISBLANK($D302),"",VLOOKUP($N302,'TABLE CHARGE RATE'!$A$30:$K$106,5,0)),"Check")</f>
        <v/>
      </c>
      <c r="AN302" s="207" t="str">
        <f>IFERROR(IF(ISBLANK($D302),"",VLOOKUP($N302,'TABLE CHARGE RATE'!$A$30:$K$106,6,0)),"Check")</f>
        <v/>
      </c>
      <c r="AO302" s="207" t="str">
        <f>IFERROR(IF(ISBLANK($D302),"",VLOOKUP($N302,'TABLE CHARGE RATE'!$A$30:$K$106,7,0)),"Check")</f>
        <v/>
      </c>
      <c r="AP302" s="207" t="str">
        <f>IFERROR(IF(ISBLANK($D302),"",VLOOKUP($N302,'TABLE CHARGE RATE'!$A$30:$K$106,8,0)),"Check")</f>
        <v/>
      </c>
      <c r="AQ302" s="207" t="str">
        <f>IFERROR(IF(ISBLANK($D302),"",VLOOKUP($N302,'TABLE CHARGE RATE'!$A$30:$K$106,9,0)),"Check")</f>
        <v/>
      </c>
      <c r="AR302" s="207" t="str">
        <f>IFERROR(IF(ISBLANK($D302),"",VLOOKUP($N302,'TABLE CHARGE RATE'!$A$30:$K$106,10,0)),"Check")</f>
        <v/>
      </c>
      <c r="AS302" s="207" t="str">
        <f>IFERROR(IF(ISBLANK($D302),"",VLOOKUP($N302,'TABLE CHARGE RATE'!$A$30:$K$106,11,0)),"Check")</f>
        <v/>
      </c>
      <c r="AT302" s="207">
        <f t="shared" si="51"/>
        <v>301</v>
      </c>
    </row>
    <row r="303" spans="1:46" x14ac:dyDescent="0.2">
      <c r="A303" s="207" t="str">
        <f t="shared" si="45"/>
        <v/>
      </c>
      <c r="B303" s="208" t="str">
        <f>IF(ISBLANK(D303),"",VLOOKUP(WEEKDAY($C303,1),INDEX!$J$2:$K$8,2,0))</f>
        <v/>
      </c>
      <c r="C303" s="209"/>
      <c r="D303" s="207"/>
      <c r="E303" s="207"/>
      <c r="F303" s="207"/>
      <c r="G303" s="207"/>
      <c r="H303" s="207"/>
      <c r="I303" s="207"/>
      <c r="J303" s="207"/>
      <c r="K303" s="207"/>
      <c r="L303" s="207"/>
      <c r="M303" s="207"/>
      <c r="N303" s="207"/>
      <c r="O303" s="207"/>
      <c r="P303" s="207"/>
      <c r="Q303" s="207"/>
      <c r="R303" s="207"/>
      <c r="S303" s="207"/>
      <c r="T303" s="207"/>
      <c r="U303" s="209"/>
      <c r="V303" s="207"/>
      <c r="W303" s="207"/>
      <c r="X303" s="209">
        <f t="shared" si="47"/>
        <v>0</v>
      </c>
      <c r="Y303" s="209">
        <f t="shared" si="48"/>
        <v>0</v>
      </c>
      <c r="Z303" s="207">
        <v>1</v>
      </c>
      <c r="AA303" s="209" t="str">
        <f t="shared" si="46"/>
        <v/>
      </c>
      <c r="AB303" s="209"/>
      <c r="AC303" s="207" t="s">
        <v>545</v>
      </c>
      <c r="AD303" s="207"/>
      <c r="AE303" s="207"/>
      <c r="AF303" s="208" t="str">
        <f>IF(ISBLANK(D303),"",VLOOKUP(F303,'SIZE CALCULATION'!$F:$G,2,0))</f>
        <v/>
      </c>
      <c r="AG303" s="207" t="str">
        <f t="shared" si="44"/>
        <v/>
      </c>
      <c r="AH303" s="207" t="str">
        <f t="shared" si="49"/>
        <v/>
      </c>
      <c r="AI303" s="210" t="str">
        <f>IF(ISBLANK(D303),"",VLOOKUP($A303,INDEX!$D$2:$F$13,3,0))</f>
        <v/>
      </c>
      <c r="AJ303" s="207" t="str">
        <f t="shared" si="50"/>
        <v/>
      </c>
      <c r="AK303" s="207"/>
      <c r="AL303" s="207"/>
      <c r="AM303" s="207" t="str">
        <f>IFERROR(IF(ISBLANK($D303),"",VLOOKUP($N303,'TABLE CHARGE RATE'!$A$30:$K$106,5,0)),"Check")</f>
        <v/>
      </c>
      <c r="AN303" s="207" t="str">
        <f>IFERROR(IF(ISBLANK($D303),"",VLOOKUP($N303,'TABLE CHARGE RATE'!$A$30:$K$106,6,0)),"Check")</f>
        <v/>
      </c>
      <c r="AO303" s="207" t="str">
        <f>IFERROR(IF(ISBLANK($D303),"",VLOOKUP($N303,'TABLE CHARGE RATE'!$A$30:$K$106,7,0)),"Check")</f>
        <v/>
      </c>
      <c r="AP303" s="207" t="str">
        <f>IFERROR(IF(ISBLANK($D303),"",VLOOKUP($N303,'TABLE CHARGE RATE'!$A$30:$K$106,8,0)),"Check")</f>
        <v/>
      </c>
      <c r="AQ303" s="207" t="str">
        <f>IFERROR(IF(ISBLANK($D303),"",VLOOKUP($N303,'TABLE CHARGE RATE'!$A$30:$K$106,9,0)),"Check")</f>
        <v/>
      </c>
      <c r="AR303" s="207" t="str">
        <f>IFERROR(IF(ISBLANK($D303),"",VLOOKUP($N303,'TABLE CHARGE RATE'!$A$30:$K$106,10,0)),"Check")</f>
        <v/>
      </c>
      <c r="AS303" s="207" t="str">
        <f>IFERROR(IF(ISBLANK($D303),"",VLOOKUP($N303,'TABLE CHARGE RATE'!$A$30:$K$106,11,0)),"Check")</f>
        <v/>
      </c>
      <c r="AT303" s="207">
        <f t="shared" si="51"/>
        <v>302</v>
      </c>
    </row>
    <row r="304" spans="1:46" x14ac:dyDescent="0.2">
      <c r="A304" s="207" t="str">
        <f t="shared" si="45"/>
        <v/>
      </c>
      <c r="B304" s="208" t="str">
        <f>IF(ISBLANK(D304),"",VLOOKUP(WEEKDAY($C304,1),INDEX!$J$2:$K$8,2,0))</f>
        <v/>
      </c>
      <c r="C304" s="209"/>
      <c r="D304" s="207"/>
      <c r="E304" s="207"/>
      <c r="F304" s="207"/>
      <c r="G304" s="207"/>
      <c r="H304" s="207"/>
      <c r="I304" s="207"/>
      <c r="J304" s="207"/>
      <c r="K304" s="207"/>
      <c r="L304" s="207"/>
      <c r="M304" s="207"/>
      <c r="N304" s="207"/>
      <c r="O304" s="207"/>
      <c r="P304" s="207"/>
      <c r="Q304" s="207"/>
      <c r="R304" s="207"/>
      <c r="S304" s="207"/>
      <c r="T304" s="207"/>
      <c r="U304" s="209"/>
      <c r="V304" s="207"/>
      <c r="W304" s="207"/>
      <c r="X304" s="209">
        <f t="shared" si="47"/>
        <v>0</v>
      </c>
      <c r="Y304" s="209">
        <f t="shared" si="48"/>
        <v>0</v>
      </c>
      <c r="Z304" s="207">
        <v>1</v>
      </c>
      <c r="AA304" s="209" t="str">
        <f t="shared" si="46"/>
        <v/>
      </c>
      <c r="AB304" s="209"/>
      <c r="AC304" s="207" t="s">
        <v>545</v>
      </c>
      <c r="AD304" s="207"/>
      <c r="AE304" s="207"/>
      <c r="AF304" s="208" t="str">
        <f>IF(ISBLANK(D304),"",VLOOKUP(F304,'SIZE CALCULATION'!$F:$G,2,0))</f>
        <v/>
      </c>
      <c r="AG304" s="207" t="str">
        <f t="shared" si="44"/>
        <v/>
      </c>
      <c r="AH304" s="207" t="str">
        <f t="shared" si="49"/>
        <v/>
      </c>
      <c r="AI304" s="210" t="str">
        <f>IF(ISBLANK(D304),"",VLOOKUP($A304,INDEX!$D$2:$F$13,3,0))</f>
        <v/>
      </c>
      <c r="AJ304" s="207" t="str">
        <f t="shared" si="50"/>
        <v/>
      </c>
      <c r="AK304" s="207"/>
      <c r="AL304" s="207"/>
      <c r="AM304" s="207" t="str">
        <f>IFERROR(IF(ISBLANK($D304),"",VLOOKUP($N304,'TABLE CHARGE RATE'!$A$30:$K$106,5,0)),"Check")</f>
        <v/>
      </c>
      <c r="AN304" s="207" t="str">
        <f>IFERROR(IF(ISBLANK($D304),"",VLOOKUP($N304,'TABLE CHARGE RATE'!$A$30:$K$106,6,0)),"Check")</f>
        <v/>
      </c>
      <c r="AO304" s="207" t="str">
        <f>IFERROR(IF(ISBLANK($D304),"",VLOOKUP($N304,'TABLE CHARGE RATE'!$A$30:$K$106,7,0)),"Check")</f>
        <v/>
      </c>
      <c r="AP304" s="207" t="str">
        <f>IFERROR(IF(ISBLANK($D304),"",VLOOKUP($N304,'TABLE CHARGE RATE'!$A$30:$K$106,8,0)),"Check")</f>
        <v/>
      </c>
      <c r="AQ304" s="207" t="str">
        <f>IFERROR(IF(ISBLANK($D304),"",VLOOKUP($N304,'TABLE CHARGE RATE'!$A$30:$K$106,9,0)),"Check")</f>
        <v/>
      </c>
      <c r="AR304" s="207" t="str">
        <f>IFERROR(IF(ISBLANK($D304),"",VLOOKUP($N304,'TABLE CHARGE RATE'!$A$30:$K$106,10,0)),"Check")</f>
        <v/>
      </c>
      <c r="AS304" s="207" t="str">
        <f>IFERROR(IF(ISBLANK($D304),"",VLOOKUP($N304,'TABLE CHARGE RATE'!$A$30:$K$106,11,0)),"Check")</f>
        <v/>
      </c>
      <c r="AT304" s="207">
        <f t="shared" si="51"/>
        <v>303</v>
      </c>
    </row>
    <row r="305" spans="1:46" x14ac:dyDescent="0.2">
      <c r="A305" s="207" t="str">
        <f t="shared" si="45"/>
        <v/>
      </c>
      <c r="B305" s="208" t="str">
        <f>IF(ISBLANK(D305),"",VLOOKUP(WEEKDAY($C305,1),INDEX!$J$2:$K$8,2,0))</f>
        <v/>
      </c>
      <c r="C305" s="209"/>
      <c r="D305" s="207"/>
      <c r="E305" s="207"/>
      <c r="F305" s="207"/>
      <c r="G305" s="207"/>
      <c r="H305" s="207"/>
      <c r="I305" s="207"/>
      <c r="J305" s="207"/>
      <c r="K305" s="207"/>
      <c r="L305" s="207"/>
      <c r="M305" s="207"/>
      <c r="N305" s="207"/>
      <c r="O305" s="207"/>
      <c r="P305" s="207"/>
      <c r="Q305" s="207"/>
      <c r="R305" s="207"/>
      <c r="S305" s="207"/>
      <c r="T305" s="207"/>
      <c r="U305" s="209"/>
      <c r="V305" s="207"/>
      <c r="W305" s="207"/>
      <c r="X305" s="209">
        <f t="shared" si="47"/>
        <v>0</v>
      </c>
      <c r="Y305" s="209">
        <f t="shared" si="48"/>
        <v>0</v>
      </c>
      <c r="Z305" s="207">
        <v>1</v>
      </c>
      <c r="AA305" s="209" t="str">
        <f t="shared" si="46"/>
        <v/>
      </c>
      <c r="AB305" s="209"/>
      <c r="AC305" s="207" t="s">
        <v>545</v>
      </c>
      <c r="AD305" s="207"/>
      <c r="AE305" s="207"/>
      <c r="AF305" s="208" t="str">
        <f>IF(ISBLANK(D305),"",VLOOKUP(F305,'SIZE CALCULATION'!$F:$G,2,0))</f>
        <v/>
      </c>
      <c r="AG305" s="207" t="str">
        <f t="shared" si="44"/>
        <v/>
      </c>
      <c r="AH305" s="207" t="str">
        <f t="shared" si="49"/>
        <v/>
      </c>
      <c r="AI305" s="210" t="str">
        <f>IF(ISBLANK(D305),"",VLOOKUP($A305,INDEX!$D$2:$F$13,3,0))</f>
        <v/>
      </c>
      <c r="AJ305" s="207" t="str">
        <f t="shared" si="50"/>
        <v/>
      </c>
      <c r="AK305" s="207"/>
      <c r="AL305" s="207"/>
      <c r="AM305" s="207" t="str">
        <f>IFERROR(IF(ISBLANK($D305),"",VLOOKUP($N305,'TABLE CHARGE RATE'!$A$30:$K$106,5,0)),"Check")</f>
        <v/>
      </c>
      <c r="AN305" s="207" t="str">
        <f>IFERROR(IF(ISBLANK($D305),"",VLOOKUP($N305,'TABLE CHARGE RATE'!$A$30:$K$106,6,0)),"Check")</f>
        <v/>
      </c>
      <c r="AO305" s="207" t="str">
        <f>IFERROR(IF(ISBLANK($D305),"",VLOOKUP($N305,'TABLE CHARGE RATE'!$A$30:$K$106,7,0)),"Check")</f>
        <v/>
      </c>
      <c r="AP305" s="207" t="str">
        <f>IFERROR(IF(ISBLANK($D305),"",VLOOKUP($N305,'TABLE CHARGE RATE'!$A$30:$K$106,8,0)),"Check")</f>
        <v/>
      </c>
      <c r="AQ305" s="207" t="str">
        <f>IFERROR(IF(ISBLANK($D305),"",VLOOKUP($N305,'TABLE CHARGE RATE'!$A$30:$K$106,9,0)),"Check")</f>
        <v/>
      </c>
      <c r="AR305" s="207" t="str">
        <f>IFERROR(IF(ISBLANK($D305),"",VLOOKUP($N305,'TABLE CHARGE RATE'!$A$30:$K$106,10,0)),"Check")</f>
        <v/>
      </c>
      <c r="AS305" s="207" t="str">
        <f>IFERROR(IF(ISBLANK($D305),"",VLOOKUP($N305,'TABLE CHARGE RATE'!$A$30:$K$106,11,0)),"Check")</f>
        <v/>
      </c>
      <c r="AT305" s="207">
        <f t="shared" si="51"/>
        <v>304</v>
      </c>
    </row>
    <row r="306" spans="1:46" x14ac:dyDescent="0.2">
      <c r="A306" s="207" t="str">
        <f t="shared" si="45"/>
        <v/>
      </c>
      <c r="B306" s="208" t="str">
        <f>IF(ISBLANK(D306),"",VLOOKUP(WEEKDAY($C306,1),INDEX!$J$2:$K$8,2,0))</f>
        <v/>
      </c>
      <c r="C306" s="209"/>
      <c r="D306" s="207"/>
      <c r="E306" s="207"/>
      <c r="F306" s="207"/>
      <c r="G306" s="207"/>
      <c r="H306" s="207"/>
      <c r="I306" s="207"/>
      <c r="J306" s="207"/>
      <c r="K306" s="207"/>
      <c r="L306" s="207"/>
      <c r="M306" s="207"/>
      <c r="N306" s="207"/>
      <c r="O306" s="207"/>
      <c r="P306" s="207"/>
      <c r="Q306" s="207"/>
      <c r="R306" s="207"/>
      <c r="S306" s="207"/>
      <c r="T306" s="207"/>
      <c r="U306" s="209"/>
      <c r="V306" s="207"/>
      <c r="W306" s="207"/>
      <c r="X306" s="209">
        <f t="shared" si="47"/>
        <v>0</v>
      </c>
      <c r="Y306" s="209">
        <f t="shared" si="48"/>
        <v>0</v>
      </c>
      <c r="Z306" s="207">
        <v>1</v>
      </c>
      <c r="AA306" s="209" t="str">
        <f t="shared" si="46"/>
        <v/>
      </c>
      <c r="AB306" s="209"/>
      <c r="AC306" s="207" t="s">
        <v>545</v>
      </c>
      <c r="AD306" s="207"/>
      <c r="AE306" s="207"/>
      <c r="AF306" s="208" t="str">
        <f>IF(ISBLANK(D306),"",VLOOKUP(F306,'SIZE CALCULATION'!$F:$G,2,0))</f>
        <v/>
      </c>
      <c r="AG306" s="207" t="str">
        <f t="shared" si="44"/>
        <v/>
      </c>
      <c r="AH306" s="207" t="str">
        <f t="shared" si="49"/>
        <v/>
      </c>
      <c r="AI306" s="210" t="str">
        <f>IF(ISBLANK(D306),"",VLOOKUP($A306,INDEX!$D$2:$F$13,3,0))</f>
        <v/>
      </c>
      <c r="AJ306" s="207" t="str">
        <f t="shared" si="50"/>
        <v/>
      </c>
      <c r="AK306" s="207"/>
      <c r="AL306" s="207"/>
      <c r="AM306" s="207" t="str">
        <f>IFERROR(IF(ISBLANK($D306),"",VLOOKUP($N306,'TABLE CHARGE RATE'!$A$30:$K$106,5,0)),"Check")</f>
        <v/>
      </c>
      <c r="AN306" s="207" t="str">
        <f>IFERROR(IF(ISBLANK($D306),"",VLOOKUP($N306,'TABLE CHARGE RATE'!$A$30:$K$106,6,0)),"Check")</f>
        <v/>
      </c>
      <c r="AO306" s="207" t="str">
        <f>IFERROR(IF(ISBLANK($D306),"",VLOOKUP($N306,'TABLE CHARGE RATE'!$A$30:$K$106,7,0)),"Check")</f>
        <v/>
      </c>
      <c r="AP306" s="207" t="str">
        <f>IFERROR(IF(ISBLANK($D306),"",VLOOKUP($N306,'TABLE CHARGE RATE'!$A$30:$K$106,8,0)),"Check")</f>
        <v/>
      </c>
      <c r="AQ306" s="207" t="str">
        <f>IFERROR(IF(ISBLANK($D306),"",VLOOKUP($N306,'TABLE CHARGE RATE'!$A$30:$K$106,9,0)),"Check")</f>
        <v/>
      </c>
      <c r="AR306" s="207" t="str">
        <f>IFERROR(IF(ISBLANK($D306),"",VLOOKUP($N306,'TABLE CHARGE RATE'!$A$30:$K$106,10,0)),"Check")</f>
        <v/>
      </c>
      <c r="AS306" s="207" t="str">
        <f>IFERROR(IF(ISBLANK($D306),"",VLOOKUP($N306,'TABLE CHARGE RATE'!$A$30:$K$106,11,0)),"Check")</f>
        <v/>
      </c>
      <c r="AT306" s="207">
        <f t="shared" si="51"/>
        <v>305</v>
      </c>
    </row>
    <row r="307" spans="1:46" x14ac:dyDescent="0.2">
      <c r="A307" s="207" t="str">
        <f t="shared" si="45"/>
        <v/>
      </c>
      <c r="B307" s="208" t="str">
        <f>IF(ISBLANK(D307),"",VLOOKUP(WEEKDAY($C307,1),INDEX!$J$2:$K$8,2,0))</f>
        <v/>
      </c>
      <c r="C307" s="209"/>
      <c r="D307" s="207"/>
      <c r="E307" s="207"/>
      <c r="F307" s="207"/>
      <c r="G307" s="207"/>
      <c r="H307" s="207"/>
      <c r="I307" s="207"/>
      <c r="J307" s="207"/>
      <c r="K307" s="207"/>
      <c r="L307" s="207"/>
      <c r="M307" s="207"/>
      <c r="N307" s="207"/>
      <c r="O307" s="207"/>
      <c r="P307" s="207"/>
      <c r="Q307" s="207"/>
      <c r="R307" s="207"/>
      <c r="S307" s="207"/>
      <c r="T307" s="207"/>
      <c r="U307" s="209"/>
      <c r="V307" s="207"/>
      <c r="W307" s="207"/>
      <c r="X307" s="209">
        <f t="shared" si="47"/>
        <v>0</v>
      </c>
      <c r="Y307" s="209">
        <f t="shared" si="48"/>
        <v>0</v>
      </c>
      <c r="Z307" s="207">
        <v>1</v>
      </c>
      <c r="AA307" s="209" t="str">
        <f t="shared" si="46"/>
        <v/>
      </c>
      <c r="AB307" s="209"/>
      <c r="AC307" s="207" t="s">
        <v>545</v>
      </c>
      <c r="AD307" s="207"/>
      <c r="AE307" s="207"/>
      <c r="AF307" s="208" t="str">
        <f>IF(ISBLANK(D307),"",VLOOKUP(F307,'SIZE CALCULATION'!$F:$G,2,0))</f>
        <v/>
      </c>
      <c r="AG307" s="207" t="str">
        <f t="shared" ref="AG307:AG370" si="52">IF(ISBLANK(D307),"",HLOOKUP($AF307,$AM$1:$AR$966,$AT307,0))</f>
        <v/>
      </c>
      <c r="AH307" s="207" t="str">
        <f t="shared" si="49"/>
        <v/>
      </c>
      <c r="AI307" s="210" t="str">
        <f>IF(ISBLANK(D307),"",VLOOKUP($A307,INDEX!$D$2:$F$13,3,0))</f>
        <v/>
      </c>
      <c r="AJ307" s="207" t="str">
        <f t="shared" si="50"/>
        <v/>
      </c>
      <c r="AK307" s="207"/>
      <c r="AL307" s="207"/>
      <c r="AM307" s="207" t="str">
        <f>IFERROR(IF(ISBLANK($D307),"",VLOOKUP($N307,'TABLE CHARGE RATE'!$A$30:$K$106,5,0)),"Check")</f>
        <v/>
      </c>
      <c r="AN307" s="207" t="str">
        <f>IFERROR(IF(ISBLANK($D307),"",VLOOKUP($N307,'TABLE CHARGE RATE'!$A$30:$K$106,6,0)),"Check")</f>
        <v/>
      </c>
      <c r="AO307" s="207" t="str">
        <f>IFERROR(IF(ISBLANK($D307),"",VLOOKUP($N307,'TABLE CHARGE RATE'!$A$30:$K$106,7,0)),"Check")</f>
        <v/>
      </c>
      <c r="AP307" s="207" t="str">
        <f>IFERROR(IF(ISBLANK($D307),"",VLOOKUP($N307,'TABLE CHARGE RATE'!$A$30:$K$106,8,0)),"Check")</f>
        <v/>
      </c>
      <c r="AQ307" s="207" t="str">
        <f>IFERROR(IF(ISBLANK($D307),"",VLOOKUP($N307,'TABLE CHARGE RATE'!$A$30:$K$106,9,0)),"Check")</f>
        <v/>
      </c>
      <c r="AR307" s="207" t="str">
        <f>IFERROR(IF(ISBLANK($D307),"",VLOOKUP($N307,'TABLE CHARGE RATE'!$A$30:$K$106,10,0)),"Check")</f>
        <v/>
      </c>
      <c r="AS307" s="207" t="str">
        <f>IFERROR(IF(ISBLANK($D307),"",VLOOKUP($N307,'TABLE CHARGE RATE'!$A$30:$K$106,11,0)),"Check")</f>
        <v/>
      </c>
      <c r="AT307" s="207">
        <f t="shared" si="51"/>
        <v>306</v>
      </c>
    </row>
    <row r="308" spans="1:46" x14ac:dyDescent="0.2">
      <c r="A308" s="207" t="str">
        <f t="shared" si="45"/>
        <v/>
      </c>
      <c r="B308" s="208" t="str">
        <f>IF(ISBLANK(D308),"",VLOOKUP(WEEKDAY($C308,1),INDEX!$J$2:$K$8,2,0))</f>
        <v/>
      </c>
      <c r="C308" s="209"/>
      <c r="D308" s="207"/>
      <c r="E308" s="207"/>
      <c r="F308" s="207"/>
      <c r="G308" s="207"/>
      <c r="H308" s="207"/>
      <c r="I308" s="207"/>
      <c r="J308" s="207"/>
      <c r="K308" s="207"/>
      <c r="L308" s="207"/>
      <c r="M308" s="207"/>
      <c r="N308" s="207"/>
      <c r="O308" s="207"/>
      <c r="P308" s="207"/>
      <c r="Q308" s="207"/>
      <c r="R308" s="207"/>
      <c r="S308" s="207"/>
      <c r="T308" s="207"/>
      <c r="U308" s="209"/>
      <c r="V308" s="207"/>
      <c r="W308" s="207"/>
      <c r="X308" s="209">
        <f t="shared" si="47"/>
        <v>0</v>
      </c>
      <c r="Y308" s="209">
        <f t="shared" si="48"/>
        <v>0</v>
      </c>
      <c r="Z308" s="207">
        <v>1</v>
      </c>
      <c r="AA308" s="209" t="str">
        <f t="shared" si="46"/>
        <v/>
      </c>
      <c r="AB308" s="209"/>
      <c r="AC308" s="207" t="s">
        <v>545</v>
      </c>
      <c r="AD308" s="207"/>
      <c r="AE308" s="207"/>
      <c r="AF308" s="208" t="str">
        <f>IF(ISBLANK(D308),"",VLOOKUP(F308,'SIZE CALCULATION'!$F:$G,2,0))</f>
        <v/>
      </c>
      <c r="AG308" s="207" t="str">
        <f t="shared" si="52"/>
        <v/>
      </c>
      <c r="AH308" s="207" t="str">
        <f t="shared" si="49"/>
        <v/>
      </c>
      <c r="AI308" s="210" t="str">
        <f>IF(ISBLANK(D308),"",VLOOKUP($A308,INDEX!$D$2:$F$13,3,0))</f>
        <v/>
      </c>
      <c r="AJ308" s="207" t="str">
        <f t="shared" si="50"/>
        <v/>
      </c>
      <c r="AK308" s="207"/>
      <c r="AL308" s="207"/>
      <c r="AM308" s="207" t="str">
        <f>IFERROR(IF(ISBLANK($D308),"",VLOOKUP($N308,'TABLE CHARGE RATE'!$A$30:$K$106,5,0)),"Check")</f>
        <v/>
      </c>
      <c r="AN308" s="207" t="str">
        <f>IFERROR(IF(ISBLANK($D308),"",VLOOKUP($N308,'TABLE CHARGE RATE'!$A$30:$K$106,6,0)),"Check")</f>
        <v/>
      </c>
      <c r="AO308" s="207" t="str">
        <f>IFERROR(IF(ISBLANK($D308),"",VLOOKUP($N308,'TABLE CHARGE RATE'!$A$30:$K$106,7,0)),"Check")</f>
        <v/>
      </c>
      <c r="AP308" s="207" t="str">
        <f>IFERROR(IF(ISBLANK($D308),"",VLOOKUP($N308,'TABLE CHARGE RATE'!$A$30:$K$106,8,0)),"Check")</f>
        <v/>
      </c>
      <c r="AQ308" s="207" t="str">
        <f>IFERROR(IF(ISBLANK($D308),"",VLOOKUP($N308,'TABLE CHARGE RATE'!$A$30:$K$106,9,0)),"Check")</f>
        <v/>
      </c>
      <c r="AR308" s="207" t="str">
        <f>IFERROR(IF(ISBLANK($D308),"",VLOOKUP($N308,'TABLE CHARGE RATE'!$A$30:$K$106,10,0)),"Check")</f>
        <v/>
      </c>
      <c r="AS308" s="207" t="str">
        <f>IFERROR(IF(ISBLANK($D308),"",VLOOKUP($N308,'TABLE CHARGE RATE'!$A$30:$K$106,11,0)),"Check")</f>
        <v/>
      </c>
      <c r="AT308" s="207">
        <f t="shared" si="51"/>
        <v>307</v>
      </c>
    </row>
    <row r="309" spans="1:46" x14ac:dyDescent="0.2">
      <c r="A309" s="207" t="str">
        <f t="shared" si="45"/>
        <v/>
      </c>
      <c r="B309" s="208" t="str">
        <f>IF(ISBLANK(D309),"",VLOOKUP(WEEKDAY($C309,1),INDEX!$J$2:$K$8,2,0))</f>
        <v/>
      </c>
      <c r="C309" s="209"/>
      <c r="D309" s="207"/>
      <c r="E309" s="207"/>
      <c r="F309" s="207"/>
      <c r="G309" s="207"/>
      <c r="H309" s="207"/>
      <c r="I309" s="207"/>
      <c r="J309" s="207"/>
      <c r="K309" s="207"/>
      <c r="L309" s="207"/>
      <c r="M309" s="207"/>
      <c r="N309" s="207"/>
      <c r="O309" s="207"/>
      <c r="P309" s="207"/>
      <c r="Q309" s="207"/>
      <c r="R309" s="207"/>
      <c r="S309" s="207"/>
      <c r="T309" s="207"/>
      <c r="U309" s="209"/>
      <c r="V309" s="207"/>
      <c r="W309" s="207"/>
      <c r="X309" s="209">
        <f t="shared" si="47"/>
        <v>0</v>
      </c>
      <c r="Y309" s="209">
        <f t="shared" si="48"/>
        <v>0</v>
      </c>
      <c r="Z309" s="207">
        <v>1</v>
      </c>
      <c r="AA309" s="209" t="str">
        <f t="shared" si="46"/>
        <v/>
      </c>
      <c r="AB309" s="209"/>
      <c r="AC309" s="207" t="s">
        <v>545</v>
      </c>
      <c r="AD309" s="207"/>
      <c r="AE309" s="207"/>
      <c r="AF309" s="208" t="str">
        <f>IF(ISBLANK(D309),"",VLOOKUP(F309,'SIZE CALCULATION'!$F:$G,2,0))</f>
        <v/>
      </c>
      <c r="AG309" s="207" t="str">
        <f t="shared" si="52"/>
        <v/>
      </c>
      <c r="AH309" s="207" t="str">
        <f t="shared" si="49"/>
        <v/>
      </c>
      <c r="AI309" s="210" t="str">
        <f>IF(ISBLANK(D309),"",VLOOKUP($A309,INDEX!$D$2:$F$13,3,0))</f>
        <v/>
      </c>
      <c r="AJ309" s="207" t="str">
        <f t="shared" si="50"/>
        <v/>
      </c>
      <c r="AK309" s="207"/>
      <c r="AL309" s="207"/>
      <c r="AM309" s="207" t="str">
        <f>IFERROR(IF(ISBLANK($D309),"",VLOOKUP($N309,'TABLE CHARGE RATE'!$A$30:$K$106,5,0)),"Check")</f>
        <v/>
      </c>
      <c r="AN309" s="207" t="str">
        <f>IFERROR(IF(ISBLANK($D309),"",VLOOKUP($N309,'TABLE CHARGE RATE'!$A$30:$K$106,6,0)),"Check")</f>
        <v/>
      </c>
      <c r="AO309" s="207" t="str">
        <f>IFERROR(IF(ISBLANK($D309),"",VLOOKUP($N309,'TABLE CHARGE RATE'!$A$30:$K$106,7,0)),"Check")</f>
        <v/>
      </c>
      <c r="AP309" s="207" t="str">
        <f>IFERROR(IF(ISBLANK($D309),"",VLOOKUP($N309,'TABLE CHARGE RATE'!$A$30:$K$106,8,0)),"Check")</f>
        <v/>
      </c>
      <c r="AQ309" s="207" t="str">
        <f>IFERROR(IF(ISBLANK($D309),"",VLOOKUP($N309,'TABLE CHARGE RATE'!$A$30:$K$106,9,0)),"Check")</f>
        <v/>
      </c>
      <c r="AR309" s="207" t="str">
        <f>IFERROR(IF(ISBLANK($D309),"",VLOOKUP($N309,'TABLE CHARGE RATE'!$A$30:$K$106,10,0)),"Check")</f>
        <v/>
      </c>
      <c r="AS309" s="207" t="str">
        <f>IFERROR(IF(ISBLANK($D309),"",VLOOKUP($N309,'TABLE CHARGE RATE'!$A$30:$K$106,11,0)),"Check")</f>
        <v/>
      </c>
      <c r="AT309" s="207">
        <f t="shared" si="51"/>
        <v>308</v>
      </c>
    </row>
    <row r="310" spans="1:46" x14ac:dyDescent="0.2">
      <c r="A310" s="207" t="str">
        <f t="shared" si="45"/>
        <v/>
      </c>
      <c r="B310" s="208" t="str">
        <f>IF(ISBLANK(D310),"",VLOOKUP(WEEKDAY($C310,1),INDEX!$J$2:$K$8,2,0))</f>
        <v/>
      </c>
      <c r="C310" s="209"/>
      <c r="D310" s="207"/>
      <c r="E310" s="207"/>
      <c r="F310" s="207"/>
      <c r="G310" s="207"/>
      <c r="H310" s="207"/>
      <c r="I310" s="207"/>
      <c r="J310" s="207"/>
      <c r="K310" s="207"/>
      <c r="L310" s="207"/>
      <c r="M310" s="207"/>
      <c r="N310" s="207"/>
      <c r="O310" s="207"/>
      <c r="P310" s="207"/>
      <c r="Q310" s="207"/>
      <c r="R310" s="207"/>
      <c r="S310" s="207"/>
      <c r="T310" s="207"/>
      <c r="U310" s="209"/>
      <c r="V310" s="207"/>
      <c r="W310" s="207"/>
      <c r="X310" s="209">
        <f t="shared" si="47"/>
        <v>0</v>
      </c>
      <c r="Y310" s="209">
        <f t="shared" si="48"/>
        <v>0</v>
      </c>
      <c r="Z310" s="207">
        <v>1</v>
      </c>
      <c r="AA310" s="209" t="str">
        <f t="shared" si="46"/>
        <v/>
      </c>
      <c r="AB310" s="209"/>
      <c r="AC310" s="207" t="s">
        <v>545</v>
      </c>
      <c r="AD310" s="207"/>
      <c r="AE310" s="207"/>
      <c r="AF310" s="208" t="str">
        <f>IF(ISBLANK(D310),"",VLOOKUP(F310,'SIZE CALCULATION'!$F:$G,2,0))</f>
        <v/>
      </c>
      <c r="AG310" s="207" t="str">
        <f t="shared" si="52"/>
        <v/>
      </c>
      <c r="AH310" s="207" t="str">
        <f t="shared" si="49"/>
        <v/>
      </c>
      <c r="AI310" s="210" t="str">
        <f>IF(ISBLANK(D310),"",VLOOKUP($A310,INDEX!$D$2:$F$13,3,0))</f>
        <v/>
      </c>
      <c r="AJ310" s="207" t="str">
        <f t="shared" si="50"/>
        <v/>
      </c>
      <c r="AK310" s="207"/>
      <c r="AL310" s="207"/>
      <c r="AM310" s="207" t="str">
        <f>IFERROR(IF(ISBLANK($D310),"",VLOOKUP($N310,'TABLE CHARGE RATE'!$A$30:$K$106,5,0)),"Check")</f>
        <v/>
      </c>
      <c r="AN310" s="207" t="str">
        <f>IFERROR(IF(ISBLANK($D310),"",VLOOKUP($N310,'TABLE CHARGE RATE'!$A$30:$K$106,6,0)),"Check")</f>
        <v/>
      </c>
      <c r="AO310" s="207" t="str">
        <f>IFERROR(IF(ISBLANK($D310),"",VLOOKUP($N310,'TABLE CHARGE RATE'!$A$30:$K$106,7,0)),"Check")</f>
        <v/>
      </c>
      <c r="AP310" s="207" t="str">
        <f>IFERROR(IF(ISBLANK($D310),"",VLOOKUP($N310,'TABLE CHARGE RATE'!$A$30:$K$106,8,0)),"Check")</f>
        <v/>
      </c>
      <c r="AQ310" s="207" t="str">
        <f>IFERROR(IF(ISBLANK($D310),"",VLOOKUP($N310,'TABLE CHARGE RATE'!$A$30:$K$106,9,0)),"Check")</f>
        <v/>
      </c>
      <c r="AR310" s="207" t="str">
        <f>IFERROR(IF(ISBLANK($D310),"",VLOOKUP($N310,'TABLE CHARGE RATE'!$A$30:$K$106,10,0)),"Check")</f>
        <v/>
      </c>
      <c r="AS310" s="207" t="str">
        <f>IFERROR(IF(ISBLANK($D310),"",VLOOKUP($N310,'TABLE CHARGE RATE'!$A$30:$K$106,11,0)),"Check")</f>
        <v/>
      </c>
      <c r="AT310" s="207">
        <f t="shared" si="51"/>
        <v>309</v>
      </c>
    </row>
    <row r="311" spans="1:46" x14ac:dyDescent="0.2">
      <c r="A311" s="207" t="str">
        <f t="shared" si="45"/>
        <v/>
      </c>
      <c r="B311" s="208" t="str">
        <f>IF(ISBLANK(D311),"",VLOOKUP(WEEKDAY($C311,1),INDEX!$J$2:$K$8,2,0))</f>
        <v/>
      </c>
      <c r="C311" s="209"/>
      <c r="D311" s="207"/>
      <c r="E311" s="207"/>
      <c r="F311" s="207"/>
      <c r="G311" s="207"/>
      <c r="H311" s="207"/>
      <c r="I311" s="207"/>
      <c r="J311" s="207"/>
      <c r="K311" s="207"/>
      <c r="L311" s="207"/>
      <c r="M311" s="207"/>
      <c r="N311" s="207"/>
      <c r="O311" s="207"/>
      <c r="P311" s="207"/>
      <c r="Q311" s="207"/>
      <c r="R311" s="207"/>
      <c r="S311" s="207"/>
      <c r="T311" s="207"/>
      <c r="U311" s="209"/>
      <c r="V311" s="207"/>
      <c r="W311" s="207"/>
      <c r="X311" s="209">
        <f t="shared" si="47"/>
        <v>0</v>
      </c>
      <c r="Y311" s="209">
        <f t="shared" si="48"/>
        <v>0</v>
      </c>
      <c r="Z311" s="207">
        <v>1</v>
      </c>
      <c r="AA311" s="209" t="str">
        <f t="shared" si="46"/>
        <v/>
      </c>
      <c r="AB311" s="209"/>
      <c r="AC311" s="207" t="s">
        <v>545</v>
      </c>
      <c r="AD311" s="207"/>
      <c r="AE311" s="207"/>
      <c r="AF311" s="208" t="str">
        <f>IF(ISBLANK(D311),"",VLOOKUP(F311,'SIZE CALCULATION'!$F:$G,2,0))</f>
        <v/>
      </c>
      <c r="AG311" s="207" t="str">
        <f t="shared" si="52"/>
        <v/>
      </c>
      <c r="AH311" s="207" t="str">
        <f t="shared" si="49"/>
        <v/>
      </c>
      <c r="AI311" s="210" t="str">
        <f>IF(ISBLANK(D311),"",VLOOKUP($A311,INDEX!$D$2:$F$13,3,0))</f>
        <v/>
      </c>
      <c r="AJ311" s="207" t="str">
        <f t="shared" si="50"/>
        <v/>
      </c>
      <c r="AK311" s="207"/>
      <c r="AL311" s="207"/>
      <c r="AM311" s="207" t="str">
        <f>IFERROR(IF(ISBLANK($D311),"",VLOOKUP($N311,'TABLE CHARGE RATE'!$A$30:$K$106,5,0)),"Check")</f>
        <v/>
      </c>
      <c r="AN311" s="207" t="str">
        <f>IFERROR(IF(ISBLANK($D311),"",VLOOKUP($N311,'TABLE CHARGE RATE'!$A$30:$K$106,6,0)),"Check")</f>
        <v/>
      </c>
      <c r="AO311" s="207" t="str">
        <f>IFERROR(IF(ISBLANK($D311),"",VLOOKUP($N311,'TABLE CHARGE RATE'!$A$30:$K$106,7,0)),"Check")</f>
        <v/>
      </c>
      <c r="AP311" s="207" t="str">
        <f>IFERROR(IF(ISBLANK($D311),"",VLOOKUP($N311,'TABLE CHARGE RATE'!$A$30:$K$106,8,0)),"Check")</f>
        <v/>
      </c>
      <c r="AQ311" s="207" t="str">
        <f>IFERROR(IF(ISBLANK($D311),"",VLOOKUP($N311,'TABLE CHARGE RATE'!$A$30:$K$106,9,0)),"Check")</f>
        <v/>
      </c>
      <c r="AR311" s="207" t="str">
        <f>IFERROR(IF(ISBLANK($D311),"",VLOOKUP($N311,'TABLE CHARGE RATE'!$A$30:$K$106,10,0)),"Check")</f>
        <v/>
      </c>
      <c r="AS311" s="207" t="str">
        <f>IFERROR(IF(ISBLANK($D311),"",VLOOKUP($N311,'TABLE CHARGE RATE'!$A$30:$K$106,11,0)),"Check")</f>
        <v/>
      </c>
      <c r="AT311" s="207">
        <f t="shared" si="51"/>
        <v>310</v>
      </c>
    </row>
    <row r="312" spans="1:46" x14ac:dyDescent="0.2">
      <c r="A312" s="207" t="str">
        <f t="shared" si="45"/>
        <v/>
      </c>
      <c r="B312" s="208" t="str">
        <f>IF(ISBLANK(D312),"",VLOOKUP(WEEKDAY($C312,1),INDEX!$J$2:$K$8,2,0))</f>
        <v/>
      </c>
      <c r="C312" s="209"/>
      <c r="D312" s="207"/>
      <c r="E312" s="207"/>
      <c r="F312" s="207"/>
      <c r="G312" s="207"/>
      <c r="H312" s="207"/>
      <c r="I312" s="207"/>
      <c r="J312" s="207"/>
      <c r="K312" s="207"/>
      <c r="L312" s="207"/>
      <c r="M312" s="207"/>
      <c r="N312" s="207"/>
      <c r="O312" s="207"/>
      <c r="P312" s="207"/>
      <c r="Q312" s="207"/>
      <c r="R312" s="207"/>
      <c r="S312" s="207"/>
      <c r="T312" s="207"/>
      <c r="U312" s="209"/>
      <c r="V312" s="207"/>
      <c r="W312" s="207"/>
      <c r="X312" s="209">
        <f t="shared" si="47"/>
        <v>0</v>
      </c>
      <c r="Y312" s="209">
        <f t="shared" si="48"/>
        <v>0</v>
      </c>
      <c r="Z312" s="207">
        <v>1</v>
      </c>
      <c r="AA312" s="209" t="str">
        <f t="shared" si="46"/>
        <v/>
      </c>
      <c r="AB312" s="209"/>
      <c r="AC312" s="207" t="s">
        <v>545</v>
      </c>
      <c r="AD312" s="207"/>
      <c r="AE312" s="207"/>
      <c r="AF312" s="208" t="str">
        <f>IF(ISBLANK(D312),"",VLOOKUP(F312,'SIZE CALCULATION'!$F:$G,2,0))</f>
        <v/>
      </c>
      <c r="AG312" s="207" t="str">
        <f t="shared" si="52"/>
        <v/>
      </c>
      <c r="AH312" s="207" t="str">
        <f t="shared" si="49"/>
        <v/>
      </c>
      <c r="AI312" s="210" t="str">
        <f>IF(ISBLANK(D312),"",VLOOKUP($A312,INDEX!$D$2:$F$13,3,0))</f>
        <v/>
      </c>
      <c r="AJ312" s="207" t="str">
        <f t="shared" si="50"/>
        <v/>
      </c>
      <c r="AK312" s="207"/>
      <c r="AL312" s="207"/>
      <c r="AM312" s="207" t="str">
        <f>IFERROR(IF(ISBLANK($D312),"",VLOOKUP($N312,'TABLE CHARGE RATE'!$A$30:$K$106,5,0)),"Check")</f>
        <v/>
      </c>
      <c r="AN312" s="207" t="str">
        <f>IFERROR(IF(ISBLANK($D312),"",VLOOKUP($N312,'TABLE CHARGE RATE'!$A$30:$K$106,6,0)),"Check")</f>
        <v/>
      </c>
      <c r="AO312" s="207" t="str">
        <f>IFERROR(IF(ISBLANK($D312),"",VLOOKUP($N312,'TABLE CHARGE RATE'!$A$30:$K$106,7,0)),"Check")</f>
        <v/>
      </c>
      <c r="AP312" s="207" t="str">
        <f>IFERROR(IF(ISBLANK($D312),"",VLOOKUP($N312,'TABLE CHARGE RATE'!$A$30:$K$106,8,0)),"Check")</f>
        <v/>
      </c>
      <c r="AQ312" s="207" t="str">
        <f>IFERROR(IF(ISBLANK($D312),"",VLOOKUP($N312,'TABLE CHARGE RATE'!$A$30:$K$106,9,0)),"Check")</f>
        <v/>
      </c>
      <c r="AR312" s="207" t="str">
        <f>IFERROR(IF(ISBLANK($D312),"",VLOOKUP($N312,'TABLE CHARGE RATE'!$A$30:$K$106,10,0)),"Check")</f>
        <v/>
      </c>
      <c r="AS312" s="207" t="str">
        <f>IFERROR(IF(ISBLANK($D312),"",VLOOKUP($N312,'TABLE CHARGE RATE'!$A$30:$K$106,11,0)),"Check")</f>
        <v/>
      </c>
      <c r="AT312" s="207">
        <f t="shared" si="51"/>
        <v>311</v>
      </c>
    </row>
    <row r="313" spans="1:46" x14ac:dyDescent="0.2">
      <c r="A313" s="207" t="str">
        <f t="shared" si="45"/>
        <v/>
      </c>
      <c r="B313" s="208" t="str">
        <f>IF(ISBLANK(D313),"",VLOOKUP(WEEKDAY($C313,1),INDEX!$J$2:$K$8,2,0))</f>
        <v/>
      </c>
      <c r="C313" s="209"/>
      <c r="D313" s="207"/>
      <c r="E313" s="207"/>
      <c r="F313" s="207"/>
      <c r="G313" s="207"/>
      <c r="H313" s="207"/>
      <c r="I313" s="207"/>
      <c r="J313" s="207"/>
      <c r="K313" s="207"/>
      <c r="L313" s="207"/>
      <c r="M313" s="207"/>
      <c r="N313" s="207"/>
      <c r="O313" s="207"/>
      <c r="P313" s="207"/>
      <c r="Q313" s="207"/>
      <c r="R313" s="207"/>
      <c r="S313" s="207"/>
      <c r="T313" s="207"/>
      <c r="U313" s="209"/>
      <c r="V313" s="207"/>
      <c r="W313" s="207"/>
      <c r="X313" s="209">
        <f t="shared" si="47"/>
        <v>0</v>
      </c>
      <c r="Y313" s="209">
        <f t="shared" si="48"/>
        <v>0</v>
      </c>
      <c r="Z313" s="207">
        <v>1</v>
      </c>
      <c r="AA313" s="209" t="str">
        <f t="shared" si="46"/>
        <v/>
      </c>
      <c r="AB313" s="209"/>
      <c r="AC313" s="207" t="s">
        <v>545</v>
      </c>
      <c r="AD313" s="207"/>
      <c r="AE313" s="207"/>
      <c r="AF313" s="208" t="str">
        <f>IF(ISBLANK(D313),"",VLOOKUP(F313,'SIZE CALCULATION'!$F:$G,2,0))</f>
        <v/>
      </c>
      <c r="AG313" s="207" t="str">
        <f t="shared" si="52"/>
        <v/>
      </c>
      <c r="AH313" s="207" t="str">
        <f t="shared" si="49"/>
        <v/>
      </c>
      <c r="AI313" s="210" t="str">
        <f>IF(ISBLANK(D313),"",VLOOKUP($A313,INDEX!$D$2:$F$13,3,0))</f>
        <v/>
      </c>
      <c r="AJ313" s="207" t="str">
        <f t="shared" si="50"/>
        <v/>
      </c>
      <c r="AK313" s="207"/>
      <c r="AL313" s="207"/>
      <c r="AM313" s="207" t="str">
        <f>IFERROR(IF(ISBLANK($D313),"",VLOOKUP($N313,'TABLE CHARGE RATE'!$A$30:$K$106,5,0)),"Check")</f>
        <v/>
      </c>
      <c r="AN313" s="207" t="str">
        <f>IFERROR(IF(ISBLANK($D313),"",VLOOKUP($N313,'TABLE CHARGE RATE'!$A$30:$K$106,6,0)),"Check")</f>
        <v/>
      </c>
      <c r="AO313" s="207" t="str">
        <f>IFERROR(IF(ISBLANK($D313),"",VLOOKUP($N313,'TABLE CHARGE RATE'!$A$30:$K$106,7,0)),"Check")</f>
        <v/>
      </c>
      <c r="AP313" s="207" t="str">
        <f>IFERROR(IF(ISBLANK($D313),"",VLOOKUP($N313,'TABLE CHARGE RATE'!$A$30:$K$106,8,0)),"Check")</f>
        <v/>
      </c>
      <c r="AQ313" s="207" t="str">
        <f>IFERROR(IF(ISBLANK($D313),"",VLOOKUP($N313,'TABLE CHARGE RATE'!$A$30:$K$106,9,0)),"Check")</f>
        <v/>
      </c>
      <c r="AR313" s="207" t="str">
        <f>IFERROR(IF(ISBLANK($D313),"",VLOOKUP($N313,'TABLE CHARGE RATE'!$A$30:$K$106,10,0)),"Check")</f>
        <v/>
      </c>
      <c r="AS313" s="207" t="str">
        <f>IFERROR(IF(ISBLANK($D313),"",VLOOKUP($N313,'TABLE CHARGE RATE'!$A$30:$K$106,11,0)),"Check")</f>
        <v/>
      </c>
      <c r="AT313" s="207">
        <f t="shared" si="51"/>
        <v>312</v>
      </c>
    </row>
    <row r="314" spans="1:46" x14ac:dyDescent="0.2">
      <c r="A314" s="207" t="str">
        <f t="shared" si="45"/>
        <v/>
      </c>
      <c r="B314" s="208" t="str">
        <f>IF(ISBLANK(D314),"",VLOOKUP(WEEKDAY($C314,1),INDEX!$J$2:$K$8,2,0))</f>
        <v/>
      </c>
      <c r="C314" s="209"/>
      <c r="D314" s="207"/>
      <c r="E314" s="207"/>
      <c r="F314" s="207"/>
      <c r="G314" s="207"/>
      <c r="H314" s="207"/>
      <c r="I314" s="207"/>
      <c r="J314" s="207"/>
      <c r="K314" s="207"/>
      <c r="L314" s="207"/>
      <c r="M314" s="207"/>
      <c r="N314" s="207"/>
      <c r="O314" s="207"/>
      <c r="P314" s="207"/>
      <c r="Q314" s="207"/>
      <c r="R314" s="207"/>
      <c r="S314" s="207"/>
      <c r="T314" s="207"/>
      <c r="U314" s="209"/>
      <c r="V314" s="207"/>
      <c r="W314" s="207"/>
      <c r="X314" s="209">
        <f t="shared" si="47"/>
        <v>0</v>
      </c>
      <c r="Y314" s="209">
        <f t="shared" si="48"/>
        <v>0</v>
      </c>
      <c r="Z314" s="207">
        <v>1</v>
      </c>
      <c r="AA314" s="209" t="str">
        <f t="shared" si="46"/>
        <v/>
      </c>
      <c r="AB314" s="209"/>
      <c r="AC314" s="207" t="s">
        <v>545</v>
      </c>
      <c r="AD314" s="207"/>
      <c r="AE314" s="207"/>
      <c r="AF314" s="208" t="str">
        <f>IF(ISBLANK(D314),"",VLOOKUP(F314,'SIZE CALCULATION'!$F:$G,2,0))</f>
        <v/>
      </c>
      <c r="AG314" s="207" t="str">
        <f t="shared" si="52"/>
        <v/>
      </c>
      <c r="AH314" s="207" t="str">
        <f t="shared" si="49"/>
        <v/>
      </c>
      <c r="AI314" s="210" t="str">
        <f>IF(ISBLANK(D314),"",VLOOKUP($A314,INDEX!$D$2:$F$13,3,0))</f>
        <v/>
      </c>
      <c r="AJ314" s="207" t="str">
        <f t="shared" si="50"/>
        <v/>
      </c>
      <c r="AK314" s="207"/>
      <c r="AL314" s="207"/>
      <c r="AM314" s="207" t="str">
        <f>IFERROR(IF(ISBLANK($D314),"",VLOOKUP($N314,'TABLE CHARGE RATE'!$A$30:$K$106,5,0)),"Check")</f>
        <v/>
      </c>
      <c r="AN314" s="207" t="str">
        <f>IFERROR(IF(ISBLANK($D314),"",VLOOKUP($N314,'TABLE CHARGE RATE'!$A$30:$K$106,6,0)),"Check")</f>
        <v/>
      </c>
      <c r="AO314" s="207" t="str">
        <f>IFERROR(IF(ISBLANK($D314),"",VLOOKUP($N314,'TABLE CHARGE RATE'!$A$30:$K$106,7,0)),"Check")</f>
        <v/>
      </c>
      <c r="AP314" s="207" t="str">
        <f>IFERROR(IF(ISBLANK($D314),"",VLOOKUP($N314,'TABLE CHARGE RATE'!$A$30:$K$106,8,0)),"Check")</f>
        <v/>
      </c>
      <c r="AQ314" s="207" t="str">
        <f>IFERROR(IF(ISBLANK($D314),"",VLOOKUP($N314,'TABLE CHARGE RATE'!$A$30:$K$106,9,0)),"Check")</f>
        <v/>
      </c>
      <c r="AR314" s="207" t="str">
        <f>IFERROR(IF(ISBLANK($D314),"",VLOOKUP($N314,'TABLE CHARGE RATE'!$A$30:$K$106,10,0)),"Check")</f>
        <v/>
      </c>
      <c r="AS314" s="207" t="str">
        <f>IFERROR(IF(ISBLANK($D314),"",VLOOKUP($N314,'TABLE CHARGE RATE'!$A$30:$K$106,11,0)),"Check")</f>
        <v/>
      </c>
      <c r="AT314" s="207">
        <f t="shared" si="51"/>
        <v>313</v>
      </c>
    </row>
    <row r="315" spans="1:46" x14ac:dyDescent="0.2">
      <c r="A315" s="207" t="str">
        <f t="shared" si="45"/>
        <v/>
      </c>
      <c r="B315" s="208" t="str">
        <f>IF(ISBLANK(D315),"",VLOOKUP(WEEKDAY($C315,1),INDEX!$J$2:$K$8,2,0))</f>
        <v/>
      </c>
      <c r="C315" s="209"/>
      <c r="D315" s="207"/>
      <c r="E315" s="207"/>
      <c r="F315" s="207"/>
      <c r="G315" s="207"/>
      <c r="H315" s="207"/>
      <c r="I315" s="207"/>
      <c r="J315" s="207"/>
      <c r="K315" s="207"/>
      <c r="L315" s="207"/>
      <c r="M315" s="207"/>
      <c r="N315" s="207"/>
      <c r="O315" s="207"/>
      <c r="P315" s="207"/>
      <c r="Q315" s="207"/>
      <c r="R315" s="207"/>
      <c r="S315" s="207"/>
      <c r="T315" s="207"/>
      <c r="U315" s="209"/>
      <c r="V315" s="207"/>
      <c r="W315" s="207"/>
      <c r="X315" s="209">
        <f t="shared" si="47"/>
        <v>0</v>
      </c>
      <c r="Y315" s="209">
        <f t="shared" si="48"/>
        <v>0</v>
      </c>
      <c r="Z315" s="207">
        <v>1</v>
      </c>
      <c r="AA315" s="209" t="str">
        <f t="shared" si="46"/>
        <v/>
      </c>
      <c r="AB315" s="209"/>
      <c r="AC315" s="207" t="s">
        <v>545</v>
      </c>
      <c r="AD315" s="207"/>
      <c r="AE315" s="207"/>
      <c r="AF315" s="208" t="str">
        <f>IF(ISBLANK(D315),"",VLOOKUP(F315,'SIZE CALCULATION'!$F:$G,2,0))</f>
        <v/>
      </c>
      <c r="AG315" s="207" t="str">
        <f t="shared" si="52"/>
        <v/>
      </c>
      <c r="AH315" s="207" t="str">
        <f t="shared" si="49"/>
        <v/>
      </c>
      <c r="AI315" s="210" t="str">
        <f>IF(ISBLANK(D315),"",VLOOKUP($A315,INDEX!$D$2:$F$13,3,0))</f>
        <v/>
      </c>
      <c r="AJ315" s="207" t="str">
        <f t="shared" si="50"/>
        <v/>
      </c>
      <c r="AK315" s="207"/>
      <c r="AL315" s="207"/>
      <c r="AM315" s="207" t="str">
        <f>IFERROR(IF(ISBLANK($D315),"",VLOOKUP($N315,'TABLE CHARGE RATE'!$A$30:$K$106,5,0)),"Check")</f>
        <v/>
      </c>
      <c r="AN315" s="207" t="str">
        <f>IFERROR(IF(ISBLANK($D315),"",VLOOKUP($N315,'TABLE CHARGE RATE'!$A$30:$K$106,6,0)),"Check")</f>
        <v/>
      </c>
      <c r="AO315" s="207" t="str">
        <f>IFERROR(IF(ISBLANK($D315),"",VLOOKUP($N315,'TABLE CHARGE RATE'!$A$30:$K$106,7,0)),"Check")</f>
        <v/>
      </c>
      <c r="AP315" s="207" t="str">
        <f>IFERROR(IF(ISBLANK($D315),"",VLOOKUP($N315,'TABLE CHARGE RATE'!$A$30:$K$106,8,0)),"Check")</f>
        <v/>
      </c>
      <c r="AQ315" s="207" t="str">
        <f>IFERROR(IF(ISBLANK($D315),"",VLOOKUP($N315,'TABLE CHARGE RATE'!$A$30:$K$106,9,0)),"Check")</f>
        <v/>
      </c>
      <c r="AR315" s="207" t="str">
        <f>IFERROR(IF(ISBLANK($D315),"",VLOOKUP($N315,'TABLE CHARGE RATE'!$A$30:$K$106,10,0)),"Check")</f>
        <v/>
      </c>
      <c r="AS315" s="207" t="str">
        <f>IFERROR(IF(ISBLANK($D315),"",VLOOKUP($N315,'TABLE CHARGE RATE'!$A$30:$K$106,11,0)),"Check")</f>
        <v/>
      </c>
      <c r="AT315" s="207">
        <f t="shared" si="51"/>
        <v>314</v>
      </c>
    </row>
    <row r="316" spans="1:46" x14ac:dyDescent="0.2">
      <c r="A316" s="207" t="str">
        <f t="shared" si="45"/>
        <v/>
      </c>
      <c r="B316" s="208" t="str">
        <f>IF(ISBLANK(D316),"",VLOOKUP(WEEKDAY($C316,1),INDEX!$J$2:$K$8,2,0))</f>
        <v/>
      </c>
      <c r="C316" s="209"/>
      <c r="D316" s="207"/>
      <c r="E316" s="207"/>
      <c r="F316" s="207"/>
      <c r="G316" s="207"/>
      <c r="H316" s="207"/>
      <c r="I316" s="207"/>
      <c r="J316" s="207"/>
      <c r="K316" s="207"/>
      <c r="L316" s="207"/>
      <c r="M316" s="207"/>
      <c r="N316" s="207"/>
      <c r="O316" s="207"/>
      <c r="P316" s="207"/>
      <c r="Q316" s="207"/>
      <c r="R316" s="207"/>
      <c r="S316" s="207"/>
      <c r="T316" s="207"/>
      <c r="U316" s="209"/>
      <c r="V316" s="207"/>
      <c r="W316" s="207"/>
      <c r="X316" s="209">
        <f t="shared" si="47"/>
        <v>0</v>
      </c>
      <c r="Y316" s="209">
        <f t="shared" si="48"/>
        <v>0</v>
      </c>
      <c r="Z316" s="207">
        <v>1</v>
      </c>
      <c r="AA316" s="209" t="str">
        <f t="shared" si="46"/>
        <v/>
      </c>
      <c r="AB316" s="209"/>
      <c r="AC316" s="207" t="s">
        <v>545</v>
      </c>
      <c r="AD316" s="207"/>
      <c r="AE316" s="207"/>
      <c r="AF316" s="208" t="str">
        <f>IF(ISBLANK(D316),"",VLOOKUP(F316,'SIZE CALCULATION'!$F:$G,2,0))</f>
        <v/>
      </c>
      <c r="AG316" s="207" t="str">
        <f t="shared" si="52"/>
        <v/>
      </c>
      <c r="AH316" s="207" t="str">
        <f t="shared" si="49"/>
        <v/>
      </c>
      <c r="AI316" s="210" t="str">
        <f>IF(ISBLANK(D316),"",VLOOKUP($A316,INDEX!$D$2:$F$13,3,0))</f>
        <v/>
      </c>
      <c r="AJ316" s="207" t="str">
        <f t="shared" si="50"/>
        <v/>
      </c>
      <c r="AK316" s="207"/>
      <c r="AL316" s="207"/>
      <c r="AM316" s="207" t="str">
        <f>IFERROR(IF(ISBLANK($D316),"",VLOOKUP($N316,'TABLE CHARGE RATE'!$A$30:$K$106,5,0)),"Check")</f>
        <v/>
      </c>
      <c r="AN316" s="207" t="str">
        <f>IFERROR(IF(ISBLANK($D316),"",VLOOKUP($N316,'TABLE CHARGE RATE'!$A$30:$K$106,6,0)),"Check")</f>
        <v/>
      </c>
      <c r="AO316" s="207" t="str">
        <f>IFERROR(IF(ISBLANK($D316),"",VLOOKUP($N316,'TABLE CHARGE RATE'!$A$30:$K$106,7,0)),"Check")</f>
        <v/>
      </c>
      <c r="AP316" s="207" t="str">
        <f>IFERROR(IF(ISBLANK($D316),"",VLOOKUP($N316,'TABLE CHARGE RATE'!$A$30:$K$106,8,0)),"Check")</f>
        <v/>
      </c>
      <c r="AQ316" s="207" t="str">
        <f>IFERROR(IF(ISBLANK($D316),"",VLOOKUP($N316,'TABLE CHARGE RATE'!$A$30:$K$106,9,0)),"Check")</f>
        <v/>
      </c>
      <c r="AR316" s="207" t="str">
        <f>IFERROR(IF(ISBLANK($D316),"",VLOOKUP($N316,'TABLE CHARGE RATE'!$A$30:$K$106,10,0)),"Check")</f>
        <v/>
      </c>
      <c r="AS316" s="207" t="str">
        <f>IFERROR(IF(ISBLANK($D316),"",VLOOKUP($N316,'TABLE CHARGE RATE'!$A$30:$K$106,11,0)),"Check")</f>
        <v/>
      </c>
      <c r="AT316" s="207">
        <f t="shared" si="51"/>
        <v>315</v>
      </c>
    </row>
    <row r="317" spans="1:46" x14ac:dyDescent="0.2">
      <c r="A317" s="207" t="str">
        <f t="shared" si="45"/>
        <v/>
      </c>
      <c r="B317" s="208" t="str">
        <f>IF(ISBLANK(D317),"",VLOOKUP(WEEKDAY($C317,1),INDEX!$J$2:$K$8,2,0))</f>
        <v/>
      </c>
      <c r="C317" s="209"/>
      <c r="D317" s="207"/>
      <c r="E317" s="207"/>
      <c r="F317" s="207"/>
      <c r="G317" s="207"/>
      <c r="H317" s="207"/>
      <c r="I317" s="207"/>
      <c r="J317" s="207"/>
      <c r="K317" s="207"/>
      <c r="L317" s="207"/>
      <c r="M317" s="207"/>
      <c r="N317" s="207"/>
      <c r="O317" s="207"/>
      <c r="P317" s="207"/>
      <c r="Q317" s="207"/>
      <c r="R317" s="207"/>
      <c r="S317" s="207"/>
      <c r="T317" s="207"/>
      <c r="U317" s="209"/>
      <c r="V317" s="207"/>
      <c r="W317" s="207"/>
      <c r="X317" s="209">
        <f t="shared" si="47"/>
        <v>0</v>
      </c>
      <c r="Y317" s="209">
        <f t="shared" si="48"/>
        <v>0</v>
      </c>
      <c r="Z317" s="207">
        <v>1</v>
      </c>
      <c r="AA317" s="209" t="str">
        <f t="shared" si="46"/>
        <v/>
      </c>
      <c r="AB317" s="209"/>
      <c r="AC317" s="207" t="s">
        <v>545</v>
      </c>
      <c r="AD317" s="207"/>
      <c r="AE317" s="207"/>
      <c r="AF317" s="208" t="str">
        <f>IF(ISBLANK(D317),"",VLOOKUP(F317,'SIZE CALCULATION'!$F:$G,2,0))</f>
        <v/>
      </c>
      <c r="AG317" s="207" t="str">
        <f t="shared" si="52"/>
        <v/>
      </c>
      <c r="AH317" s="207" t="str">
        <f t="shared" si="49"/>
        <v/>
      </c>
      <c r="AI317" s="210" t="str">
        <f>IF(ISBLANK(D317),"",VLOOKUP($A317,INDEX!$D$2:$F$13,3,0))</f>
        <v/>
      </c>
      <c r="AJ317" s="207" t="str">
        <f t="shared" si="50"/>
        <v/>
      </c>
      <c r="AK317" s="207"/>
      <c r="AL317" s="207"/>
      <c r="AM317" s="207" t="str">
        <f>IFERROR(IF(ISBLANK($D317),"",VLOOKUP($N317,'TABLE CHARGE RATE'!$A$30:$K$106,5,0)),"Check")</f>
        <v/>
      </c>
      <c r="AN317" s="207" t="str">
        <f>IFERROR(IF(ISBLANK($D317),"",VLOOKUP($N317,'TABLE CHARGE RATE'!$A$30:$K$106,6,0)),"Check")</f>
        <v/>
      </c>
      <c r="AO317" s="207" t="str">
        <f>IFERROR(IF(ISBLANK($D317),"",VLOOKUP($N317,'TABLE CHARGE RATE'!$A$30:$K$106,7,0)),"Check")</f>
        <v/>
      </c>
      <c r="AP317" s="207" t="str">
        <f>IFERROR(IF(ISBLANK($D317),"",VLOOKUP($N317,'TABLE CHARGE RATE'!$A$30:$K$106,8,0)),"Check")</f>
        <v/>
      </c>
      <c r="AQ317" s="207" t="str">
        <f>IFERROR(IF(ISBLANK($D317),"",VLOOKUP($N317,'TABLE CHARGE RATE'!$A$30:$K$106,9,0)),"Check")</f>
        <v/>
      </c>
      <c r="AR317" s="207" t="str">
        <f>IFERROR(IF(ISBLANK($D317),"",VLOOKUP($N317,'TABLE CHARGE RATE'!$A$30:$K$106,10,0)),"Check")</f>
        <v/>
      </c>
      <c r="AS317" s="207" t="str">
        <f>IFERROR(IF(ISBLANK($D317),"",VLOOKUP($N317,'TABLE CHARGE RATE'!$A$30:$K$106,11,0)),"Check")</f>
        <v/>
      </c>
      <c r="AT317" s="207">
        <f t="shared" si="51"/>
        <v>316</v>
      </c>
    </row>
    <row r="318" spans="1:46" x14ac:dyDescent="0.2">
      <c r="A318" s="207" t="str">
        <f t="shared" ref="A318:A360" si="53">IF(ISBLANK(D318),"",MONTH(C318))</f>
        <v/>
      </c>
      <c r="B318" s="208" t="str">
        <f>IF(ISBLANK(D318),"",VLOOKUP(WEEKDAY($C318,1),INDEX!$J$2:$K$8,2,0))</f>
        <v/>
      </c>
      <c r="C318" s="209"/>
      <c r="D318" s="207"/>
      <c r="E318" s="207"/>
      <c r="F318" s="207"/>
      <c r="G318" s="207"/>
      <c r="H318" s="207"/>
      <c r="I318" s="207"/>
      <c r="J318" s="207"/>
      <c r="K318" s="207"/>
      <c r="L318" s="207"/>
      <c r="M318" s="207"/>
      <c r="N318" s="207"/>
      <c r="O318" s="207"/>
      <c r="P318" s="207"/>
      <c r="Q318" s="207"/>
      <c r="R318" s="207"/>
      <c r="S318" s="207"/>
      <c r="T318" s="207"/>
      <c r="U318" s="209"/>
      <c r="V318" s="207"/>
      <c r="W318" s="207"/>
      <c r="X318" s="209">
        <f t="shared" si="47"/>
        <v>0</v>
      </c>
      <c r="Y318" s="209">
        <f t="shared" si="48"/>
        <v>0</v>
      </c>
      <c r="Z318" s="207">
        <v>1</v>
      </c>
      <c r="AA318" s="209" t="str">
        <f t="shared" si="46"/>
        <v/>
      </c>
      <c r="AB318" s="209"/>
      <c r="AC318" s="207" t="s">
        <v>545</v>
      </c>
      <c r="AD318" s="207"/>
      <c r="AE318" s="207"/>
      <c r="AF318" s="208" t="str">
        <f>IF(ISBLANK(D318),"",VLOOKUP(F318,'SIZE CALCULATION'!$F:$G,2,0))</f>
        <v/>
      </c>
      <c r="AG318" s="207" t="str">
        <f t="shared" si="52"/>
        <v/>
      </c>
      <c r="AH318" s="207" t="str">
        <f t="shared" si="49"/>
        <v/>
      </c>
      <c r="AI318" s="210" t="str">
        <f>IF(ISBLANK(D318),"",VLOOKUP($A318,INDEX!$D$2:$F$13,3,0))</f>
        <v/>
      </c>
      <c r="AJ318" s="207" t="str">
        <f t="shared" si="50"/>
        <v/>
      </c>
      <c r="AK318" s="207"/>
      <c r="AL318" s="207"/>
      <c r="AM318" s="207" t="str">
        <f>IFERROR(IF(ISBLANK($D318),"",VLOOKUP($N318,'TABLE CHARGE RATE'!$A$30:$K$106,5,0)),"Check")</f>
        <v/>
      </c>
      <c r="AN318" s="207" t="str">
        <f>IFERROR(IF(ISBLANK($D318),"",VLOOKUP($N318,'TABLE CHARGE RATE'!$A$30:$K$106,6,0)),"Check")</f>
        <v/>
      </c>
      <c r="AO318" s="207" t="str">
        <f>IFERROR(IF(ISBLANK($D318),"",VLOOKUP($N318,'TABLE CHARGE RATE'!$A$30:$K$106,7,0)),"Check")</f>
        <v/>
      </c>
      <c r="AP318" s="207" t="str">
        <f>IFERROR(IF(ISBLANK($D318),"",VLOOKUP($N318,'TABLE CHARGE RATE'!$A$30:$K$106,8,0)),"Check")</f>
        <v/>
      </c>
      <c r="AQ318" s="207" t="str">
        <f>IFERROR(IF(ISBLANK($D318),"",VLOOKUP($N318,'TABLE CHARGE RATE'!$A$30:$K$106,9,0)),"Check")</f>
        <v/>
      </c>
      <c r="AR318" s="207" t="str">
        <f>IFERROR(IF(ISBLANK($D318),"",VLOOKUP($N318,'TABLE CHARGE RATE'!$A$30:$K$106,10,0)),"Check")</f>
        <v/>
      </c>
      <c r="AS318" s="207" t="str">
        <f>IFERROR(IF(ISBLANK($D318),"",VLOOKUP($N318,'TABLE CHARGE RATE'!$A$30:$K$106,11,0)),"Check")</f>
        <v/>
      </c>
      <c r="AT318" s="207">
        <f t="shared" si="51"/>
        <v>317</v>
      </c>
    </row>
    <row r="319" spans="1:46" x14ac:dyDescent="0.2">
      <c r="A319" s="207" t="str">
        <f t="shared" si="53"/>
        <v/>
      </c>
      <c r="B319" s="208" t="str">
        <f>IF(ISBLANK(D319),"",VLOOKUP(WEEKDAY($C319,1),INDEX!$J$2:$K$8,2,0))</f>
        <v/>
      </c>
      <c r="C319" s="209"/>
      <c r="D319" s="207"/>
      <c r="E319" s="207"/>
      <c r="F319" s="207"/>
      <c r="G319" s="207"/>
      <c r="H319" s="207"/>
      <c r="I319" s="207"/>
      <c r="J319" s="207"/>
      <c r="K319" s="207"/>
      <c r="L319" s="207"/>
      <c r="M319" s="207"/>
      <c r="N319" s="207"/>
      <c r="O319" s="207"/>
      <c r="P319" s="207"/>
      <c r="Q319" s="207"/>
      <c r="R319" s="207"/>
      <c r="S319" s="207"/>
      <c r="T319" s="207"/>
      <c r="U319" s="209"/>
      <c r="V319" s="207"/>
      <c r="W319" s="207"/>
      <c r="X319" s="209">
        <f t="shared" si="47"/>
        <v>0</v>
      </c>
      <c r="Y319" s="209">
        <f t="shared" si="48"/>
        <v>0</v>
      </c>
      <c r="Z319" s="207">
        <v>1</v>
      </c>
      <c r="AA319" s="209" t="str">
        <f t="shared" si="46"/>
        <v/>
      </c>
      <c r="AB319" s="209"/>
      <c r="AC319" s="207" t="s">
        <v>545</v>
      </c>
      <c r="AD319" s="207"/>
      <c r="AE319" s="207"/>
      <c r="AF319" s="208" t="str">
        <f>IF(ISBLANK(D319),"",VLOOKUP(F319,'SIZE CALCULATION'!$F:$G,2,0))</f>
        <v/>
      </c>
      <c r="AG319" s="207" t="str">
        <f t="shared" si="52"/>
        <v/>
      </c>
      <c r="AH319" s="207" t="str">
        <f t="shared" si="49"/>
        <v/>
      </c>
      <c r="AI319" s="210" t="str">
        <f>IF(ISBLANK(D319),"",VLOOKUP($A319,INDEX!$D$2:$F$13,3,0))</f>
        <v/>
      </c>
      <c r="AJ319" s="207" t="str">
        <f t="shared" si="50"/>
        <v/>
      </c>
      <c r="AK319" s="207"/>
      <c r="AL319" s="207"/>
      <c r="AM319" s="207" t="str">
        <f>IFERROR(IF(ISBLANK($D319),"",VLOOKUP($N319,'TABLE CHARGE RATE'!$A$30:$K$106,5,0)),"Check")</f>
        <v/>
      </c>
      <c r="AN319" s="207" t="str">
        <f>IFERROR(IF(ISBLANK($D319),"",VLOOKUP($N319,'TABLE CHARGE RATE'!$A$30:$K$106,6,0)),"Check")</f>
        <v/>
      </c>
      <c r="AO319" s="207" t="str">
        <f>IFERROR(IF(ISBLANK($D319),"",VLOOKUP($N319,'TABLE CHARGE RATE'!$A$30:$K$106,7,0)),"Check")</f>
        <v/>
      </c>
      <c r="AP319" s="207" t="str">
        <f>IFERROR(IF(ISBLANK($D319),"",VLOOKUP($N319,'TABLE CHARGE RATE'!$A$30:$K$106,8,0)),"Check")</f>
        <v/>
      </c>
      <c r="AQ319" s="207" t="str">
        <f>IFERROR(IF(ISBLANK($D319),"",VLOOKUP($N319,'TABLE CHARGE RATE'!$A$30:$K$106,9,0)),"Check")</f>
        <v/>
      </c>
      <c r="AR319" s="207" t="str">
        <f>IFERROR(IF(ISBLANK($D319),"",VLOOKUP($N319,'TABLE CHARGE RATE'!$A$30:$K$106,10,0)),"Check")</f>
        <v/>
      </c>
      <c r="AS319" s="207" t="str">
        <f>IFERROR(IF(ISBLANK($D319),"",VLOOKUP($N319,'TABLE CHARGE RATE'!$A$30:$K$106,11,0)),"Check")</f>
        <v/>
      </c>
      <c r="AT319" s="207">
        <f t="shared" si="51"/>
        <v>318</v>
      </c>
    </row>
    <row r="320" spans="1:46" x14ac:dyDescent="0.2">
      <c r="A320" s="207" t="str">
        <f t="shared" si="53"/>
        <v/>
      </c>
      <c r="B320" s="208" t="str">
        <f>IF(ISBLANK(D320),"",VLOOKUP(WEEKDAY($C320,1),INDEX!$J$2:$K$8,2,0))</f>
        <v/>
      </c>
      <c r="C320" s="209"/>
      <c r="D320" s="207"/>
      <c r="E320" s="207"/>
      <c r="F320" s="207"/>
      <c r="G320" s="207"/>
      <c r="H320" s="207"/>
      <c r="I320" s="207"/>
      <c r="J320" s="207"/>
      <c r="K320" s="207"/>
      <c r="L320" s="207"/>
      <c r="M320" s="207"/>
      <c r="N320" s="207"/>
      <c r="O320" s="207"/>
      <c r="P320" s="207"/>
      <c r="Q320" s="207"/>
      <c r="R320" s="207"/>
      <c r="S320" s="207"/>
      <c r="T320" s="207"/>
      <c r="U320" s="209"/>
      <c r="V320" s="207"/>
      <c r="W320" s="207"/>
      <c r="X320" s="209">
        <f t="shared" si="47"/>
        <v>0</v>
      </c>
      <c r="Y320" s="209">
        <f t="shared" si="48"/>
        <v>0</v>
      </c>
      <c r="Z320" s="207">
        <v>1</v>
      </c>
      <c r="AA320" s="209" t="str">
        <f t="shared" si="46"/>
        <v/>
      </c>
      <c r="AB320" s="209"/>
      <c r="AC320" s="207" t="s">
        <v>545</v>
      </c>
      <c r="AD320" s="207"/>
      <c r="AE320" s="207"/>
      <c r="AF320" s="208" t="str">
        <f>IF(ISBLANK(D320),"",VLOOKUP(F320,'SIZE CALCULATION'!$F:$G,2,0))</f>
        <v/>
      </c>
      <c r="AG320" s="207" t="str">
        <f t="shared" si="52"/>
        <v/>
      </c>
      <c r="AH320" s="207" t="str">
        <f t="shared" si="49"/>
        <v/>
      </c>
      <c r="AI320" s="210" t="str">
        <f>IF(ISBLANK(D320),"",VLOOKUP($A320,INDEX!$D$2:$F$13,3,0))</f>
        <v/>
      </c>
      <c r="AJ320" s="207" t="str">
        <f t="shared" si="50"/>
        <v/>
      </c>
      <c r="AK320" s="207"/>
      <c r="AL320" s="207"/>
      <c r="AM320" s="207" t="str">
        <f>IFERROR(IF(ISBLANK($D320),"",VLOOKUP($N320,'TABLE CHARGE RATE'!$A$30:$K$106,5,0)),"Check")</f>
        <v/>
      </c>
      <c r="AN320" s="207" t="str">
        <f>IFERROR(IF(ISBLANK($D320),"",VLOOKUP($N320,'TABLE CHARGE RATE'!$A$30:$K$106,6,0)),"Check")</f>
        <v/>
      </c>
      <c r="AO320" s="207" t="str">
        <f>IFERROR(IF(ISBLANK($D320),"",VLOOKUP($N320,'TABLE CHARGE RATE'!$A$30:$K$106,7,0)),"Check")</f>
        <v/>
      </c>
      <c r="AP320" s="207" t="str">
        <f>IFERROR(IF(ISBLANK($D320),"",VLOOKUP($N320,'TABLE CHARGE RATE'!$A$30:$K$106,8,0)),"Check")</f>
        <v/>
      </c>
      <c r="AQ320" s="207" t="str">
        <f>IFERROR(IF(ISBLANK($D320),"",VLOOKUP($N320,'TABLE CHARGE RATE'!$A$30:$K$106,9,0)),"Check")</f>
        <v/>
      </c>
      <c r="AR320" s="207" t="str">
        <f>IFERROR(IF(ISBLANK($D320),"",VLOOKUP($N320,'TABLE CHARGE RATE'!$A$30:$K$106,10,0)),"Check")</f>
        <v/>
      </c>
      <c r="AS320" s="207" t="str">
        <f>IFERROR(IF(ISBLANK($D320),"",VLOOKUP($N320,'TABLE CHARGE RATE'!$A$30:$K$106,11,0)),"Check")</f>
        <v/>
      </c>
      <c r="AT320" s="207">
        <f t="shared" si="51"/>
        <v>319</v>
      </c>
    </row>
    <row r="321" spans="1:46" x14ac:dyDescent="0.2">
      <c r="A321" s="207" t="str">
        <f t="shared" si="53"/>
        <v/>
      </c>
      <c r="B321" s="208" t="str">
        <f>IF(ISBLANK(D321),"",VLOOKUP(WEEKDAY($C321,1),INDEX!$J$2:$K$8,2,0))</f>
        <v/>
      </c>
      <c r="C321" s="209"/>
      <c r="D321" s="207"/>
      <c r="E321" s="207"/>
      <c r="F321" s="207"/>
      <c r="G321" s="207"/>
      <c r="H321" s="207"/>
      <c r="I321" s="207"/>
      <c r="J321" s="207"/>
      <c r="K321" s="207"/>
      <c r="L321" s="207"/>
      <c r="M321" s="207"/>
      <c r="N321" s="207"/>
      <c r="O321" s="207"/>
      <c r="P321" s="207"/>
      <c r="Q321" s="207"/>
      <c r="R321" s="207"/>
      <c r="S321" s="207"/>
      <c r="T321" s="207"/>
      <c r="U321" s="209"/>
      <c r="V321" s="207"/>
      <c r="W321" s="207"/>
      <c r="X321" s="209">
        <f t="shared" si="47"/>
        <v>0</v>
      </c>
      <c r="Y321" s="209">
        <f t="shared" si="48"/>
        <v>0</v>
      </c>
      <c r="Z321" s="207">
        <v>1</v>
      </c>
      <c r="AA321" s="209" t="str">
        <f t="shared" si="46"/>
        <v/>
      </c>
      <c r="AB321" s="209"/>
      <c r="AC321" s="207" t="s">
        <v>545</v>
      </c>
      <c r="AD321" s="207"/>
      <c r="AE321" s="207"/>
      <c r="AF321" s="208" t="str">
        <f>IF(ISBLANK(D321),"",VLOOKUP(F321,'SIZE CALCULATION'!$F:$G,2,0))</f>
        <v/>
      </c>
      <c r="AG321" s="207" t="str">
        <f t="shared" si="52"/>
        <v/>
      </c>
      <c r="AH321" s="207" t="str">
        <f t="shared" si="49"/>
        <v/>
      </c>
      <c r="AI321" s="210" t="str">
        <f>IF(ISBLANK(D321),"",VLOOKUP($A321,INDEX!$D$2:$F$13,3,0))</f>
        <v/>
      </c>
      <c r="AJ321" s="207" t="str">
        <f t="shared" si="50"/>
        <v/>
      </c>
      <c r="AK321" s="207"/>
      <c r="AL321" s="207"/>
      <c r="AM321" s="207" t="str">
        <f>IFERROR(IF(ISBLANK($D321),"",VLOOKUP($N321,'TABLE CHARGE RATE'!$A$30:$K$106,5,0)),"Check")</f>
        <v/>
      </c>
      <c r="AN321" s="207" t="str">
        <f>IFERROR(IF(ISBLANK($D321),"",VLOOKUP($N321,'TABLE CHARGE RATE'!$A$30:$K$106,6,0)),"Check")</f>
        <v/>
      </c>
      <c r="AO321" s="207" t="str">
        <f>IFERROR(IF(ISBLANK($D321),"",VLOOKUP($N321,'TABLE CHARGE RATE'!$A$30:$K$106,7,0)),"Check")</f>
        <v/>
      </c>
      <c r="AP321" s="207" t="str">
        <f>IFERROR(IF(ISBLANK($D321),"",VLOOKUP($N321,'TABLE CHARGE RATE'!$A$30:$K$106,8,0)),"Check")</f>
        <v/>
      </c>
      <c r="AQ321" s="207" t="str">
        <f>IFERROR(IF(ISBLANK($D321),"",VLOOKUP($N321,'TABLE CHARGE RATE'!$A$30:$K$106,9,0)),"Check")</f>
        <v/>
      </c>
      <c r="AR321" s="207" t="str">
        <f>IFERROR(IF(ISBLANK($D321),"",VLOOKUP($N321,'TABLE CHARGE RATE'!$A$30:$K$106,10,0)),"Check")</f>
        <v/>
      </c>
      <c r="AS321" s="207" t="str">
        <f>IFERROR(IF(ISBLANK($D321),"",VLOOKUP($N321,'TABLE CHARGE RATE'!$A$30:$K$106,11,0)),"Check")</f>
        <v/>
      </c>
      <c r="AT321" s="207">
        <f t="shared" si="51"/>
        <v>320</v>
      </c>
    </row>
    <row r="322" spans="1:46" x14ac:dyDescent="0.2">
      <c r="A322" s="207" t="str">
        <f t="shared" si="53"/>
        <v/>
      </c>
      <c r="B322" s="208" t="str">
        <f>IF(ISBLANK(D322),"",VLOOKUP(WEEKDAY($C322,1),INDEX!$J$2:$K$8,2,0))</f>
        <v/>
      </c>
      <c r="C322" s="209"/>
      <c r="D322" s="207"/>
      <c r="E322" s="207"/>
      <c r="F322" s="207"/>
      <c r="G322" s="207"/>
      <c r="H322" s="207"/>
      <c r="I322" s="207"/>
      <c r="J322" s="207"/>
      <c r="K322" s="207"/>
      <c r="L322" s="207"/>
      <c r="M322" s="207"/>
      <c r="N322" s="207"/>
      <c r="O322" s="207"/>
      <c r="P322" s="207"/>
      <c r="Q322" s="207"/>
      <c r="R322" s="207"/>
      <c r="S322" s="207"/>
      <c r="T322" s="207"/>
      <c r="U322" s="209"/>
      <c r="V322" s="207"/>
      <c r="W322" s="207"/>
      <c r="X322" s="209">
        <f t="shared" si="47"/>
        <v>0</v>
      </c>
      <c r="Y322" s="209">
        <f t="shared" si="48"/>
        <v>0</v>
      </c>
      <c r="Z322" s="207">
        <v>1</v>
      </c>
      <c r="AA322" s="209" t="str">
        <f t="shared" ref="AA322:AA349" si="54">IF(ISBLANK(D322),"",Y322+10)</f>
        <v/>
      </c>
      <c r="AB322" s="209"/>
      <c r="AC322" s="207" t="s">
        <v>545</v>
      </c>
      <c r="AD322" s="207"/>
      <c r="AE322" s="207"/>
      <c r="AF322" s="208" t="str">
        <f>IF(ISBLANK(D322),"",VLOOKUP(F322,'SIZE CALCULATION'!$F:$G,2,0))</f>
        <v/>
      </c>
      <c r="AG322" s="207" t="str">
        <f t="shared" si="52"/>
        <v/>
      </c>
      <c r="AH322" s="207" t="str">
        <f t="shared" si="49"/>
        <v/>
      </c>
      <c r="AI322" s="210" t="str">
        <f>IF(ISBLANK(D322),"",VLOOKUP($A322,INDEX!$D$2:$F$13,3,0))</f>
        <v/>
      </c>
      <c r="AJ322" s="207" t="str">
        <f t="shared" si="50"/>
        <v/>
      </c>
      <c r="AK322" s="207"/>
      <c r="AL322" s="207"/>
      <c r="AM322" s="207" t="str">
        <f>IFERROR(IF(ISBLANK($D322),"",VLOOKUP($N322,'TABLE CHARGE RATE'!$A$30:$K$106,5,0)),"Check")</f>
        <v/>
      </c>
      <c r="AN322" s="207" t="str">
        <f>IFERROR(IF(ISBLANK($D322),"",VLOOKUP($N322,'TABLE CHARGE RATE'!$A$30:$K$106,6,0)),"Check")</f>
        <v/>
      </c>
      <c r="AO322" s="207" t="str">
        <f>IFERROR(IF(ISBLANK($D322),"",VLOOKUP($N322,'TABLE CHARGE RATE'!$A$30:$K$106,7,0)),"Check")</f>
        <v/>
      </c>
      <c r="AP322" s="207" t="str">
        <f>IFERROR(IF(ISBLANK($D322),"",VLOOKUP($N322,'TABLE CHARGE RATE'!$A$30:$K$106,8,0)),"Check")</f>
        <v/>
      </c>
      <c r="AQ322" s="207" t="str">
        <f>IFERROR(IF(ISBLANK($D322),"",VLOOKUP($N322,'TABLE CHARGE RATE'!$A$30:$K$106,9,0)),"Check")</f>
        <v/>
      </c>
      <c r="AR322" s="207" t="str">
        <f>IFERROR(IF(ISBLANK($D322),"",VLOOKUP($N322,'TABLE CHARGE RATE'!$A$30:$K$106,10,0)),"Check")</f>
        <v/>
      </c>
      <c r="AS322" s="207" t="str">
        <f>IFERROR(IF(ISBLANK($D322),"",VLOOKUP($N322,'TABLE CHARGE RATE'!$A$30:$K$106,11,0)),"Check")</f>
        <v/>
      </c>
      <c r="AT322" s="207">
        <f t="shared" si="51"/>
        <v>321</v>
      </c>
    </row>
    <row r="323" spans="1:46" x14ac:dyDescent="0.2">
      <c r="A323" s="207" t="str">
        <f t="shared" si="53"/>
        <v/>
      </c>
      <c r="B323" s="208" t="str">
        <f>IF(ISBLANK(D323),"",VLOOKUP(WEEKDAY($C323,1),INDEX!$J$2:$K$8,2,0))</f>
        <v/>
      </c>
      <c r="C323" s="209"/>
      <c r="D323" s="207"/>
      <c r="E323" s="207"/>
      <c r="F323" s="207"/>
      <c r="G323" s="207"/>
      <c r="H323" s="207"/>
      <c r="I323" s="207"/>
      <c r="J323" s="207"/>
      <c r="K323" s="207"/>
      <c r="L323" s="207"/>
      <c r="M323" s="207"/>
      <c r="N323" s="207"/>
      <c r="O323" s="207"/>
      <c r="P323" s="207"/>
      <c r="Q323" s="207"/>
      <c r="R323" s="207"/>
      <c r="S323" s="207"/>
      <c r="T323" s="207"/>
      <c r="U323" s="209"/>
      <c r="V323" s="207"/>
      <c r="W323" s="207"/>
      <c r="X323" s="209">
        <f t="shared" ref="X323:X386" si="55">U323</f>
        <v>0</v>
      </c>
      <c r="Y323" s="209">
        <f t="shared" ref="Y323:Y386" si="56">U323</f>
        <v>0</v>
      </c>
      <c r="Z323" s="207">
        <v>1</v>
      </c>
      <c r="AA323" s="209" t="str">
        <f t="shared" si="54"/>
        <v/>
      </c>
      <c r="AB323" s="209"/>
      <c r="AC323" s="207" t="s">
        <v>545</v>
      </c>
      <c r="AD323" s="207"/>
      <c r="AE323" s="207"/>
      <c r="AF323" s="208" t="str">
        <f>IF(ISBLANK(D323),"",VLOOKUP(F323,'SIZE CALCULATION'!$F:$G,2,0))</f>
        <v/>
      </c>
      <c r="AG323" s="207" t="str">
        <f t="shared" si="52"/>
        <v/>
      </c>
      <c r="AH323" s="207" t="str">
        <f t="shared" si="49"/>
        <v/>
      </c>
      <c r="AI323" s="210" t="str">
        <f>IF(ISBLANK(D323),"",VLOOKUP($A323,INDEX!$D$2:$F$13,3,0))</f>
        <v/>
      </c>
      <c r="AJ323" s="207" t="str">
        <f t="shared" si="50"/>
        <v/>
      </c>
      <c r="AK323" s="207"/>
      <c r="AL323" s="207"/>
      <c r="AM323" s="207" t="str">
        <f>IFERROR(IF(ISBLANK($D323),"",VLOOKUP($N323,'TABLE CHARGE RATE'!$A$30:$K$106,5,0)),"Check")</f>
        <v/>
      </c>
      <c r="AN323" s="207" t="str">
        <f>IFERROR(IF(ISBLANK($D323),"",VLOOKUP($N323,'TABLE CHARGE RATE'!$A$30:$K$106,6,0)),"Check")</f>
        <v/>
      </c>
      <c r="AO323" s="207" t="str">
        <f>IFERROR(IF(ISBLANK($D323),"",VLOOKUP($N323,'TABLE CHARGE RATE'!$A$30:$K$106,7,0)),"Check")</f>
        <v/>
      </c>
      <c r="AP323" s="207" t="str">
        <f>IFERROR(IF(ISBLANK($D323),"",VLOOKUP($N323,'TABLE CHARGE RATE'!$A$30:$K$106,8,0)),"Check")</f>
        <v/>
      </c>
      <c r="AQ323" s="207" t="str">
        <f>IFERROR(IF(ISBLANK($D323),"",VLOOKUP($N323,'TABLE CHARGE RATE'!$A$30:$K$106,9,0)),"Check")</f>
        <v/>
      </c>
      <c r="AR323" s="207" t="str">
        <f>IFERROR(IF(ISBLANK($D323),"",VLOOKUP($N323,'TABLE CHARGE RATE'!$A$30:$K$106,10,0)),"Check")</f>
        <v/>
      </c>
      <c r="AS323" s="207" t="str">
        <f>IFERROR(IF(ISBLANK($D323),"",VLOOKUP($N323,'TABLE CHARGE RATE'!$A$30:$K$106,11,0)),"Check")</f>
        <v/>
      </c>
      <c r="AT323" s="207">
        <f t="shared" si="51"/>
        <v>322</v>
      </c>
    </row>
    <row r="324" spans="1:46" x14ac:dyDescent="0.2">
      <c r="A324" s="207" t="str">
        <f t="shared" si="53"/>
        <v/>
      </c>
      <c r="B324" s="208" t="str">
        <f>IF(ISBLANK(D324),"",VLOOKUP(WEEKDAY($C324,1),INDEX!$J$2:$K$8,2,0))</f>
        <v/>
      </c>
      <c r="C324" s="209"/>
      <c r="D324" s="207"/>
      <c r="E324" s="207"/>
      <c r="F324" s="207"/>
      <c r="G324" s="207"/>
      <c r="H324" s="207"/>
      <c r="I324" s="207"/>
      <c r="J324" s="207"/>
      <c r="K324" s="207"/>
      <c r="L324" s="207"/>
      <c r="M324" s="207"/>
      <c r="N324" s="207"/>
      <c r="O324" s="207"/>
      <c r="P324" s="207"/>
      <c r="Q324" s="207"/>
      <c r="R324" s="207"/>
      <c r="S324" s="207"/>
      <c r="T324" s="207"/>
      <c r="U324" s="209"/>
      <c r="V324" s="207"/>
      <c r="W324" s="207"/>
      <c r="X324" s="209">
        <f t="shared" si="55"/>
        <v>0</v>
      </c>
      <c r="Y324" s="209">
        <f t="shared" si="56"/>
        <v>0</v>
      </c>
      <c r="Z324" s="207">
        <v>1</v>
      </c>
      <c r="AA324" s="209" t="str">
        <f t="shared" si="54"/>
        <v/>
      </c>
      <c r="AB324" s="209"/>
      <c r="AC324" s="207" t="s">
        <v>545</v>
      </c>
      <c r="AD324" s="207"/>
      <c r="AE324" s="207"/>
      <c r="AF324" s="208" t="str">
        <f>IF(ISBLANK(D324),"",VLOOKUP(F324,'SIZE CALCULATION'!$F:$G,2,0))</f>
        <v/>
      </c>
      <c r="AG324" s="207" t="str">
        <f t="shared" si="52"/>
        <v/>
      </c>
      <c r="AH324" s="207" t="str">
        <f t="shared" si="49"/>
        <v/>
      </c>
      <c r="AI324" s="210" t="str">
        <f>IF(ISBLANK(D324),"",VLOOKUP($A324,INDEX!$D$2:$F$13,3,0))</f>
        <v/>
      </c>
      <c r="AJ324" s="207" t="str">
        <f t="shared" si="50"/>
        <v/>
      </c>
      <c r="AK324" s="207"/>
      <c r="AL324" s="207"/>
      <c r="AM324" s="207" t="str">
        <f>IFERROR(IF(ISBLANK($D324),"",VLOOKUP($N324,'TABLE CHARGE RATE'!$A$30:$K$106,5,0)),"Check")</f>
        <v/>
      </c>
      <c r="AN324" s="207" t="str">
        <f>IFERROR(IF(ISBLANK($D324),"",VLOOKUP($N324,'TABLE CHARGE RATE'!$A$30:$K$106,6,0)),"Check")</f>
        <v/>
      </c>
      <c r="AO324" s="207" t="str">
        <f>IFERROR(IF(ISBLANK($D324),"",VLOOKUP($N324,'TABLE CHARGE RATE'!$A$30:$K$106,7,0)),"Check")</f>
        <v/>
      </c>
      <c r="AP324" s="207" t="str">
        <f>IFERROR(IF(ISBLANK($D324),"",VLOOKUP($N324,'TABLE CHARGE RATE'!$A$30:$K$106,8,0)),"Check")</f>
        <v/>
      </c>
      <c r="AQ324" s="207" t="str">
        <f>IFERROR(IF(ISBLANK($D324),"",VLOOKUP($N324,'TABLE CHARGE RATE'!$A$30:$K$106,9,0)),"Check")</f>
        <v/>
      </c>
      <c r="AR324" s="207" t="str">
        <f>IFERROR(IF(ISBLANK($D324),"",VLOOKUP($N324,'TABLE CHARGE RATE'!$A$30:$K$106,10,0)),"Check")</f>
        <v/>
      </c>
      <c r="AS324" s="207" t="str">
        <f>IFERROR(IF(ISBLANK($D324),"",VLOOKUP($N324,'TABLE CHARGE RATE'!$A$30:$K$106,11,0)),"Check")</f>
        <v/>
      </c>
      <c r="AT324" s="207">
        <f t="shared" si="51"/>
        <v>323</v>
      </c>
    </row>
    <row r="325" spans="1:46" x14ac:dyDescent="0.2">
      <c r="A325" s="207" t="str">
        <f t="shared" si="53"/>
        <v/>
      </c>
      <c r="B325" s="208" t="str">
        <f>IF(ISBLANK(D325),"",VLOOKUP(WEEKDAY($C325,1),INDEX!$J$2:$K$8,2,0))</f>
        <v/>
      </c>
      <c r="C325" s="209"/>
      <c r="D325" s="207"/>
      <c r="E325" s="207"/>
      <c r="F325" s="207"/>
      <c r="G325" s="207"/>
      <c r="H325" s="207"/>
      <c r="I325" s="207"/>
      <c r="J325" s="207"/>
      <c r="K325" s="207"/>
      <c r="L325" s="207"/>
      <c r="M325" s="207"/>
      <c r="N325" s="207"/>
      <c r="O325" s="207"/>
      <c r="P325" s="207"/>
      <c r="Q325" s="207"/>
      <c r="R325" s="207"/>
      <c r="S325" s="207"/>
      <c r="T325" s="207"/>
      <c r="U325" s="209"/>
      <c r="V325" s="207"/>
      <c r="W325" s="207"/>
      <c r="X325" s="209">
        <f t="shared" si="55"/>
        <v>0</v>
      </c>
      <c r="Y325" s="209">
        <f t="shared" si="56"/>
        <v>0</v>
      </c>
      <c r="Z325" s="207">
        <v>1</v>
      </c>
      <c r="AA325" s="209" t="str">
        <f t="shared" si="54"/>
        <v/>
      </c>
      <c r="AB325" s="209"/>
      <c r="AC325" s="207" t="s">
        <v>545</v>
      </c>
      <c r="AD325" s="207"/>
      <c r="AE325" s="207"/>
      <c r="AF325" s="208" t="str">
        <f>IF(ISBLANK(D325),"",VLOOKUP(F325,'SIZE CALCULATION'!$F:$G,2,0))</f>
        <v/>
      </c>
      <c r="AG325" s="207" t="str">
        <f t="shared" si="52"/>
        <v/>
      </c>
      <c r="AH325" s="207" t="str">
        <f t="shared" ref="AH325:AH388" si="57">IF(ISBLANK(D325),"",IFERROR(AG325*G325,0))</f>
        <v/>
      </c>
      <c r="AI325" s="210" t="str">
        <f>IF(ISBLANK(D325),"",VLOOKUP($A325,INDEX!$D$2:$F$13,3,0))</f>
        <v/>
      </c>
      <c r="AJ325" s="207" t="str">
        <f t="shared" ref="AJ325:AJ388" si="58">IF(ISBLANK(D325),"",AH325+(AH325*AI325))</f>
        <v/>
      </c>
      <c r="AK325" s="207"/>
      <c r="AL325" s="207"/>
      <c r="AM325" s="207" t="str">
        <f>IFERROR(IF(ISBLANK($D325),"",VLOOKUP($N325,'TABLE CHARGE RATE'!$A$30:$K$106,5,0)),"Check")</f>
        <v/>
      </c>
      <c r="AN325" s="207" t="str">
        <f>IFERROR(IF(ISBLANK($D325),"",VLOOKUP($N325,'TABLE CHARGE RATE'!$A$30:$K$106,6,0)),"Check")</f>
        <v/>
      </c>
      <c r="AO325" s="207" t="str">
        <f>IFERROR(IF(ISBLANK($D325),"",VLOOKUP($N325,'TABLE CHARGE RATE'!$A$30:$K$106,7,0)),"Check")</f>
        <v/>
      </c>
      <c r="AP325" s="207" t="str">
        <f>IFERROR(IF(ISBLANK($D325),"",VLOOKUP($N325,'TABLE CHARGE RATE'!$A$30:$K$106,8,0)),"Check")</f>
        <v/>
      </c>
      <c r="AQ325" s="207" t="str">
        <f>IFERROR(IF(ISBLANK($D325),"",VLOOKUP($N325,'TABLE CHARGE RATE'!$A$30:$K$106,9,0)),"Check")</f>
        <v/>
      </c>
      <c r="AR325" s="207" t="str">
        <f>IFERROR(IF(ISBLANK($D325),"",VLOOKUP($N325,'TABLE CHARGE RATE'!$A$30:$K$106,10,0)),"Check")</f>
        <v/>
      </c>
      <c r="AS325" s="207" t="str">
        <f>IFERROR(IF(ISBLANK($D325),"",VLOOKUP($N325,'TABLE CHARGE RATE'!$A$30:$K$106,11,0)),"Check")</f>
        <v/>
      </c>
      <c r="AT325" s="207">
        <f t="shared" ref="AT325:AT359" si="59">AT324+1</f>
        <v>324</v>
      </c>
    </row>
    <row r="326" spans="1:46" x14ac:dyDescent="0.2">
      <c r="A326" s="207" t="str">
        <f t="shared" si="53"/>
        <v/>
      </c>
      <c r="B326" s="208" t="str">
        <f>IF(ISBLANK(D326),"",VLOOKUP(WEEKDAY($C326,1),INDEX!$J$2:$K$8,2,0))</f>
        <v/>
      </c>
      <c r="C326" s="209"/>
      <c r="D326" s="207"/>
      <c r="E326" s="207"/>
      <c r="F326" s="207"/>
      <c r="G326" s="207"/>
      <c r="H326" s="207"/>
      <c r="I326" s="207"/>
      <c r="J326" s="207"/>
      <c r="K326" s="207"/>
      <c r="L326" s="207"/>
      <c r="M326" s="207"/>
      <c r="N326" s="207"/>
      <c r="O326" s="207"/>
      <c r="P326" s="207"/>
      <c r="Q326" s="207"/>
      <c r="R326" s="207"/>
      <c r="S326" s="207"/>
      <c r="T326" s="207"/>
      <c r="U326" s="209"/>
      <c r="V326" s="207"/>
      <c r="W326" s="207"/>
      <c r="X326" s="209">
        <f t="shared" si="55"/>
        <v>0</v>
      </c>
      <c r="Y326" s="209">
        <f t="shared" si="56"/>
        <v>0</v>
      </c>
      <c r="Z326" s="207">
        <v>1</v>
      </c>
      <c r="AA326" s="209" t="str">
        <f t="shared" si="54"/>
        <v/>
      </c>
      <c r="AB326" s="209"/>
      <c r="AC326" s="207" t="s">
        <v>545</v>
      </c>
      <c r="AD326" s="207"/>
      <c r="AE326" s="207"/>
      <c r="AF326" s="208" t="str">
        <f>IF(ISBLANK(D326),"",VLOOKUP(F326,'SIZE CALCULATION'!$F:$G,2,0))</f>
        <v/>
      </c>
      <c r="AG326" s="207" t="str">
        <f t="shared" si="52"/>
        <v/>
      </c>
      <c r="AH326" s="207" t="str">
        <f t="shared" si="57"/>
        <v/>
      </c>
      <c r="AI326" s="210" t="str">
        <f>IF(ISBLANK(D326),"",VLOOKUP($A326,INDEX!$D$2:$F$13,3,0))</f>
        <v/>
      </c>
      <c r="AJ326" s="207" t="str">
        <f t="shared" si="58"/>
        <v/>
      </c>
      <c r="AK326" s="207"/>
      <c r="AL326" s="207"/>
      <c r="AM326" s="207" t="str">
        <f>IFERROR(IF(ISBLANK($D326),"",VLOOKUP($N326,'TABLE CHARGE RATE'!$A$30:$K$106,5,0)),"Check")</f>
        <v/>
      </c>
      <c r="AN326" s="207" t="str">
        <f>IFERROR(IF(ISBLANK($D326),"",VLOOKUP($N326,'TABLE CHARGE RATE'!$A$30:$K$106,6,0)),"Check")</f>
        <v/>
      </c>
      <c r="AO326" s="207" t="str">
        <f>IFERROR(IF(ISBLANK($D326),"",VLOOKUP($N326,'TABLE CHARGE RATE'!$A$30:$K$106,7,0)),"Check")</f>
        <v/>
      </c>
      <c r="AP326" s="207" t="str">
        <f>IFERROR(IF(ISBLANK($D326),"",VLOOKUP($N326,'TABLE CHARGE RATE'!$A$30:$K$106,8,0)),"Check")</f>
        <v/>
      </c>
      <c r="AQ326" s="207" t="str">
        <f>IFERROR(IF(ISBLANK($D326),"",VLOOKUP($N326,'TABLE CHARGE RATE'!$A$30:$K$106,9,0)),"Check")</f>
        <v/>
      </c>
      <c r="AR326" s="207" t="str">
        <f>IFERROR(IF(ISBLANK($D326),"",VLOOKUP($N326,'TABLE CHARGE RATE'!$A$30:$K$106,10,0)),"Check")</f>
        <v/>
      </c>
      <c r="AS326" s="207" t="str">
        <f>IFERROR(IF(ISBLANK($D326),"",VLOOKUP($N326,'TABLE CHARGE RATE'!$A$30:$K$106,11,0)),"Check")</f>
        <v/>
      </c>
      <c r="AT326" s="207">
        <f t="shared" si="59"/>
        <v>325</v>
      </c>
    </row>
    <row r="327" spans="1:46" x14ac:dyDescent="0.2">
      <c r="A327" s="207" t="str">
        <f t="shared" si="53"/>
        <v/>
      </c>
      <c r="B327" s="208" t="str">
        <f>IF(ISBLANK(D327),"",VLOOKUP(WEEKDAY($C327,1),INDEX!$J$2:$K$8,2,0))</f>
        <v/>
      </c>
      <c r="C327" s="209"/>
      <c r="D327" s="207"/>
      <c r="E327" s="207"/>
      <c r="F327" s="207"/>
      <c r="G327" s="207"/>
      <c r="H327" s="207"/>
      <c r="I327" s="207"/>
      <c r="J327" s="207"/>
      <c r="K327" s="207"/>
      <c r="L327" s="207"/>
      <c r="M327" s="207"/>
      <c r="N327" s="207"/>
      <c r="O327" s="207"/>
      <c r="P327" s="207"/>
      <c r="Q327" s="207"/>
      <c r="R327" s="207"/>
      <c r="S327" s="207"/>
      <c r="T327" s="207"/>
      <c r="U327" s="209"/>
      <c r="V327" s="207"/>
      <c r="W327" s="207"/>
      <c r="X327" s="209">
        <f t="shared" si="55"/>
        <v>0</v>
      </c>
      <c r="Y327" s="209">
        <f t="shared" si="56"/>
        <v>0</v>
      </c>
      <c r="Z327" s="207">
        <v>1</v>
      </c>
      <c r="AA327" s="209" t="str">
        <f t="shared" si="54"/>
        <v/>
      </c>
      <c r="AB327" s="209"/>
      <c r="AC327" s="207" t="s">
        <v>545</v>
      </c>
      <c r="AD327" s="207"/>
      <c r="AE327" s="207"/>
      <c r="AF327" s="208" t="str">
        <f>IF(ISBLANK(D327),"",VLOOKUP(F327,'SIZE CALCULATION'!$F:$G,2,0))</f>
        <v/>
      </c>
      <c r="AG327" s="207" t="str">
        <f t="shared" si="52"/>
        <v/>
      </c>
      <c r="AH327" s="207" t="str">
        <f t="shared" si="57"/>
        <v/>
      </c>
      <c r="AI327" s="210" t="str">
        <f>IF(ISBLANK(D327),"",VLOOKUP($A327,INDEX!$D$2:$F$13,3,0))</f>
        <v/>
      </c>
      <c r="AJ327" s="207" t="str">
        <f t="shared" si="58"/>
        <v/>
      </c>
      <c r="AK327" s="207"/>
      <c r="AL327" s="207"/>
      <c r="AM327" s="207" t="str">
        <f>IFERROR(IF(ISBLANK($D327),"",VLOOKUP($N327,'TABLE CHARGE RATE'!$A$30:$K$106,5,0)),"Check")</f>
        <v/>
      </c>
      <c r="AN327" s="207" t="str">
        <f>IFERROR(IF(ISBLANK($D327),"",VLOOKUP($N327,'TABLE CHARGE RATE'!$A$30:$K$106,6,0)),"Check")</f>
        <v/>
      </c>
      <c r="AO327" s="207" t="str">
        <f>IFERROR(IF(ISBLANK($D327),"",VLOOKUP($N327,'TABLE CHARGE RATE'!$A$30:$K$106,7,0)),"Check")</f>
        <v/>
      </c>
      <c r="AP327" s="207" t="str">
        <f>IFERROR(IF(ISBLANK($D327),"",VLOOKUP($N327,'TABLE CHARGE RATE'!$A$30:$K$106,8,0)),"Check")</f>
        <v/>
      </c>
      <c r="AQ327" s="207" t="str">
        <f>IFERROR(IF(ISBLANK($D327),"",VLOOKUP($N327,'TABLE CHARGE RATE'!$A$30:$K$106,9,0)),"Check")</f>
        <v/>
      </c>
      <c r="AR327" s="207" t="str">
        <f>IFERROR(IF(ISBLANK($D327),"",VLOOKUP($N327,'TABLE CHARGE RATE'!$A$30:$K$106,10,0)),"Check")</f>
        <v/>
      </c>
      <c r="AS327" s="207" t="str">
        <f>IFERROR(IF(ISBLANK($D327),"",VLOOKUP($N327,'TABLE CHARGE RATE'!$A$30:$K$106,11,0)),"Check")</f>
        <v/>
      </c>
      <c r="AT327" s="207">
        <f t="shared" si="59"/>
        <v>326</v>
      </c>
    </row>
    <row r="328" spans="1:46" x14ac:dyDescent="0.2">
      <c r="A328" s="207" t="str">
        <f t="shared" si="53"/>
        <v/>
      </c>
      <c r="B328" s="208" t="str">
        <f>IF(ISBLANK(D328),"",VLOOKUP(WEEKDAY($C328,1),INDEX!$J$2:$K$8,2,0))</f>
        <v/>
      </c>
      <c r="C328" s="209"/>
      <c r="D328" s="207"/>
      <c r="E328" s="207"/>
      <c r="F328" s="207"/>
      <c r="G328" s="207"/>
      <c r="H328" s="207"/>
      <c r="I328" s="207"/>
      <c r="J328" s="207"/>
      <c r="K328" s="207"/>
      <c r="L328" s="207"/>
      <c r="M328" s="207"/>
      <c r="N328" s="207"/>
      <c r="O328" s="207"/>
      <c r="P328" s="207"/>
      <c r="Q328" s="207"/>
      <c r="R328" s="207"/>
      <c r="S328" s="207"/>
      <c r="T328" s="207"/>
      <c r="U328" s="209"/>
      <c r="V328" s="207"/>
      <c r="W328" s="207"/>
      <c r="X328" s="209">
        <f t="shared" si="55"/>
        <v>0</v>
      </c>
      <c r="Y328" s="209">
        <f t="shared" si="56"/>
        <v>0</v>
      </c>
      <c r="Z328" s="207">
        <v>1</v>
      </c>
      <c r="AA328" s="209" t="str">
        <f t="shared" si="54"/>
        <v/>
      </c>
      <c r="AB328" s="209"/>
      <c r="AC328" s="207" t="s">
        <v>545</v>
      </c>
      <c r="AD328" s="207"/>
      <c r="AE328" s="207"/>
      <c r="AF328" s="208" t="str">
        <f>IF(ISBLANK(D328),"",VLOOKUP(F328,'SIZE CALCULATION'!$F:$G,2,0))</f>
        <v/>
      </c>
      <c r="AG328" s="207" t="str">
        <f t="shared" si="52"/>
        <v/>
      </c>
      <c r="AH328" s="207" t="str">
        <f t="shared" si="57"/>
        <v/>
      </c>
      <c r="AI328" s="210" t="str">
        <f>IF(ISBLANK(D328),"",VLOOKUP($A328,INDEX!$D$2:$F$13,3,0))</f>
        <v/>
      </c>
      <c r="AJ328" s="207" t="str">
        <f t="shared" si="58"/>
        <v/>
      </c>
      <c r="AK328" s="207"/>
      <c r="AL328" s="207"/>
      <c r="AM328" s="207" t="str">
        <f>IFERROR(IF(ISBLANK($D328),"",VLOOKUP($N328,'TABLE CHARGE RATE'!$A$30:$K$106,5,0)),"Check")</f>
        <v/>
      </c>
      <c r="AN328" s="207" t="str">
        <f>IFERROR(IF(ISBLANK($D328),"",VLOOKUP($N328,'TABLE CHARGE RATE'!$A$30:$K$106,6,0)),"Check")</f>
        <v/>
      </c>
      <c r="AO328" s="207" t="str">
        <f>IFERROR(IF(ISBLANK($D328),"",VLOOKUP($N328,'TABLE CHARGE RATE'!$A$30:$K$106,7,0)),"Check")</f>
        <v/>
      </c>
      <c r="AP328" s="207" t="str">
        <f>IFERROR(IF(ISBLANK($D328),"",VLOOKUP($N328,'TABLE CHARGE RATE'!$A$30:$K$106,8,0)),"Check")</f>
        <v/>
      </c>
      <c r="AQ328" s="207" t="str">
        <f>IFERROR(IF(ISBLANK($D328),"",VLOOKUP($N328,'TABLE CHARGE RATE'!$A$30:$K$106,9,0)),"Check")</f>
        <v/>
      </c>
      <c r="AR328" s="207" t="str">
        <f>IFERROR(IF(ISBLANK($D328),"",VLOOKUP($N328,'TABLE CHARGE RATE'!$A$30:$K$106,10,0)),"Check")</f>
        <v/>
      </c>
      <c r="AS328" s="207" t="str">
        <f>IFERROR(IF(ISBLANK($D328),"",VLOOKUP($N328,'TABLE CHARGE RATE'!$A$30:$K$106,11,0)),"Check")</f>
        <v/>
      </c>
      <c r="AT328" s="207">
        <f t="shared" si="59"/>
        <v>327</v>
      </c>
    </row>
    <row r="329" spans="1:46" x14ac:dyDescent="0.2">
      <c r="A329" s="207" t="str">
        <f t="shared" si="53"/>
        <v/>
      </c>
      <c r="B329" s="208" t="str">
        <f>IF(ISBLANK(D329),"",VLOOKUP(WEEKDAY($C329,1),INDEX!$J$2:$K$8,2,0))</f>
        <v/>
      </c>
      <c r="C329" s="209"/>
      <c r="D329" s="207"/>
      <c r="E329" s="207"/>
      <c r="F329" s="207"/>
      <c r="G329" s="207"/>
      <c r="H329" s="207"/>
      <c r="I329" s="207"/>
      <c r="J329" s="207"/>
      <c r="K329" s="207"/>
      <c r="L329" s="207"/>
      <c r="M329" s="207"/>
      <c r="N329" s="207"/>
      <c r="O329" s="207"/>
      <c r="P329" s="207"/>
      <c r="Q329" s="207"/>
      <c r="R329" s="207"/>
      <c r="S329" s="207"/>
      <c r="T329" s="207"/>
      <c r="U329" s="209"/>
      <c r="V329" s="207"/>
      <c r="W329" s="207"/>
      <c r="X329" s="209">
        <f t="shared" si="55"/>
        <v>0</v>
      </c>
      <c r="Y329" s="209">
        <f t="shared" si="56"/>
        <v>0</v>
      </c>
      <c r="Z329" s="207">
        <v>1</v>
      </c>
      <c r="AA329" s="209" t="str">
        <f t="shared" si="54"/>
        <v/>
      </c>
      <c r="AB329" s="209"/>
      <c r="AC329" s="207" t="s">
        <v>545</v>
      </c>
      <c r="AD329" s="207"/>
      <c r="AE329" s="207"/>
      <c r="AF329" s="208" t="str">
        <f>IF(ISBLANK(D329),"",VLOOKUP(F329,'SIZE CALCULATION'!$F:$G,2,0))</f>
        <v/>
      </c>
      <c r="AG329" s="207" t="str">
        <f t="shared" si="52"/>
        <v/>
      </c>
      <c r="AH329" s="207" t="str">
        <f t="shared" si="57"/>
        <v/>
      </c>
      <c r="AI329" s="210" t="str">
        <f>IF(ISBLANK(D329),"",VLOOKUP($A329,INDEX!$D$2:$F$13,3,0))</f>
        <v/>
      </c>
      <c r="AJ329" s="207" t="str">
        <f t="shared" si="58"/>
        <v/>
      </c>
      <c r="AK329" s="207"/>
      <c r="AL329" s="207"/>
      <c r="AM329" s="207" t="str">
        <f>IFERROR(IF(ISBLANK($D329),"",VLOOKUP($N329,'TABLE CHARGE RATE'!$A$30:$K$106,5,0)),"Check")</f>
        <v/>
      </c>
      <c r="AN329" s="207" t="str">
        <f>IFERROR(IF(ISBLANK($D329),"",VLOOKUP($N329,'TABLE CHARGE RATE'!$A$30:$K$106,6,0)),"Check")</f>
        <v/>
      </c>
      <c r="AO329" s="207" t="str">
        <f>IFERROR(IF(ISBLANK($D329),"",VLOOKUP($N329,'TABLE CHARGE RATE'!$A$30:$K$106,7,0)),"Check")</f>
        <v/>
      </c>
      <c r="AP329" s="207" t="str">
        <f>IFERROR(IF(ISBLANK($D329),"",VLOOKUP($N329,'TABLE CHARGE RATE'!$A$30:$K$106,8,0)),"Check")</f>
        <v/>
      </c>
      <c r="AQ329" s="207" t="str">
        <f>IFERROR(IF(ISBLANK($D329),"",VLOOKUP($N329,'TABLE CHARGE RATE'!$A$30:$K$106,9,0)),"Check")</f>
        <v/>
      </c>
      <c r="AR329" s="207" t="str">
        <f>IFERROR(IF(ISBLANK($D329),"",VLOOKUP($N329,'TABLE CHARGE RATE'!$A$30:$K$106,10,0)),"Check")</f>
        <v/>
      </c>
      <c r="AS329" s="207" t="str">
        <f>IFERROR(IF(ISBLANK($D329),"",VLOOKUP($N329,'TABLE CHARGE RATE'!$A$30:$K$106,11,0)),"Check")</f>
        <v/>
      </c>
      <c r="AT329" s="207">
        <f t="shared" si="59"/>
        <v>328</v>
      </c>
    </row>
    <row r="330" spans="1:46" x14ac:dyDescent="0.2">
      <c r="A330" s="207" t="str">
        <f t="shared" si="53"/>
        <v/>
      </c>
      <c r="B330" s="208" t="str">
        <f>IF(ISBLANK(D330),"",VLOOKUP(WEEKDAY($C330,1),INDEX!$J$2:$K$8,2,0))</f>
        <v/>
      </c>
      <c r="C330" s="209"/>
      <c r="D330" s="207"/>
      <c r="E330" s="207"/>
      <c r="F330" s="207"/>
      <c r="G330" s="207"/>
      <c r="H330" s="207"/>
      <c r="I330" s="207"/>
      <c r="J330" s="207"/>
      <c r="K330" s="207"/>
      <c r="L330" s="207"/>
      <c r="M330" s="207"/>
      <c r="N330" s="207"/>
      <c r="O330" s="207"/>
      <c r="P330" s="207"/>
      <c r="Q330" s="207"/>
      <c r="R330" s="207"/>
      <c r="S330" s="207"/>
      <c r="T330" s="207"/>
      <c r="U330" s="209"/>
      <c r="V330" s="207"/>
      <c r="W330" s="207"/>
      <c r="X330" s="209">
        <f t="shared" si="55"/>
        <v>0</v>
      </c>
      <c r="Y330" s="209">
        <f t="shared" si="56"/>
        <v>0</v>
      </c>
      <c r="Z330" s="207" t="s">
        <v>546</v>
      </c>
      <c r="AA330" s="209" t="str">
        <f t="shared" si="54"/>
        <v/>
      </c>
      <c r="AB330" s="209"/>
      <c r="AC330" s="207" t="s">
        <v>545</v>
      </c>
      <c r="AD330" s="207"/>
      <c r="AE330" s="207"/>
      <c r="AF330" s="208" t="str">
        <f>IF(ISBLANK(D330),"",VLOOKUP(F330,'SIZE CALCULATION'!$F:$G,2,0))</f>
        <v/>
      </c>
      <c r="AG330" s="207" t="str">
        <f t="shared" si="52"/>
        <v/>
      </c>
      <c r="AH330" s="207" t="str">
        <f t="shared" si="57"/>
        <v/>
      </c>
      <c r="AI330" s="210" t="str">
        <f>IF(ISBLANK(D330),"",VLOOKUP($A330,INDEX!$D$2:$F$13,3,0))</f>
        <v/>
      </c>
      <c r="AJ330" s="207" t="str">
        <f t="shared" si="58"/>
        <v/>
      </c>
      <c r="AK330" s="207"/>
      <c r="AL330" s="207"/>
      <c r="AM330" s="207" t="str">
        <f>IFERROR(IF(ISBLANK($D330),"",VLOOKUP($N330,'TABLE CHARGE RATE'!$A$30:$K$106,5,0)),"Check")</f>
        <v/>
      </c>
      <c r="AN330" s="207" t="str">
        <f>IFERROR(IF(ISBLANK($D330),"",VLOOKUP($N330,'TABLE CHARGE RATE'!$A$30:$K$106,6,0)),"Check")</f>
        <v/>
      </c>
      <c r="AO330" s="207" t="str">
        <f>IFERROR(IF(ISBLANK($D330),"",VLOOKUP($N330,'TABLE CHARGE RATE'!$A$30:$K$106,7,0)),"Check")</f>
        <v/>
      </c>
      <c r="AP330" s="207" t="str">
        <f>IFERROR(IF(ISBLANK($D330),"",VLOOKUP($N330,'TABLE CHARGE RATE'!$A$30:$K$106,8,0)),"Check")</f>
        <v/>
      </c>
      <c r="AQ330" s="207" t="str">
        <f>IFERROR(IF(ISBLANK($D330),"",VLOOKUP($N330,'TABLE CHARGE RATE'!$A$30:$K$106,9,0)),"Check")</f>
        <v/>
      </c>
      <c r="AR330" s="207" t="str">
        <f>IFERROR(IF(ISBLANK($D330),"",VLOOKUP($N330,'TABLE CHARGE RATE'!$A$30:$K$106,10,0)),"Check")</f>
        <v/>
      </c>
      <c r="AS330" s="207" t="str">
        <f>IFERROR(IF(ISBLANK($D330),"",VLOOKUP($N330,'TABLE CHARGE RATE'!$A$30:$K$106,11,0)),"Check")</f>
        <v/>
      </c>
      <c r="AT330" s="207">
        <f t="shared" si="59"/>
        <v>329</v>
      </c>
    </row>
    <row r="331" spans="1:46" x14ac:dyDescent="0.2">
      <c r="A331" s="207" t="str">
        <f t="shared" si="53"/>
        <v/>
      </c>
      <c r="B331" s="208" t="str">
        <f>IF(ISBLANK(D331),"",VLOOKUP(WEEKDAY($C331,1),INDEX!$J$2:$K$8,2,0))</f>
        <v/>
      </c>
      <c r="C331" s="209"/>
      <c r="D331" s="207"/>
      <c r="E331" s="207"/>
      <c r="F331" s="207"/>
      <c r="G331" s="207"/>
      <c r="H331" s="207"/>
      <c r="I331" s="207"/>
      <c r="J331" s="207"/>
      <c r="K331" s="207"/>
      <c r="L331" s="207"/>
      <c r="M331" s="207"/>
      <c r="N331" s="207"/>
      <c r="O331" s="207"/>
      <c r="P331" s="207"/>
      <c r="Q331" s="207"/>
      <c r="R331" s="207"/>
      <c r="S331" s="207"/>
      <c r="T331" s="207"/>
      <c r="U331" s="209"/>
      <c r="V331" s="207"/>
      <c r="W331" s="207"/>
      <c r="X331" s="209">
        <f t="shared" si="55"/>
        <v>0</v>
      </c>
      <c r="Y331" s="209">
        <f t="shared" si="56"/>
        <v>0</v>
      </c>
      <c r="Z331" s="207" t="s">
        <v>546</v>
      </c>
      <c r="AA331" s="209" t="str">
        <f t="shared" si="54"/>
        <v/>
      </c>
      <c r="AB331" s="209"/>
      <c r="AC331" s="207" t="s">
        <v>545</v>
      </c>
      <c r="AD331" s="207"/>
      <c r="AE331" s="207"/>
      <c r="AF331" s="208" t="str">
        <f>IF(ISBLANK(D331),"",VLOOKUP(F331,'SIZE CALCULATION'!$F:$G,2,0))</f>
        <v/>
      </c>
      <c r="AG331" s="207" t="str">
        <f t="shared" si="52"/>
        <v/>
      </c>
      <c r="AH331" s="207" t="str">
        <f t="shared" si="57"/>
        <v/>
      </c>
      <c r="AI331" s="210" t="str">
        <f>IF(ISBLANK(D331),"",VLOOKUP($A331,INDEX!$D$2:$F$13,3,0))</f>
        <v/>
      </c>
      <c r="AJ331" s="207" t="str">
        <f t="shared" si="58"/>
        <v/>
      </c>
      <c r="AK331" s="207"/>
      <c r="AL331" s="207"/>
      <c r="AM331" s="207" t="str">
        <f>IFERROR(IF(ISBLANK($D331),"",VLOOKUP($N331,'TABLE CHARGE RATE'!$A$30:$K$106,5,0)),"Check")</f>
        <v/>
      </c>
      <c r="AN331" s="207" t="str">
        <f>IFERROR(IF(ISBLANK($D331),"",VLOOKUP($N331,'TABLE CHARGE RATE'!$A$30:$K$106,6,0)),"Check")</f>
        <v/>
      </c>
      <c r="AO331" s="207" t="str">
        <f>IFERROR(IF(ISBLANK($D331),"",VLOOKUP($N331,'TABLE CHARGE RATE'!$A$30:$K$106,7,0)),"Check")</f>
        <v/>
      </c>
      <c r="AP331" s="207" t="str">
        <f>IFERROR(IF(ISBLANK($D331),"",VLOOKUP($N331,'TABLE CHARGE RATE'!$A$30:$K$106,8,0)),"Check")</f>
        <v/>
      </c>
      <c r="AQ331" s="207" t="str">
        <f>IFERROR(IF(ISBLANK($D331),"",VLOOKUP($N331,'TABLE CHARGE RATE'!$A$30:$K$106,9,0)),"Check")</f>
        <v/>
      </c>
      <c r="AR331" s="207" t="str">
        <f>IFERROR(IF(ISBLANK($D331),"",VLOOKUP($N331,'TABLE CHARGE RATE'!$A$30:$K$106,10,0)),"Check")</f>
        <v/>
      </c>
      <c r="AS331" s="207" t="str">
        <f>IFERROR(IF(ISBLANK($D331),"",VLOOKUP($N331,'TABLE CHARGE RATE'!$A$30:$K$106,11,0)),"Check")</f>
        <v/>
      </c>
      <c r="AT331" s="207">
        <f t="shared" si="59"/>
        <v>330</v>
      </c>
    </row>
    <row r="332" spans="1:46" x14ac:dyDescent="0.2">
      <c r="A332" s="207" t="str">
        <f t="shared" si="53"/>
        <v/>
      </c>
      <c r="B332" s="208" t="str">
        <f>IF(ISBLANK(D332),"",VLOOKUP(WEEKDAY($C332,1),INDEX!$J$2:$K$8,2,0))</f>
        <v/>
      </c>
      <c r="C332" s="209"/>
      <c r="D332" s="207"/>
      <c r="E332" s="207"/>
      <c r="F332" s="207"/>
      <c r="G332" s="207"/>
      <c r="H332" s="207"/>
      <c r="I332" s="207"/>
      <c r="J332" s="207"/>
      <c r="K332" s="207"/>
      <c r="L332" s="207"/>
      <c r="M332" s="207"/>
      <c r="N332" s="207"/>
      <c r="O332" s="207"/>
      <c r="P332" s="207"/>
      <c r="Q332" s="207"/>
      <c r="R332" s="207"/>
      <c r="S332" s="207"/>
      <c r="T332" s="207"/>
      <c r="U332" s="209"/>
      <c r="V332" s="207"/>
      <c r="W332" s="207"/>
      <c r="X332" s="209">
        <f t="shared" si="55"/>
        <v>0</v>
      </c>
      <c r="Y332" s="209">
        <f t="shared" si="56"/>
        <v>0</v>
      </c>
      <c r="Z332" s="207" t="s">
        <v>546</v>
      </c>
      <c r="AA332" s="209" t="str">
        <f t="shared" si="54"/>
        <v/>
      </c>
      <c r="AB332" s="209"/>
      <c r="AC332" s="207" t="s">
        <v>545</v>
      </c>
      <c r="AD332" s="207"/>
      <c r="AE332" s="207"/>
      <c r="AF332" s="208" t="str">
        <f>IF(ISBLANK(D332),"",VLOOKUP(F332,'SIZE CALCULATION'!$F:$G,2,0))</f>
        <v/>
      </c>
      <c r="AG332" s="207" t="str">
        <f t="shared" si="52"/>
        <v/>
      </c>
      <c r="AH332" s="207" t="str">
        <f t="shared" si="57"/>
        <v/>
      </c>
      <c r="AI332" s="210" t="str">
        <f>IF(ISBLANK(D332),"",VLOOKUP($A332,INDEX!$D$2:$F$13,3,0))</f>
        <v/>
      </c>
      <c r="AJ332" s="207" t="str">
        <f t="shared" si="58"/>
        <v/>
      </c>
      <c r="AK332" s="207"/>
      <c r="AL332" s="207"/>
      <c r="AM332" s="207" t="str">
        <f>IFERROR(IF(ISBLANK($D332),"",VLOOKUP($N332,'TABLE CHARGE RATE'!$A$30:$K$106,5,0)),"Check")</f>
        <v/>
      </c>
      <c r="AN332" s="207" t="str">
        <f>IFERROR(IF(ISBLANK($D332),"",VLOOKUP($N332,'TABLE CHARGE RATE'!$A$30:$K$106,6,0)),"Check")</f>
        <v/>
      </c>
      <c r="AO332" s="207" t="str">
        <f>IFERROR(IF(ISBLANK($D332),"",VLOOKUP($N332,'TABLE CHARGE RATE'!$A$30:$K$106,7,0)),"Check")</f>
        <v/>
      </c>
      <c r="AP332" s="207" t="str">
        <f>IFERROR(IF(ISBLANK($D332),"",VLOOKUP($N332,'TABLE CHARGE RATE'!$A$30:$K$106,8,0)),"Check")</f>
        <v/>
      </c>
      <c r="AQ332" s="207" t="str">
        <f>IFERROR(IF(ISBLANK($D332),"",VLOOKUP($N332,'TABLE CHARGE RATE'!$A$30:$K$106,9,0)),"Check")</f>
        <v/>
      </c>
      <c r="AR332" s="207" t="str">
        <f>IFERROR(IF(ISBLANK($D332),"",VLOOKUP($N332,'TABLE CHARGE RATE'!$A$30:$K$106,10,0)),"Check")</f>
        <v/>
      </c>
      <c r="AS332" s="207" t="str">
        <f>IFERROR(IF(ISBLANK($D332),"",VLOOKUP($N332,'TABLE CHARGE RATE'!$A$30:$K$106,11,0)),"Check")</f>
        <v/>
      </c>
      <c r="AT332" s="207">
        <f t="shared" si="59"/>
        <v>331</v>
      </c>
    </row>
    <row r="333" spans="1:46" x14ac:dyDescent="0.2">
      <c r="A333" s="207" t="str">
        <f t="shared" si="53"/>
        <v/>
      </c>
      <c r="B333" s="208" t="str">
        <f>IF(ISBLANK(D333),"",VLOOKUP(WEEKDAY($C333,1),INDEX!$J$2:$K$8,2,0))</f>
        <v/>
      </c>
      <c r="C333" s="209"/>
      <c r="D333" s="207"/>
      <c r="E333" s="207"/>
      <c r="F333" s="207"/>
      <c r="G333" s="207"/>
      <c r="H333" s="207"/>
      <c r="I333" s="207"/>
      <c r="J333" s="207"/>
      <c r="K333" s="207"/>
      <c r="L333" s="207"/>
      <c r="M333" s="207"/>
      <c r="N333" s="207"/>
      <c r="O333" s="207"/>
      <c r="P333" s="207"/>
      <c r="Q333" s="207"/>
      <c r="R333" s="207"/>
      <c r="S333" s="207"/>
      <c r="T333" s="207"/>
      <c r="U333" s="209"/>
      <c r="V333" s="207"/>
      <c r="W333" s="207"/>
      <c r="X333" s="209">
        <f t="shared" si="55"/>
        <v>0</v>
      </c>
      <c r="Y333" s="209">
        <f t="shared" si="56"/>
        <v>0</v>
      </c>
      <c r="Z333" s="207" t="s">
        <v>546</v>
      </c>
      <c r="AA333" s="209" t="str">
        <f t="shared" si="54"/>
        <v/>
      </c>
      <c r="AB333" s="209"/>
      <c r="AC333" s="207" t="s">
        <v>545</v>
      </c>
      <c r="AD333" s="207"/>
      <c r="AE333" s="207"/>
      <c r="AF333" s="208" t="str">
        <f>IF(ISBLANK(D333),"",VLOOKUP(F333,'SIZE CALCULATION'!$F:$G,2,0))</f>
        <v/>
      </c>
      <c r="AG333" s="207" t="str">
        <f t="shared" si="52"/>
        <v/>
      </c>
      <c r="AH333" s="207" t="str">
        <f t="shared" si="57"/>
        <v/>
      </c>
      <c r="AI333" s="210" t="str">
        <f>IF(ISBLANK(D333),"",VLOOKUP($A333,INDEX!$D$2:$F$13,3,0))</f>
        <v/>
      </c>
      <c r="AJ333" s="207" t="str">
        <f t="shared" si="58"/>
        <v/>
      </c>
      <c r="AK333" s="207"/>
      <c r="AL333" s="207"/>
      <c r="AM333" s="207" t="str">
        <f>IFERROR(IF(ISBLANK($D333),"",VLOOKUP($N333,'TABLE CHARGE RATE'!$A$30:$K$106,5,0)),"Check")</f>
        <v/>
      </c>
      <c r="AN333" s="207" t="str">
        <f>IFERROR(IF(ISBLANK($D333),"",VLOOKUP($N333,'TABLE CHARGE RATE'!$A$30:$K$106,6,0)),"Check")</f>
        <v/>
      </c>
      <c r="AO333" s="207" t="str">
        <f>IFERROR(IF(ISBLANK($D333),"",VLOOKUP($N333,'TABLE CHARGE RATE'!$A$30:$K$106,7,0)),"Check")</f>
        <v/>
      </c>
      <c r="AP333" s="207" t="str">
        <f>IFERROR(IF(ISBLANK($D333),"",VLOOKUP($N333,'TABLE CHARGE RATE'!$A$30:$K$106,8,0)),"Check")</f>
        <v/>
      </c>
      <c r="AQ333" s="207" t="str">
        <f>IFERROR(IF(ISBLANK($D333),"",VLOOKUP($N333,'TABLE CHARGE RATE'!$A$30:$K$106,9,0)),"Check")</f>
        <v/>
      </c>
      <c r="AR333" s="207" t="str">
        <f>IFERROR(IF(ISBLANK($D333),"",VLOOKUP($N333,'TABLE CHARGE RATE'!$A$30:$K$106,10,0)),"Check")</f>
        <v/>
      </c>
      <c r="AS333" s="207" t="str">
        <f>IFERROR(IF(ISBLANK($D333),"",VLOOKUP($N333,'TABLE CHARGE RATE'!$A$30:$K$106,11,0)),"Check")</f>
        <v/>
      </c>
      <c r="AT333" s="207">
        <f t="shared" si="59"/>
        <v>332</v>
      </c>
    </row>
    <row r="334" spans="1:46" x14ac:dyDescent="0.2">
      <c r="A334" s="207" t="str">
        <f t="shared" si="53"/>
        <v/>
      </c>
      <c r="B334" s="208" t="str">
        <f>IF(ISBLANK(D334),"",VLOOKUP(WEEKDAY($C334,1),INDEX!$J$2:$K$8,2,0))</f>
        <v/>
      </c>
      <c r="C334" s="209"/>
      <c r="D334" s="207"/>
      <c r="E334" s="207"/>
      <c r="F334" s="207"/>
      <c r="G334" s="207"/>
      <c r="H334" s="207"/>
      <c r="I334" s="207"/>
      <c r="J334" s="207"/>
      <c r="K334" s="207"/>
      <c r="L334" s="207"/>
      <c r="M334" s="207"/>
      <c r="N334" s="207"/>
      <c r="O334" s="207"/>
      <c r="P334" s="207"/>
      <c r="Q334" s="207"/>
      <c r="R334" s="207"/>
      <c r="S334" s="207"/>
      <c r="T334" s="207"/>
      <c r="U334" s="209"/>
      <c r="V334" s="207"/>
      <c r="W334" s="207"/>
      <c r="X334" s="209">
        <f t="shared" si="55"/>
        <v>0</v>
      </c>
      <c r="Y334" s="209">
        <f t="shared" si="56"/>
        <v>0</v>
      </c>
      <c r="Z334" s="207" t="s">
        <v>546</v>
      </c>
      <c r="AA334" s="209" t="str">
        <f t="shared" si="54"/>
        <v/>
      </c>
      <c r="AB334" s="209"/>
      <c r="AC334" s="207" t="s">
        <v>545</v>
      </c>
      <c r="AD334" s="207"/>
      <c r="AE334" s="207"/>
      <c r="AF334" s="208" t="str">
        <f>IF(ISBLANK(D334),"",VLOOKUP(F334,'SIZE CALCULATION'!$F:$G,2,0))</f>
        <v/>
      </c>
      <c r="AG334" s="207" t="str">
        <f t="shared" si="52"/>
        <v/>
      </c>
      <c r="AH334" s="207" t="str">
        <f t="shared" si="57"/>
        <v/>
      </c>
      <c r="AI334" s="210" t="str">
        <f>IF(ISBLANK(D334),"",VLOOKUP($A334,INDEX!$D$2:$F$13,3,0))</f>
        <v/>
      </c>
      <c r="AJ334" s="207" t="str">
        <f t="shared" si="58"/>
        <v/>
      </c>
      <c r="AK334" s="207"/>
      <c r="AL334" s="207"/>
      <c r="AM334" s="207" t="str">
        <f>IFERROR(IF(ISBLANK($D334),"",VLOOKUP($N334,'TABLE CHARGE RATE'!$A$30:$K$106,5,0)),"Check")</f>
        <v/>
      </c>
      <c r="AN334" s="207" t="str">
        <f>IFERROR(IF(ISBLANK($D334),"",VLOOKUP($N334,'TABLE CHARGE RATE'!$A$30:$K$106,6,0)),"Check")</f>
        <v/>
      </c>
      <c r="AO334" s="207" t="str">
        <f>IFERROR(IF(ISBLANK($D334),"",VLOOKUP($N334,'TABLE CHARGE RATE'!$A$30:$K$106,7,0)),"Check")</f>
        <v/>
      </c>
      <c r="AP334" s="207" t="str">
        <f>IFERROR(IF(ISBLANK($D334),"",VLOOKUP($N334,'TABLE CHARGE RATE'!$A$30:$K$106,8,0)),"Check")</f>
        <v/>
      </c>
      <c r="AQ334" s="207" t="str">
        <f>IFERROR(IF(ISBLANK($D334),"",VLOOKUP($N334,'TABLE CHARGE RATE'!$A$30:$K$106,9,0)),"Check")</f>
        <v/>
      </c>
      <c r="AR334" s="207" t="str">
        <f>IFERROR(IF(ISBLANK($D334),"",VLOOKUP($N334,'TABLE CHARGE RATE'!$A$30:$K$106,10,0)),"Check")</f>
        <v/>
      </c>
      <c r="AS334" s="207" t="str">
        <f>IFERROR(IF(ISBLANK($D334),"",VLOOKUP($N334,'TABLE CHARGE RATE'!$A$30:$K$106,11,0)),"Check")</f>
        <v/>
      </c>
      <c r="AT334" s="207">
        <f t="shared" si="59"/>
        <v>333</v>
      </c>
    </row>
    <row r="335" spans="1:46" x14ac:dyDescent="0.2">
      <c r="A335" s="207" t="str">
        <f t="shared" si="53"/>
        <v/>
      </c>
      <c r="B335" s="208" t="str">
        <f>IF(ISBLANK(D335),"",VLOOKUP(WEEKDAY($C335,1),INDEX!$J$2:$K$8,2,0))</f>
        <v/>
      </c>
      <c r="C335" s="209"/>
      <c r="D335" s="207"/>
      <c r="E335" s="207"/>
      <c r="F335" s="207"/>
      <c r="G335" s="207"/>
      <c r="H335" s="207"/>
      <c r="I335" s="207"/>
      <c r="J335" s="207"/>
      <c r="K335" s="207"/>
      <c r="L335" s="207"/>
      <c r="M335" s="207"/>
      <c r="N335" s="207"/>
      <c r="O335" s="207"/>
      <c r="P335" s="207"/>
      <c r="Q335" s="207"/>
      <c r="R335" s="207"/>
      <c r="S335" s="207"/>
      <c r="T335" s="207"/>
      <c r="U335" s="209"/>
      <c r="V335" s="207"/>
      <c r="W335" s="207"/>
      <c r="X335" s="209">
        <f t="shared" si="55"/>
        <v>0</v>
      </c>
      <c r="Y335" s="209">
        <f t="shared" si="56"/>
        <v>0</v>
      </c>
      <c r="Z335" s="207" t="s">
        <v>546</v>
      </c>
      <c r="AA335" s="209" t="str">
        <f t="shared" si="54"/>
        <v/>
      </c>
      <c r="AB335" s="209"/>
      <c r="AC335" s="207" t="s">
        <v>545</v>
      </c>
      <c r="AD335" s="207"/>
      <c r="AE335" s="207"/>
      <c r="AF335" s="208" t="str">
        <f>IF(ISBLANK(D335),"",VLOOKUP(F335,'SIZE CALCULATION'!$F:$G,2,0))</f>
        <v/>
      </c>
      <c r="AG335" s="207" t="str">
        <f t="shared" si="52"/>
        <v/>
      </c>
      <c r="AH335" s="207" t="str">
        <f t="shared" si="57"/>
        <v/>
      </c>
      <c r="AI335" s="210" t="str">
        <f>IF(ISBLANK(D335),"",VLOOKUP($A335,INDEX!$D$2:$F$13,3,0))</f>
        <v/>
      </c>
      <c r="AJ335" s="207" t="str">
        <f t="shared" si="58"/>
        <v/>
      </c>
      <c r="AK335" s="207"/>
      <c r="AL335" s="207"/>
      <c r="AM335" s="207" t="str">
        <f>IFERROR(IF(ISBLANK($D335),"",VLOOKUP($N335,'TABLE CHARGE RATE'!$A$30:$K$106,5,0)),"Check")</f>
        <v/>
      </c>
      <c r="AN335" s="207" t="str">
        <f>IFERROR(IF(ISBLANK($D335),"",VLOOKUP($N335,'TABLE CHARGE RATE'!$A$30:$K$106,6,0)),"Check")</f>
        <v/>
      </c>
      <c r="AO335" s="207" t="str">
        <f>IFERROR(IF(ISBLANK($D335),"",VLOOKUP($N335,'TABLE CHARGE RATE'!$A$30:$K$106,7,0)),"Check")</f>
        <v/>
      </c>
      <c r="AP335" s="207" t="str">
        <f>IFERROR(IF(ISBLANK($D335),"",VLOOKUP($N335,'TABLE CHARGE RATE'!$A$30:$K$106,8,0)),"Check")</f>
        <v/>
      </c>
      <c r="AQ335" s="207" t="str">
        <f>IFERROR(IF(ISBLANK($D335),"",VLOOKUP($N335,'TABLE CHARGE RATE'!$A$30:$K$106,9,0)),"Check")</f>
        <v/>
      </c>
      <c r="AR335" s="207" t="str">
        <f>IFERROR(IF(ISBLANK($D335),"",VLOOKUP($N335,'TABLE CHARGE RATE'!$A$30:$K$106,10,0)),"Check")</f>
        <v/>
      </c>
      <c r="AS335" s="207" t="str">
        <f>IFERROR(IF(ISBLANK($D335),"",VLOOKUP($N335,'TABLE CHARGE RATE'!$A$30:$K$106,11,0)),"Check")</f>
        <v/>
      </c>
      <c r="AT335" s="207">
        <f t="shared" si="59"/>
        <v>334</v>
      </c>
    </row>
    <row r="336" spans="1:46" x14ac:dyDescent="0.2">
      <c r="A336" s="207" t="str">
        <f t="shared" si="53"/>
        <v/>
      </c>
      <c r="B336" s="208" t="str">
        <f>IF(ISBLANK(D336),"",VLOOKUP(WEEKDAY($C336,1),INDEX!$J$2:$K$8,2,0))</f>
        <v/>
      </c>
      <c r="C336" s="209"/>
      <c r="D336" s="207"/>
      <c r="E336" s="207"/>
      <c r="F336" s="207"/>
      <c r="G336" s="207"/>
      <c r="H336" s="207"/>
      <c r="I336" s="207"/>
      <c r="J336" s="207"/>
      <c r="K336" s="207"/>
      <c r="L336" s="207"/>
      <c r="M336" s="207"/>
      <c r="N336" s="207"/>
      <c r="O336" s="207"/>
      <c r="P336" s="207"/>
      <c r="Q336" s="207"/>
      <c r="R336" s="207"/>
      <c r="S336" s="207"/>
      <c r="T336" s="207"/>
      <c r="U336" s="209"/>
      <c r="V336" s="207"/>
      <c r="W336" s="207"/>
      <c r="X336" s="209">
        <f t="shared" si="55"/>
        <v>0</v>
      </c>
      <c r="Y336" s="209">
        <f t="shared" si="56"/>
        <v>0</v>
      </c>
      <c r="Z336" s="207" t="s">
        <v>546</v>
      </c>
      <c r="AA336" s="209" t="str">
        <f t="shared" si="54"/>
        <v/>
      </c>
      <c r="AB336" s="209"/>
      <c r="AC336" s="207" t="s">
        <v>545</v>
      </c>
      <c r="AD336" s="207"/>
      <c r="AE336" s="207"/>
      <c r="AF336" s="208" t="str">
        <f>IF(ISBLANK(D336),"",VLOOKUP(F336,'SIZE CALCULATION'!$F:$G,2,0))</f>
        <v/>
      </c>
      <c r="AG336" s="207" t="str">
        <f t="shared" si="52"/>
        <v/>
      </c>
      <c r="AH336" s="207" t="str">
        <f t="shared" si="57"/>
        <v/>
      </c>
      <c r="AI336" s="210" t="str">
        <f>IF(ISBLANK(D336),"",VLOOKUP($A336,INDEX!$D$2:$F$13,3,0))</f>
        <v/>
      </c>
      <c r="AJ336" s="207" t="str">
        <f t="shared" si="58"/>
        <v/>
      </c>
      <c r="AK336" s="207"/>
      <c r="AL336" s="207"/>
      <c r="AM336" s="207" t="str">
        <f>IFERROR(IF(ISBLANK($D336),"",VLOOKUP($N336,'TABLE CHARGE RATE'!$A$30:$K$106,5,0)),"Check")</f>
        <v/>
      </c>
      <c r="AN336" s="207" t="str">
        <f>IFERROR(IF(ISBLANK($D336),"",VLOOKUP($N336,'TABLE CHARGE RATE'!$A$30:$K$106,6,0)),"Check")</f>
        <v/>
      </c>
      <c r="AO336" s="207" t="str">
        <f>IFERROR(IF(ISBLANK($D336),"",VLOOKUP($N336,'TABLE CHARGE RATE'!$A$30:$K$106,7,0)),"Check")</f>
        <v/>
      </c>
      <c r="AP336" s="207" t="str">
        <f>IFERROR(IF(ISBLANK($D336),"",VLOOKUP($N336,'TABLE CHARGE RATE'!$A$30:$K$106,8,0)),"Check")</f>
        <v/>
      </c>
      <c r="AQ336" s="207" t="str">
        <f>IFERROR(IF(ISBLANK($D336),"",VLOOKUP($N336,'TABLE CHARGE RATE'!$A$30:$K$106,9,0)),"Check")</f>
        <v/>
      </c>
      <c r="AR336" s="207" t="str">
        <f>IFERROR(IF(ISBLANK($D336),"",VLOOKUP($N336,'TABLE CHARGE RATE'!$A$30:$K$106,10,0)),"Check")</f>
        <v/>
      </c>
      <c r="AS336" s="207" t="str">
        <f>IFERROR(IF(ISBLANK($D336),"",VLOOKUP($N336,'TABLE CHARGE RATE'!$A$30:$K$106,11,0)),"Check")</f>
        <v/>
      </c>
      <c r="AT336" s="207">
        <f t="shared" si="59"/>
        <v>335</v>
      </c>
    </row>
    <row r="337" spans="1:46" x14ac:dyDescent="0.2">
      <c r="A337" s="207" t="str">
        <f t="shared" si="53"/>
        <v/>
      </c>
      <c r="B337" s="208" t="str">
        <f>IF(ISBLANK(D337),"",VLOOKUP(WEEKDAY($C337,1),INDEX!$J$2:$K$8,2,0))</f>
        <v/>
      </c>
      <c r="C337" s="209"/>
      <c r="D337" s="207"/>
      <c r="E337" s="207"/>
      <c r="F337" s="207"/>
      <c r="G337" s="207"/>
      <c r="H337" s="207"/>
      <c r="I337" s="207"/>
      <c r="J337" s="207"/>
      <c r="K337" s="207"/>
      <c r="L337" s="207"/>
      <c r="M337" s="207"/>
      <c r="N337" s="207"/>
      <c r="O337" s="207"/>
      <c r="P337" s="207"/>
      <c r="Q337" s="207"/>
      <c r="R337" s="207"/>
      <c r="S337" s="207"/>
      <c r="T337" s="207"/>
      <c r="U337" s="209"/>
      <c r="V337" s="207"/>
      <c r="W337" s="207"/>
      <c r="X337" s="209">
        <f t="shared" si="55"/>
        <v>0</v>
      </c>
      <c r="Y337" s="209">
        <f t="shared" si="56"/>
        <v>0</v>
      </c>
      <c r="Z337" s="207" t="s">
        <v>546</v>
      </c>
      <c r="AA337" s="209" t="str">
        <f t="shared" si="54"/>
        <v/>
      </c>
      <c r="AB337" s="209"/>
      <c r="AC337" s="207" t="s">
        <v>545</v>
      </c>
      <c r="AD337" s="207"/>
      <c r="AE337" s="207"/>
      <c r="AF337" s="208" t="str">
        <f>IF(ISBLANK(D337),"",VLOOKUP(F337,'SIZE CALCULATION'!$F:$G,2,0))</f>
        <v/>
      </c>
      <c r="AG337" s="207" t="str">
        <f t="shared" si="52"/>
        <v/>
      </c>
      <c r="AH337" s="207" t="str">
        <f t="shared" si="57"/>
        <v/>
      </c>
      <c r="AI337" s="210" t="str">
        <f>IF(ISBLANK(D337),"",VLOOKUP($A337,INDEX!$D$2:$F$13,3,0))</f>
        <v/>
      </c>
      <c r="AJ337" s="207" t="str">
        <f t="shared" si="58"/>
        <v/>
      </c>
      <c r="AK337" s="207"/>
      <c r="AL337" s="207"/>
      <c r="AM337" s="207" t="str">
        <f>IFERROR(IF(ISBLANK($D337),"",VLOOKUP($N337,'TABLE CHARGE RATE'!$A$30:$K$106,5,0)),"Check")</f>
        <v/>
      </c>
      <c r="AN337" s="207" t="str">
        <f>IFERROR(IF(ISBLANK($D337),"",VLOOKUP($N337,'TABLE CHARGE RATE'!$A$30:$K$106,6,0)),"Check")</f>
        <v/>
      </c>
      <c r="AO337" s="207" t="str">
        <f>IFERROR(IF(ISBLANK($D337),"",VLOOKUP($N337,'TABLE CHARGE RATE'!$A$30:$K$106,7,0)),"Check")</f>
        <v/>
      </c>
      <c r="AP337" s="207" t="str">
        <f>IFERROR(IF(ISBLANK($D337),"",VLOOKUP($N337,'TABLE CHARGE RATE'!$A$30:$K$106,8,0)),"Check")</f>
        <v/>
      </c>
      <c r="AQ337" s="207" t="str">
        <f>IFERROR(IF(ISBLANK($D337),"",VLOOKUP($N337,'TABLE CHARGE RATE'!$A$30:$K$106,9,0)),"Check")</f>
        <v/>
      </c>
      <c r="AR337" s="207" t="str">
        <f>IFERROR(IF(ISBLANK($D337),"",VLOOKUP($N337,'TABLE CHARGE RATE'!$A$30:$K$106,10,0)),"Check")</f>
        <v/>
      </c>
      <c r="AS337" s="207" t="str">
        <f>IFERROR(IF(ISBLANK($D337),"",VLOOKUP($N337,'TABLE CHARGE RATE'!$A$30:$K$106,11,0)),"Check")</f>
        <v/>
      </c>
      <c r="AT337" s="207">
        <f t="shared" si="59"/>
        <v>336</v>
      </c>
    </row>
    <row r="338" spans="1:46" x14ac:dyDescent="0.2">
      <c r="A338" s="207" t="str">
        <f t="shared" si="53"/>
        <v/>
      </c>
      <c r="B338" s="208" t="str">
        <f>IF(ISBLANK(D338),"",VLOOKUP(WEEKDAY($C338,1),INDEX!$J$2:$K$8,2,0))</f>
        <v/>
      </c>
      <c r="C338" s="209"/>
      <c r="D338" s="207"/>
      <c r="E338" s="207"/>
      <c r="F338" s="207"/>
      <c r="G338" s="207"/>
      <c r="H338" s="207"/>
      <c r="I338" s="207"/>
      <c r="J338" s="207"/>
      <c r="K338" s="207"/>
      <c r="L338" s="207"/>
      <c r="M338" s="207"/>
      <c r="N338" s="207"/>
      <c r="O338" s="207"/>
      <c r="P338" s="207"/>
      <c r="Q338" s="207"/>
      <c r="R338" s="207"/>
      <c r="S338" s="207"/>
      <c r="T338" s="207"/>
      <c r="U338" s="209"/>
      <c r="V338" s="207"/>
      <c r="W338" s="207"/>
      <c r="X338" s="209">
        <f t="shared" si="55"/>
        <v>0</v>
      </c>
      <c r="Y338" s="209">
        <f t="shared" si="56"/>
        <v>0</v>
      </c>
      <c r="Z338" s="207" t="s">
        <v>546</v>
      </c>
      <c r="AA338" s="209" t="str">
        <f t="shared" si="54"/>
        <v/>
      </c>
      <c r="AB338" s="209"/>
      <c r="AC338" s="207" t="s">
        <v>545</v>
      </c>
      <c r="AD338" s="207"/>
      <c r="AE338" s="207"/>
      <c r="AF338" s="208" t="str">
        <f>IF(ISBLANK(D338),"",VLOOKUP(F338,'SIZE CALCULATION'!$F:$G,2,0))</f>
        <v/>
      </c>
      <c r="AG338" s="207" t="str">
        <f t="shared" si="52"/>
        <v/>
      </c>
      <c r="AH338" s="207" t="str">
        <f t="shared" si="57"/>
        <v/>
      </c>
      <c r="AI338" s="210" t="str">
        <f>IF(ISBLANK(D338),"",VLOOKUP($A338,INDEX!$D$2:$F$13,3,0))</f>
        <v/>
      </c>
      <c r="AJ338" s="207" t="str">
        <f t="shared" si="58"/>
        <v/>
      </c>
      <c r="AK338" s="207"/>
      <c r="AL338" s="207"/>
      <c r="AM338" s="207" t="str">
        <f>IFERROR(IF(ISBLANK($D338),"",VLOOKUP($N338,'TABLE CHARGE RATE'!$A$30:$K$106,5,0)),"Check")</f>
        <v/>
      </c>
      <c r="AN338" s="207" t="str">
        <f>IFERROR(IF(ISBLANK($D338),"",VLOOKUP($N338,'TABLE CHARGE RATE'!$A$30:$K$106,6,0)),"Check")</f>
        <v/>
      </c>
      <c r="AO338" s="207" t="str">
        <f>IFERROR(IF(ISBLANK($D338),"",VLOOKUP($N338,'TABLE CHARGE RATE'!$A$30:$K$106,7,0)),"Check")</f>
        <v/>
      </c>
      <c r="AP338" s="207" t="str">
        <f>IFERROR(IF(ISBLANK($D338),"",VLOOKUP($N338,'TABLE CHARGE RATE'!$A$30:$K$106,8,0)),"Check")</f>
        <v/>
      </c>
      <c r="AQ338" s="207" t="str">
        <f>IFERROR(IF(ISBLANK($D338),"",VLOOKUP($N338,'TABLE CHARGE RATE'!$A$30:$K$106,9,0)),"Check")</f>
        <v/>
      </c>
      <c r="AR338" s="207" t="str">
        <f>IFERROR(IF(ISBLANK($D338),"",VLOOKUP($N338,'TABLE CHARGE RATE'!$A$30:$K$106,10,0)),"Check")</f>
        <v/>
      </c>
      <c r="AS338" s="207" t="str">
        <f>IFERROR(IF(ISBLANK($D338),"",VLOOKUP($N338,'TABLE CHARGE RATE'!$A$30:$K$106,11,0)),"Check")</f>
        <v/>
      </c>
      <c r="AT338" s="207">
        <f t="shared" si="59"/>
        <v>337</v>
      </c>
    </row>
    <row r="339" spans="1:46" x14ac:dyDescent="0.2">
      <c r="A339" s="207" t="str">
        <f t="shared" si="53"/>
        <v/>
      </c>
      <c r="B339" s="208" t="str">
        <f>IF(ISBLANK(D339),"",VLOOKUP(WEEKDAY($C339,1),INDEX!$J$2:$K$8,2,0))</f>
        <v/>
      </c>
      <c r="C339" s="209"/>
      <c r="D339" s="207"/>
      <c r="E339" s="207"/>
      <c r="F339" s="207"/>
      <c r="G339" s="207"/>
      <c r="H339" s="207"/>
      <c r="I339" s="207"/>
      <c r="J339" s="207"/>
      <c r="K339" s="207"/>
      <c r="L339" s="207"/>
      <c r="M339" s="207"/>
      <c r="N339" s="207"/>
      <c r="O339" s="207"/>
      <c r="P339" s="207"/>
      <c r="Q339" s="207"/>
      <c r="R339" s="207"/>
      <c r="S339" s="207"/>
      <c r="T339" s="207"/>
      <c r="U339" s="209"/>
      <c r="V339" s="207"/>
      <c r="W339" s="207"/>
      <c r="X339" s="209">
        <f t="shared" si="55"/>
        <v>0</v>
      </c>
      <c r="Y339" s="209">
        <f t="shared" si="56"/>
        <v>0</v>
      </c>
      <c r="Z339" s="207" t="s">
        <v>546</v>
      </c>
      <c r="AA339" s="209" t="str">
        <f t="shared" si="54"/>
        <v/>
      </c>
      <c r="AB339" s="209"/>
      <c r="AC339" s="207" t="s">
        <v>545</v>
      </c>
      <c r="AD339" s="207"/>
      <c r="AE339" s="207"/>
      <c r="AF339" s="208" t="str">
        <f>IF(ISBLANK(D339),"",VLOOKUP(F339,'SIZE CALCULATION'!$F:$G,2,0))</f>
        <v/>
      </c>
      <c r="AG339" s="207" t="str">
        <f t="shared" si="52"/>
        <v/>
      </c>
      <c r="AH339" s="207" t="str">
        <f t="shared" si="57"/>
        <v/>
      </c>
      <c r="AI339" s="210" t="str">
        <f>IF(ISBLANK(D339),"",VLOOKUP($A339,INDEX!$D$2:$F$13,3,0))</f>
        <v/>
      </c>
      <c r="AJ339" s="207" t="str">
        <f t="shared" si="58"/>
        <v/>
      </c>
      <c r="AK339" s="207"/>
      <c r="AL339" s="207"/>
      <c r="AM339" s="207" t="str">
        <f>IFERROR(IF(ISBLANK($D339),"",VLOOKUP($N339,'TABLE CHARGE RATE'!$A$30:$K$106,5,0)),"Check")</f>
        <v/>
      </c>
      <c r="AN339" s="207" t="str">
        <f>IFERROR(IF(ISBLANK($D339),"",VLOOKUP($N339,'TABLE CHARGE RATE'!$A$30:$K$106,6,0)),"Check")</f>
        <v/>
      </c>
      <c r="AO339" s="207" t="str">
        <f>IFERROR(IF(ISBLANK($D339),"",VLOOKUP($N339,'TABLE CHARGE RATE'!$A$30:$K$106,7,0)),"Check")</f>
        <v/>
      </c>
      <c r="AP339" s="207" t="str">
        <f>IFERROR(IF(ISBLANK($D339),"",VLOOKUP($N339,'TABLE CHARGE RATE'!$A$30:$K$106,8,0)),"Check")</f>
        <v/>
      </c>
      <c r="AQ339" s="207" t="str">
        <f>IFERROR(IF(ISBLANK($D339),"",VLOOKUP($N339,'TABLE CHARGE RATE'!$A$30:$K$106,9,0)),"Check")</f>
        <v/>
      </c>
      <c r="AR339" s="207" t="str">
        <f>IFERROR(IF(ISBLANK($D339),"",VLOOKUP($N339,'TABLE CHARGE RATE'!$A$30:$K$106,10,0)),"Check")</f>
        <v/>
      </c>
      <c r="AS339" s="207" t="str">
        <f>IFERROR(IF(ISBLANK($D339),"",VLOOKUP($N339,'TABLE CHARGE RATE'!$A$30:$K$106,11,0)),"Check")</f>
        <v/>
      </c>
      <c r="AT339" s="207">
        <f t="shared" si="59"/>
        <v>338</v>
      </c>
    </row>
    <row r="340" spans="1:46" x14ac:dyDescent="0.2">
      <c r="A340" s="207" t="str">
        <f t="shared" si="53"/>
        <v/>
      </c>
      <c r="B340" s="208" t="str">
        <f>IF(ISBLANK(D340),"",VLOOKUP(WEEKDAY($C340,1),INDEX!$J$2:$K$8,2,0))</f>
        <v/>
      </c>
      <c r="C340" s="209"/>
      <c r="D340" s="207"/>
      <c r="E340" s="207"/>
      <c r="F340" s="207"/>
      <c r="G340" s="207"/>
      <c r="H340" s="207"/>
      <c r="I340" s="207"/>
      <c r="J340" s="207"/>
      <c r="K340" s="207"/>
      <c r="L340" s="207"/>
      <c r="M340" s="207"/>
      <c r="N340" s="207"/>
      <c r="O340" s="207"/>
      <c r="P340" s="207"/>
      <c r="Q340" s="207"/>
      <c r="R340" s="207"/>
      <c r="S340" s="207"/>
      <c r="T340" s="207"/>
      <c r="U340" s="209"/>
      <c r="V340" s="207"/>
      <c r="W340" s="207"/>
      <c r="X340" s="209">
        <f t="shared" si="55"/>
        <v>0</v>
      </c>
      <c r="Y340" s="209">
        <f t="shared" si="56"/>
        <v>0</v>
      </c>
      <c r="Z340" s="207" t="s">
        <v>546</v>
      </c>
      <c r="AA340" s="209" t="str">
        <f t="shared" si="54"/>
        <v/>
      </c>
      <c r="AB340" s="209"/>
      <c r="AC340" s="207" t="s">
        <v>545</v>
      </c>
      <c r="AD340" s="207"/>
      <c r="AE340" s="207"/>
      <c r="AF340" s="208" t="str">
        <f>IF(ISBLANK(D340),"",VLOOKUP(F340,'SIZE CALCULATION'!$F:$G,2,0))</f>
        <v/>
      </c>
      <c r="AG340" s="207" t="str">
        <f t="shared" si="52"/>
        <v/>
      </c>
      <c r="AH340" s="207" t="str">
        <f t="shared" si="57"/>
        <v/>
      </c>
      <c r="AI340" s="210" t="str">
        <f>IF(ISBLANK(D340),"",VLOOKUP($A340,INDEX!$D$2:$F$13,3,0))</f>
        <v/>
      </c>
      <c r="AJ340" s="207" t="str">
        <f t="shared" si="58"/>
        <v/>
      </c>
      <c r="AK340" s="207"/>
      <c r="AL340" s="207"/>
      <c r="AM340" s="207" t="str">
        <f>IFERROR(IF(ISBLANK($D340),"",VLOOKUP($N340,'TABLE CHARGE RATE'!$A$30:$K$106,5,0)),"Check")</f>
        <v/>
      </c>
      <c r="AN340" s="207" t="str">
        <f>IFERROR(IF(ISBLANK($D340),"",VLOOKUP($N340,'TABLE CHARGE RATE'!$A$30:$K$106,6,0)),"Check")</f>
        <v/>
      </c>
      <c r="AO340" s="207" t="str">
        <f>IFERROR(IF(ISBLANK($D340),"",VLOOKUP($N340,'TABLE CHARGE RATE'!$A$30:$K$106,7,0)),"Check")</f>
        <v/>
      </c>
      <c r="AP340" s="207" t="str">
        <f>IFERROR(IF(ISBLANK($D340),"",VLOOKUP($N340,'TABLE CHARGE RATE'!$A$30:$K$106,8,0)),"Check")</f>
        <v/>
      </c>
      <c r="AQ340" s="207" t="str">
        <f>IFERROR(IF(ISBLANK($D340),"",VLOOKUP($N340,'TABLE CHARGE RATE'!$A$30:$K$106,9,0)),"Check")</f>
        <v/>
      </c>
      <c r="AR340" s="207" t="str">
        <f>IFERROR(IF(ISBLANK($D340),"",VLOOKUP($N340,'TABLE CHARGE RATE'!$A$30:$K$106,10,0)),"Check")</f>
        <v/>
      </c>
      <c r="AS340" s="207" t="str">
        <f>IFERROR(IF(ISBLANK($D340),"",VLOOKUP($N340,'TABLE CHARGE RATE'!$A$30:$K$106,11,0)),"Check")</f>
        <v/>
      </c>
      <c r="AT340" s="207">
        <f t="shared" si="59"/>
        <v>339</v>
      </c>
    </row>
    <row r="341" spans="1:46" x14ac:dyDescent="0.2">
      <c r="A341" s="207" t="str">
        <f t="shared" si="53"/>
        <v/>
      </c>
      <c r="B341" s="208" t="str">
        <f>IF(ISBLANK(D341),"",VLOOKUP(WEEKDAY($C341,1),INDEX!$J$2:$K$8,2,0))</f>
        <v/>
      </c>
      <c r="C341" s="209"/>
      <c r="D341" s="207"/>
      <c r="E341" s="207"/>
      <c r="F341" s="207"/>
      <c r="G341" s="207"/>
      <c r="H341" s="207"/>
      <c r="I341" s="207"/>
      <c r="J341" s="207"/>
      <c r="K341" s="207"/>
      <c r="L341" s="207"/>
      <c r="M341" s="207"/>
      <c r="N341" s="207"/>
      <c r="O341" s="207"/>
      <c r="P341" s="207"/>
      <c r="Q341" s="207"/>
      <c r="R341" s="207"/>
      <c r="S341" s="207"/>
      <c r="T341" s="207"/>
      <c r="U341" s="209"/>
      <c r="V341" s="207"/>
      <c r="W341" s="207"/>
      <c r="X341" s="209">
        <f t="shared" si="55"/>
        <v>0</v>
      </c>
      <c r="Y341" s="209">
        <f t="shared" si="56"/>
        <v>0</v>
      </c>
      <c r="Z341" s="207" t="s">
        <v>546</v>
      </c>
      <c r="AA341" s="209" t="str">
        <f t="shared" si="54"/>
        <v/>
      </c>
      <c r="AB341" s="209"/>
      <c r="AC341" s="207" t="s">
        <v>545</v>
      </c>
      <c r="AD341" s="207"/>
      <c r="AE341" s="207"/>
      <c r="AF341" s="208" t="str">
        <f>IF(ISBLANK(D341),"",VLOOKUP(F341,'SIZE CALCULATION'!$F:$G,2,0))</f>
        <v/>
      </c>
      <c r="AG341" s="207" t="str">
        <f t="shared" si="52"/>
        <v/>
      </c>
      <c r="AH341" s="207" t="str">
        <f t="shared" si="57"/>
        <v/>
      </c>
      <c r="AI341" s="210" t="str">
        <f>IF(ISBLANK(D341),"",VLOOKUP($A341,INDEX!$D$2:$F$13,3,0))</f>
        <v/>
      </c>
      <c r="AJ341" s="207" t="str">
        <f t="shared" si="58"/>
        <v/>
      </c>
      <c r="AK341" s="207"/>
      <c r="AL341" s="207"/>
      <c r="AM341" s="207" t="str">
        <f>IFERROR(IF(ISBLANK($D341),"",VLOOKUP($N341,'TABLE CHARGE RATE'!$A$30:$K$106,5,0)),"Check")</f>
        <v/>
      </c>
      <c r="AN341" s="207" t="str">
        <f>IFERROR(IF(ISBLANK($D341),"",VLOOKUP($N341,'TABLE CHARGE RATE'!$A$30:$K$106,6,0)),"Check")</f>
        <v/>
      </c>
      <c r="AO341" s="207" t="str">
        <f>IFERROR(IF(ISBLANK($D341),"",VLOOKUP($N341,'TABLE CHARGE RATE'!$A$30:$K$106,7,0)),"Check")</f>
        <v/>
      </c>
      <c r="AP341" s="207" t="str">
        <f>IFERROR(IF(ISBLANK($D341),"",VLOOKUP($N341,'TABLE CHARGE RATE'!$A$30:$K$106,8,0)),"Check")</f>
        <v/>
      </c>
      <c r="AQ341" s="207" t="str">
        <f>IFERROR(IF(ISBLANK($D341),"",VLOOKUP($N341,'TABLE CHARGE RATE'!$A$30:$K$106,9,0)),"Check")</f>
        <v/>
      </c>
      <c r="AR341" s="207" t="str">
        <f>IFERROR(IF(ISBLANK($D341),"",VLOOKUP($N341,'TABLE CHARGE RATE'!$A$30:$K$106,10,0)),"Check")</f>
        <v/>
      </c>
      <c r="AS341" s="207" t="str">
        <f>IFERROR(IF(ISBLANK($D341),"",VLOOKUP($N341,'TABLE CHARGE RATE'!$A$30:$K$106,11,0)),"Check")</f>
        <v/>
      </c>
      <c r="AT341" s="207">
        <f t="shared" si="59"/>
        <v>340</v>
      </c>
    </row>
    <row r="342" spans="1:46" x14ac:dyDescent="0.2">
      <c r="A342" s="207" t="str">
        <f t="shared" si="53"/>
        <v/>
      </c>
      <c r="B342" s="208" t="str">
        <f>IF(ISBLANK(D342),"",VLOOKUP(WEEKDAY($C342,1),INDEX!$J$2:$K$8,2,0))</f>
        <v/>
      </c>
      <c r="C342" s="209"/>
      <c r="D342" s="207"/>
      <c r="E342" s="207"/>
      <c r="F342" s="207"/>
      <c r="G342" s="207"/>
      <c r="H342" s="207"/>
      <c r="I342" s="207"/>
      <c r="J342" s="207"/>
      <c r="K342" s="207"/>
      <c r="L342" s="207"/>
      <c r="M342" s="207"/>
      <c r="N342" s="207"/>
      <c r="O342" s="207"/>
      <c r="P342" s="207"/>
      <c r="Q342" s="207"/>
      <c r="R342" s="207"/>
      <c r="S342" s="207"/>
      <c r="T342" s="207"/>
      <c r="U342" s="209"/>
      <c r="V342" s="207"/>
      <c r="W342" s="207"/>
      <c r="X342" s="209">
        <f t="shared" si="55"/>
        <v>0</v>
      </c>
      <c r="Y342" s="209">
        <f t="shared" si="56"/>
        <v>0</v>
      </c>
      <c r="Z342" s="207" t="s">
        <v>546</v>
      </c>
      <c r="AA342" s="209" t="str">
        <f t="shared" si="54"/>
        <v/>
      </c>
      <c r="AB342" s="209"/>
      <c r="AC342" s="207" t="s">
        <v>545</v>
      </c>
      <c r="AD342" s="207"/>
      <c r="AE342" s="207"/>
      <c r="AF342" s="208" t="str">
        <f>IF(ISBLANK(D342),"",VLOOKUP(F342,'SIZE CALCULATION'!$F:$G,2,0))</f>
        <v/>
      </c>
      <c r="AG342" s="207" t="str">
        <f t="shared" si="52"/>
        <v/>
      </c>
      <c r="AH342" s="207" t="str">
        <f t="shared" si="57"/>
        <v/>
      </c>
      <c r="AI342" s="210" t="str">
        <f>IF(ISBLANK(D342),"",VLOOKUP($A342,INDEX!$D$2:$F$13,3,0))</f>
        <v/>
      </c>
      <c r="AJ342" s="207" t="str">
        <f t="shared" si="58"/>
        <v/>
      </c>
      <c r="AK342" s="207"/>
      <c r="AL342" s="207"/>
      <c r="AM342" s="207" t="str">
        <f>IFERROR(IF(ISBLANK($D342),"",VLOOKUP($N342,'TABLE CHARGE RATE'!$A$30:$K$106,5,0)),"Check")</f>
        <v/>
      </c>
      <c r="AN342" s="207" t="str">
        <f>IFERROR(IF(ISBLANK($D342),"",VLOOKUP($N342,'TABLE CHARGE RATE'!$A$30:$K$106,6,0)),"Check")</f>
        <v/>
      </c>
      <c r="AO342" s="207" t="str">
        <f>IFERROR(IF(ISBLANK($D342),"",VLOOKUP($N342,'TABLE CHARGE RATE'!$A$30:$K$106,7,0)),"Check")</f>
        <v/>
      </c>
      <c r="AP342" s="207" t="str">
        <f>IFERROR(IF(ISBLANK($D342),"",VLOOKUP($N342,'TABLE CHARGE RATE'!$A$30:$K$106,8,0)),"Check")</f>
        <v/>
      </c>
      <c r="AQ342" s="207" t="str">
        <f>IFERROR(IF(ISBLANK($D342),"",VLOOKUP($N342,'TABLE CHARGE RATE'!$A$30:$K$106,9,0)),"Check")</f>
        <v/>
      </c>
      <c r="AR342" s="207" t="str">
        <f>IFERROR(IF(ISBLANK($D342),"",VLOOKUP($N342,'TABLE CHARGE RATE'!$A$30:$K$106,10,0)),"Check")</f>
        <v/>
      </c>
      <c r="AS342" s="207" t="str">
        <f>IFERROR(IF(ISBLANK($D342),"",VLOOKUP($N342,'TABLE CHARGE RATE'!$A$30:$K$106,11,0)),"Check")</f>
        <v/>
      </c>
      <c r="AT342" s="207">
        <f t="shared" si="59"/>
        <v>341</v>
      </c>
    </row>
    <row r="343" spans="1:46" x14ac:dyDescent="0.2">
      <c r="A343" s="207" t="str">
        <f t="shared" si="53"/>
        <v/>
      </c>
      <c r="B343" s="208" t="str">
        <f>IF(ISBLANK(D343),"",VLOOKUP(WEEKDAY($C343,1),INDEX!$J$2:$K$8,2,0))</f>
        <v/>
      </c>
      <c r="C343" s="209"/>
      <c r="D343" s="207"/>
      <c r="E343" s="207"/>
      <c r="F343" s="207"/>
      <c r="G343" s="207"/>
      <c r="H343" s="207"/>
      <c r="I343" s="207"/>
      <c r="J343" s="207"/>
      <c r="K343" s="207"/>
      <c r="L343" s="207"/>
      <c r="M343" s="207"/>
      <c r="N343" s="207"/>
      <c r="O343" s="207"/>
      <c r="P343" s="207"/>
      <c r="Q343" s="207"/>
      <c r="R343" s="207"/>
      <c r="S343" s="207"/>
      <c r="T343" s="207"/>
      <c r="U343" s="209"/>
      <c r="V343" s="207"/>
      <c r="W343" s="207"/>
      <c r="X343" s="209">
        <f t="shared" si="55"/>
        <v>0</v>
      </c>
      <c r="Y343" s="209">
        <f t="shared" si="56"/>
        <v>0</v>
      </c>
      <c r="Z343" s="207" t="s">
        <v>546</v>
      </c>
      <c r="AA343" s="209" t="str">
        <f t="shared" si="54"/>
        <v/>
      </c>
      <c r="AB343" s="209"/>
      <c r="AC343" s="207" t="s">
        <v>545</v>
      </c>
      <c r="AD343" s="207"/>
      <c r="AE343" s="207"/>
      <c r="AF343" s="208" t="str">
        <f>IF(ISBLANK(D343),"",VLOOKUP(F343,'SIZE CALCULATION'!$F:$G,2,0))</f>
        <v/>
      </c>
      <c r="AG343" s="207" t="str">
        <f t="shared" si="52"/>
        <v/>
      </c>
      <c r="AH343" s="207" t="str">
        <f t="shared" si="57"/>
        <v/>
      </c>
      <c r="AI343" s="210" t="str">
        <f>IF(ISBLANK(D343),"",VLOOKUP($A343,INDEX!$D$2:$F$13,3,0))</f>
        <v/>
      </c>
      <c r="AJ343" s="207" t="str">
        <f t="shared" si="58"/>
        <v/>
      </c>
      <c r="AK343" s="207"/>
      <c r="AL343" s="207"/>
      <c r="AM343" s="207" t="str">
        <f>IFERROR(IF(ISBLANK($D343),"",VLOOKUP($N343,'TABLE CHARGE RATE'!$A$30:$K$106,5,0)),"Check")</f>
        <v/>
      </c>
      <c r="AN343" s="207" t="str">
        <f>IFERROR(IF(ISBLANK($D343),"",VLOOKUP($N343,'TABLE CHARGE RATE'!$A$30:$K$106,6,0)),"Check")</f>
        <v/>
      </c>
      <c r="AO343" s="207" t="str">
        <f>IFERROR(IF(ISBLANK($D343),"",VLOOKUP($N343,'TABLE CHARGE RATE'!$A$30:$K$106,7,0)),"Check")</f>
        <v/>
      </c>
      <c r="AP343" s="207" t="str">
        <f>IFERROR(IF(ISBLANK($D343),"",VLOOKUP($N343,'TABLE CHARGE RATE'!$A$30:$K$106,8,0)),"Check")</f>
        <v/>
      </c>
      <c r="AQ343" s="207" t="str">
        <f>IFERROR(IF(ISBLANK($D343),"",VLOOKUP($N343,'TABLE CHARGE RATE'!$A$30:$K$106,9,0)),"Check")</f>
        <v/>
      </c>
      <c r="AR343" s="207" t="str">
        <f>IFERROR(IF(ISBLANK($D343),"",VLOOKUP($N343,'TABLE CHARGE RATE'!$A$30:$K$106,10,0)),"Check")</f>
        <v/>
      </c>
      <c r="AS343" s="207" t="str">
        <f>IFERROR(IF(ISBLANK($D343),"",VLOOKUP($N343,'TABLE CHARGE RATE'!$A$30:$K$106,11,0)),"Check")</f>
        <v/>
      </c>
      <c r="AT343" s="207">
        <f t="shared" si="59"/>
        <v>342</v>
      </c>
    </row>
    <row r="344" spans="1:46" x14ac:dyDescent="0.2">
      <c r="A344" s="207" t="str">
        <f t="shared" si="53"/>
        <v/>
      </c>
      <c r="B344" s="208" t="str">
        <f>IF(ISBLANK(D344),"",VLOOKUP(WEEKDAY($C344,1),INDEX!$J$2:$K$8,2,0))</f>
        <v/>
      </c>
      <c r="C344" s="209"/>
      <c r="D344" s="207"/>
      <c r="E344" s="207"/>
      <c r="F344" s="207"/>
      <c r="G344" s="207"/>
      <c r="H344" s="207"/>
      <c r="I344" s="207"/>
      <c r="J344" s="207"/>
      <c r="K344" s="207"/>
      <c r="L344" s="207"/>
      <c r="M344" s="207"/>
      <c r="N344" s="207"/>
      <c r="O344" s="207"/>
      <c r="P344" s="207"/>
      <c r="Q344" s="207"/>
      <c r="R344" s="207"/>
      <c r="S344" s="207"/>
      <c r="T344" s="207"/>
      <c r="U344" s="209"/>
      <c r="V344" s="207"/>
      <c r="W344" s="207"/>
      <c r="X344" s="209">
        <f t="shared" si="55"/>
        <v>0</v>
      </c>
      <c r="Y344" s="209">
        <f t="shared" si="56"/>
        <v>0</v>
      </c>
      <c r="Z344" s="207" t="s">
        <v>546</v>
      </c>
      <c r="AA344" s="209" t="str">
        <f t="shared" si="54"/>
        <v/>
      </c>
      <c r="AB344" s="209"/>
      <c r="AC344" s="207" t="s">
        <v>545</v>
      </c>
      <c r="AD344" s="207"/>
      <c r="AE344" s="207"/>
      <c r="AF344" s="208" t="str">
        <f>IF(ISBLANK(D344),"",VLOOKUP(F344,'SIZE CALCULATION'!$F:$G,2,0))</f>
        <v/>
      </c>
      <c r="AG344" s="207" t="str">
        <f t="shared" si="52"/>
        <v/>
      </c>
      <c r="AH344" s="207" t="str">
        <f t="shared" si="57"/>
        <v/>
      </c>
      <c r="AI344" s="210" t="str">
        <f>IF(ISBLANK(D344),"",VLOOKUP($A344,INDEX!$D$2:$F$13,3,0))</f>
        <v/>
      </c>
      <c r="AJ344" s="207" t="str">
        <f t="shared" si="58"/>
        <v/>
      </c>
      <c r="AK344" s="207"/>
      <c r="AL344" s="207"/>
      <c r="AM344" s="207" t="str">
        <f>IFERROR(IF(ISBLANK($D344),"",VLOOKUP($N344,'TABLE CHARGE RATE'!$A$30:$K$106,5,0)),"Check")</f>
        <v/>
      </c>
      <c r="AN344" s="207" t="str">
        <f>IFERROR(IF(ISBLANK($D344),"",VLOOKUP($N344,'TABLE CHARGE RATE'!$A$30:$K$106,6,0)),"Check")</f>
        <v/>
      </c>
      <c r="AO344" s="207" t="str">
        <f>IFERROR(IF(ISBLANK($D344),"",VLOOKUP($N344,'TABLE CHARGE RATE'!$A$30:$K$106,7,0)),"Check")</f>
        <v/>
      </c>
      <c r="AP344" s="207" t="str">
        <f>IFERROR(IF(ISBLANK($D344),"",VLOOKUP($N344,'TABLE CHARGE RATE'!$A$30:$K$106,8,0)),"Check")</f>
        <v/>
      </c>
      <c r="AQ344" s="207" t="str">
        <f>IFERROR(IF(ISBLANK($D344),"",VLOOKUP($N344,'TABLE CHARGE RATE'!$A$30:$K$106,9,0)),"Check")</f>
        <v/>
      </c>
      <c r="AR344" s="207" t="str">
        <f>IFERROR(IF(ISBLANK($D344),"",VLOOKUP($N344,'TABLE CHARGE RATE'!$A$30:$K$106,10,0)),"Check")</f>
        <v/>
      </c>
      <c r="AS344" s="207" t="str">
        <f>IFERROR(IF(ISBLANK($D344),"",VLOOKUP($N344,'TABLE CHARGE RATE'!$A$30:$K$106,11,0)),"Check")</f>
        <v/>
      </c>
      <c r="AT344" s="207">
        <f t="shared" si="59"/>
        <v>343</v>
      </c>
    </row>
    <row r="345" spans="1:46" x14ac:dyDescent="0.2">
      <c r="A345" s="207" t="str">
        <f t="shared" si="53"/>
        <v/>
      </c>
      <c r="B345" s="208" t="str">
        <f>IF(ISBLANK(D345),"",VLOOKUP(WEEKDAY($C345,1),INDEX!$J$2:$K$8,2,0))</f>
        <v/>
      </c>
      <c r="C345" s="209"/>
      <c r="D345" s="207"/>
      <c r="E345" s="207"/>
      <c r="F345" s="207"/>
      <c r="G345" s="207"/>
      <c r="H345" s="207"/>
      <c r="I345" s="207"/>
      <c r="J345" s="207"/>
      <c r="K345" s="207"/>
      <c r="L345" s="207"/>
      <c r="M345" s="207"/>
      <c r="N345" s="207"/>
      <c r="O345" s="207"/>
      <c r="P345" s="207"/>
      <c r="Q345" s="207"/>
      <c r="R345" s="207"/>
      <c r="S345" s="207"/>
      <c r="T345" s="207"/>
      <c r="U345" s="209"/>
      <c r="V345" s="207"/>
      <c r="W345" s="207"/>
      <c r="X345" s="209">
        <f t="shared" si="55"/>
        <v>0</v>
      </c>
      <c r="Y345" s="209">
        <f t="shared" si="56"/>
        <v>0</v>
      </c>
      <c r="Z345" s="207" t="s">
        <v>546</v>
      </c>
      <c r="AA345" s="209" t="str">
        <f t="shared" si="54"/>
        <v/>
      </c>
      <c r="AB345" s="209"/>
      <c r="AC345" s="207" t="s">
        <v>545</v>
      </c>
      <c r="AD345" s="207"/>
      <c r="AE345" s="207"/>
      <c r="AF345" s="208" t="str">
        <f>IF(ISBLANK(D345),"",VLOOKUP(F345,'SIZE CALCULATION'!$F:$G,2,0))</f>
        <v/>
      </c>
      <c r="AG345" s="207" t="str">
        <f t="shared" si="52"/>
        <v/>
      </c>
      <c r="AH345" s="207" t="str">
        <f t="shared" si="57"/>
        <v/>
      </c>
      <c r="AI345" s="210" t="str">
        <f>IF(ISBLANK(D345),"",VLOOKUP($A345,INDEX!$D$2:$F$13,3,0))</f>
        <v/>
      </c>
      <c r="AJ345" s="207" t="str">
        <f t="shared" si="58"/>
        <v/>
      </c>
      <c r="AK345" s="207"/>
      <c r="AL345" s="207"/>
      <c r="AM345" s="207" t="str">
        <f>IFERROR(IF(ISBLANK($D345),"",VLOOKUP($N345,'TABLE CHARGE RATE'!$A$30:$K$106,5,0)),"Check")</f>
        <v/>
      </c>
      <c r="AN345" s="207" t="str">
        <f>IFERROR(IF(ISBLANK($D345),"",VLOOKUP($N345,'TABLE CHARGE RATE'!$A$30:$K$106,6,0)),"Check")</f>
        <v/>
      </c>
      <c r="AO345" s="207" t="str">
        <f>IFERROR(IF(ISBLANK($D345),"",VLOOKUP($N345,'TABLE CHARGE RATE'!$A$30:$K$106,7,0)),"Check")</f>
        <v/>
      </c>
      <c r="AP345" s="207" t="str">
        <f>IFERROR(IF(ISBLANK($D345),"",VLOOKUP($N345,'TABLE CHARGE RATE'!$A$30:$K$106,8,0)),"Check")</f>
        <v/>
      </c>
      <c r="AQ345" s="207" t="str">
        <f>IFERROR(IF(ISBLANK($D345),"",VLOOKUP($N345,'TABLE CHARGE RATE'!$A$30:$K$106,9,0)),"Check")</f>
        <v/>
      </c>
      <c r="AR345" s="207" t="str">
        <f>IFERROR(IF(ISBLANK($D345),"",VLOOKUP($N345,'TABLE CHARGE RATE'!$A$30:$K$106,10,0)),"Check")</f>
        <v/>
      </c>
      <c r="AS345" s="207" t="str">
        <f>IFERROR(IF(ISBLANK($D345),"",VLOOKUP($N345,'TABLE CHARGE RATE'!$A$30:$K$106,11,0)),"Check")</f>
        <v/>
      </c>
      <c r="AT345" s="207">
        <f t="shared" si="59"/>
        <v>344</v>
      </c>
    </row>
    <row r="346" spans="1:46" x14ac:dyDescent="0.2">
      <c r="A346" s="207" t="str">
        <f t="shared" si="53"/>
        <v/>
      </c>
      <c r="B346" s="208" t="str">
        <f>IF(ISBLANK(D346),"",VLOOKUP(WEEKDAY($C346,1),INDEX!$J$2:$K$8,2,0))</f>
        <v/>
      </c>
      <c r="C346" s="209"/>
      <c r="D346" s="207"/>
      <c r="E346" s="207"/>
      <c r="F346" s="207"/>
      <c r="G346" s="207"/>
      <c r="H346" s="207"/>
      <c r="I346" s="207"/>
      <c r="J346" s="207"/>
      <c r="K346" s="207"/>
      <c r="L346" s="207"/>
      <c r="M346" s="207"/>
      <c r="N346" s="207"/>
      <c r="O346" s="207"/>
      <c r="P346" s="207"/>
      <c r="Q346" s="207"/>
      <c r="R346" s="207"/>
      <c r="S346" s="207"/>
      <c r="T346" s="207"/>
      <c r="U346" s="209"/>
      <c r="V346" s="207"/>
      <c r="W346" s="207"/>
      <c r="X346" s="209">
        <f t="shared" si="55"/>
        <v>0</v>
      </c>
      <c r="Y346" s="209">
        <f t="shared" si="56"/>
        <v>0</v>
      </c>
      <c r="Z346" s="207" t="s">
        <v>546</v>
      </c>
      <c r="AA346" s="209" t="str">
        <f t="shared" si="54"/>
        <v/>
      </c>
      <c r="AB346" s="209"/>
      <c r="AC346" s="207" t="s">
        <v>545</v>
      </c>
      <c r="AD346" s="207"/>
      <c r="AE346" s="207"/>
      <c r="AF346" s="208" t="str">
        <f>IF(ISBLANK(D346),"",VLOOKUP(F346,'SIZE CALCULATION'!$F:$G,2,0))</f>
        <v/>
      </c>
      <c r="AG346" s="207" t="str">
        <f t="shared" si="52"/>
        <v/>
      </c>
      <c r="AH346" s="207" t="str">
        <f t="shared" si="57"/>
        <v/>
      </c>
      <c r="AI346" s="210" t="str">
        <f>IF(ISBLANK(D346),"",VLOOKUP($A346,INDEX!$D$2:$F$13,3,0))</f>
        <v/>
      </c>
      <c r="AJ346" s="207" t="str">
        <f t="shared" si="58"/>
        <v/>
      </c>
      <c r="AK346" s="207"/>
      <c r="AL346" s="207"/>
      <c r="AM346" s="207" t="str">
        <f>IFERROR(IF(ISBLANK($D346),"",VLOOKUP($N346,'TABLE CHARGE RATE'!$A$30:$K$106,5,0)),"Check")</f>
        <v/>
      </c>
      <c r="AN346" s="207" t="str">
        <f>IFERROR(IF(ISBLANK($D346),"",VLOOKUP($N346,'TABLE CHARGE RATE'!$A$30:$K$106,6,0)),"Check")</f>
        <v/>
      </c>
      <c r="AO346" s="207" t="str">
        <f>IFERROR(IF(ISBLANK($D346),"",VLOOKUP($N346,'TABLE CHARGE RATE'!$A$30:$K$106,7,0)),"Check")</f>
        <v/>
      </c>
      <c r="AP346" s="207" t="str">
        <f>IFERROR(IF(ISBLANK($D346),"",VLOOKUP($N346,'TABLE CHARGE RATE'!$A$30:$K$106,8,0)),"Check")</f>
        <v/>
      </c>
      <c r="AQ346" s="207" t="str">
        <f>IFERROR(IF(ISBLANK($D346),"",VLOOKUP($N346,'TABLE CHARGE RATE'!$A$30:$K$106,9,0)),"Check")</f>
        <v/>
      </c>
      <c r="AR346" s="207" t="str">
        <f>IFERROR(IF(ISBLANK($D346),"",VLOOKUP($N346,'TABLE CHARGE RATE'!$A$30:$K$106,10,0)),"Check")</f>
        <v/>
      </c>
      <c r="AS346" s="207" t="str">
        <f>IFERROR(IF(ISBLANK($D346),"",VLOOKUP($N346,'TABLE CHARGE RATE'!$A$30:$K$106,11,0)),"Check")</f>
        <v/>
      </c>
      <c r="AT346" s="207">
        <f t="shared" si="59"/>
        <v>345</v>
      </c>
    </row>
    <row r="347" spans="1:46" x14ac:dyDescent="0.2">
      <c r="A347" s="207" t="str">
        <f t="shared" si="53"/>
        <v/>
      </c>
      <c r="B347" s="208" t="str">
        <f>IF(ISBLANK(D347),"",VLOOKUP(WEEKDAY($C347,1),INDEX!$J$2:$K$8,2,0))</f>
        <v/>
      </c>
      <c r="C347" s="209"/>
      <c r="D347" s="207"/>
      <c r="E347" s="207"/>
      <c r="F347" s="207"/>
      <c r="G347" s="207"/>
      <c r="H347" s="207"/>
      <c r="I347" s="207"/>
      <c r="J347" s="207"/>
      <c r="K347" s="207"/>
      <c r="L347" s="207"/>
      <c r="M347" s="207"/>
      <c r="N347" s="207"/>
      <c r="O347" s="207"/>
      <c r="P347" s="207"/>
      <c r="Q347" s="207"/>
      <c r="R347" s="207"/>
      <c r="S347" s="207"/>
      <c r="T347" s="207"/>
      <c r="U347" s="209"/>
      <c r="V347" s="207"/>
      <c r="W347" s="207"/>
      <c r="X347" s="209">
        <f t="shared" si="55"/>
        <v>0</v>
      </c>
      <c r="Y347" s="209">
        <f t="shared" si="56"/>
        <v>0</v>
      </c>
      <c r="Z347" s="207" t="s">
        <v>546</v>
      </c>
      <c r="AA347" s="209" t="str">
        <f t="shared" si="54"/>
        <v/>
      </c>
      <c r="AB347" s="209"/>
      <c r="AC347" s="207" t="s">
        <v>545</v>
      </c>
      <c r="AD347" s="207"/>
      <c r="AE347" s="207"/>
      <c r="AF347" s="208" t="str">
        <f>IF(ISBLANK(D347),"",VLOOKUP(F347,'SIZE CALCULATION'!$F:$G,2,0))</f>
        <v/>
      </c>
      <c r="AG347" s="207" t="str">
        <f t="shared" si="52"/>
        <v/>
      </c>
      <c r="AH347" s="207" t="str">
        <f t="shared" si="57"/>
        <v/>
      </c>
      <c r="AI347" s="210" t="str">
        <f>IF(ISBLANK(D347),"",VLOOKUP($A347,INDEX!$D$2:$F$13,3,0))</f>
        <v/>
      </c>
      <c r="AJ347" s="207" t="str">
        <f t="shared" si="58"/>
        <v/>
      </c>
      <c r="AK347" s="207"/>
      <c r="AL347" s="207"/>
      <c r="AM347" s="207" t="str">
        <f>IFERROR(IF(ISBLANK($D347),"",VLOOKUP($N347,'TABLE CHARGE RATE'!$A$30:$K$106,5,0)),"Check")</f>
        <v/>
      </c>
      <c r="AN347" s="207" t="str">
        <f>IFERROR(IF(ISBLANK($D347),"",VLOOKUP($N347,'TABLE CHARGE RATE'!$A$30:$K$106,6,0)),"Check")</f>
        <v/>
      </c>
      <c r="AO347" s="207" t="str">
        <f>IFERROR(IF(ISBLANK($D347),"",VLOOKUP($N347,'TABLE CHARGE RATE'!$A$30:$K$106,7,0)),"Check")</f>
        <v/>
      </c>
      <c r="AP347" s="207" t="str">
        <f>IFERROR(IF(ISBLANK($D347),"",VLOOKUP($N347,'TABLE CHARGE RATE'!$A$30:$K$106,8,0)),"Check")</f>
        <v/>
      </c>
      <c r="AQ347" s="207" t="str">
        <f>IFERROR(IF(ISBLANK($D347),"",VLOOKUP($N347,'TABLE CHARGE RATE'!$A$30:$K$106,9,0)),"Check")</f>
        <v/>
      </c>
      <c r="AR347" s="207" t="str">
        <f>IFERROR(IF(ISBLANK($D347),"",VLOOKUP($N347,'TABLE CHARGE RATE'!$A$30:$K$106,10,0)),"Check")</f>
        <v/>
      </c>
      <c r="AS347" s="207" t="str">
        <f>IFERROR(IF(ISBLANK($D347),"",VLOOKUP($N347,'TABLE CHARGE RATE'!$A$30:$K$106,11,0)),"Check")</f>
        <v/>
      </c>
      <c r="AT347" s="207">
        <f t="shared" si="59"/>
        <v>346</v>
      </c>
    </row>
    <row r="348" spans="1:46" x14ac:dyDescent="0.2">
      <c r="A348" s="207" t="str">
        <f t="shared" si="53"/>
        <v/>
      </c>
      <c r="B348" s="208" t="str">
        <f>IF(ISBLANK(D348),"",VLOOKUP(WEEKDAY($C348,1),INDEX!$J$2:$K$8,2,0))</f>
        <v/>
      </c>
      <c r="C348" s="209"/>
      <c r="D348" s="207"/>
      <c r="E348" s="207"/>
      <c r="F348" s="207"/>
      <c r="G348" s="207"/>
      <c r="H348" s="207"/>
      <c r="I348" s="207"/>
      <c r="J348" s="207"/>
      <c r="K348" s="207"/>
      <c r="L348" s="207"/>
      <c r="M348" s="207"/>
      <c r="N348" s="207"/>
      <c r="O348" s="207"/>
      <c r="P348" s="207"/>
      <c r="Q348" s="207"/>
      <c r="R348" s="207"/>
      <c r="S348" s="207"/>
      <c r="T348" s="207"/>
      <c r="U348" s="209"/>
      <c r="V348" s="207"/>
      <c r="W348" s="207"/>
      <c r="X348" s="209">
        <f t="shared" si="55"/>
        <v>0</v>
      </c>
      <c r="Y348" s="209">
        <f t="shared" si="56"/>
        <v>0</v>
      </c>
      <c r="Z348" s="207" t="s">
        <v>546</v>
      </c>
      <c r="AA348" s="209" t="str">
        <f t="shared" si="54"/>
        <v/>
      </c>
      <c r="AB348" s="209"/>
      <c r="AC348" s="207" t="s">
        <v>545</v>
      </c>
      <c r="AD348" s="207"/>
      <c r="AE348" s="207"/>
      <c r="AF348" s="208" t="str">
        <f>IF(ISBLANK(D348),"",VLOOKUP(F348,'SIZE CALCULATION'!$F:$G,2,0))</f>
        <v/>
      </c>
      <c r="AG348" s="207" t="str">
        <f t="shared" si="52"/>
        <v/>
      </c>
      <c r="AH348" s="207" t="str">
        <f t="shared" si="57"/>
        <v/>
      </c>
      <c r="AI348" s="210" t="str">
        <f>IF(ISBLANK(D348),"",VLOOKUP($A348,INDEX!$D$2:$F$13,3,0))</f>
        <v/>
      </c>
      <c r="AJ348" s="207" t="str">
        <f t="shared" si="58"/>
        <v/>
      </c>
      <c r="AK348" s="207"/>
      <c r="AL348" s="207"/>
      <c r="AM348" s="207" t="str">
        <f>IFERROR(IF(ISBLANK($D348),"",VLOOKUP($N348,'TABLE CHARGE RATE'!$A$30:$K$106,5,0)),"Check")</f>
        <v/>
      </c>
      <c r="AN348" s="207" t="str">
        <f>IFERROR(IF(ISBLANK($D348),"",VLOOKUP($N348,'TABLE CHARGE RATE'!$A$30:$K$106,6,0)),"Check")</f>
        <v/>
      </c>
      <c r="AO348" s="207" t="str">
        <f>IFERROR(IF(ISBLANK($D348),"",VLOOKUP($N348,'TABLE CHARGE RATE'!$A$30:$K$106,7,0)),"Check")</f>
        <v/>
      </c>
      <c r="AP348" s="207" t="str">
        <f>IFERROR(IF(ISBLANK($D348),"",VLOOKUP($N348,'TABLE CHARGE RATE'!$A$30:$K$106,8,0)),"Check")</f>
        <v/>
      </c>
      <c r="AQ348" s="207" t="str">
        <f>IFERROR(IF(ISBLANK($D348),"",VLOOKUP($N348,'TABLE CHARGE RATE'!$A$30:$K$106,9,0)),"Check")</f>
        <v/>
      </c>
      <c r="AR348" s="207" t="str">
        <f>IFERROR(IF(ISBLANK($D348),"",VLOOKUP($N348,'TABLE CHARGE RATE'!$A$30:$K$106,10,0)),"Check")</f>
        <v/>
      </c>
      <c r="AS348" s="207" t="str">
        <f>IFERROR(IF(ISBLANK($D348),"",VLOOKUP($N348,'TABLE CHARGE RATE'!$A$30:$K$106,11,0)),"Check")</f>
        <v/>
      </c>
      <c r="AT348" s="207">
        <f t="shared" si="59"/>
        <v>347</v>
      </c>
    </row>
    <row r="349" spans="1:46" x14ac:dyDescent="0.2">
      <c r="A349" s="207" t="str">
        <f t="shared" si="53"/>
        <v/>
      </c>
      <c r="B349" s="208" t="str">
        <f>IF(ISBLANK(D349),"",VLOOKUP(WEEKDAY($C349,1),INDEX!$J$2:$K$8,2,0))</f>
        <v/>
      </c>
      <c r="C349" s="209"/>
      <c r="D349" s="207"/>
      <c r="E349" s="207"/>
      <c r="F349" s="207"/>
      <c r="G349" s="207"/>
      <c r="H349" s="207"/>
      <c r="I349" s="207"/>
      <c r="J349" s="207"/>
      <c r="K349" s="207"/>
      <c r="L349" s="207"/>
      <c r="M349" s="207"/>
      <c r="N349" s="207"/>
      <c r="O349" s="207"/>
      <c r="P349" s="207"/>
      <c r="Q349" s="207"/>
      <c r="R349" s="207"/>
      <c r="S349" s="207"/>
      <c r="T349" s="207"/>
      <c r="U349" s="209"/>
      <c r="V349" s="207"/>
      <c r="W349" s="207"/>
      <c r="X349" s="209">
        <f t="shared" si="55"/>
        <v>0</v>
      </c>
      <c r="Y349" s="209">
        <f t="shared" si="56"/>
        <v>0</v>
      </c>
      <c r="Z349" s="207" t="s">
        <v>546</v>
      </c>
      <c r="AA349" s="209" t="str">
        <f t="shared" si="54"/>
        <v/>
      </c>
      <c r="AB349" s="209"/>
      <c r="AC349" s="207" t="s">
        <v>545</v>
      </c>
      <c r="AD349" s="207"/>
      <c r="AE349" s="207"/>
      <c r="AF349" s="208" t="str">
        <f>IF(ISBLANK(D349),"",VLOOKUP(F349,'SIZE CALCULATION'!$F:$G,2,0))</f>
        <v/>
      </c>
      <c r="AG349" s="207" t="str">
        <f t="shared" si="52"/>
        <v/>
      </c>
      <c r="AH349" s="207" t="str">
        <f t="shared" si="57"/>
        <v/>
      </c>
      <c r="AI349" s="210" t="str">
        <f>IF(ISBLANK(D349),"",VLOOKUP($A349,INDEX!$D$2:$F$13,3,0))</f>
        <v/>
      </c>
      <c r="AJ349" s="207" t="str">
        <f t="shared" si="58"/>
        <v/>
      </c>
      <c r="AK349" s="207"/>
      <c r="AL349" s="207"/>
      <c r="AM349" s="207" t="str">
        <f>IFERROR(IF(ISBLANK($D349),"",VLOOKUP($N349,'TABLE CHARGE RATE'!$A$30:$K$106,5,0)),"Check")</f>
        <v/>
      </c>
      <c r="AN349" s="207" t="str">
        <f>IFERROR(IF(ISBLANK($D349),"",VLOOKUP($N349,'TABLE CHARGE RATE'!$A$30:$K$106,6,0)),"Check")</f>
        <v/>
      </c>
      <c r="AO349" s="207" t="str">
        <f>IFERROR(IF(ISBLANK($D349),"",VLOOKUP($N349,'TABLE CHARGE RATE'!$A$30:$K$106,7,0)),"Check")</f>
        <v/>
      </c>
      <c r="AP349" s="207" t="str">
        <f>IFERROR(IF(ISBLANK($D349),"",VLOOKUP($N349,'TABLE CHARGE RATE'!$A$30:$K$106,8,0)),"Check")</f>
        <v/>
      </c>
      <c r="AQ349" s="207" t="str">
        <f>IFERROR(IF(ISBLANK($D349),"",VLOOKUP($N349,'TABLE CHARGE RATE'!$A$30:$K$106,9,0)),"Check")</f>
        <v/>
      </c>
      <c r="AR349" s="207" t="str">
        <f>IFERROR(IF(ISBLANK($D349),"",VLOOKUP($N349,'TABLE CHARGE RATE'!$A$30:$K$106,10,0)),"Check")</f>
        <v/>
      </c>
      <c r="AS349" s="207" t="str">
        <f>IFERROR(IF(ISBLANK($D349),"",VLOOKUP($N349,'TABLE CHARGE RATE'!$A$30:$K$106,11,0)),"Check")</f>
        <v/>
      </c>
      <c r="AT349" s="207">
        <f t="shared" si="59"/>
        <v>348</v>
      </c>
    </row>
    <row r="350" spans="1:46" x14ac:dyDescent="0.2">
      <c r="A350" s="207" t="str">
        <f t="shared" si="53"/>
        <v/>
      </c>
      <c r="B350" s="208" t="str">
        <f>IF(ISBLANK(D350),"",VLOOKUP(WEEKDAY($C350,1),INDEX!$J$2:$K$8,2,0))</f>
        <v/>
      </c>
      <c r="C350" s="209"/>
      <c r="D350" s="207"/>
      <c r="E350" s="207"/>
      <c r="F350" s="207"/>
      <c r="G350" s="207"/>
      <c r="H350" s="207"/>
      <c r="I350" s="207"/>
      <c r="J350" s="207"/>
      <c r="K350" s="207"/>
      <c r="L350" s="207"/>
      <c r="M350" s="207"/>
      <c r="N350" s="207"/>
      <c r="O350" s="207"/>
      <c r="P350" s="207"/>
      <c r="Q350" s="207"/>
      <c r="R350" s="207"/>
      <c r="S350" s="207"/>
      <c r="T350" s="207"/>
      <c r="U350" s="209"/>
      <c r="V350" s="207"/>
      <c r="W350" s="207"/>
      <c r="X350" s="209">
        <f t="shared" si="55"/>
        <v>0</v>
      </c>
      <c r="Y350" s="209">
        <f t="shared" si="56"/>
        <v>0</v>
      </c>
      <c r="Z350" s="207"/>
      <c r="AA350" s="209" t="str">
        <f t="shared" ref="AA350:AA352" si="60">IF(ISBLANK(D350),"",Y350+10)</f>
        <v/>
      </c>
      <c r="AB350" s="209"/>
      <c r="AC350" s="207" t="str">
        <f t="shared" ref="AC350:AC388" ca="1" si="61">IF(ISBLANK(D350),"",IFERROR(IF(ISBLANK($AL350),IF(AA350&gt;=TODAY(),"Collecting",IF(AB350-AA350=0,1,0)),$AL350),""))</f>
        <v/>
      </c>
      <c r="AD350" s="207"/>
      <c r="AE350" s="207"/>
      <c r="AF350" s="208" t="str">
        <f>IF(ISBLANK(D350),"",VLOOKUP(F350,'SIZE CALCULATION'!$F:$G,2,0))</f>
        <v/>
      </c>
      <c r="AG350" s="207" t="str">
        <f t="shared" si="52"/>
        <v/>
      </c>
      <c r="AH350" s="207" t="str">
        <f t="shared" si="57"/>
        <v/>
      </c>
      <c r="AI350" s="210" t="str">
        <f>IF(ISBLANK(D350),"",VLOOKUP($A350,INDEX!$D$2:$F$13,3,0))</f>
        <v/>
      </c>
      <c r="AJ350" s="207" t="str">
        <f t="shared" si="58"/>
        <v/>
      </c>
      <c r="AK350" s="207"/>
      <c r="AL350" s="207"/>
      <c r="AM350" s="207" t="str">
        <f>IFERROR(IF(ISBLANK($D350),"",VLOOKUP($N350,'TABLE CHARGE RATE'!$A$30:$K$106,5,0)),"Check")</f>
        <v/>
      </c>
      <c r="AN350" s="207" t="str">
        <f>IFERROR(IF(ISBLANK($D350),"",VLOOKUP($N350,'TABLE CHARGE RATE'!$A$30:$K$106,6,0)),"Check")</f>
        <v/>
      </c>
      <c r="AO350" s="207" t="str">
        <f>IFERROR(IF(ISBLANK($D350),"",VLOOKUP($N350,'TABLE CHARGE RATE'!$A$30:$K$106,7,0)),"Check")</f>
        <v/>
      </c>
      <c r="AP350" s="207" t="str">
        <f>IFERROR(IF(ISBLANK($D350),"",VLOOKUP($N350,'TABLE CHARGE RATE'!$A$30:$K$106,8,0)),"Check")</f>
        <v/>
      </c>
      <c r="AQ350" s="207" t="str">
        <f>IFERROR(IF(ISBLANK($D350),"",VLOOKUP($N350,'TABLE CHARGE RATE'!$A$30:$K$106,9,0)),"Check")</f>
        <v/>
      </c>
      <c r="AR350" s="207" t="str">
        <f>IFERROR(IF(ISBLANK($D350),"",VLOOKUP($N350,'TABLE CHARGE RATE'!$A$30:$K$106,10,0)),"Check")</f>
        <v/>
      </c>
      <c r="AS350" s="207" t="str">
        <f>IFERROR(IF(ISBLANK($D350),"",VLOOKUP($N350,'TABLE CHARGE RATE'!$A$30:$K$106,11,0)),"Check")</f>
        <v/>
      </c>
      <c r="AT350" s="207">
        <f t="shared" si="59"/>
        <v>349</v>
      </c>
    </row>
    <row r="351" spans="1:46" x14ac:dyDescent="0.2">
      <c r="A351" s="207" t="str">
        <f t="shared" si="53"/>
        <v/>
      </c>
      <c r="B351" s="208" t="str">
        <f>IF(ISBLANK(D351),"",VLOOKUP(WEEKDAY($C351,1),INDEX!$J$2:$K$8,2,0))</f>
        <v/>
      </c>
      <c r="C351" s="209"/>
      <c r="D351" s="207"/>
      <c r="E351" s="207"/>
      <c r="F351" s="207"/>
      <c r="G351" s="207"/>
      <c r="H351" s="207"/>
      <c r="I351" s="207"/>
      <c r="J351" s="207"/>
      <c r="K351" s="207"/>
      <c r="L351" s="207"/>
      <c r="M351" s="207"/>
      <c r="N351" s="207"/>
      <c r="O351" s="207"/>
      <c r="P351" s="207"/>
      <c r="Q351" s="207"/>
      <c r="R351" s="207"/>
      <c r="S351" s="207"/>
      <c r="T351" s="207"/>
      <c r="U351" s="209"/>
      <c r="V351" s="207"/>
      <c r="W351" s="207"/>
      <c r="X351" s="209">
        <f t="shared" si="55"/>
        <v>0</v>
      </c>
      <c r="Y351" s="209">
        <f t="shared" si="56"/>
        <v>0</v>
      </c>
      <c r="Z351" s="207"/>
      <c r="AA351" s="209" t="str">
        <f t="shared" si="60"/>
        <v/>
      </c>
      <c r="AB351" s="209"/>
      <c r="AC351" s="207" t="str">
        <f t="shared" ca="1" si="61"/>
        <v/>
      </c>
      <c r="AD351" s="207"/>
      <c r="AE351" s="207"/>
      <c r="AF351" s="208" t="str">
        <f>IF(ISBLANK(D351),"",VLOOKUP(F351,'SIZE CALCULATION'!$F:$G,2,0))</f>
        <v/>
      </c>
      <c r="AG351" s="207" t="str">
        <f t="shared" si="52"/>
        <v/>
      </c>
      <c r="AH351" s="207" t="str">
        <f t="shared" si="57"/>
        <v/>
      </c>
      <c r="AI351" s="210" t="str">
        <f>IF(ISBLANK(D351),"",VLOOKUP($A351,INDEX!$D$2:$F$13,3,0))</f>
        <v/>
      </c>
      <c r="AJ351" s="207" t="str">
        <f t="shared" si="58"/>
        <v/>
      </c>
      <c r="AK351" s="207"/>
      <c r="AL351" s="207"/>
      <c r="AM351" s="207" t="str">
        <f>IFERROR(IF(ISBLANK($D351),"",VLOOKUP($N351,'TABLE CHARGE RATE'!$A$30:$K$106,5,0)),"Check")</f>
        <v/>
      </c>
      <c r="AN351" s="207" t="str">
        <f>IFERROR(IF(ISBLANK($D351),"",VLOOKUP($N351,'TABLE CHARGE RATE'!$A$30:$K$106,6,0)),"Check")</f>
        <v/>
      </c>
      <c r="AO351" s="207" t="str">
        <f>IFERROR(IF(ISBLANK($D351),"",VLOOKUP($N351,'TABLE CHARGE RATE'!$A$30:$K$106,7,0)),"Check")</f>
        <v/>
      </c>
      <c r="AP351" s="207" t="str">
        <f>IFERROR(IF(ISBLANK($D351),"",VLOOKUP($N351,'TABLE CHARGE RATE'!$A$30:$K$106,8,0)),"Check")</f>
        <v/>
      </c>
      <c r="AQ351" s="207" t="str">
        <f>IFERROR(IF(ISBLANK($D351),"",VLOOKUP($N351,'TABLE CHARGE RATE'!$A$30:$K$106,9,0)),"Check")</f>
        <v/>
      </c>
      <c r="AR351" s="207" t="str">
        <f>IFERROR(IF(ISBLANK($D351),"",VLOOKUP($N351,'TABLE CHARGE RATE'!$A$30:$K$106,10,0)),"Check")</f>
        <v/>
      </c>
      <c r="AS351" s="207" t="str">
        <f>IFERROR(IF(ISBLANK($D351),"",VLOOKUP($N351,'TABLE CHARGE RATE'!$A$30:$K$106,11,0)),"Check")</f>
        <v/>
      </c>
      <c r="AT351" s="207">
        <f t="shared" si="59"/>
        <v>350</v>
      </c>
    </row>
    <row r="352" spans="1:46" x14ac:dyDescent="0.2">
      <c r="A352" s="207" t="str">
        <f t="shared" si="53"/>
        <v/>
      </c>
      <c r="B352" s="208" t="str">
        <f>IF(ISBLANK(D352),"",VLOOKUP(WEEKDAY($C352,1),INDEX!$J$2:$K$8,2,0))</f>
        <v/>
      </c>
      <c r="C352" s="209"/>
      <c r="D352" s="207"/>
      <c r="E352" s="207"/>
      <c r="F352" s="207"/>
      <c r="G352" s="207"/>
      <c r="H352" s="207"/>
      <c r="I352" s="207"/>
      <c r="J352" s="207"/>
      <c r="K352" s="207"/>
      <c r="L352" s="207"/>
      <c r="M352" s="207"/>
      <c r="N352" s="207"/>
      <c r="O352" s="207"/>
      <c r="P352" s="207"/>
      <c r="Q352" s="207"/>
      <c r="R352" s="207"/>
      <c r="S352" s="207"/>
      <c r="T352" s="207"/>
      <c r="U352" s="209"/>
      <c r="V352" s="207"/>
      <c r="W352" s="207"/>
      <c r="X352" s="209">
        <f t="shared" si="55"/>
        <v>0</v>
      </c>
      <c r="Y352" s="209">
        <f t="shared" si="56"/>
        <v>0</v>
      </c>
      <c r="Z352" s="207"/>
      <c r="AA352" s="209" t="str">
        <f t="shared" si="60"/>
        <v/>
      </c>
      <c r="AB352" s="209"/>
      <c r="AC352" s="207" t="str">
        <f t="shared" ca="1" si="61"/>
        <v/>
      </c>
      <c r="AD352" s="207"/>
      <c r="AE352" s="207"/>
      <c r="AF352" s="208" t="str">
        <f>IF(ISBLANK(D352),"",VLOOKUP(F352,'SIZE CALCULATION'!$F:$G,2,0))</f>
        <v/>
      </c>
      <c r="AG352" s="207" t="str">
        <f t="shared" si="52"/>
        <v/>
      </c>
      <c r="AH352" s="207" t="str">
        <f t="shared" si="57"/>
        <v/>
      </c>
      <c r="AI352" s="210" t="str">
        <f>IF(ISBLANK(D352),"",VLOOKUP($A352,INDEX!$D$2:$F$13,3,0))</f>
        <v/>
      </c>
      <c r="AJ352" s="207" t="str">
        <f t="shared" si="58"/>
        <v/>
      </c>
      <c r="AK352" s="207"/>
      <c r="AL352" s="207"/>
      <c r="AM352" s="207" t="str">
        <f>IFERROR(IF(ISBLANK($D352),"",VLOOKUP($N352,'TABLE CHARGE RATE'!$A$30:$K$106,5,0)),"Check")</f>
        <v/>
      </c>
      <c r="AN352" s="207" t="str">
        <f>IFERROR(IF(ISBLANK($D352),"",VLOOKUP($N352,'TABLE CHARGE RATE'!$A$30:$K$106,6,0)),"Check")</f>
        <v/>
      </c>
      <c r="AO352" s="207" t="str">
        <f>IFERROR(IF(ISBLANK($D352),"",VLOOKUP($N352,'TABLE CHARGE RATE'!$A$30:$K$106,7,0)),"Check")</f>
        <v/>
      </c>
      <c r="AP352" s="207" t="str">
        <f>IFERROR(IF(ISBLANK($D352),"",VLOOKUP($N352,'TABLE CHARGE RATE'!$A$30:$K$106,8,0)),"Check")</f>
        <v/>
      </c>
      <c r="AQ352" s="207" t="str">
        <f>IFERROR(IF(ISBLANK($D352),"",VLOOKUP($N352,'TABLE CHARGE RATE'!$A$30:$K$106,9,0)),"Check")</f>
        <v/>
      </c>
      <c r="AR352" s="207" t="str">
        <f>IFERROR(IF(ISBLANK($D352),"",VLOOKUP($N352,'TABLE CHARGE RATE'!$A$30:$K$106,10,0)),"Check")</f>
        <v/>
      </c>
      <c r="AS352" s="207" t="str">
        <f>IFERROR(IF(ISBLANK($D352),"",VLOOKUP($N352,'TABLE CHARGE RATE'!$A$30:$K$106,11,0)),"Check")</f>
        <v/>
      </c>
      <c r="AT352" s="207">
        <f t="shared" si="59"/>
        <v>351</v>
      </c>
    </row>
    <row r="353" spans="1:46" x14ac:dyDescent="0.2">
      <c r="A353" s="207" t="str">
        <f t="shared" si="53"/>
        <v/>
      </c>
      <c r="B353" s="208" t="str">
        <f>IF(ISBLANK(D353),"",VLOOKUP(WEEKDAY($C353,1),INDEX!$J$2:$K$8,2,0))</f>
        <v/>
      </c>
      <c r="C353" s="209"/>
      <c r="D353" s="207"/>
      <c r="E353" s="207"/>
      <c r="F353" s="207"/>
      <c r="G353" s="207"/>
      <c r="H353" s="207"/>
      <c r="I353" s="207"/>
      <c r="J353" s="207"/>
      <c r="K353" s="207"/>
      <c r="L353" s="207"/>
      <c r="M353" s="207"/>
      <c r="N353" s="207"/>
      <c r="O353" s="207"/>
      <c r="P353" s="207"/>
      <c r="Q353" s="207"/>
      <c r="R353" s="207"/>
      <c r="S353" s="207"/>
      <c r="T353" s="207"/>
      <c r="U353" s="209"/>
      <c r="V353" s="207"/>
      <c r="W353" s="207"/>
      <c r="X353" s="209">
        <f t="shared" si="55"/>
        <v>0</v>
      </c>
      <c r="Y353" s="209">
        <f t="shared" si="56"/>
        <v>0</v>
      </c>
      <c r="Z353" s="207"/>
      <c r="AA353" s="209" t="str">
        <f t="shared" ref="AA353:AA416" si="62">IF(ISBLANK(D353),"",Y353+10)</f>
        <v/>
      </c>
      <c r="AB353" s="209"/>
      <c r="AC353" s="207" t="str">
        <f t="shared" ca="1" si="61"/>
        <v/>
      </c>
      <c r="AD353" s="207"/>
      <c r="AE353" s="207"/>
      <c r="AF353" s="208" t="str">
        <f>IF(ISBLANK(D353),"",VLOOKUP(F353,'SIZE CALCULATION'!$F:$G,2,0))</f>
        <v/>
      </c>
      <c r="AG353" s="207" t="str">
        <f t="shared" si="52"/>
        <v/>
      </c>
      <c r="AH353" s="207" t="str">
        <f t="shared" si="57"/>
        <v/>
      </c>
      <c r="AI353" s="210" t="str">
        <f>IF(ISBLANK(D353),"",VLOOKUP($A353,INDEX!$D$2:$F$13,3,0))</f>
        <v/>
      </c>
      <c r="AJ353" s="207" t="str">
        <f t="shared" si="58"/>
        <v/>
      </c>
      <c r="AK353" s="207"/>
      <c r="AL353" s="207"/>
      <c r="AM353" s="207" t="str">
        <f>IFERROR(IF(ISBLANK($D353),"",VLOOKUP($N353,'TABLE CHARGE RATE'!$A$30:$K$106,5,0)),"Check")</f>
        <v/>
      </c>
      <c r="AN353" s="207" t="str">
        <f>IFERROR(IF(ISBLANK($D353),"",VLOOKUP($N353,'TABLE CHARGE RATE'!$A$30:$K$106,6,0)),"Check")</f>
        <v/>
      </c>
      <c r="AO353" s="207" t="str">
        <f>IFERROR(IF(ISBLANK($D353),"",VLOOKUP($N353,'TABLE CHARGE RATE'!$A$30:$K$106,7,0)),"Check")</f>
        <v/>
      </c>
      <c r="AP353" s="207" t="str">
        <f>IFERROR(IF(ISBLANK($D353),"",VLOOKUP($N353,'TABLE CHARGE RATE'!$A$30:$K$106,8,0)),"Check")</f>
        <v/>
      </c>
      <c r="AQ353" s="207" t="str">
        <f>IFERROR(IF(ISBLANK($D353),"",VLOOKUP($N353,'TABLE CHARGE RATE'!$A$30:$K$106,9,0)),"Check")</f>
        <v/>
      </c>
      <c r="AR353" s="207" t="str">
        <f>IFERROR(IF(ISBLANK($D353),"",VLOOKUP($N353,'TABLE CHARGE RATE'!$A$30:$K$106,10,0)),"Check")</f>
        <v/>
      </c>
      <c r="AS353" s="207" t="str">
        <f>IFERROR(IF(ISBLANK($D353),"",VLOOKUP($N353,'TABLE CHARGE RATE'!$A$30:$K$106,11,0)),"Check")</f>
        <v/>
      </c>
      <c r="AT353" s="207">
        <f t="shared" si="59"/>
        <v>352</v>
      </c>
    </row>
    <row r="354" spans="1:46" x14ac:dyDescent="0.2">
      <c r="A354" s="207" t="str">
        <f t="shared" si="53"/>
        <v/>
      </c>
      <c r="B354" s="208" t="str">
        <f>IF(ISBLANK(D354),"",VLOOKUP(WEEKDAY($C354,1),INDEX!$J$2:$K$8,2,0))</f>
        <v/>
      </c>
      <c r="C354" s="209"/>
      <c r="D354" s="207"/>
      <c r="E354" s="207"/>
      <c r="F354" s="207"/>
      <c r="G354" s="207"/>
      <c r="H354" s="207"/>
      <c r="I354" s="207"/>
      <c r="J354" s="207"/>
      <c r="K354" s="207"/>
      <c r="L354" s="207"/>
      <c r="M354" s="207"/>
      <c r="N354" s="207"/>
      <c r="O354" s="207"/>
      <c r="P354" s="207"/>
      <c r="Q354" s="207"/>
      <c r="R354" s="207"/>
      <c r="S354" s="207"/>
      <c r="T354" s="207"/>
      <c r="U354" s="209"/>
      <c r="V354" s="207"/>
      <c r="W354" s="207"/>
      <c r="X354" s="209">
        <f t="shared" si="55"/>
        <v>0</v>
      </c>
      <c r="Y354" s="209">
        <f t="shared" si="56"/>
        <v>0</v>
      </c>
      <c r="Z354" s="207"/>
      <c r="AA354" s="209" t="str">
        <f t="shared" si="62"/>
        <v/>
      </c>
      <c r="AB354" s="209"/>
      <c r="AC354" s="207" t="str">
        <f t="shared" ca="1" si="61"/>
        <v/>
      </c>
      <c r="AD354" s="207"/>
      <c r="AE354" s="207"/>
      <c r="AF354" s="208" t="str">
        <f>IF(ISBLANK(D354),"",VLOOKUP(F354,'SIZE CALCULATION'!$F:$G,2,0))</f>
        <v/>
      </c>
      <c r="AG354" s="207" t="str">
        <f t="shared" si="52"/>
        <v/>
      </c>
      <c r="AH354" s="207" t="str">
        <f t="shared" si="57"/>
        <v/>
      </c>
      <c r="AI354" s="210" t="str">
        <f>IF(ISBLANK(D354),"",VLOOKUP($A354,INDEX!$D$2:$F$13,3,0))</f>
        <v/>
      </c>
      <c r="AJ354" s="207" t="str">
        <f t="shared" si="58"/>
        <v/>
      </c>
      <c r="AK354" s="207"/>
      <c r="AL354" s="207"/>
      <c r="AM354" s="207" t="str">
        <f>IFERROR(IF(ISBLANK($D354),"",VLOOKUP($N354,'TABLE CHARGE RATE'!$A$30:$K$106,5,0)),"Check")</f>
        <v/>
      </c>
      <c r="AN354" s="207" t="str">
        <f>IFERROR(IF(ISBLANK($D354),"",VLOOKUP($N354,'TABLE CHARGE RATE'!$A$30:$K$106,6,0)),"Check")</f>
        <v/>
      </c>
      <c r="AO354" s="207" t="str">
        <f>IFERROR(IF(ISBLANK($D354),"",VLOOKUP($N354,'TABLE CHARGE RATE'!$A$30:$K$106,7,0)),"Check")</f>
        <v/>
      </c>
      <c r="AP354" s="207" t="str">
        <f>IFERROR(IF(ISBLANK($D354),"",VLOOKUP($N354,'TABLE CHARGE RATE'!$A$30:$K$106,8,0)),"Check")</f>
        <v/>
      </c>
      <c r="AQ354" s="207" t="str">
        <f>IFERROR(IF(ISBLANK($D354),"",VLOOKUP($N354,'TABLE CHARGE RATE'!$A$30:$K$106,9,0)),"Check")</f>
        <v/>
      </c>
      <c r="AR354" s="207" t="str">
        <f>IFERROR(IF(ISBLANK($D354),"",VLOOKUP($N354,'TABLE CHARGE RATE'!$A$30:$K$106,10,0)),"Check")</f>
        <v/>
      </c>
      <c r="AS354" s="207" t="str">
        <f>IFERROR(IF(ISBLANK($D354),"",VLOOKUP($N354,'TABLE CHARGE RATE'!$A$30:$K$106,11,0)),"Check")</f>
        <v/>
      </c>
      <c r="AT354" s="207">
        <f t="shared" si="59"/>
        <v>353</v>
      </c>
    </row>
    <row r="355" spans="1:46" x14ac:dyDescent="0.2">
      <c r="A355" s="207" t="str">
        <f t="shared" si="53"/>
        <v/>
      </c>
      <c r="B355" s="208" t="str">
        <f>IF(ISBLANK(D355),"",VLOOKUP(WEEKDAY($C355,1),INDEX!$J$2:$K$8,2,0))</f>
        <v/>
      </c>
      <c r="C355" s="209"/>
      <c r="D355" s="207"/>
      <c r="E355" s="207"/>
      <c r="F355" s="207"/>
      <c r="G355" s="207"/>
      <c r="H355" s="207"/>
      <c r="I355" s="207"/>
      <c r="J355" s="207"/>
      <c r="K355" s="207"/>
      <c r="L355" s="207"/>
      <c r="M355" s="207"/>
      <c r="N355" s="207"/>
      <c r="O355" s="207"/>
      <c r="P355" s="207"/>
      <c r="Q355" s="207"/>
      <c r="R355" s="207"/>
      <c r="S355" s="207"/>
      <c r="T355" s="207"/>
      <c r="U355" s="209"/>
      <c r="V355" s="207"/>
      <c r="W355" s="207"/>
      <c r="X355" s="209">
        <f t="shared" si="55"/>
        <v>0</v>
      </c>
      <c r="Y355" s="209">
        <f t="shared" si="56"/>
        <v>0</v>
      </c>
      <c r="Z355" s="207"/>
      <c r="AA355" s="209" t="str">
        <f t="shared" si="62"/>
        <v/>
      </c>
      <c r="AB355" s="209"/>
      <c r="AC355" s="207" t="str">
        <f t="shared" ca="1" si="61"/>
        <v/>
      </c>
      <c r="AD355" s="207"/>
      <c r="AE355" s="207"/>
      <c r="AF355" s="208" t="str">
        <f>IF(ISBLANK(D355),"",VLOOKUP(F355,'SIZE CALCULATION'!$F:$G,2,0))</f>
        <v/>
      </c>
      <c r="AG355" s="207" t="str">
        <f t="shared" si="52"/>
        <v/>
      </c>
      <c r="AH355" s="207" t="str">
        <f t="shared" si="57"/>
        <v/>
      </c>
      <c r="AI355" s="210" t="str">
        <f>IF(ISBLANK(D355),"",VLOOKUP($A355,INDEX!$D$2:$F$13,3,0))</f>
        <v/>
      </c>
      <c r="AJ355" s="207" t="str">
        <f t="shared" si="58"/>
        <v/>
      </c>
      <c r="AK355" s="207"/>
      <c r="AL355" s="207"/>
      <c r="AM355" s="207" t="str">
        <f>IFERROR(IF(ISBLANK($D355),"",VLOOKUP($N355,'TABLE CHARGE RATE'!$A$30:$K$106,5,0)),"Check")</f>
        <v/>
      </c>
      <c r="AN355" s="207" t="str">
        <f>IFERROR(IF(ISBLANK($D355),"",VLOOKUP($N355,'TABLE CHARGE RATE'!$A$30:$K$106,6,0)),"Check")</f>
        <v/>
      </c>
      <c r="AO355" s="207" t="str">
        <f>IFERROR(IF(ISBLANK($D355),"",VLOOKUP($N355,'TABLE CHARGE RATE'!$A$30:$K$106,7,0)),"Check")</f>
        <v/>
      </c>
      <c r="AP355" s="207" t="str">
        <f>IFERROR(IF(ISBLANK($D355),"",VLOOKUP($N355,'TABLE CHARGE RATE'!$A$30:$K$106,8,0)),"Check")</f>
        <v/>
      </c>
      <c r="AQ355" s="207" t="str">
        <f>IFERROR(IF(ISBLANK($D355),"",VLOOKUP($N355,'TABLE CHARGE RATE'!$A$30:$K$106,9,0)),"Check")</f>
        <v/>
      </c>
      <c r="AR355" s="207" t="str">
        <f>IFERROR(IF(ISBLANK($D355),"",VLOOKUP($N355,'TABLE CHARGE RATE'!$A$30:$K$106,10,0)),"Check")</f>
        <v/>
      </c>
      <c r="AS355" s="207" t="str">
        <f>IFERROR(IF(ISBLANK($D355),"",VLOOKUP($N355,'TABLE CHARGE RATE'!$A$30:$K$106,11,0)),"Check")</f>
        <v/>
      </c>
      <c r="AT355" s="207">
        <f t="shared" si="59"/>
        <v>354</v>
      </c>
    </row>
    <row r="356" spans="1:46" x14ac:dyDescent="0.2">
      <c r="A356" s="207" t="str">
        <f t="shared" si="53"/>
        <v/>
      </c>
      <c r="B356" s="208" t="str">
        <f>IF(ISBLANK(D356),"",VLOOKUP(WEEKDAY($C356,1),INDEX!$J$2:$K$8,2,0))</f>
        <v/>
      </c>
      <c r="C356" s="209"/>
      <c r="D356" s="207"/>
      <c r="E356" s="207"/>
      <c r="F356" s="207"/>
      <c r="G356" s="207"/>
      <c r="H356" s="207"/>
      <c r="I356" s="207"/>
      <c r="J356" s="207"/>
      <c r="K356" s="207"/>
      <c r="L356" s="207"/>
      <c r="M356" s="207"/>
      <c r="N356" s="207"/>
      <c r="O356" s="207"/>
      <c r="P356" s="207"/>
      <c r="Q356" s="207"/>
      <c r="R356" s="207"/>
      <c r="S356" s="207"/>
      <c r="T356" s="207"/>
      <c r="U356" s="209"/>
      <c r="V356" s="207"/>
      <c r="W356" s="207"/>
      <c r="X356" s="209">
        <f t="shared" si="55"/>
        <v>0</v>
      </c>
      <c r="Y356" s="209">
        <f t="shared" si="56"/>
        <v>0</v>
      </c>
      <c r="Z356" s="207"/>
      <c r="AA356" s="209" t="str">
        <f t="shared" si="62"/>
        <v/>
      </c>
      <c r="AB356" s="209"/>
      <c r="AC356" s="207" t="str">
        <f t="shared" ca="1" si="61"/>
        <v/>
      </c>
      <c r="AD356" s="207"/>
      <c r="AE356" s="207"/>
      <c r="AF356" s="208" t="str">
        <f>IF(ISBLANK(D356),"",VLOOKUP(F356,'SIZE CALCULATION'!$F:$G,2,0))</f>
        <v/>
      </c>
      <c r="AG356" s="207" t="str">
        <f t="shared" si="52"/>
        <v/>
      </c>
      <c r="AH356" s="207" t="str">
        <f t="shared" si="57"/>
        <v/>
      </c>
      <c r="AI356" s="210" t="str">
        <f>IF(ISBLANK(D356),"",VLOOKUP($A356,INDEX!$D$2:$F$13,3,0))</f>
        <v/>
      </c>
      <c r="AJ356" s="207" t="str">
        <f t="shared" si="58"/>
        <v/>
      </c>
      <c r="AK356" s="207"/>
      <c r="AL356" s="207"/>
      <c r="AM356" s="207" t="str">
        <f>IFERROR(IF(ISBLANK($D356),"",VLOOKUP($N356,'TABLE CHARGE RATE'!$A$30:$K$106,5,0)),"Check")</f>
        <v/>
      </c>
      <c r="AN356" s="207" t="str">
        <f>IFERROR(IF(ISBLANK($D356),"",VLOOKUP($N356,'TABLE CHARGE RATE'!$A$30:$K$106,6,0)),"Check")</f>
        <v/>
      </c>
      <c r="AO356" s="207" t="str">
        <f>IFERROR(IF(ISBLANK($D356),"",VLOOKUP($N356,'TABLE CHARGE RATE'!$A$30:$K$106,7,0)),"Check")</f>
        <v/>
      </c>
      <c r="AP356" s="207" t="str">
        <f>IFERROR(IF(ISBLANK($D356),"",VLOOKUP($N356,'TABLE CHARGE RATE'!$A$30:$K$106,8,0)),"Check")</f>
        <v/>
      </c>
      <c r="AQ356" s="207" t="str">
        <f>IFERROR(IF(ISBLANK($D356),"",VLOOKUP($N356,'TABLE CHARGE RATE'!$A$30:$K$106,9,0)),"Check")</f>
        <v/>
      </c>
      <c r="AR356" s="207" t="str">
        <f>IFERROR(IF(ISBLANK($D356),"",VLOOKUP($N356,'TABLE CHARGE RATE'!$A$30:$K$106,10,0)),"Check")</f>
        <v/>
      </c>
      <c r="AS356" s="207" t="str">
        <f>IFERROR(IF(ISBLANK($D356),"",VLOOKUP($N356,'TABLE CHARGE RATE'!$A$30:$K$106,11,0)),"Check")</f>
        <v/>
      </c>
      <c r="AT356" s="207">
        <f t="shared" si="59"/>
        <v>355</v>
      </c>
    </row>
    <row r="357" spans="1:46" x14ac:dyDescent="0.2">
      <c r="A357" s="207" t="str">
        <f t="shared" si="53"/>
        <v/>
      </c>
      <c r="B357" s="208" t="str">
        <f>IF(ISBLANK(D357),"",VLOOKUP(WEEKDAY($C357,1),INDEX!$J$2:$K$8,2,0))</f>
        <v/>
      </c>
      <c r="C357" s="209"/>
      <c r="D357" s="207"/>
      <c r="E357" s="207"/>
      <c r="F357" s="207"/>
      <c r="G357" s="207"/>
      <c r="H357" s="207"/>
      <c r="I357" s="207"/>
      <c r="J357" s="207"/>
      <c r="K357" s="207"/>
      <c r="L357" s="207"/>
      <c r="M357" s="207"/>
      <c r="N357" s="207"/>
      <c r="O357" s="207"/>
      <c r="P357" s="207"/>
      <c r="Q357" s="207"/>
      <c r="R357" s="207"/>
      <c r="S357" s="207"/>
      <c r="T357" s="207"/>
      <c r="U357" s="209"/>
      <c r="V357" s="207"/>
      <c r="W357" s="207"/>
      <c r="X357" s="209">
        <f t="shared" si="55"/>
        <v>0</v>
      </c>
      <c r="Y357" s="209">
        <f t="shared" si="56"/>
        <v>0</v>
      </c>
      <c r="Z357" s="207"/>
      <c r="AA357" s="209" t="str">
        <f t="shared" si="62"/>
        <v/>
      </c>
      <c r="AB357" s="209"/>
      <c r="AC357" s="207" t="str">
        <f t="shared" ca="1" si="61"/>
        <v/>
      </c>
      <c r="AD357" s="207"/>
      <c r="AE357" s="207"/>
      <c r="AF357" s="208" t="str">
        <f>IF(ISBLANK(D357),"",VLOOKUP(F357,'SIZE CALCULATION'!$F:$G,2,0))</f>
        <v/>
      </c>
      <c r="AG357" s="207" t="str">
        <f t="shared" si="52"/>
        <v/>
      </c>
      <c r="AH357" s="207" t="str">
        <f t="shared" si="57"/>
        <v/>
      </c>
      <c r="AI357" s="210" t="str">
        <f>IF(ISBLANK(D357),"",VLOOKUP($A357,INDEX!$D$2:$F$13,3,0))</f>
        <v/>
      </c>
      <c r="AJ357" s="207" t="str">
        <f t="shared" si="58"/>
        <v/>
      </c>
      <c r="AK357" s="207"/>
      <c r="AL357" s="207"/>
      <c r="AM357" s="207" t="str">
        <f>IFERROR(IF(ISBLANK($D357),"",VLOOKUP($N357,'TABLE CHARGE RATE'!$A$30:$K$106,5,0)),"Check")</f>
        <v/>
      </c>
      <c r="AN357" s="207" t="str">
        <f>IFERROR(IF(ISBLANK($D357),"",VLOOKUP($N357,'TABLE CHARGE RATE'!$A$30:$K$106,6,0)),"Check")</f>
        <v/>
      </c>
      <c r="AO357" s="207" t="str">
        <f>IFERROR(IF(ISBLANK($D357),"",VLOOKUP($N357,'TABLE CHARGE RATE'!$A$30:$K$106,7,0)),"Check")</f>
        <v/>
      </c>
      <c r="AP357" s="207" t="str">
        <f>IFERROR(IF(ISBLANK($D357),"",VLOOKUP($N357,'TABLE CHARGE RATE'!$A$30:$K$106,8,0)),"Check")</f>
        <v/>
      </c>
      <c r="AQ357" s="207" t="str">
        <f>IFERROR(IF(ISBLANK($D357),"",VLOOKUP($N357,'TABLE CHARGE RATE'!$A$30:$K$106,9,0)),"Check")</f>
        <v/>
      </c>
      <c r="AR357" s="207" t="str">
        <f>IFERROR(IF(ISBLANK($D357),"",VLOOKUP($N357,'TABLE CHARGE RATE'!$A$30:$K$106,10,0)),"Check")</f>
        <v/>
      </c>
      <c r="AS357" s="207" t="str">
        <f>IFERROR(IF(ISBLANK($D357),"",VLOOKUP($N357,'TABLE CHARGE RATE'!$A$30:$K$106,11,0)),"Check")</f>
        <v/>
      </c>
      <c r="AT357" s="207">
        <f t="shared" si="59"/>
        <v>356</v>
      </c>
    </row>
    <row r="358" spans="1:46" x14ac:dyDescent="0.2">
      <c r="A358" s="207" t="str">
        <f t="shared" si="53"/>
        <v/>
      </c>
      <c r="B358" s="208" t="str">
        <f>IF(ISBLANK(D358),"",VLOOKUP(WEEKDAY($C358,1),INDEX!$J$2:$K$8,2,0))</f>
        <v/>
      </c>
      <c r="C358" s="209"/>
      <c r="D358" s="207"/>
      <c r="E358" s="207"/>
      <c r="F358" s="207"/>
      <c r="G358" s="207"/>
      <c r="H358" s="207"/>
      <c r="I358" s="207"/>
      <c r="J358" s="207"/>
      <c r="K358" s="207"/>
      <c r="L358" s="207"/>
      <c r="M358" s="207"/>
      <c r="N358" s="207"/>
      <c r="O358" s="207"/>
      <c r="P358" s="207"/>
      <c r="Q358" s="207"/>
      <c r="R358" s="207"/>
      <c r="S358" s="207"/>
      <c r="T358" s="207"/>
      <c r="U358" s="209"/>
      <c r="V358" s="207"/>
      <c r="W358" s="207"/>
      <c r="X358" s="209">
        <f t="shared" si="55"/>
        <v>0</v>
      </c>
      <c r="Y358" s="209">
        <f t="shared" si="56"/>
        <v>0</v>
      </c>
      <c r="Z358" s="207"/>
      <c r="AA358" s="209" t="str">
        <f t="shared" si="62"/>
        <v/>
      </c>
      <c r="AB358" s="209"/>
      <c r="AC358" s="207" t="str">
        <f t="shared" ca="1" si="61"/>
        <v/>
      </c>
      <c r="AD358" s="207"/>
      <c r="AE358" s="207"/>
      <c r="AF358" s="208" t="str">
        <f>IF(ISBLANK(D358),"",VLOOKUP(F358,'SIZE CALCULATION'!$F:$G,2,0))</f>
        <v/>
      </c>
      <c r="AG358" s="207" t="str">
        <f t="shared" si="52"/>
        <v/>
      </c>
      <c r="AH358" s="207" t="str">
        <f t="shared" si="57"/>
        <v/>
      </c>
      <c r="AI358" s="210" t="str">
        <f>IF(ISBLANK(D358),"",VLOOKUP($A358,INDEX!$D$2:$F$13,3,0))</f>
        <v/>
      </c>
      <c r="AJ358" s="207" t="str">
        <f t="shared" si="58"/>
        <v/>
      </c>
      <c r="AK358" s="207"/>
      <c r="AL358" s="207"/>
      <c r="AM358" s="207" t="str">
        <f>IFERROR(IF(ISBLANK($D358),"",VLOOKUP($N358,'TABLE CHARGE RATE'!$A$30:$K$106,5,0)),"Check")</f>
        <v/>
      </c>
      <c r="AN358" s="207" t="str">
        <f>IFERROR(IF(ISBLANK($D358),"",VLOOKUP($N358,'TABLE CHARGE RATE'!$A$30:$K$106,6,0)),"Check")</f>
        <v/>
      </c>
      <c r="AO358" s="207" t="str">
        <f>IFERROR(IF(ISBLANK($D358),"",VLOOKUP($N358,'TABLE CHARGE RATE'!$A$30:$K$106,7,0)),"Check")</f>
        <v/>
      </c>
      <c r="AP358" s="207" t="str">
        <f>IFERROR(IF(ISBLANK($D358),"",VLOOKUP($N358,'TABLE CHARGE RATE'!$A$30:$K$106,8,0)),"Check")</f>
        <v/>
      </c>
      <c r="AQ358" s="207" t="str">
        <f>IFERROR(IF(ISBLANK($D358),"",VLOOKUP($N358,'TABLE CHARGE RATE'!$A$30:$K$106,9,0)),"Check")</f>
        <v/>
      </c>
      <c r="AR358" s="207" t="str">
        <f>IFERROR(IF(ISBLANK($D358),"",VLOOKUP($N358,'TABLE CHARGE RATE'!$A$30:$K$106,10,0)),"Check")</f>
        <v/>
      </c>
      <c r="AS358" s="207" t="str">
        <f>IFERROR(IF(ISBLANK($D358),"",VLOOKUP($N358,'TABLE CHARGE RATE'!$A$30:$K$106,11,0)),"Check")</f>
        <v/>
      </c>
      <c r="AT358" s="207">
        <f t="shared" si="59"/>
        <v>357</v>
      </c>
    </row>
    <row r="359" spans="1:46" x14ac:dyDescent="0.2">
      <c r="A359" s="207" t="str">
        <f t="shared" si="53"/>
        <v/>
      </c>
      <c r="B359" s="208" t="str">
        <f>IF(ISBLANK(D359),"",VLOOKUP(WEEKDAY($C359,1),INDEX!$J$2:$K$8,2,0))</f>
        <v/>
      </c>
      <c r="C359" s="209"/>
      <c r="D359" s="207"/>
      <c r="E359" s="207"/>
      <c r="F359" s="207"/>
      <c r="G359" s="207"/>
      <c r="H359" s="207"/>
      <c r="I359" s="207"/>
      <c r="J359" s="207"/>
      <c r="K359" s="207"/>
      <c r="L359" s="207"/>
      <c r="M359" s="207"/>
      <c r="N359" s="207"/>
      <c r="O359" s="207"/>
      <c r="P359" s="207"/>
      <c r="Q359" s="207"/>
      <c r="R359" s="207"/>
      <c r="S359" s="207"/>
      <c r="T359" s="207"/>
      <c r="U359" s="209"/>
      <c r="V359" s="207"/>
      <c r="W359" s="207"/>
      <c r="X359" s="209">
        <f t="shared" si="55"/>
        <v>0</v>
      </c>
      <c r="Y359" s="209">
        <f t="shared" si="56"/>
        <v>0</v>
      </c>
      <c r="Z359" s="207"/>
      <c r="AA359" s="209" t="str">
        <f t="shared" si="62"/>
        <v/>
      </c>
      <c r="AB359" s="209"/>
      <c r="AC359" s="207" t="str">
        <f t="shared" ca="1" si="61"/>
        <v/>
      </c>
      <c r="AD359" s="207"/>
      <c r="AE359" s="207"/>
      <c r="AF359" s="208" t="str">
        <f>IF(ISBLANK(D359),"",VLOOKUP(F359,'SIZE CALCULATION'!$F:$G,2,0))</f>
        <v/>
      </c>
      <c r="AG359" s="207" t="str">
        <f t="shared" si="52"/>
        <v/>
      </c>
      <c r="AH359" s="207" t="str">
        <f t="shared" si="57"/>
        <v/>
      </c>
      <c r="AI359" s="210" t="str">
        <f>IF(ISBLANK(D359),"",VLOOKUP($A359,INDEX!$D$2:$F$13,3,0))</f>
        <v/>
      </c>
      <c r="AJ359" s="207" t="str">
        <f t="shared" si="58"/>
        <v/>
      </c>
      <c r="AK359" s="207"/>
      <c r="AL359" s="207"/>
      <c r="AM359" s="207" t="str">
        <f>IFERROR(IF(ISBLANK($D359),"",VLOOKUP($N359,'TABLE CHARGE RATE'!$A$30:$K$106,5,0)),"Check")</f>
        <v/>
      </c>
      <c r="AN359" s="207" t="str">
        <f>IFERROR(IF(ISBLANK($D359),"",VLOOKUP($N359,'TABLE CHARGE RATE'!$A$30:$K$106,6,0)),"Check")</f>
        <v/>
      </c>
      <c r="AO359" s="207" t="str">
        <f>IFERROR(IF(ISBLANK($D359),"",VLOOKUP($N359,'TABLE CHARGE RATE'!$A$30:$K$106,7,0)),"Check")</f>
        <v/>
      </c>
      <c r="AP359" s="207" t="str">
        <f>IFERROR(IF(ISBLANK($D359),"",VLOOKUP($N359,'TABLE CHARGE RATE'!$A$30:$K$106,8,0)),"Check")</f>
        <v/>
      </c>
      <c r="AQ359" s="207" t="str">
        <f>IFERROR(IF(ISBLANK($D359),"",VLOOKUP($N359,'TABLE CHARGE RATE'!$A$30:$K$106,9,0)),"Check")</f>
        <v/>
      </c>
      <c r="AR359" s="207" t="str">
        <f>IFERROR(IF(ISBLANK($D359),"",VLOOKUP($N359,'TABLE CHARGE RATE'!$A$30:$K$106,10,0)),"Check")</f>
        <v/>
      </c>
      <c r="AS359" s="207" t="str">
        <f>IFERROR(IF(ISBLANK($D359),"",VLOOKUP($N359,'TABLE CHARGE RATE'!$A$30:$K$106,11,0)),"Check")</f>
        <v/>
      </c>
      <c r="AT359" s="207">
        <f t="shared" si="59"/>
        <v>358</v>
      </c>
    </row>
    <row r="360" spans="1:46" x14ac:dyDescent="0.2">
      <c r="A360" s="207" t="str">
        <f t="shared" si="53"/>
        <v/>
      </c>
      <c r="B360" s="208" t="str">
        <f>IF(ISBLANK(D360),"",VLOOKUP(WEEKDAY($C360,1),INDEX!$J$2:$K$8,2,0))</f>
        <v/>
      </c>
      <c r="C360" s="209"/>
      <c r="D360" s="207"/>
      <c r="E360" s="207"/>
      <c r="F360" s="207"/>
      <c r="G360" s="207"/>
      <c r="H360" s="207"/>
      <c r="I360" s="207"/>
      <c r="J360" s="207"/>
      <c r="K360" s="207"/>
      <c r="L360" s="207"/>
      <c r="M360" s="207"/>
      <c r="N360" s="207"/>
      <c r="O360" s="207"/>
      <c r="P360" s="207"/>
      <c r="Q360" s="207"/>
      <c r="R360" s="207"/>
      <c r="S360" s="207"/>
      <c r="T360" s="207"/>
      <c r="U360" s="209"/>
      <c r="V360" s="207"/>
      <c r="W360" s="207"/>
      <c r="X360" s="209">
        <f t="shared" si="55"/>
        <v>0</v>
      </c>
      <c r="Y360" s="209">
        <f t="shared" si="56"/>
        <v>0</v>
      </c>
      <c r="Z360" s="207"/>
      <c r="AA360" s="209" t="str">
        <f t="shared" si="62"/>
        <v/>
      </c>
      <c r="AB360" s="209"/>
      <c r="AC360" s="207" t="str">
        <f t="shared" ca="1" si="61"/>
        <v/>
      </c>
      <c r="AD360" s="207"/>
      <c r="AE360" s="207"/>
      <c r="AF360" s="208" t="str">
        <f>IF(ISBLANK(D360),"",VLOOKUP(F360,'SIZE CALCULATION'!$F:$G,2,0))</f>
        <v/>
      </c>
      <c r="AG360" s="207" t="str">
        <f t="shared" si="52"/>
        <v/>
      </c>
      <c r="AH360" s="207" t="str">
        <f t="shared" si="57"/>
        <v/>
      </c>
      <c r="AI360" s="210" t="str">
        <f>IF(ISBLANK(D360),"",VLOOKUP($A360,INDEX!$D$2:$F$13,3,0))</f>
        <v/>
      </c>
      <c r="AJ360" s="207" t="str">
        <f t="shared" si="58"/>
        <v/>
      </c>
      <c r="AK360" s="207"/>
      <c r="AL360" s="207"/>
      <c r="AM360" s="207" t="str">
        <f>IFERROR(IF(ISBLANK($D360),"",VLOOKUP($N360,'TABLE CHARGE RATE'!$A$30:$K$106,5,0)),"Check")</f>
        <v/>
      </c>
      <c r="AN360" s="207" t="str">
        <f>IFERROR(IF(ISBLANK($D360),"",VLOOKUP($N360,'TABLE CHARGE RATE'!$A$30:$K$106,6,0)),"Check")</f>
        <v/>
      </c>
      <c r="AO360" s="207" t="str">
        <f>IFERROR(IF(ISBLANK($D360),"",VLOOKUP($N360,'TABLE CHARGE RATE'!$A$30:$K$106,7,0)),"Check")</f>
        <v/>
      </c>
      <c r="AP360" s="207" t="str">
        <f>IFERROR(IF(ISBLANK($D360),"",VLOOKUP($N360,'TABLE CHARGE RATE'!$A$30:$K$106,8,0)),"Check")</f>
        <v/>
      </c>
      <c r="AQ360" s="207" t="str">
        <f>IFERROR(IF(ISBLANK($D360),"",VLOOKUP($N360,'TABLE CHARGE RATE'!$A$30:$K$106,9,0)),"Check")</f>
        <v/>
      </c>
      <c r="AR360" s="207" t="str">
        <f>IFERROR(IF(ISBLANK($D360),"",VLOOKUP($N360,'TABLE CHARGE RATE'!$A$30:$K$106,10,0)),"Check")</f>
        <v/>
      </c>
      <c r="AS360" s="207" t="str">
        <f>IFERROR(IF(ISBLANK($D360),"",VLOOKUP($N360,'TABLE CHARGE RATE'!$A$30:$K$106,11,0)),"Check")</f>
        <v/>
      </c>
      <c r="AT360" s="207">
        <v>359</v>
      </c>
    </row>
    <row r="361" spans="1:46" x14ac:dyDescent="0.2">
      <c r="A361" s="207" t="str">
        <f t="shared" ref="A361" si="63">IF(ISBLANK(D361),"",MONTH(C361))</f>
        <v/>
      </c>
      <c r="B361" s="208" t="str">
        <f>IF(ISBLANK(D361),"",VLOOKUP(WEEKDAY($C361,1),INDEX!$J$2:$K$8,2,0))</f>
        <v/>
      </c>
      <c r="C361" s="209"/>
      <c r="D361" s="207"/>
      <c r="E361" s="207"/>
      <c r="F361" s="207"/>
      <c r="G361" s="207"/>
      <c r="H361" s="207"/>
      <c r="I361" s="207"/>
      <c r="J361" s="207"/>
      <c r="K361" s="207"/>
      <c r="L361" s="207"/>
      <c r="M361" s="207"/>
      <c r="N361" s="207"/>
      <c r="O361" s="207"/>
      <c r="P361" s="207"/>
      <c r="Q361" s="207"/>
      <c r="R361" s="207"/>
      <c r="S361" s="207"/>
      <c r="T361" s="207"/>
      <c r="U361" s="209"/>
      <c r="V361" s="207"/>
      <c r="W361" s="207"/>
      <c r="X361" s="209">
        <f t="shared" si="55"/>
        <v>0</v>
      </c>
      <c r="Y361" s="209">
        <f t="shared" si="56"/>
        <v>0</v>
      </c>
      <c r="Z361" s="207" t="str">
        <f t="shared" ref="Z361:Z388" ca="1" si="64">IF(ISBLANK(D361),"",IFERROR(IF(ISBLANK($AK361),IF(X361&gt;=TODAY(),"Delivery",IF(Y361-X361=0,1,0)),$AK361),""))</f>
        <v/>
      </c>
      <c r="AA361" s="209" t="str">
        <f t="shared" si="62"/>
        <v/>
      </c>
      <c r="AB361" s="209"/>
      <c r="AC361" s="207" t="str">
        <f t="shared" ca="1" si="61"/>
        <v/>
      </c>
      <c r="AD361" s="207"/>
      <c r="AE361" s="207"/>
      <c r="AF361" s="208" t="str">
        <f>IF(ISBLANK(D361),"",VLOOKUP(F361,'SIZE CALCULATION'!$F:$G,2,0))</f>
        <v/>
      </c>
      <c r="AG361" s="207" t="str">
        <f t="shared" si="52"/>
        <v/>
      </c>
      <c r="AH361" s="207" t="str">
        <f t="shared" si="57"/>
        <v/>
      </c>
      <c r="AI361" s="210" t="str">
        <f>IF(ISBLANK(D361),"",VLOOKUP($A361,INDEX!$D$2:$F$13,3,0))</f>
        <v/>
      </c>
      <c r="AJ361" s="207" t="str">
        <f t="shared" si="58"/>
        <v/>
      </c>
      <c r="AK361" s="207"/>
      <c r="AL361" s="207"/>
      <c r="AM361" s="207" t="str">
        <f>IFERROR(IF(ISBLANK($D361),"",VLOOKUP($N361,'TABLE CHARGE RATE'!$A$30:$K$106,5,0)),"Check")</f>
        <v/>
      </c>
      <c r="AN361" s="207" t="str">
        <f>IFERROR(IF(ISBLANK($D361),"",VLOOKUP($N361,'TABLE CHARGE RATE'!$A$30:$K$106,6,0)),"Check")</f>
        <v/>
      </c>
      <c r="AO361" s="207" t="str">
        <f>IFERROR(IF(ISBLANK($D361),"",VLOOKUP($N361,'TABLE CHARGE RATE'!$A$30:$K$106,7,0)),"Check")</f>
        <v/>
      </c>
      <c r="AP361" s="207" t="str">
        <f>IFERROR(IF(ISBLANK($D361),"",VLOOKUP($N361,'TABLE CHARGE RATE'!$A$30:$K$106,8,0)),"Check")</f>
        <v/>
      </c>
      <c r="AQ361" s="207" t="str">
        <f>IFERROR(IF(ISBLANK($D361),"",VLOOKUP($N361,'TABLE CHARGE RATE'!$A$30:$K$106,9,0)),"Check")</f>
        <v/>
      </c>
      <c r="AR361" s="207" t="str">
        <f>IFERROR(IF(ISBLANK($D361),"",VLOOKUP($N361,'TABLE CHARGE RATE'!$A$30:$K$106,10,0)),"Check")</f>
        <v/>
      </c>
      <c r="AS361" s="207" t="str">
        <f>IFERROR(IF(ISBLANK($D361),"",VLOOKUP($N361,'TABLE CHARGE RATE'!$A$30:$K$106,11,0)),"Check")</f>
        <v/>
      </c>
      <c r="AT361" s="207"/>
    </row>
    <row r="362" spans="1:46" x14ac:dyDescent="0.2">
      <c r="A362" s="207" t="str">
        <f t="shared" ref="A362:A425" si="65">IF(ISBLANK(D362),"",MONTH(C362))</f>
        <v/>
      </c>
      <c r="B362" s="208" t="str">
        <f>IF(ISBLANK(D362),"",VLOOKUP(WEEKDAY($C362,1),INDEX!$J$2:$K$8,2,0))</f>
        <v/>
      </c>
      <c r="C362" s="209"/>
      <c r="D362" s="207"/>
      <c r="E362" s="207"/>
      <c r="F362" s="207"/>
      <c r="G362" s="207"/>
      <c r="H362" s="207"/>
      <c r="I362" s="207"/>
      <c r="J362" s="207"/>
      <c r="K362" s="207"/>
      <c r="L362" s="207"/>
      <c r="M362" s="207"/>
      <c r="N362" s="207"/>
      <c r="O362" s="207"/>
      <c r="P362" s="207"/>
      <c r="Q362" s="207"/>
      <c r="R362" s="207"/>
      <c r="S362" s="207"/>
      <c r="T362" s="207"/>
      <c r="U362" s="209"/>
      <c r="V362" s="207"/>
      <c r="W362" s="207"/>
      <c r="X362" s="209">
        <f t="shared" si="55"/>
        <v>0</v>
      </c>
      <c r="Y362" s="209">
        <f t="shared" si="56"/>
        <v>0</v>
      </c>
      <c r="Z362" s="207" t="str">
        <f t="shared" ca="1" si="64"/>
        <v/>
      </c>
      <c r="AA362" s="209" t="str">
        <f t="shared" si="62"/>
        <v/>
      </c>
      <c r="AB362" s="209"/>
      <c r="AC362" s="207" t="str">
        <f t="shared" ca="1" si="61"/>
        <v/>
      </c>
      <c r="AD362" s="207"/>
      <c r="AE362" s="207"/>
      <c r="AF362" s="208" t="str">
        <f>IF(ISBLANK(D362),"",VLOOKUP(F362,'SIZE CALCULATION'!$F:$G,2,0))</f>
        <v/>
      </c>
      <c r="AG362" s="207" t="str">
        <f t="shared" si="52"/>
        <v/>
      </c>
      <c r="AH362" s="207" t="str">
        <f t="shared" si="57"/>
        <v/>
      </c>
      <c r="AI362" s="210" t="str">
        <f>IF(ISBLANK(D362),"",VLOOKUP($A362,INDEX!$D$2:$F$13,3,0))</f>
        <v/>
      </c>
      <c r="AJ362" s="207" t="str">
        <f t="shared" si="58"/>
        <v/>
      </c>
      <c r="AK362" s="207"/>
      <c r="AL362" s="207"/>
      <c r="AM362" s="207" t="str">
        <f>IFERROR(IF(ISBLANK($D362),"",VLOOKUP($N362,'TABLE CHARGE RATE'!$A$30:$K$106,5,0)),"Check")</f>
        <v/>
      </c>
      <c r="AN362" s="207" t="str">
        <f>IFERROR(IF(ISBLANK($D362),"",VLOOKUP($N362,'TABLE CHARGE RATE'!$A$30:$K$106,6,0)),"Check")</f>
        <v/>
      </c>
      <c r="AO362" s="207" t="str">
        <f>IFERROR(IF(ISBLANK($D362),"",VLOOKUP($N362,'TABLE CHARGE RATE'!$A$30:$K$106,7,0)),"Check")</f>
        <v/>
      </c>
      <c r="AP362" s="207" t="str">
        <f>IFERROR(IF(ISBLANK($D362),"",VLOOKUP($N362,'TABLE CHARGE RATE'!$A$30:$K$106,8,0)),"Check")</f>
        <v/>
      </c>
      <c r="AQ362" s="207" t="str">
        <f>IFERROR(IF(ISBLANK($D362),"",VLOOKUP($N362,'TABLE CHARGE RATE'!$A$30:$K$106,9,0)),"Check")</f>
        <v/>
      </c>
      <c r="AR362" s="207" t="str">
        <f>IFERROR(IF(ISBLANK($D362),"",VLOOKUP($N362,'TABLE CHARGE RATE'!$A$30:$K$106,10,0)),"Check")</f>
        <v/>
      </c>
      <c r="AS362" s="207" t="str">
        <f>IFERROR(IF(ISBLANK($D362),"",VLOOKUP($N362,'TABLE CHARGE RATE'!$A$30:$K$106,11,0)),"Check")</f>
        <v/>
      </c>
      <c r="AT362" s="207"/>
    </row>
    <row r="363" spans="1:46" x14ac:dyDescent="0.2">
      <c r="A363" s="207" t="str">
        <f t="shared" si="65"/>
        <v/>
      </c>
      <c r="B363" s="208" t="str">
        <f>IF(ISBLANK(D363),"",VLOOKUP(WEEKDAY($C363,1),INDEX!$J$2:$K$8,2,0))</f>
        <v/>
      </c>
      <c r="C363" s="209"/>
      <c r="D363" s="207"/>
      <c r="E363" s="207"/>
      <c r="F363" s="207"/>
      <c r="G363" s="207"/>
      <c r="H363" s="207"/>
      <c r="I363" s="207"/>
      <c r="J363" s="207"/>
      <c r="K363" s="207"/>
      <c r="L363" s="207"/>
      <c r="M363" s="207"/>
      <c r="N363" s="207"/>
      <c r="O363" s="207"/>
      <c r="P363" s="207"/>
      <c r="Q363" s="207"/>
      <c r="R363" s="207"/>
      <c r="S363" s="207"/>
      <c r="T363" s="207"/>
      <c r="U363" s="209"/>
      <c r="V363" s="207"/>
      <c r="W363" s="207"/>
      <c r="X363" s="209">
        <f t="shared" si="55"/>
        <v>0</v>
      </c>
      <c r="Y363" s="209">
        <f t="shared" si="56"/>
        <v>0</v>
      </c>
      <c r="Z363" s="207" t="str">
        <f t="shared" ca="1" si="64"/>
        <v/>
      </c>
      <c r="AA363" s="209" t="str">
        <f t="shared" si="62"/>
        <v/>
      </c>
      <c r="AB363" s="209"/>
      <c r="AC363" s="207" t="str">
        <f t="shared" ca="1" si="61"/>
        <v/>
      </c>
      <c r="AD363" s="207"/>
      <c r="AE363" s="207"/>
      <c r="AF363" s="208" t="str">
        <f>IF(ISBLANK(D363),"",VLOOKUP(F363,'SIZE CALCULATION'!$F:$G,2,0))</f>
        <v/>
      </c>
      <c r="AG363" s="207" t="str">
        <f t="shared" si="52"/>
        <v/>
      </c>
      <c r="AH363" s="207" t="str">
        <f t="shared" si="57"/>
        <v/>
      </c>
      <c r="AI363" s="210" t="str">
        <f>IF(ISBLANK(D363),"",VLOOKUP($A363,INDEX!$D$2:$F$13,3,0))</f>
        <v/>
      </c>
      <c r="AJ363" s="207" t="str">
        <f t="shared" si="58"/>
        <v/>
      </c>
      <c r="AK363" s="207"/>
      <c r="AL363" s="207"/>
      <c r="AM363" s="207" t="str">
        <f>IFERROR(IF(ISBLANK($D363),"",VLOOKUP($N363,'TABLE CHARGE RATE'!$A$30:$K$106,5,0)),"Check")</f>
        <v/>
      </c>
      <c r="AN363" s="207" t="str">
        <f>IFERROR(IF(ISBLANK($D363),"",VLOOKUP($N363,'TABLE CHARGE RATE'!$A$30:$K$106,6,0)),"Check")</f>
        <v/>
      </c>
      <c r="AO363" s="207" t="str">
        <f>IFERROR(IF(ISBLANK($D363),"",VLOOKUP($N363,'TABLE CHARGE RATE'!$A$30:$K$106,7,0)),"Check")</f>
        <v/>
      </c>
      <c r="AP363" s="207" t="str">
        <f>IFERROR(IF(ISBLANK($D363),"",VLOOKUP($N363,'TABLE CHARGE RATE'!$A$30:$K$106,8,0)),"Check")</f>
        <v/>
      </c>
      <c r="AQ363" s="207" t="str">
        <f>IFERROR(IF(ISBLANK($D363),"",VLOOKUP($N363,'TABLE CHARGE RATE'!$A$30:$K$106,9,0)),"Check")</f>
        <v/>
      </c>
      <c r="AR363" s="207" t="str">
        <f>IFERROR(IF(ISBLANK($D363),"",VLOOKUP($N363,'TABLE CHARGE RATE'!$A$30:$K$106,10,0)),"Check")</f>
        <v/>
      </c>
      <c r="AS363" s="207" t="str">
        <f>IFERROR(IF(ISBLANK($D363),"",VLOOKUP($N363,'TABLE CHARGE RATE'!$A$30:$K$106,11,0)),"Check")</f>
        <v/>
      </c>
      <c r="AT363" s="207"/>
    </row>
    <row r="364" spans="1:46" x14ac:dyDescent="0.2">
      <c r="A364" s="207" t="str">
        <f t="shared" si="65"/>
        <v/>
      </c>
      <c r="B364" s="208" t="str">
        <f>IF(ISBLANK(D364),"",VLOOKUP(WEEKDAY($C364,1),INDEX!$J$2:$K$8,2,0))</f>
        <v/>
      </c>
      <c r="C364" s="209"/>
      <c r="D364" s="207"/>
      <c r="E364" s="207"/>
      <c r="F364" s="207"/>
      <c r="G364" s="207"/>
      <c r="H364" s="207"/>
      <c r="I364" s="207"/>
      <c r="J364" s="207"/>
      <c r="K364" s="207"/>
      <c r="L364" s="207"/>
      <c r="M364" s="207"/>
      <c r="N364" s="207"/>
      <c r="O364" s="207"/>
      <c r="P364" s="207"/>
      <c r="Q364" s="207"/>
      <c r="R364" s="207"/>
      <c r="S364" s="207"/>
      <c r="T364" s="207"/>
      <c r="U364" s="209"/>
      <c r="V364" s="207"/>
      <c r="W364" s="207"/>
      <c r="X364" s="209">
        <f t="shared" si="55"/>
        <v>0</v>
      </c>
      <c r="Y364" s="209">
        <f t="shared" si="56"/>
        <v>0</v>
      </c>
      <c r="Z364" s="207" t="str">
        <f t="shared" ca="1" si="64"/>
        <v/>
      </c>
      <c r="AA364" s="209" t="str">
        <f t="shared" si="62"/>
        <v/>
      </c>
      <c r="AB364" s="209"/>
      <c r="AC364" s="207" t="str">
        <f t="shared" ca="1" si="61"/>
        <v/>
      </c>
      <c r="AD364" s="207"/>
      <c r="AE364" s="207"/>
      <c r="AF364" s="208" t="str">
        <f>IF(ISBLANK(D364),"",VLOOKUP(F364,'SIZE CALCULATION'!$F:$G,2,0))</f>
        <v/>
      </c>
      <c r="AG364" s="207" t="str">
        <f t="shared" si="52"/>
        <v/>
      </c>
      <c r="AH364" s="207" t="str">
        <f t="shared" si="57"/>
        <v/>
      </c>
      <c r="AI364" s="210" t="str">
        <f>IF(ISBLANK(D364),"",VLOOKUP($A364,INDEX!$D$2:$F$13,3,0))</f>
        <v/>
      </c>
      <c r="AJ364" s="207" t="str">
        <f t="shared" si="58"/>
        <v/>
      </c>
      <c r="AK364" s="207"/>
      <c r="AL364" s="207"/>
      <c r="AM364" s="207" t="str">
        <f>IFERROR(IF(ISBLANK($D364),"",VLOOKUP($N364,'TABLE CHARGE RATE'!$A$30:$K$106,5,0)),"Check")</f>
        <v/>
      </c>
      <c r="AN364" s="207" t="str">
        <f>IFERROR(IF(ISBLANK($D364),"",VLOOKUP($N364,'TABLE CHARGE RATE'!$A$30:$K$106,6,0)),"Check")</f>
        <v/>
      </c>
      <c r="AO364" s="207" t="str">
        <f>IFERROR(IF(ISBLANK($D364),"",VLOOKUP($N364,'TABLE CHARGE RATE'!$A$30:$K$106,7,0)),"Check")</f>
        <v/>
      </c>
      <c r="AP364" s="207" t="str">
        <f>IFERROR(IF(ISBLANK($D364),"",VLOOKUP($N364,'TABLE CHARGE RATE'!$A$30:$K$106,8,0)),"Check")</f>
        <v/>
      </c>
      <c r="AQ364" s="207" t="str">
        <f>IFERROR(IF(ISBLANK($D364),"",VLOOKUP($N364,'TABLE CHARGE RATE'!$A$30:$K$106,9,0)),"Check")</f>
        <v/>
      </c>
      <c r="AR364" s="207" t="str">
        <f>IFERROR(IF(ISBLANK($D364),"",VLOOKUP($N364,'TABLE CHARGE RATE'!$A$30:$K$106,10,0)),"Check")</f>
        <v/>
      </c>
      <c r="AS364" s="207" t="str">
        <f>IFERROR(IF(ISBLANK($D364),"",VLOOKUP($N364,'TABLE CHARGE RATE'!$A$30:$K$106,11,0)),"Check")</f>
        <v/>
      </c>
      <c r="AT364" s="207"/>
    </row>
    <row r="365" spans="1:46" x14ac:dyDescent="0.2">
      <c r="A365" s="207" t="str">
        <f t="shared" si="65"/>
        <v/>
      </c>
      <c r="B365" s="208" t="str">
        <f>IF(ISBLANK(D365),"",VLOOKUP(WEEKDAY($C365,1),INDEX!$J$2:$K$8,2,0))</f>
        <v/>
      </c>
      <c r="C365" s="209"/>
      <c r="D365" s="207"/>
      <c r="E365" s="207"/>
      <c r="F365" s="207"/>
      <c r="G365" s="207"/>
      <c r="H365" s="207"/>
      <c r="I365" s="207"/>
      <c r="J365" s="207"/>
      <c r="K365" s="207"/>
      <c r="L365" s="207"/>
      <c r="M365" s="207"/>
      <c r="N365" s="207"/>
      <c r="O365" s="207"/>
      <c r="P365" s="207"/>
      <c r="Q365" s="207"/>
      <c r="R365" s="207"/>
      <c r="S365" s="207"/>
      <c r="T365" s="207"/>
      <c r="U365" s="209"/>
      <c r="V365" s="207"/>
      <c r="W365" s="207"/>
      <c r="X365" s="209">
        <f t="shared" si="55"/>
        <v>0</v>
      </c>
      <c r="Y365" s="209">
        <f t="shared" si="56"/>
        <v>0</v>
      </c>
      <c r="Z365" s="207" t="str">
        <f t="shared" ca="1" si="64"/>
        <v/>
      </c>
      <c r="AA365" s="209" t="str">
        <f t="shared" si="62"/>
        <v/>
      </c>
      <c r="AB365" s="209"/>
      <c r="AC365" s="207" t="str">
        <f t="shared" ca="1" si="61"/>
        <v/>
      </c>
      <c r="AD365" s="207"/>
      <c r="AE365" s="207"/>
      <c r="AF365" s="208" t="str">
        <f>IF(ISBLANK(D365),"",VLOOKUP(F365,'SIZE CALCULATION'!$F:$G,2,0))</f>
        <v/>
      </c>
      <c r="AG365" s="207" t="str">
        <f t="shared" si="52"/>
        <v/>
      </c>
      <c r="AH365" s="207" t="str">
        <f t="shared" si="57"/>
        <v/>
      </c>
      <c r="AI365" s="210" t="str">
        <f>IF(ISBLANK(D365),"",VLOOKUP($A365,INDEX!$D$2:$F$13,3,0))</f>
        <v/>
      </c>
      <c r="AJ365" s="207" t="str">
        <f t="shared" si="58"/>
        <v/>
      </c>
      <c r="AK365" s="207"/>
      <c r="AL365" s="207"/>
      <c r="AM365" s="207" t="str">
        <f>IFERROR(IF(ISBLANK($D365),"",VLOOKUP($N365,'TABLE CHARGE RATE'!$A$30:$K$106,5,0)),"Check")</f>
        <v/>
      </c>
      <c r="AN365" s="207" t="str">
        <f>IFERROR(IF(ISBLANK($D365),"",VLOOKUP($N365,'TABLE CHARGE RATE'!$A$30:$K$106,6,0)),"Check")</f>
        <v/>
      </c>
      <c r="AO365" s="207" t="str">
        <f>IFERROR(IF(ISBLANK($D365),"",VLOOKUP($N365,'TABLE CHARGE RATE'!$A$30:$K$106,7,0)),"Check")</f>
        <v/>
      </c>
      <c r="AP365" s="207" t="str">
        <f>IFERROR(IF(ISBLANK($D365),"",VLOOKUP($N365,'TABLE CHARGE RATE'!$A$30:$K$106,8,0)),"Check")</f>
        <v/>
      </c>
      <c r="AQ365" s="207" t="str">
        <f>IFERROR(IF(ISBLANK($D365),"",VLOOKUP($N365,'TABLE CHARGE RATE'!$A$30:$K$106,9,0)),"Check")</f>
        <v/>
      </c>
      <c r="AR365" s="207" t="str">
        <f>IFERROR(IF(ISBLANK($D365),"",VLOOKUP($N365,'TABLE CHARGE RATE'!$A$30:$K$106,10,0)),"Check")</f>
        <v/>
      </c>
      <c r="AS365" s="207" t="str">
        <f>IFERROR(IF(ISBLANK($D365),"",VLOOKUP($N365,'TABLE CHARGE RATE'!$A$30:$K$106,11,0)),"Check")</f>
        <v/>
      </c>
      <c r="AT365" s="207"/>
    </row>
    <row r="366" spans="1:46" x14ac:dyDescent="0.2">
      <c r="A366" s="207" t="str">
        <f t="shared" si="65"/>
        <v/>
      </c>
      <c r="B366" s="208" t="str">
        <f>IF(ISBLANK(D366),"",VLOOKUP(WEEKDAY($C366,1),INDEX!$J$2:$K$8,2,0))</f>
        <v/>
      </c>
      <c r="C366" s="209"/>
      <c r="D366" s="207"/>
      <c r="E366" s="207"/>
      <c r="F366" s="207"/>
      <c r="G366" s="207"/>
      <c r="H366" s="207"/>
      <c r="I366" s="207"/>
      <c r="J366" s="207"/>
      <c r="K366" s="207"/>
      <c r="L366" s="207"/>
      <c r="M366" s="207"/>
      <c r="N366" s="207"/>
      <c r="O366" s="207"/>
      <c r="P366" s="207"/>
      <c r="Q366" s="207"/>
      <c r="R366" s="207"/>
      <c r="S366" s="207"/>
      <c r="T366" s="207"/>
      <c r="U366" s="209"/>
      <c r="V366" s="207"/>
      <c r="W366" s="207"/>
      <c r="X366" s="209">
        <f t="shared" si="55"/>
        <v>0</v>
      </c>
      <c r="Y366" s="209">
        <f t="shared" si="56"/>
        <v>0</v>
      </c>
      <c r="Z366" s="207" t="str">
        <f t="shared" ca="1" si="64"/>
        <v/>
      </c>
      <c r="AA366" s="209" t="str">
        <f t="shared" si="62"/>
        <v/>
      </c>
      <c r="AB366" s="209"/>
      <c r="AC366" s="207" t="str">
        <f t="shared" ca="1" si="61"/>
        <v/>
      </c>
      <c r="AD366" s="207"/>
      <c r="AE366" s="207"/>
      <c r="AF366" s="208" t="str">
        <f>IF(ISBLANK(D366),"",VLOOKUP(F366,'SIZE CALCULATION'!$F:$G,2,0))</f>
        <v/>
      </c>
      <c r="AG366" s="207" t="str">
        <f t="shared" si="52"/>
        <v/>
      </c>
      <c r="AH366" s="207" t="str">
        <f t="shared" si="57"/>
        <v/>
      </c>
      <c r="AI366" s="210" t="str">
        <f>IF(ISBLANK(D366),"",VLOOKUP($A366,INDEX!$D$2:$F$13,3,0))</f>
        <v/>
      </c>
      <c r="AJ366" s="207" t="str">
        <f t="shared" si="58"/>
        <v/>
      </c>
      <c r="AK366" s="207"/>
      <c r="AL366" s="207"/>
      <c r="AM366" s="207" t="str">
        <f>IFERROR(IF(ISBLANK($D366),"",VLOOKUP($N366,'TABLE CHARGE RATE'!$A$30:$K$106,5,0)),"Check")</f>
        <v/>
      </c>
      <c r="AN366" s="207" t="str">
        <f>IFERROR(IF(ISBLANK($D366),"",VLOOKUP($N366,'TABLE CHARGE RATE'!$A$30:$K$106,6,0)),"Check")</f>
        <v/>
      </c>
      <c r="AO366" s="207" t="str">
        <f>IFERROR(IF(ISBLANK($D366),"",VLOOKUP($N366,'TABLE CHARGE RATE'!$A$30:$K$106,7,0)),"Check")</f>
        <v/>
      </c>
      <c r="AP366" s="207" t="str">
        <f>IFERROR(IF(ISBLANK($D366),"",VLOOKUP($N366,'TABLE CHARGE RATE'!$A$30:$K$106,8,0)),"Check")</f>
        <v/>
      </c>
      <c r="AQ366" s="207" t="str">
        <f>IFERROR(IF(ISBLANK($D366),"",VLOOKUP($N366,'TABLE CHARGE RATE'!$A$30:$K$106,9,0)),"Check")</f>
        <v/>
      </c>
      <c r="AR366" s="207" t="str">
        <f>IFERROR(IF(ISBLANK($D366),"",VLOOKUP($N366,'TABLE CHARGE RATE'!$A$30:$K$106,10,0)),"Check")</f>
        <v/>
      </c>
      <c r="AS366" s="207" t="str">
        <f>IFERROR(IF(ISBLANK($D366),"",VLOOKUP($N366,'TABLE CHARGE RATE'!$A$30:$K$106,11,0)),"Check")</f>
        <v/>
      </c>
      <c r="AT366" s="207"/>
    </row>
    <row r="367" spans="1:46" x14ac:dyDescent="0.2">
      <c r="A367" s="207" t="str">
        <f t="shared" si="65"/>
        <v/>
      </c>
      <c r="B367" s="208" t="str">
        <f>IF(ISBLANK(D367),"",VLOOKUP(WEEKDAY($C367,1),INDEX!$J$2:$K$8,2,0))</f>
        <v/>
      </c>
      <c r="C367" s="209"/>
      <c r="D367" s="207"/>
      <c r="E367" s="207"/>
      <c r="F367" s="207"/>
      <c r="G367" s="207"/>
      <c r="H367" s="207"/>
      <c r="I367" s="207"/>
      <c r="J367" s="207"/>
      <c r="K367" s="207"/>
      <c r="L367" s="207"/>
      <c r="M367" s="207"/>
      <c r="N367" s="207"/>
      <c r="O367" s="207"/>
      <c r="P367" s="207"/>
      <c r="Q367" s="207"/>
      <c r="R367" s="207"/>
      <c r="S367" s="207"/>
      <c r="T367" s="207"/>
      <c r="U367" s="209"/>
      <c r="V367" s="207"/>
      <c r="W367" s="207"/>
      <c r="X367" s="209">
        <f t="shared" si="55"/>
        <v>0</v>
      </c>
      <c r="Y367" s="209">
        <f t="shared" si="56"/>
        <v>0</v>
      </c>
      <c r="Z367" s="207" t="str">
        <f t="shared" ca="1" si="64"/>
        <v/>
      </c>
      <c r="AA367" s="209" t="str">
        <f t="shared" si="62"/>
        <v/>
      </c>
      <c r="AB367" s="209"/>
      <c r="AC367" s="207" t="str">
        <f t="shared" ca="1" si="61"/>
        <v/>
      </c>
      <c r="AD367" s="207"/>
      <c r="AE367" s="207"/>
      <c r="AF367" s="208" t="str">
        <f>IF(ISBLANK(D367),"",VLOOKUP(F367,'SIZE CALCULATION'!$F:$G,2,0))</f>
        <v/>
      </c>
      <c r="AG367" s="207" t="str">
        <f t="shared" si="52"/>
        <v/>
      </c>
      <c r="AH367" s="207" t="str">
        <f t="shared" si="57"/>
        <v/>
      </c>
      <c r="AI367" s="210" t="str">
        <f>IF(ISBLANK(D367),"",VLOOKUP($A367,INDEX!$D$2:$F$13,3,0))</f>
        <v/>
      </c>
      <c r="AJ367" s="207" t="str">
        <f t="shared" si="58"/>
        <v/>
      </c>
      <c r="AK367" s="207"/>
      <c r="AL367" s="207"/>
      <c r="AM367" s="207" t="str">
        <f>IFERROR(IF(ISBLANK($D367),"",VLOOKUP($N367,'TABLE CHARGE RATE'!$A$30:$K$106,5,0)),"Check")</f>
        <v/>
      </c>
      <c r="AN367" s="207" t="str">
        <f>IFERROR(IF(ISBLANK($D367),"",VLOOKUP($N367,'TABLE CHARGE RATE'!$A$30:$K$106,6,0)),"Check")</f>
        <v/>
      </c>
      <c r="AO367" s="207" t="str">
        <f>IFERROR(IF(ISBLANK($D367),"",VLOOKUP($N367,'TABLE CHARGE RATE'!$A$30:$K$106,7,0)),"Check")</f>
        <v/>
      </c>
      <c r="AP367" s="207" t="str">
        <f>IFERROR(IF(ISBLANK($D367),"",VLOOKUP($N367,'TABLE CHARGE RATE'!$A$30:$K$106,8,0)),"Check")</f>
        <v/>
      </c>
      <c r="AQ367" s="207" t="str">
        <f>IFERROR(IF(ISBLANK($D367),"",VLOOKUP($N367,'TABLE CHARGE RATE'!$A$30:$K$106,9,0)),"Check")</f>
        <v/>
      </c>
      <c r="AR367" s="207" t="str">
        <f>IFERROR(IF(ISBLANK($D367),"",VLOOKUP($N367,'TABLE CHARGE RATE'!$A$30:$K$106,10,0)),"Check")</f>
        <v/>
      </c>
      <c r="AS367" s="207" t="str">
        <f>IFERROR(IF(ISBLANK($D367),"",VLOOKUP($N367,'TABLE CHARGE RATE'!$A$30:$K$106,11,0)),"Check")</f>
        <v/>
      </c>
      <c r="AT367" s="207"/>
    </row>
    <row r="368" spans="1:46" x14ac:dyDescent="0.2">
      <c r="A368" s="207" t="str">
        <f t="shared" si="65"/>
        <v/>
      </c>
      <c r="B368" s="208" t="str">
        <f>IF(ISBLANK(D368),"",VLOOKUP(WEEKDAY($C368,1),INDEX!$J$2:$K$8,2,0))</f>
        <v/>
      </c>
      <c r="C368" s="209"/>
      <c r="D368" s="207"/>
      <c r="E368" s="207"/>
      <c r="F368" s="207"/>
      <c r="G368" s="207"/>
      <c r="H368" s="207"/>
      <c r="I368" s="207"/>
      <c r="J368" s="207"/>
      <c r="K368" s="207"/>
      <c r="L368" s="207"/>
      <c r="M368" s="207"/>
      <c r="N368" s="207"/>
      <c r="O368" s="207"/>
      <c r="P368" s="207"/>
      <c r="Q368" s="207"/>
      <c r="R368" s="207"/>
      <c r="S368" s="207"/>
      <c r="T368" s="207"/>
      <c r="U368" s="209"/>
      <c r="V368" s="207"/>
      <c r="W368" s="207"/>
      <c r="X368" s="209">
        <f t="shared" si="55"/>
        <v>0</v>
      </c>
      <c r="Y368" s="209">
        <f t="shared" si="56"/>
        <v>0</v>
      </c>
      <c r="Z368" s="207" t="str">
        <f t="shared" ca="1" si="64"/>
        <v/>
      </c>
      <c r="AA368" s="209" t="str">
        <f t="shared" si="62"/>
        <v/>
      </c>
      <c r="AB368" s="209"/>
      <c r="AC368" s="207" t="str">
        <f t="shared" ca="1" si="61"/>
        <v/>
      </c>
      <c r="AD368" s="207"/>
      <c r="AE368" s="207"/>
      <c r="AF368" s="208" t="str">
        <f>IF(ISBLANK(D368),"",VLOOKUP(F368,'SIZE CALCULATION'!$F:$G,2,0))</f>
        <v/>
      </c>
      <c r="AG368" s="207" t="str">
        <f t="shared" si="52"/>
        <v/>
      </c>
      <c r="AH368" s="207" t="str">
        <f t="shared" si="57"/>
        <v/>
      </c>
      <c r="AI368" s="210" t="str">
        <f>IF(ISBLANK(D368),"",VLOOKUP($A368,INDEX!$D$2:$F$13,3,0))</f>
        <v/>
      </c>
      <c r="AJ368" s="207" t="str">
        <f t="shared" si="58"/>
        <v/>
      </c>
      <c r="AK368" s="207"/>
      <c r="AL368" s="207"/>
      <c r="AM368" s="207" t="str">
        <f>IFERROR(IF(ISBLANK($D368),"",VLOOKUP($N368,'TABLE CHARGE RATE'!$A$30:$K$106,5,0)),"Check")</f>
        <v/>
      </c>
      <c r="AN368" s="207" t="str">
        <f>IFERROR(IF(ISBLANK($D368),"",VLOOKUP($N368,'TABLE CHARGE RATE'!$A$30:$K$106,6,0)),"Check")</f>
        <v/>
      </c>
      <c r="AO368" s="207" t="str">
        <f>IFERROR(IF(ISBLANK($D368),"",VLOOKUP($N368,'TABLE CHARGE RATE'!$A$30:$K$106,7,0)),"Check")</f>
        <v/>
      </c>
      <c r="AP368" s="207" t="str">
        <f>IFERROR(IF(ISBLANK($D368),"",VLOOKUP($N368,'TABLE CHARGE RATE'!$A$30:$K$106,8,0)),"Check")</f>
        <v/>
      </c>
      <c r="AQ368" s="207" t="str">
        <f>IFERROR(IF(ISBLANK($D368),"",VLOOKUP($N368,'TABLE CHARGE RATE'!$A$30:$K$106,9,0)),"Check")</f>
        <v/>
      </c>
      <c r="AR368" s="207" t="str">
        <f>IFERROR(IF(ISBLANK($D368),"",VLOOKUP($N368,'TABLE CHARGE RATE'!$A$30:$K$106,10,0)),"Check")</f>
        <v/>
      </c>
      <c r="AS368" s="207" t="str">
        <f>IFERROR(IF(ISBLANK($D368),"",VLOOKUP($N368,'TABLE CHARGE RATE'!$A$30:$K$106,11,0)),"Check")</f>
        <v/>
      </c>
      <c r="AT368" s="207"/>
    </row>
    <row r="369" spans="1:46" x14ac:dyDescent="0.2">
      <c r="A369" s="207" t="str">
        <f t="shared" si="65"/>
        <v/>
      </c>
      <c r="B369" s="208" t="str">
        <f>IF(ISBLANK(D369),"",VLOOKUP(WEEKDAY($C369,1),INDEX!$J$2:$K$8,2,0))</f>
        <v/>
      </c>
      <c r="C369" s="209"/>
      <c r="D369" s="207"/>
      <c r="E369" s="207"/>
      <c r="F369" s="207"/>
      <c r="G369" s="207"/>
      <c r="H369" s="207"/>
      <c r="I369" s="207"/>
      <c r="J369" s="207"/>
      <c r="K369" s="207"/>
      <c r="L369" s="207"/>
      <c r="M369" s="207"/>
      <c r="N369" s="207"/>
      <c r="O369" s="207"/>
      <c r="P369" s="207"/>
      <c r="Q369" s="207"/>
      <c r="R369" s="207"/>
      <c r="S369" s="207"/>
      <c r="T369" s="207"/>
      <c r="U369" s="209"/>
      <c r="V369" s="207"/>
      <c r="W369" s="207"/>
      <c r="X369" s="209">
        <f t="shared" si="55"/>
        <v>0</v>
      </c>
      <c r="Y369" s="209">
        <f t="shared" si="56"/>
        <v>0</v>
      </c>
      <c r="Z369" s="207" t="str">
        <f t="shared" ca="1" si="64"/>
        <v/>
      </c>
      <c r="AA369" s="209" t="str">
        <f t="shared" si="62"/>
        <v/>
      </c>
      <c r="AB369" s="209"/>
      <c r="AC369" s="207" t="str">
        <f t="shared" ca="1" si="61"/>
        <v/>
      </c>
      <c r="AD369" s="207"/>
      <c r="AE369" s="207"/>
      <c r="AF369" s="208" t="str">
        <f>IF(ISBLANK(D369),"",VLOOKUP(F369,'SIZE CALCULATION'!$F:$G,2,0))</f>
        <v/>
      </c>
      <c r="AG369" s="207" t="str">
        <f t="shared" si="52"/>
        <v/>
      </c>
      <c r="AH369" s="207" t="str">
        <f t="shared" si="57"/>
        <v/>
      </c>
      <c r="AI369" s="210" t="str">
        <f>IF(ISBLANK(D369),"",VLOOKUP($A369,INDEX!$D$2:$F$13,3,0))</f>
        <v/>
      </c>
      <c r="AJ369" s="207" t="str">
        <f t="shared" si="58"/>
        <v/>
      </c>
      <c r="AK369" s="207"/>
      <c r="AL369" s="207"/>
      <c r="AM369" s="207" t="str">
        <f>IFERROR(IF(ISBLANK($D369),"",VLOOKUP($N369,'TABLE CHARGE RATE'!$A$30:$K$106,5,0)),"Check")</f>
        <v/>
      </c>
      <c r="AN369" s="207" t="str">
        <f>IFERROR(IF(ISBLANK($D369),"",VLOOKUP($N369,'TABLE CHARGE RATE'!$A$30:$K$106,6,0)),"Check")</f>
        <v/>
      </c>
      <c r="AO369" s="207" t="str">
        <f>IFERROR(IF(ISBLANK($D369),"",VLOOKUP($N369,'TABLE CHARGE RATE'!$A$30:$K$106,7,0)),"Check")</f>
        <v/>
      </c>
      <c r="AP369" s="207" t="str">
        <f>IFERROR(IF(ISBLANK($D369),"",VLOOKUP($N369,'TABLE CHARGE RATE'!$A$30:$K$106,8,0)),"Check")</f>
        <v/>
      </c>
      <c r="AQ369" s="207" t="str">
        <f>IFERROR(IF(ISBLANK($D369),"",VLOOKUP($N369,'TABLE CHARGE RATE'!$A$30:$K$106,9,0)),"Check")</f>
        <v/>
      </c>
      <c r="AR369" s="207" t="str">
        <f>IFERROR(IF(ISBLANK($D369),"",VLOOKUP($N369,'TABLE CHARGE RATE'!$A$30:$K$106,10,0)),"Check")</f>
        <v/>
      </c>
      <c r="AS369" s="207" t="str">
        <f>IFERROR(IF(ISBLANK($D369),"",VLOOKUP($N369,'TABLE CHARGE RATE'!$A$30:$K$106,11,0)),"Check")</f>
        <v/>
      </c>
      <c r="AT369" s="207"/>
    </row>
    <row r="370" spans="1:46" x14ac:dyDescent="0.2">
      <c r="A370" s="207" t="str">
        <f t="shared" si="65"/>
        <v/>
      </c>
      <c r="B370" s="208" t="str">
        <f>IF(ISBLANK(D370),"",VLOOKUP(WEEKDAY($C370,1),INDEX!$J$2:$K$8,2,0))</f>
        <v/>
      </c>
      <c r="C370" s="209"/>
      <c r="D370" s="207"/>
      <c r="E370" s="207"/>
      <c r="F370" s="207"/>
      <c r="G370" s="207"/>
      <c r="H370" s="207"/>
      <c r="I370" s="207"/>
      <c r="J370" s="207"/>
      <c r="K370" s="207"/>
      <c r="L370" s="207"/>
      <c r="M370" s="207"/>
      <c r="N370" s="207"/>
      <c r="O370" s="207"/>
      <c r="P370" s="207"/>
      <c r="Q370" s="207"/>
      <c r="R370" s="207"/>
      <c r="S370" s="207"/>
      <c r="T370" s="207"/>
      <c r="U370" s="209"/>
      <c r="V370" s="207"/>
      <c r="W370" s="207"/>
      <c r="X370" s="209">
        <f t="shared" si="55"/>
        <v>0</v>
      </c>
      <c r="Y370" s="209">
        <f t="shared" si="56"/>
        <v>0</v>
      </c>
      <c r="Z370" s="207" t="str">
        <f t="shared" ca="1" si="64"/>
        <v/>
      </c>
      <c r="AA370" s="209" t="str">
        <f t="shared" si="62"/>
        <v/>
      </c>
      <c r="AB370" s="209"/>
      <c r="AC370" s="207" t="str">
        <f t="shared" ca="1" si="61"/>
        <v/>
      </c>
      <c r="AD370" s="207"/>
      <c r="AE370" s="207"/>
      <c r="AF370" s="208" t="str">
        <f>IF(ISBLANK(D370),"",VLOOKUP(F370,'SIZE CALCULATION'!$F:$G,2,0))</f>
        <v/>
      </c>
      <c r="AG370" s="207" t="str">
        <f t="shared" si="52"/>
        <v/>
      </c>
      <c r="AH370" s="207" t="str">
        <f t="shared" si="57"/>
        <v/>
      </c>
      <c r="AI370" s="210" t="str">
        <f>IF(ISBLANK(D370),"",VLOOKUP($A370,INDEX!$D$2:$F$13,3,0))</f>
        <v/>
      </c>
      <c r="AJ370" s="207" t="str">
        <f t="shared" si="58"/>
        <v/>
      </c>
      <c r="AK370" s="207"/>
      <c r="AL370" s="207"/>
      <c r="AM370" s="207" t="str">
        <f>IFERROR(IF(ISBLANK($D370),"",VLOOKUP($N370,'TABLE CHARGE RATE'!$A$30:$K$106,5,0)),"Check")</f>
        <v/>
      </c>
      <c r="AN370" s="207" t="str">
        <f>IFERROR(IF(ISBLANK($D370),"",VLOOKUP($N370,'TABLE CHARGE RATE'!$A$30:$K$106,6,0)),"Check")</f>
        <v/>
      </c>
      <c r="AO370" s="207" t="str">
        <f>IFERROR(IF(ISBLANK($D370),"",VLOOKUP($N370,'TABLE CHARGE RATE'!$A$30:$K$106,7,0)),"Check")</f>
        <v/>
      </c>
      <c r="AP370" s="207" t="str">
        <f>IFERROR(IF(ISBLANK($D370),"",VLOOKUP($N370,'TABLE CHARGE RATE'!$A$30:$K$106,8,0)),"Check")</f>
        <v/>
      </c>
      <c r="AQ370" s="207" t="str">
        <f>IFERROR(IF(ISBLANK($D370),"",VLOOKUP($N370,'TABLE CHARGE RATE'!$A$30:$K$106,9,0)),"Check")</f>
        <v/>
      </c>
      <c r="AR370" s="207" t="str">
        <f>IFERROR(IF(ISBLANK($D370),"",VLOOKUP($N370,'TABLE CHARGE RATE'!$A$30:$K$106,10,0)),"Check")</f>
        <v/>
      </c>
      <c r="AS370" s="207" t="str">
        <f>IFERROR(IF(ISBLANK($D370),"",VLOOKUP($N370,'TABLE CHARGE RATE'!$A$30:$K$106,11,0)),"Check")</f>
        <v/>
      </c>
      <c r="AT370" s="207"/>
    </row>
    <row r="371" spans="1:46" x14ac:dyDescent="0.2">
      <c r="A371" s="207" t="str">
        <f t="shared" si="65"/>
        <v/>
      </c>
      <c r="B371" s="208" t="str">
        <f>IF(ISBLANK(D371),"",VLOOKUP(WEEKDAY($C371,1),INDEX!$J$2:$K$8,2,0))</f>
        <v/>
      </c>
      <c r="C371" s="209"/>
      <c r="D371" s="207"/>
      <c r="E371" s="207"/>
      <c r="F371" s="207"/>
      <c r="G371" s="207"/>
      <c r="H371" s="207"/>
      <c r="I371" s="207"/>
      <c r="J371" s="207"/>
      <c r="K371" s="207"/>
      <c r="L371" s="207"/>
      <c r="M371" s="207"/>
      <c r="N371" s="207"/>
      <c r="O371" s="207"/>
      <c r="P371" s="207"/>
      <c r="Q371" s="207"/>
      <c r="R371" s="207"/>
      <c r="S371" s="207"/>
      <c r="T371" s="207"/>
      <c r="U371" s="209"/>
      <c r="V371" s="207"/>
      <c r="W371" s="207"/>
      <c r="X371" s="209">
        <f t="shared" si="55"/>
        <v>0</v>
      </c>
      <c r="Y371" s="209">
        <f t="shared" si="56"/>
        <v>0</v>
      </c>
      <c r="Z371" s="207" t="str">
        <f t="shared" ca="1" si="64"/>
        <v/>
      </c>
      <c r="AA371" s="209" t="str">
        <f t="shared" si="62"/>
        <v/>
      </c>
      <c r="AB371" s="209"/>
      <c r="AC371" s="207" t="str">
        <f t="shared" ca="1" si="61"/>
        <v/>
      </c>
      <c r="AD371" s="207"/>
      <c r="AE371" s="207"/>
      <c r="AF371" s="208" t="str">
        <f>IF(ISBLANK(D371),"",VLOOKUP(F371,'SIZE CALCULATION'!$F:$G,2,0))</f>
        <v/>
      </c>
      <c r="AG371" s="207" t="str">
        <f t="shared" ref="AG371:AG434" si="66">IF(ISBLANK(D371),"",HLOOKUP($AF371,$AM$1:$AR$966,$AT371,0))</f>
        <v/>
      </c>
      <c r="AH371" s="207" t="str">
        <f t="shared" si="57"/>
        <v/>
      </c>
      <c r="AI371" s="210" t="str">
        <f>IF(ISBLANK(D371),"",VLOOKUP($A371,INDEX!$D$2:$F$13,3,0))</f>
        <v/>
      </c>
      <c r="AJ371" s="207" t="str">
        <f t="shared" si="58"/>
        <v/>
      </c>
      <c r="AK371" s="207"/>
      <c r="AL371" s="207"/>
      <c r="AM371" s="207" t="str">
        <f>IFERROR(IF(ISBLANK($D371),"",VLOOKUP($N371,'TABLE CHARGE RATE'!$A$30:$K$106,5,0)),"Check")</f>
        <v/>
      </c>
      <c r="AN371" s="207" t="str">
        <f>IFERROR(IF(ISBLANK($D371),"",VLOOKUP($N371,'TABLE CHARGE RATE'!$A$30:$K$106,6,0)),"Check")</f>
        <v/>
      </c>
      <c r="AO371" s="207" t="str">
        <f>IFERROR(IF(ISBLANK($D371),"",VLOOKUP($N371,'TABLE CHARGE RATE'!$A$30:$K$106,7,0)),"Check")</f>
        <v/>
      </c>
      <c r="AP371" s="207" t="str">
        <f>IFERROR(IF(ISBLANK($D371),"",VLOOKUP($N371,'TABLE CHARGE RATE'!$A$30:$K$106,8,0)),"Check")</f>
        <v/>
      </c>
      <c r="AQ371" s="207" t="str">
        <f>IFERROR(IF(ISBLANK($D371),"",VLOOKUP($N371,'TABLE CHARGE RATE'!$A$30:$K$106,9,0)),"Check")</f>
        <v/>
      </c>
      <c r="AR371" s="207" t="str">
        <f>IFERROR(IF(ISBLANK($D371),"",VLOOKUP($N371,'TABLE CHARGE RATE'!$A$30:$K$106,10,0)),"Check")</f>
        <v/>
      </c>
      <c r="AS371" s="207" t="str">
        <f>IFERROR(IF(ISBLANK($D371),"",VLOOKUP($N371,'TABLE CHARGE RATE'!$A$30:$K$106,11,0)),"Check")</f>
        <v/>
      </c>
      <c r="AT371" s="207"/>
    </row>
    <row r="372" spans="1:46" x14ac:dyDescent="0.2">
      <c r="A372" s="207" t="str">
        <f t="shared" si="65"/>
        <v/>
      </c>
      <c r="B372" s="208" t="str">
        <f>IF(ISBLANK(D372),"",VLOOKUP(WEEKDAY($C372,1),INDEX!$J$2:$K$8,2,0))</f>
        <v/>
      </c>
      <c r="C372" s="209"/>
      <c r="D372" s="207"/>
      <c r="E372" s="207"/>
      <c r="F372" s="207"/>
      <c r="G372" s="207"/>
      <c r="H372" s="207"/>
      <c r="I372" s="207"/>
      <c r="J372" s="207"/>
      <c r="K372" s="207"/>
      <c r="L372" s="207"/>
      <c r="M372" s="207"/>
      <c r="N372" s="207"/>
      <c r="O372" s="207"/>
      <c r="P372" s="207"/>
      <c r="Q372" s="207"/>
      <c r="R372" s="207"/>
      <c r="S372" s="207"/>
      <c r="T372" s="207"/>
      <c r="U372" s="209"/>
      <c r="V372" s="207"/>
      <c r="W372" s="207"/>
      <c r="X372" s="209">
        <f t="shared" si="55"/>
        <v>0</v>
      </c>
      <c r="Y372" s="209">
        <f t="shared" si="56"/>
        <v>0</v>
      </c>
      <c r="Z372" s="207" t="str">
        <f t="shared" ca="1" si="64"/>
        <v/>
      </c>
      <c r="AA372" s="209" t="str">
        <f t="shared" si="62"/>
        <v/>
      </c>
      <c r="AB372" s="209"/>
      <c r="AC372" s="207" t="str">
        <f t="shared" ca="1" si="61"/>
        <v/>
      </c>
      <c r="AD372" s="207"/>
      <c r="AE372" s="207"/>
      <c r="AF372" s="208" t="str">
        <f>IF(ISBLANK(D372),"",VLOOKUP(F372,'SIZE CALCULATION'!$F:$G,2,0))</f>
        <v/>
      </c>
      <c r="AG372" s="207" t="str">
        <f t="shared" si="66"/>
        <v/>
      </c>
      <c r="AH372" s="207" t="str">
        <f t="shared" si="57"/>
        <v/>
      </c>
      <c r="AI372" s="210" t="str">
        <f>IF(ISBLANK(D372),"",VLOOKUP($A372,INDEX!$D$2:$F$13,3,0))</f>
        <v/>
      </c>
      <c r="AJ372" s="207" t="str">
        <f t="shared" si="58"/>
        <v/>
      </c>
      <c r="AK372" s="207"/>
      <c r="AL372" s="207"/>
      <c r="AM372" s="207" t="str">
        <f>IFERROR(IF(ISBLANK($D372),"",VLOOKUP($N372,'TABLE CHARGE RATE'!$A$30:$K$106,5,0)),"Check")</f>
        <v/>
      </c>
      <c r="AN372" s="207" t="str">
        <f>IFERROR(IF(ISBLANK($D372),"",VLOOKUP($N372,'TABLE CHARGE RATE'!$A$30:$K$106,6,0)),"Check")</f>
        <v/>
      </c>
      <c r="AO372" s="207" t="str">
        <f>IFERROR(IF(ISBLANK($D372),"",VLOOKUP($N372,'TABLE CHARGE RATE'!$A$30:$K$106,7,0)),"Check")</f>
        <v/>
      </c>
      <c r="AP372" s="207" t="str">
        <f>IFERROR(IF(ISBLANK($D372),"",VLOOKUP($N372,'TABLE CHARGE RATE'!$A$30:$K$106,8,0)),"Check")</f>
        <v/>
      </c>
      <c r="AQ372" s="207" t="str">
        <f>IFERROR(IF(ISBLANK($D372),"",VLOOKUP($N372,'TABLE CHARGE RATE'!$A$30:$K$106,9,0)),"Check")</f>
        <v/>
      </c>
      <c r="AR372" s="207" t="str">
        <f>IFERROR(IF(ISBLANK($D372),"",VLOOKUP($N372,'TABLE CHARGE RATE'!$A$30:$K$106,10,0)),"Check")</f>
        <v/>
      </c>
      <c r="AS372" s="207" t="str">
        <f>IFERROR(IF(ISBLANK($D372),"",VLOOKUP($N372,'TABLE CHARGE RATE'!$A$30:$K$106,11,0)),"Check")</f>
        <v/>
      </c>
      <c r="AT372" s="207"/>
    </row>
    <row r="373" spans="1:46" x14ac:dyDescent="0.2">
      <c r="A373" s="207" t="str">
        <f t="shared" si="65"/>
        <v/>
      </c>
      <c r="B373" s="208" t="str">
        <f>IF(ISBLANK(D373),"",VLOOKUP(WEEKDAY($C373,1),INDEX!$J$2:$K$8,2,0))</f>
        <v/>
      </c>
      <c r="C373" s="209"/>
      <c r="D373" s="207"/>
      <c r="E373" s="207"/>
      <c r="F373" s="207"/>
      <c r="G373" s="207"/>
      <c r="H373" s="207"/>
      <c r="I373" s="207"/>
      <c r="J373" s="207"/>
      <c r="K373" s="207"/>
      <c r="L373" s="207"/>
      <c r="M373" s="207"/>
      <c r="N373" s="207"/>
      <c r="O373" s="207"/>
      <c r="P373" s="207"/>
      <c r="Q373" s="207"/>
      <c r="R373" s="207"/>
      <c r="S373" s="207"/>
      <c r="T373" s="207"/>
      <c r="U373" s="209"/>
      <c r="V373" s="207"/>
      <c r="W373" s="207"/>
      <c r="X373" s="209">
        <f t="shared" si="55"/>
        <v>0</v>
      </c>
      <c r="Y373" s="209">
        <f t="shared" si="56"/>
        <v>0</v>
      </c>
      <c r="Z373" s="207" t="str">
        <f t="shared" ca="1" si="64"/>
        <v/>
      </c>
      <c r="AA373" s="209" t="str">
        <f t="shared" si="62"/>
        <v/>
      </c>
      <c r="AB373" s="209"/>
      <c r="AC373" s="207" t="str">
        <f t="shared" ca="1" si="61"/>
        <v/>
      </c>
      <c r="AD373" s="207"/>
      <c r="AE373" s="207"/>
      <c r="AF373" s="208" t="str">
        <f>IF(ISBLANK(D373),"",VLOOKUP(F373,'SIZE CALCULATION'!$F:$G,2,0))</f>
        <v/>
      </c>
      <c r="AG373" s="207" t="str">
        <f t="shared" si="66"/>
        <v/>
      </c>
      <c r="AH373" s="207" t="str">
        <f t="shared" si="57"/>
        <v/>
      </c>
      <c r="AI373" s="210" t="str">
        <f>IF(ISBLANK(D373),"",VLOOKUP($A373,INDEX!$D$2:$F$13,3,0))</f>
        <v/>
      </c>
      <c r="AJ373" s="207" t="str">
        <f t="shared" si="58"/>
        <v/>
      </c>
      <c r="AK373" s="207"/>
      <c r="AL373" s="207"/>
      <c r="AM373" s="207" t="str">
        <f>IFERROR(IF(ISBLANK($D373),"",VLOOKUP($N373,'TABLE CHARGE RATE'!$A$30:$K$106,5,0)),"Check")</f>
        <v/>
      </c>
      <c r="AN373" s="207" t="str">
        <f>IFERROR(IF(ISBLANK($D373),"",VLOOKUP($N373,'TABLE CHARGE RATE'!$A$30:$K$106,6,0)),"Check")</f>
        <v/>
      </c>
      <c r="AO373" s="207" t="str">
        <f>IFERROR(IF(ISBLANK($D373),"",VLOOKUP($N373,'TABLE CHARGE RATE'!$A$30:$K$106,7,0)),"Check")</f>
        <v/>
      </c>
      <c r="AP373" s="207" t="str">
        <f>IFERROR(IF(ISBLANK($D373),"",VLOOKUP($N373,'TABLE CHARGE RATE'!$A$30:$K$106,8,0)),"Check")</f>
        <v/>
      </c>
      <c r="AQ373" s="207" t="str">
        <f>IFERROR(IF(ISBLANK($D373),"",VLOOKUP($N373,'TABLE CHARGE RATE'!$A$30:$K$106,9,0)),"Check")</f>
        <v/>
      </c>
      <c r="AR373" s="207" t="str">
        <f>IFERROR(IF(ISBLANK($D373),"",VLOOKUP($N373,'TABLE CHARGE RATE'!$A$30:$K$106,10,0)),"Check")</f>
        <v/>
      </c>
      <c r="AS373" s="207" t="str">
        <f>IFERROR(IF(ISBLANK($D373),"",VLOOKUP($N373,'TABLE CHARGE RATE'!$A$30:$K$106,11,0)),"Check")</f>
        <v/>
      </c>
      <c r="AT373" s="207"/>
    </row>
    <row r="374" spans="1:46" x14ac:dyDescent="0.2">
      <c r="A374" s="207" t="str">
        <f t="shared" si="65"/>
        <v/>
      </c>
      <c r="B374" s="208" t="str">
        <f>IF(ISBLANK(D374),"",VLOOKUP(WEEKDAY($C374,1),INDEX!$J$2:$K$8,2,0))</f>
        <v/>
      </c>
      <c r="C374" s="209"/>
      <c r="D374" s="207"/>
      <c r="E374" s="207"/>
      <c r="F374" s="207"/>
      <c r="G374" s="207"/>
      <c r="H374" s="207"/>
      <c r="I374" s="207"/>
      <c r="J374" s="207"/>
      <c r="K374" s="207"/>
      <c r="L374" s="207"/>
      <c r="M374" s="207"/>
      <c r="N374" s="207"/>
      <c r="O374" s="207"/>
      <c r="P374" s="207"/>
      <c r="Q374" s="207"/>
      <c r="R374" s="207"/>
      <c r="S374" s="207"/>
      <c r="T374" s="207"/>
      <c r="U374" s="209"/>
      <c r="V374" s="207"/>
      <c r="W374" s="207"/>
      <c r="X374" s="209">
        <f t="shared" si="55"/>
        <v>0</v>
      </c>
      <c r="Y374" s="209">
        <f t="shared" si="56"/>
        <v>0</v>
      </c>
      <c r="Z374" s="207" t="str">
        <f t="shared" ca="1" si="64"/>
        <v/>
      </c>
      <c r="AA374" s="209" t="str">
        <f t="shared" si="62"/>
        <v/>
      </c>
      <c r="AB374" s="209"/>
      <c r="AC374" s="207" t="str">
        <f t="shared" ca="1" si="61"/>
        <v/>
      </c>
      <c r="AD374" s="207"/>
      <c r="AE374" s="207"/>
      <c r="AF374" s="208" t="str">
        <f>IF(ISBLANK(D374),"",VLOOKUP(F374,'SIZE CALCULATION'!$F:$G,2,0))</f>
        <v/>
      </c>
      <c r="AG374" s="207" t="str">
        <f t="shared" si="66"/>
        <v/>
      </c>
      <c r="AH374" s="207" t="str">
        <f t="shared" si="57"/>
        <v/>
      </c>
      <c r="AI374" s="210" t="str">
        <f>IF(ISBLANK(D374),"",VLOOKUP($A374,INDEX!$D$2:$F$13,3,0))</f>
        <v/>
      </c>
      <c r="AJ374" s="207" t="str">
        <f t="shared" si="58"/>
        <v/>
      </c>
      <c r="AK374" s="207"/>
      <c r="AL374" s="207"/>
      <c r="AM374" s="207" t="str">
        <f>IFERROR(IF(ISBLANK($D374),"",VLOOKUP($N374,'TABLE CHARGE RATE'!$A$30:$K$106,5,0)),"Check")</f>
        <v/>
      </c>
      <c r="AN374" s="207" t="str">
        <f>IFERROR(IF(ISBLANK($D374),"",VLOOKUP($N374,'TABLE CHARGE RATE'!$A$30:$K$106,6,0)),"Check")</f>
        <v/>
      </c>
      <c r="AO374" s="207" t="str">
        <f>IFERROR(IF(ISBLANK($D374),"",VLOOKUP($N374,'TABLE CHARGE RATE'!$A$30:$K$106,7,0)),"Check")</f>
        <v/>
      </c>
      <c r="AP374" s="207" t="str">
        <f>IFERROR(IF(ISBLANK($D374),"",VLOOKUP($N374,'TABLE CHARGE RATE'!$A$30:$K$106,8,0)),"Check")</f>
        <v/>
      </c>
      <c r="AQ374" s="207" t="str">
        <f>IFERROR(IF(ISBLANK($D374),"",VLOOKUP($N374,'TABLE CHARGE RATE'!$A$30:$K$106,9,0)),"Check")</f>
        <v/>
      </c>
      <c r="AR374" s="207" t="str">
        <f>IFERROR(IF(ISBLANK($D374),"",VLOOKUP($N374,'TABLE CHARGE RATE'!$A$30:$K$106,10,0)),"Check")</f>
        <v/>
      </c>
      <c r="AS374" s="207" t="str">
        <f>IFERROR(IF(ISBLANK($D374),"",VLOOKUP($N374,'TABLE CHARGE RATE'!$A$30:$K$106,11,0)),"Check")</f>
        <v/>
      </c>
      <c r="AT374" s="207"/>
    </row>
    <row r="375" spans="1:46" x14ac:dyDescent="0.2">
      <c r="A375" s="207" t="str">
        <f t="shared" si="65"/>
        <v/>
      </c>
      <c r="B375" s="208" t="str">
        <f>IF(ISBLANK(D375),"",VLOOKUP(WEEKDAY($C375,1),INDEX!$J$2:$K$8,2,0))</f>
        <v/>
      </c>
      <c r="C375" s="209"/>
      <c r="D375" s="207"/>
      <c r="E375" s="207"/>
      <c r="F375" s="207"/>
      <c r="G375" s="207"/>
      <c r="H375" s="207"/>
      <c r="I375" s="207"/>
      <c r="J375" s="207"/>
      <c r="K375" s="207"/>
      <c r="L375" s="207"/>
      <c r="M375" s="207"/>
      <c r="N375" s="207"/>
      <c r="O375" s="207"/>
      <c r="P375" s="207"/>
      <c r="Q375" s="207"/>
      <c r="R375" s="207"/>
      <c r="S375" s="207"/>
      <c r="T375" s="207"/>
      <c r="U375" s="209"/>
      <c r="V375" s="207"/>
      <c r="W375" s="207"/>
      <c r="X375" s="209">
        <f t="shared" si="55"/>
        <v>0</v>
      </c>
      <c r="Y375" s="209">
        <f t="shared" si="56"/>
        <v>0</v>
      </c>
      <c r="Z375" s="207" t="str">
        <f t="shared" ca="1" si="64"/>
        <v/>
      </c>
      <c r="AA375" s="209" t="str">
        <f t="shared" si="62"/>
        <v/>
      </c>
      <c r="AB375" s="209"/>
      <c r="AC375" s="207" t="str">
        <f t="shared" ca="1" si="61"/>
        <v/>
      </c>
      <c r="AD375" s="207"/>
      <c r="AE375" s="207"/>
      <c r="AF375" s="208" t="str">
        <f>IF(ISBLANK(D375),"",VLOOKUP(F375,'SIZE CALCULATION'!$F:$G,2,0))</f>
        <v/>
      </c>
      <c r="AG375" s="207" t="str">
        <f t="shared" si="66"/>
        <v/>
      </c>
      <c r="AH375" s="207" t="str">
        <f t="shared" si="57"/>
        <v/>
      </c>
      <c r="AI375" s="210" t="str">
        <f>IF(ISBLANK(D375),"",VLOOKUP($A375,INDEX!$D$2:$F$13,3,0))</f>
        <v/>
      </c>
      <c r="AJ375" s="207" t="str">
        <f t="shared" si="58"/>
        <v/>
      </c>
      <c r="AK375" s="207"/>
      <c r="AL375" s="207"/>
      <c r="AM375" s="207" t="str">
        <f>IFERROR(IF(ISBLANK($D375),"",VLOOKUP($N375,'TABLE CHARGE RATE'!$A$30:$K$106,5,0)),"Check")</f>
        <v/>
      </c>
      <c r="AN375" s="207" t="str">
        <f>IFERROR(IF(ISBLANK($D375),"",VLOOKUP($N375,'TABLE CHARGE RATE'!$A$30:$K$106,6,0)),"Check")</f>
        <v/>
      </c>
      <c r="AO375" s="207" t="str">
        <f>IFERROR(IF(ISBLANK($D375),"",VLOOKUP($N375,'TABLE CHARGE RATE'!$A$30:$K$106,7,0)),"Check")</f>
        <v/>
      </c>
      <c r="AP375" s="207" t="str">
        <f>IFERROR(IF(ISBLANK($D375),"",VLOOKUP($N375,'TABLE CHARGE RATE'!$A$30:$K$106,8,0)),"Check")</f>
        <v/>
      </c>
      <c r="AQ375" s="207" t="str">
        <f>IFERROR(IF(ISBLANK($D375),"",VLOOKUP($N375,'TABLE CHARGE RATE'!$A$30:$K$106,9,0)),"Check")</f>
        <v/>
      </c>
      <c r="AR375" s="207" t="str">
        <f>IFERROR(IF(ISBLANK($D375),"",VLOOKUP($N375,'TABLE CHARGE RATE'!$A$30:$K$106,10,0)),"Check")</f>
        <v/>
      </c>
      <c r="AS375" s="207" t="str">
        <f>IFERROR(IF(ISBLANK($D375),"",VLOOKUP($N375,'TABLE CHARGE RATE'!$A$30:$K$106,11,0)),"Check")</f>
        <v/>
      </c>
      <c r="AT375" s="207"/>
    </row>
    <row r="376" spans="1:46" x14ac:dyDescent="0.2">
      <c r="A376" s="207" t="str">
        <f t="shared" si="65"/>
        <v/>
      </c>
      <c r="B376" s="208" t="str">
        <f>IF(ISBLANK(D376),"",VLOOKUP(WEEKDAY($C376,1),INDEX!$J$2:$K$8,2,0))</f>
        <v/>
      </c>
      <c r="C376" s="209"/>
      <c r="D376" s="207"/>
      <c r="E376" s="207"/>
      <c r="F376" s="207"/>
      <c r="G376" s="207"/>
      <c r="H376" s="207"/>
      <c r="I376" s="207"/>
      <c r="J376" s="207"/>
      <c r="K376" s="207"/>
      <c r="L376" s="207"/>
      <c r="M376" s="207"/>
      <c r="N376" s="207"/>
      <c r="O376" s="207"/>
      <c r="P376" s="207"/>
      <c r="Q376" s="207"/>
      <c r="R376" s="207"/>
      <c r="S376" s="207"/>
      <c r="T376" s="207"/>
      <c r="U376" s="209"/>
      <c r="V376" s="207"/>
      <c r="W376" s="207"/>
      <c r="X376" s="209">
        <f t="shared" si="55"/>
        <v>0</v>
      </c>
      <c r="Y376" s="209">
        <f t="shared" si="56"/>
        <v>0</v>
      </c>
      <c r="Z376" s="207" t="str">
        <f t="shared" ca="1" si="64"/>
        <v/>
      </c>
      <c r="AA376" s="209" t="str">
        <f t="shared" si="62"/>
        <v/>
      </c>
      <c r="AB376" s="209"/>
      <c r="AC376" s="207" t="str">
        <f t="shared" ca="1" si="61"/>
        <v/>
      </c>
      <c r="AD376" s="207"/>
      <c r="AE376" s="207"/>
      <c r="AF376" s="208" t="str">
        <f>IF(ISBLANK(D376),"",VLOOKUP(F376,'SIZE CALCULATION'!$F:$G,2,0))</f>
        <v/>
      </c>
      <c r="AG376" s="207" t="str">
        <f t="shared" si="66"/>
        <v/>
      </c>
      <c r="AH376" s="207" t="str">
        <f t="shared" si="57"/>
        <v/>
      </c>
      <c r="AI376" s="210" t="str">
        <f>IF(ISBLANK(D376),"",VLOOKUP($A376,INDEX!$D$2:$F$13,3,0))</f>
        <v/>
      </c>
      <c r="AJ376" s="207" t="str">
        <f t="shared" si="58"/>
        <v/>
      </c>
      <c r="AK376" s="207"/>
      <c r="AL376" s="207"/>
      <c r="AM376" s="207" t="str">
        <f>IFERROR(IF(ISBLANK($D376),"",VLOOKUP($N376,'TABLE CHARGE RATE'!$A$30:$K$106,5,0)),"Check")</f>
        <v/>
      </c>
      <c r="AN376" s="207" t="str">
        <f>IFERROR(IF(ISBLANK($D376),"",VLOOKUP($N376,'TABLE CHARGE RATE'!$A$30:$K$106,6,0)),"Check")</f>
        <v/>
      </c>
      <c r="AO376" s="207" t="str">
        <f>IFERROR(IF(ISBLANK($D376),"",VLOOKUP($N376,'TABLE CHARGE RATE'!$A$30:$K$106,7,0)),"Check")</f>
        <v/>
      </c>
      <c r="AP376" s="207" t="str">
        <f>IFERROR(IF(ISBLANK($D376),"",VLOOKUP($N376,'TABLE CHARGE RATE'!$A$30:$K$106,8,0)),"Check")</f>
        <v/>
      </c>
      <c r="AQ376" s="207" t="str">
        <f>IFERROR(IF(ISBLANK($D376),"",VLOOKUP($N376,'TABLE CHARGE RATE'!$A$30:$K$106,9,0)),"Check")</f>
        <v/>
      </c>
      <c r="AR376" s="207" t="str">
        <f>IFERROR(IF(ISBLANK($D376),"",VLOOKUP($N376,'TABLE CHARGE RATE'!$A$30:$K$106,10,0)),"Check")</f>
        <v/>
      </c>
      <c r="AS376" s="207" t="str">
        <f>IFERROR(IF(ISBLANK($D376),"",VLOOKUP($N376,'TABLE CHARGE RATE'!$A$30:$K$106,11,0)),"Check")</f>
        <v/>
      </c>
      <c r="AT376" s="207"/>
    </row>
    <row r="377" spans="1:46" x14ac:dyDescent="0.2">
      <c r="A377" s="207" t="str">
        <f t="shared" si="65"/>
        <v/>
      </c>
      <c r="B377" s="208" t="str">
        <f>IF(ISBLANK(D377),"",VLOOKUP(WEEKDAY($C377,1),INDEX!$J$2:$K$8,2,0))</f>
        <v/>
      </c>
      <c r="C377" s="209"/>
      <c r="D377" s="207"/>
      <c r="E377" s="207"/>
      <c r="F377" s="207"/>
      <c r="G377" s="207"/>
      <c r="H377" s="207"/>
      <c r="I377" s="207"/>
      <c r="J377" s="207"/>
      <c r="K377" s="207"/>
      <c r="L377" s="207"/>
      <c r="M377" s="207"/>
      <c r="N377" s="207"/>
      <c r="O377" s="207"/>
      <c r="P377" s="207"/>
      <c r="Q377" s="207"/>
      <c r="R377" s="207"/>
      <c r="S377" s="207"/>
      <c r="T377" s="207"/>
      <c r="U377" s="209"/>
      <c r="V377" s="207"/>
      <c r="W377" s="207"/>
      <c r="X377" s="209">
        <f t="shared" si="55"/>
        <v>0</v>
      </c>
      <c r="Y377" s="209">
        <f t="shared" si="56"/>
        <v>0</v>
      </c>
      <c r="Z377" s="207" t="str">
        <f t="shared" ca="1" si="64"/>
        <v/>
      </c>
      <c r="AA377" s="209" t="str">
        <f t="shared" si="62"/>
        <v/>
      </c>
      <c r="AB377" s="209"/>
      <c r="AC377" s="207" t="str">
        <f t="shared" ca="1" si="61"/>
        <v/>
      </c>
      <c r="AD377" s="207"/>
      <c r="AE377" s="207"/>
      <c r="AF377" s="208" t="str">
        <f>IF(ISBLANK(D377),"",VLOOKUP(F377,'SIZE CALCULATION'!$F:$G,2,0))</f>
        <v/>
      </c>
      <c r="AG377" s="207" t="str">
        <f t="shared" si="66"/>
        <v/>
      </c>
      <c r="AH377" s="207" t="str">
        <f t="shared" si="57"/>
        <v/>
      </c>
      <c r="AI377" s="210" t="str">
        <f>IF(ISBLANK(D377),"",VLOOKUP($A377,INDEX!$D$2:$F$13,3,0))</f>
        <v/>
      </c>
      <c r="AJ377" s="207" t="str">
        <f t="shared" si="58"/>
        <v/>
      </c>
      <c r="AK377" s="207"/>
      <c r="AL377" s="207"/>
      <c r="AM377" s="207" t="str">
        <f>IFERROR(IF(ISBLANK($D377),"",VLOOKUP($N377,'TABLE CHARGE RATE'!$A$30:$K$106,5,0)),"Check")</f>
        <v/>
      </c>
      <c r="AN377" s="207" t="str">
        <f>IFERROR(IF(ISBLANK($D377),"",VLOOKUP($N377,'TABLE CHARGE RATE'!$A$30:$K$106,6,0)),"Check")</f>
        <v/>
      </c>
      <c r="AO377" s="207" t="str">
        <f>IFERROR(IF(ISBLANK($D377),"",VLOOKUP($N377,'TABLE CHARGE RATE'!$A$30:$K$106,7,0)),"Check")</f>
        <v/>
      </c>
      <c r="AP377" s="207" t="str">
        <f>IFERROR(IF(ISBLANK($D377),"",VLOOKUP($N377,'TABLE CHARGE RATE'!$A$30:$K$106,8,0)),"Check")</f>
        <v/>
      </c>
      <c r="AQ377" s="207" t="str">
        <f>IFERROR(IF(ISBLANK($D377),"",VLOOKUP($N377,'TABLE CHARGE RATE'!$A$30:$K$106,9,0)),"Check")</f>
        <v/>
      </c>
      <c r="AR377" s="207" t="str">
        <f>IFERROR(IF(ISBLANK($D377),"",VLOOKUP($N377,'TABLE CHARGE RATE'!$A$30:$K$106,10,0)),"Check")</f>
        <v/>
      </c>
      <c r="AS377" s="207" t="str">
        <f>IFERROR(IF(ISBLANK($D377),"",VLOOKUP($N377,'TABLE CHARGE RATE'!$A$30:$K$106,11,0)),"Check")</f>
        <v/>
      </c>
      <c r="AT377" s="207"/>
    </row>
    <row r="378" spans="1:46" x14ac:dyDescent="0.2">
      <c r="A378" s="207" t="str">
        <f t="shared" si="65"/>
        <v/>
      </c>
      <c r="B378" s="208" t="str">
        <f>IF(ISBLANK(D378),"",VLOOKUP(WEEKDAY($C378,1),INDEX!$J$2:$K$8,2,0))</f>
        <v/>
      </c>
      <c r="C378" s="209"/>
      <c r="D378" s="207"/>
      <c r="E378" s="207"/>
      <c r="F378" s="207"/>
      <c r="G378" s="207"/>
      <c r="H378" s="207"/>
      <c r="I378" s="207"/>
      <c r="J378" s="207"/>
      <c r="K378" s="207"/>
      <c r="L378" s="207"/>
      <c r="M378" s="207"/>
      <c r="N378" s="207"/>
      <c r="O378" s="207"/>
      <c r="P378" s="207"/>
      <c r="Q378" s="207"/>
      <c r="R378" s="207"/>
      <c r="S378" s="207"/>
      <c r="T378" s="207"/>
      <c r="U378" s="209"/>
      <c r="V378" s="207"/>
      <c r="W378" s="207"/>
      <c r="X378" s="209">
        <f t="shared" si="55"/>
        <v>0</v>
      </c>
      <c r="Y378" s="209">
        <f t="shared" si="56"/>
        <v>0</v>
      </c>
      <c r="Z378" s="207" t="str">
        <f t="shared" ca="1" si="64"/>
        <v/>
      </c>
      <c r="AA378" s="209" t="str">
        <f t="shared" si="62"/>
        <v/>
      </c>
      <c r="AB378" s="209"/>
      <c r="AC378" s="207" t="str">
        <f t="shared" ca="1" si="61"/>
        <v/>
      </c>
      <c r="AD378" s="207"/>
      <c r="AE378" s="207"/>
      <c r="AF378" s="208" t="str">
        <f>IF(ISBLANK(D378),"",VLOOKUP(F378,'SIZE CALCULATION'!$F:$G,2,0))</f>
        <v/>
      </c>
      <c r="AG378" s="207" t="str">
        <f t="shared" si="66"/>
        <v/>
      </c>
      <c r="AH378" s="207" t="str">
        <f t="shared" si="57"/>
        <v/>
      </c>
      <c r="AI378" s="210" t="str">
        <f>IF(ISBLANK(D378),"",VLOOKUP($A378,INDEX!$D$2:$F$13,3,0))</f>
        <v/>
      </c>
      <c r="AJ378" s="207" t="str">
        <f t="shared" si="58"/>
        <v/>
      </c>
      <c r="AK378" s="207"/>
      <c r="AL378" s="207"/>
      <c r="AM378" s="207" t="str">
        <f>IFERROR(IF(ISBLANK($D378),"",VLOOKUP($N378,'TABLE CHARGE RATE'!$A$30:$K$106,5,0)),"Check")</f>
        <v/>
      </c>
      <c r="AN378" s="207" t="str">
        <f>IFERROR(IF(ISBLANK($D378),"",VLOOKUP($N378,'TABLE CHARGE RATE'!$A$30:$K$106,6,0)),"Check")</f>
        <v/>
      </c>
      <c r="AO378" s="207" t="str">
        <f>IFERROR(IF(ISBLANK($D378),"",VLOOKUP($N378,'TABLE CHARGE RATE'!$A$30:$K$106,7,0)),"Check")</f>
        <v/>
      </c>
      <c r="AP378" s="207" t="str">
        <f>IFERROR(IF(ISBLANK($D378),"",VLOOKUP($N378,'TABLE CHARGE RATE'!$A$30:$K$106,8,0)),"Check")</f>
        <v/>
      </c>
      <c r="AQ378" s="207" t="str">
        <f>IFERROR(IF(ISBLANK($D378),"",VLOOKUP($N378,'TABLE CHARGE RATE'!$A$30:$K$106,9,0)),"Check")</f>
        <v/>
      </c>
      <c r="AR378" s="207" t="str">
        <f>IFERROR(IF(ISBLANK($D378),"",VLOOKUP($N378,'TABLE CHARGE RATE'!$A$30:$K$106,10,0)),"Check")</f>
        <v/>
      </c>
      <c r="AS378" s="207" t="str">
        <f>IFERROR(IF(ISBLANK($D378),"",VLOOKUP($N378,'TABLE CHARGE RATE'!$A$30:$K$106,11,0)),"Check")</f>
        <v/>
      </c>
      <c r="AT378" s="207"/>
    </row>
    <row r="379" spans="1:46" x14ac:dyDescent="0.2">
      <c r="A379" s="207" t="str">
        <f t="shared" si="65"/>
        <v/>
      </c>
      <c r="B379" s="208" t="str">
        <f>IF(ISBLANK(D379),"",VLOOKUP(WEEKDAY($C379,1),INDEX!$J$2:$K$8,2,0))</f>
        <v/>
      </c>
      <c r="C379" s="209"/>
      <c r="D379" s="207"/>
      <c r="E379" s="207"/>
      <c r="F379" s="207"/>
      <c r="G379" s="207"/>
      <c r="H379" s="207"/>
      <c r="I379" s="207"/>
      <c r="J379" s="207"/>
      <c r="K379" s="207"/>
      <c r="L379" s="207"/>
      <c r="M379" s="207"/>
      <c r="N379" s="207"/>
      <c r="O379" s="207"/>
      <c r="P379" s="207"/>
      <c r="Q379" s="207"/>
      <c r="R379" s="207"/>
      <c r="S379" s="207"/>
      <c r="T379" s="207"/>
      <c r="U379" s="209"/>
      <c r="V379" s="207"/>
      <c r="W379" s="207"/>
      <c r="X379" s="209">
        <f t="shared" si="55"/>
        <v>0</v>
      </c>
      <c r="Y379" s="209">
        <f t="shared" si="56"/>
        <v>0</v>
      </c>
      <c r="Z379" s="207" t="str">
        <f t="shared" ca="1" si="64"/>
        <v/>
      </c>
      <c r="AA379" s="209" t="str">
        <f t="shared" si="62"/>
        <v/>
      </c>
      <c r="AB379" s="209"/>
      <c r="AC379" s="207" t="str">
        <f t="shared" ca="1" si="61"/>
        <v/>
      </c>
      <c r="AD379" s="207"/>
      <c r="AE379" s="207"/>
      <c r="AF379" s="208" t="str">
        <f>IF(ISBLANK(D379),"",VLOOKUP(F379,'SIZE CALCULATION'!$F:$G,2,0))</f>
        <v/>
      </c>
      <c r="AG379" s="207" t="str">
        <f t="shared" si="66"/>
        <v/>
      </c>
      <c r="AH379" s="207" t="str">
        <f t="shared" si="57"/>
        <v/>
      </c>
      <c r="AI379" s="210" t="str">
        <f>IF(ISBLANK(D379),"",VLOOKUP($A379,INDEX!$D$2:$F$13,3,0))</f>
        <v/>
      </c>
      <c r="AJ379" s="207" t="str">
        <f t="shared" si="58"/>
        <v/>
      </c>
      <c r="AK379" s="207"/>
      <c r="AL379" s="207"/>
      <c r="AM379" s="207" t="str">
        <f>IFERROR(IF(ISBLANK($D379),"",VLOOKUP($N379,'TABLE CHARGE RATE'!$A$30:$K$106,5,0)),"Check")</f>
        <v/>
      </c>
      <c r="AN379" s="207" t="str">
        <f>IFERROR(IF(ISBLANK($D379),"",VLOOKUP($N379,'TABLE CHARGE RATE'!$A$30:$K$106,6,0)),"Check")</f>
        <v/>
      </c>
      <c r="AO379" s="207" t="str">
        <f>IFERROR(IF(ISBLANK($D379),"",VLOOKUP($N379,'TABLE CHARGE RATE'!$A$30:$K$106,7,0)),"Check")</f>
        <v/>
      </c>
      <c r="AP379" s="207" t="str">
        <f>IFERROR(IF(ISBLANK($D379),"",VLOOKUP($N379,'TABLE CHARGE RATE'!$A$30:$K$106,8,0)),"Check")</f>
        <v/>
      </c>
      <c r="AQ379" s="207" t="str">
        <f>IFERROR(IF(ISBLANK($D379),"",VLOOKUP($N379,'TABLE CHARGE RATE'!$A$30:$K$106,9,0)),"Check")</f>
        <v/>
      </c>
      <c r="AR379" s="207" t="str">
        <f>IFERROR(IF(ISBLANK($D379),"",VLOOKUP($N379,'TABLE CHARGE RATE'!$A$30:$K$106,10,0)),"Check")</f>
        <v/>
      </c>
      <c r="AS379" s="207" t="str">
        <f>IFERROR(IF(ISBLANK($D379),"",VLOOKUP($N379,'TABLE CHARGE RATE'!$A$30:$K$106,11,0)),"Check")</f>
        <v/>
      </c>
      <c r="AT379" s="207"/>
    </row>
    <row r="380" spans="1:46" x14ac:dyDescent="0.2">
      <c r="A380" s="207" t="str">
        <f t="shared" si="65"/>
        <v/>
      </c>
      <c r="B380" s="208" t="str">
        <f>IF(ISBLANK(D380),"",VLOOKUP(WEEKDAY($C380,1),INDEX!$J$2:$K$8,2,0))</f>
        <v/>
      </c>
      <c r="C380" s="209"/>
      <c r="D380" s="207"/>
      <c r="E380" s="207"/>
      <c r="F380" s="207"/>
      <c r="G380" s="207"/>
      <c r="H380" s="207"/>
      <c r="I380" s="207"/>
      <c r="J380" s="207"/>
      <c r="K380" s="207"/>
      <c r="L380" s="207"/>
      <c r="M380" s="207"/>
      <c r="N380" s="207"/>
      <c r="O380" s="207"/>
      <c r="P380" s="207"/>
      <c r="Q380" s="207"/>
      <c r="R380" s="207"/>
      <c r="S380" s="207"/>
      <c r="T380" s="207"/>
      <c r="U380" s="209"/>
      <c r="V380" s="207"/>
      <c r="W380" s="207"/>
      <c r="X380" s="209">
        <f t="shared" si="55"/>
        <v>0</v>
      </c>
      <c r="Y380" s="209">
        <f t="shared" si="56"/>
        <v>0</v>
      </c>
      <c r="Z380" s="207" t="str">
        <f t="shared" ca="1" si="64"/>
        <v/>
      </c>
      <c r="AA380" s="209" t="str">
        <f t="shared" si="62"/>
        <v/>
      </c>
      <c r="AB380" s="209"/>
      <c r="AC380" s="207" t="str">
        <f t="shared" ca="1" si="61"/>
        <v/>
      </c>
      <c r="AD380" s="207"/>
      <c r="AE380" s="207"/>
      <c r="AF380" s="208" t="str">
        <f>IF(ISBLANK(D380),"",VLOOKUP(F380,'SIZE CALCULATION'!$F:$G,2,0))</f>
        <v/>
      </c>
      <c r="AG380" s="207" t="str">
        <f t="shared" si="66"/>
        <v/>
      </c>
      <c r="AH380" s="207" t="str">
        <f t="shared" si="57"/>
        <v/>
      </c>
      <c r="AI380" s="210" t="str">
        <f>IF(ISBLANK(D380),"",VLOOKUP($A380,INDEX!$D$2:$F$13,3,0))</f>
        <v/>
      </c>
      <c r="AJ380" s="207" t="str">
        <f t="shared" si="58"/>
        <v/>
      </c>
      <c r="AK380" s="207"/>
      <c r="AL380" s="207"/>
      <c r="AM380" s="207" t="str">
        <f>IFERROR(IF(ISBLANK($D380),"",VLOOKUP($N380,'TABLE CHARGE RATE'!$A$30:$K$106,5,0)),"Check")</f>
        <v/>
      </c>
      <c r="AN380" s="207" t="str">
        <f>IFERROR(IF(ISBLANK($D380),"",VLOOKUP($N380,'TABLE CHARGE RATE'!$A$30:$K$106,6,0)),"Check")</f>
        <v/>
      </c>
      <c r="AO380" s="207" t="str">
        <f>IFERROR(IF(ISBLANK($D380),"",VLOOKUP($N380,'TABLE CHARGE RATE'!$A$30:$K$106,7,0)),"Check")</f>
        <v/>
      </c>
      <c r="AP380" s="207" t="str">
        <f>IFERROR(IF(ISBLANK($D380),"",VLOOKUP($N380,'TABLE CHARGE RATE'!$A$30:$K$106,8,0)),"Check")</f>
        <v/>
      </c>
      <c r="AQ380" s="207" t="str">
        <f>IFERROR(IF(ISBLANK($D380),"",VLOOKUP($N380,'TABLE CHARGE RATE'!$A$30:$K$106,9,0)),"Check")</f>
        <v/>
      </c>
      <c r="AR380" s="207" t="str">
        <f>IFERROR(IF(ISBLANK($D380),"",VLOOKUP($N380,'TABLE CHARGE RATE'!$A$30:$K$106,10,0)),"Check")</f>
        <v/>
      </c>
      <c r="AS380" s="207" t="str">
        <f>IFERROR(IF(ISBLANK($D380),"",VLOOKUP($N380,'TABLE CHARGE RATE'!$A$30:$K$106,11,0)),"Check")</f>
        <v/>
      </c>
      <c r="AT380" s="207"/>
    </row>
    <row r="381" spans="1:46" x14ac:dyDescent="0.2">
      <c r="A381" s="207" t="str">
        <f t="shared" si="65"/>
        <v/>
      </c>
      <c r="B381" s="208" t="str">
        <f>IF(ISBLANK(D381),"",VLOOKUP(WEEKDAY($C381,1),INDEX!$J$2:$K$8,2,0))</f>
        <v/>
      </c>
      <c r="C381" s="209"/>
      <c r="D381" s="207"/>
      <c r="E381" s="207"/>
      <c r="F381" s="207"/>
      <c r="G381" s="207"/>
      <c r="H381" s="207"/>
      <c r="I381" s="207"/>
      <c r="J381" s="207"/>
      <c r="K381" s="207"/>
      <c r="L381" s="207"/>
      <c r="M381" s="207"/>
      <c r="N381" s="207"/>
      <c r="O381" s="207"/>
      <c r="P381" s="207"/>
      <c r="Q381" s="207"/>
      <c r="R381" s="207"/>
      <c r="S381" s="207"/>
      <c r="T381" s="207"/>
      <c r="U381" s="209"/>
      <c r="V381" s="207"/>
      <c r="W381" s="207"/>
      <c r="X381" s="209">
        <f t="shared" si="55"/>
        <v>0</v>
      </c>
      <c r="Y381" s="209">
        <f t="shared" si="56"/>
        <v>0</v>
      </c>
      <c r="Z381" s="207" t="str">
        <f t="shared" ca="1" si="64"/>
        <v/>
      </c>
      <c r="AA381" s="209" t="str">
        <f t="shared" si="62"/>
        <v/>
      </c>
      <c r="AB381" s="209"/>
      <c r="AC381" s="207" t="str">
        <f t="shared" ca="1" si="61"/>
        <v/>
      </c>
      <c r="AD381" s="207"/>
      <c r="AE381" s="207"/>
      <c r="AF381" s="208" t="str">
        <f>IF(ISBLANK(D381),"",VLOOKUP(F381,'SIZE CALCULATION'!$F:$G,2,0))</f>
        <v/>
      </c>
      <c r="AG381" s="207" t="str">
        <f t="shared" si="66"/>
        <v/>
      </c>
      <c r="AH381" s="207" t="str">
        <f t="shared" si="57"/>
        <v/>
      </c>
      <c r="AI381" s="210" t="str">
        <f>IF(ISBLANK(D381),"",VLOOKUP($A381,INDEX!$D$2:$F$13,3,0))</f>
        <v/>
      </c>
      <c r="AJ381" s="207" t="str">
        <f t="shared" si="58"/>
        <v/>
      </c>
      <c r="AK381" s="207"/>
      <c r="AL381" s="207"/>
      <c r="AM381" s="207" t="str">
        <f>IFERROR(IF(ISBLANK($D381),"",VLOOKUP($N381,'TABLE CHARGE RATE'!$A$30:$K$106,5,0)),"Check")</f>
        <v/>
      </c>
      <c r="AN381" s="207" t="str">
        <f>IFERROR(IF(ISBLANK($D381),"",VLOOKUP($N381,'TABLE CHARGE RATE'!$A$30:$K$106,6,0)),"Check")</f>
        <v/>
      </c>
      <c r="AO381" s="207" t="str">
        <f>IFERROR(IF(ISBLANK($D381),"",VLOOKUP($N381,'TABLE CHARGE RATE'!$A$30:$K$106,7,0)),"Check")</f>
        <v/>
      </c>
      <c r="AP381" s="207" t="str">
        <f>IFERROR(IF(ISBLANK($D381),"",VLOOKUP($N381,'TABLE CHARGE RATE'!$A$30:$K$106,8,0)),"Check")</f>
        <v/>
      </c>
      <c r="AQ381" s="207" t="str">
        <f>IFERROR(IF(ISBLANK($D381),"",VLOOKUP($N381,'TABLE CHARGE RATE'!$A$30:$K$106,9,0)),"Check")</f>
        <v/>
      </c>
      <c r="AR381" s="207" t="str">
        <f>IFERROR(IF(ISBLANK($D381),"",VLOOKUP($N381,'TABLE CHARGE RATE'!$A$30:$K$106,10,0)),"Check")</f>
        <v/>
      </c>
      <c r="AS381" s="207" t="str">
        <f>IFERROR(IF(ISBLANK($D381),"",VLOOKUP($N381,'TABLE CHARGE RATE'!$A$30:$K$106,11,0)),"Check")</f>
        <v/>
      </c>
      <c r="AT381" s="207"/>
    </row>
    <row r="382" spans="1:46" x14ac:dyDescent="0.2">
      <c r="A382" s="207" t="str">
        <f t="shared" si="65"/>
        <v/>
      </c>
      <c r="B382" s="208" t="str">
        <f>IF(ISBLANK(D382),"",VLOOKUP(WEEKDAY($C382,1),INDEX!$J$2:$K$8,2,0))</f>
        <v/>
      </c>
      <c r="C382" s="209"/>
      <c r="D382" s="207"/>
      <c r="E382" s="207"/>
      <c r="F382" s="207"/>
      <c r="G382" s="207"/>
      <c r="H382" s="207"/>
      <c r="I382" s="207"/>
      <c r="J382" s="207"/>
      <c r="K382" s="207"/>
      <c r="L382" s="207"/>
      <c r="M382" s="207"/>
      <c r="N382" s="207"/>
      <c r="O382" s="207"/>
      <c r="P382" s="207"/>
      <c r="Q382" s="207"/>
      <c r="R382" s="207"/>
      <c r="S382" s="207"/>
      <c r="T382" s="207"/>
      <c r="U382" s="209"/>
      <c r="V382" s="207"/>
      <c r="W382" s="207"/>
      <c r="X382" s="209">
        <f t="shared" si="55"/>
        <v>0</v>
      </c>
      <c r="Y382" s="209">
        <f t="shared" si="56"/>
        <v>0</v>
      </c>
      <c r="Z382" s="207" t="str">
        <f t="shared" ca="1" si="64"/>
        <v/>
      </c>
      <c r="AA382" s="209" t="str">
        <f t="shared" si="62"/>
        <v/>
      </c>
      <c r="AB382" s="209"/>
      <c r="AC382" s="207" t="str">
        <f t="shared" ca="1" si="61"/>
        <v/>
      </c>
      <c r="AD382" s="207"/>
      <c r="AE382" s="207"/>
      <c r="AF382" s="208" t="str">
        <f>IF(ISBLANK(D382),"",VLOOKUP(F382,'SIZE CALCULATION'!$F:$G,2,0))</f>
        <v/>
      </c>
      <c r="AG382" s="207" t="str">
        <f t="shared" si="66"/>
        <v/>
      </c>
      <c r="AH382" s="207" t="str">
        <f t="shared" si="57"/>
        <v/>
      </c>
      <c r="AI382" s="210" t="str">
        <f>IF(ISBLANK(D382),"",VLOOKUP($A382,INDEX!$D$2:$F$13,3,0))</f>
        <v/>
      </c>
      <c r="AJ382" s="207" t="str">
        <f t="shared" si="58"/>
        <v/>
      </c>
      <c r="AK382" s="207"/>
      <c r="AL382" s="207"/>
      <c r="AM382" s="207" t="str">
        <f>IFERROR(IF(ISBLANK($D382),"",VLOOKUP($N382,'TABLE CHARGE RATE'!$A$30:$K$106,5,0)),"Check")</f>
        <v/>
      </c>
      <c r="AN382" s="207" t="str">
        <f>IFERROR(IF(ISBLANK($D382),"",VLOOKUP($N382,'TABLE CHARGE RATE'!$A$30:$K$106,6,0)),"Check")</f>
        <v/>
      </c>
      <c r="AO382" s="207" t="str">
        <f>IFERROR(IF(ISBLANK($D382),"",VLOOKUP($N382,'TABLE CHARGE RATE'!$A$30:$K$106,7,0)),"Check")</f>
        <v/>
      </c>
      <c r="AP382" s="207" t="str">
        <f>IFERROR(IF(ISBLANK($D382),"",VLOOKUP($N382,'TABLE CHARGE RATE'!$A$30:$K$106,8,0)),"Check")</f>
        <v/>
      </c>
      <c r="AQ382" s="207" t="str">
        <f>IFERROR(IF(ISBLANK($D382),"",VLOOKUP($N382,'TABLE CHARGE RATE'!$A$30:$K$106,9,0)),"Check")</f>
        <v/>
      </c>
      <c r="AR382" s="207" t="str">
        <f>IFERROR(IF(ISBLANK($D382),"",VLOOKUP($N382,'TABLE CHARGE RATE'!$A$30:$K$106,10,0)),"Check")</f>
        <v/>
      </c>
      <c r="AS382" s="207" t="str">
        <f>IFERROR(IF(ISBLANK($D382),"",VLOOKUP($N382,'TABLE CHARGE RATE'!$A$30:$K$106,11,0)),"Check")</f>
        <v/>
      </c>
      <c r="AT382" s="207"/>
    </row>
    <row r="383" spans="1:46" x14ac:dyDescent="0.2">
      <c r="A383" s="207" t="str">
        <f t="shared" si="65"/>
        <v/>
      </c>
      <c r="B383" s="208" t="str">
        <f>IF(ISBLANK(D383),"",VLOOKUP(WEEKDAY($C383,1),INDEX!$J$2:$K$8,2,0))</f>
        <v/>
      </c>
      <c r="C383" s="209"/>
      <c r="D383" s="207"/>
      <c r="E383" s="207"/>
      <c r="F383" s="207"/>
      <c r="G383" s="207"/>
      <c r="H383" s="207"/>
      <c r="I383" s="207"/>
      <c r="J383" s="207"/>
      <c r="K383" s="207"/>
      <c r="L383" s="207"/>
      <c r="M383" s="207"/>
      <c r="N383" s="207"/>
      <c r="O383" s="207"/>
      <c r="P383" s="207"/>
      <c r="Q383" s="207"/>
      <c r="R383" s="207"/>
      <c r="S383" s="207"/>
      <c r="T383" s="207"/>
      <c r="U383" s="209"/>
      <c r="V383" s="207"/>
      <c r="W383" s="207"/>
      <c r="X383" s="209">
        <f t="shared" si="55"/>
        <v>0</v>
      </c>
      <c r="Y383" s="209">
        <f t="shared" si="56"/>
        <v>0</v>
      </c>
      <c r="Z383" s="207" t="str">
        <f t="shared" ca="1" si="64"/>
        <v/>
      </c>
      <c r="AA383" s="209" t="str">
        <f t="shared" si="62"/>
        <v/>
      </c>
      <c r="AB383" s="209"/>
      <c r="AC383" s="207" t="str">
        <f t="shared" ca="1" si="61"/>
        <v/>
      </c>
      <c r="AD383" s="207"/>
      <c r="AE383" s="207"/>
      <c r="AF383" s="208" t="str">
        <f>IF(ISBLANK(D383),"",VLOOKUP(F383,'SIZE CALCULATION'!$F:$G,2,0))</f>
        <v/>
      </c>
      <c r="AG383" s="207" t="str">
        <f t="shared" si="66"/>
        <v/>
      </c>
      <c r="AH383" s="207" t="str">
        <f t="shared" si="57"/>
        <v/>
      </c>
      <c r="AI383" s="210" t="str">
        <f>IF(ISBLANK(D383),"",VLOOKUP($A383,INDEX!$D$2:$F$13,3,0))</f>
        <v/>
      </c>
      <c r="AJ383" s="207" t="str">
        <f t="shared" si="58"/>
        <v/>
      </c>
      <c r="AK383" s="207"/>
      <c r="AL383" s="207"/>
      <c r="AM383" s="207" t="str">
        <f>IFERROR(IF(ISBLANK($D383),"",VLOOKUP($N383,'TABLE CHARGE RATE'!$A$30:$K$106,5,0)),"Check")</f>
        <v/>
      </c>
      <c r="AN383" s="207" t="str">
        <f>IFERROR(IF(ISBLANK($D383),"",VLOOKUP($N383,'TABLE CHARGE RATE'!$A$30:$K$106,6,0)),"Check")</f>
        <v/>
      </c>
      <c r="AO383" s="207" t="str">
        <f>IFERROR(IF(ISBLANK($D383),"",VLOOKUP($N383,'TABLE CHARGE RATE'!$A$30:$K$106,7,0)),"Check")</f>
        <v/>
      </c>
      <c r="AP383" s="207" t="str">
        <f>IFERROR(IF(ISBLANK($D383),"",VLOOKUP($N383,'TABLE CHARGE RATE'!$A$30:$K$106,8,0)),"Check")</f>
        <v/>
      </c>
      <c r="AQ383" s="207" t="str">
        <f>IFERROR(IF(ISBLANK($D383),"",VLOOKUP($N383,'TABLE CHARGE RATE'!$A$30:$K$106,9,0)),"Check")</f>
        <v/>
      </c>
      <c r="AR383" s="207" t="str">
        <f>IFERROR(IF(ISBLANK($D383),"",VLOOKUP($N383,'TABLE CHARGE RATE'!$A$30:$K$106,10,0)),"Check")</f>
        <v/>
      </c>
      <c r="AS383" s="207" t="str">
        <f>IFERROR(IF(ISBLANK($D383),"",VLOOKUP($N383,'TABLE CHARGE RATE'!$A$30:$K$106,11,0)),"Check")</f>
        <v/>
      </c>
      <c r="AT383" s="207"/>
    </row>
    <row r="384" spans="1:46" x14ac:dyDescent="0.2">
      <c r="A384" s="207" t="str">
        <f t="shared" si="65"/>
        <v/>
      </c>
      <c r="B384" s="208" t="str">
        <f>IF(ISBLANK(D384),"",VLOOKUP(WEEKDAY($C384,1),INDEX!$J$2:$K$8,2,0))</f>
        <v/>
      </c>
      <c r="C384" s="209"/>
      <c r="D384" s="207"/>
      <c r="E384" s="207"/>
      <c r="F384" s="207"/>
      <c r="G384" s="207"/>
      <c r="H384" s="207"/>
      <c r="I384" s="207"/>
      <c r="J384" s="207"/>
      <c r="K384" s="207"/>
      <c r="L384" s="207"/>
      <c r="M384" s="207"/>
      <c r="N384" s="207"/>
      <c r="O384" s="207"/>
      <c r="P384" s="207"/>
      <c r="Q384" s="207"/>
      <c r="R384" s="207"/>
      <c r="S384" s="207"/>
      <c r="T384" s="207"/>
      <c r="U384" s="209"/>
      <c r="V384" s="207"/>
      <c r="W384" s="207"/>
      <c r="X384" s="209">
        <f t="shared" si="55"/>
        <v>0</v>
      </c>
      <c r="Y384" s="209">
        <f t="shared" si="56"/>
        <v>0</v>
      </c>
      <c r="Z384" s="207" t="str">
        <f t="shared" ca="1" si="64"/>
        <v/>
      </c>
      <c r="AA384" s="209" t="str">
        <f t="shared" si="62"/>
        <v/>
      </c>
      <c r="AB384" s="209"/>
      <c r="AC384" s="207" t="str">
        <f t="shared" ca="1" si="61"/>
        <v/>
      </c>
      <c r="AD384" s="207"/>
      <c r="AE384" s="207"/>
      <c r="AF384" s="208" t="str">
        <f>IF(ISBLANK(D384),"",VLOOKUP(F384,'SIZE CALCULATION'!$F:$G,2,0))</f>
        <v/>
      </c>
      <c r="AG384" s="207" t="str">
        <f t="shared" si="66"/>
        <v/>
      </c>
      <c r="AH384" s="207" t="str">
        <f t="shared" si="57"/>
        <v/>
      </c>
      <c r="AI384" s="210" t="str">
        <f>IF(ISBLANK(D384),"",VLOOKUP($A384,INDEX!$D$2:$F$13,3,0))</f>
        <v/>
      </c>
      <c r="AJ384" s="207" t="str">
        <f t="shared" si="58"/>
        <v/>
      </c>
      <c r="AK384" s="207"/>
      <c r="AL384" s="207"/>
      <c r="AM384" s="207" t="str">
        <f>IFERROR(IF(ISBLANK($D384),"",VLOOKUP($N384,'TABLE CHARGE RATE'!$A$30:$K$106,5,0)),"Check")</f>
        <v/>
      </c>
      <c r="AN384" s="207" t="str">
        <f>IFERROR(IF(ISBLANK($D384),"",VLOOKUP($N384,'TABLE CHARGE RATE'!$A$30:$K$106,6,0)),"Check")</f>
        <v/>
      </c>
      <c r="AO384" s="207" t="str">
        <f>IFERROR(IF(ISBLANK($D384),"",VLOOKUP($N384,'TABLE CHARGE RATE'!$A$30:$K$106,7,0)),"Check")</f>
        <v/>
      </c>
      <c r="AP384" s="207" t="str">
        <f>IFERROR(IF(ISBLANK($D384),"",VLOOKUP($N384,'TABLE CHARGE RATE'!$A$30:$K$106,8,0)),"Check")</f>
        <v/>
      </c>
      <c r="AQ384" s="207" t="str">
        <f>IFERROR(IF(ISBLANK($D384),"",VLOOKUP($N384,'TABLE CHARGE RATE'!$A$30:$K$106,9,0)),"Check")</f>
        <v/>
      </c>
      <c r="AR384" s="207" t="str">
        <f>IFERROR(IF(ISBLANK($D384),"",VLOOKUP($N384,'TABLE CHARGE RATE'!$A$30:$K$106,10,0)),"Check")</f>
        <v/>
      </c>
      <c r="AS384" s="207" t="str">
        <f>IFERROR(IF(ISBLANK($D384),"",VLOOKUP($N384,'TABLE CHARGE RATE'!$A$30:$K$106,11,0)),"Check")</f>
        <v/>
      </c>
      <c r="AT384" s="207"/>
    </row>
    <row r="385" spans="1:46" x14ac:dyDescent="0.2">
      <c r="A385" s="207" t="str">
        <f t="shared" si="65"/>
        <v/>
      </c>
      <c r="B385" s="208" t="str">
        <f>IF(ISBLANK(D385),"",VLOOKUP(WEEKDAY($C385,1),INDEX!$J$2:$K$8,2,0))</f>
        <v/>
      </c>
      <c r="C385" s="209"/>
      <c r="D385" s="207"/>
      <c r="E385" s="207"/>
      <c r="F385" s="207"/>
      <c r="G385" s="207"/>
      <c r="H385" s="207"/>
      <c r="I385" s="207"/>
      <c r="J385" s="207"/>
      <c r="K385" s="207"/>
      <c r="L385" s="207"/>
      <c r="M385" s="207"/>
      <c r="N385" s="207"/>
      <c r="O385" s="207"/>
      <c r="P385" s="207"/>
      <c r="Q385" s="207"/>
      <c r="R385" s="207"/>
      <c r="S385" s="207"/>
      <c r="T385" s="207"/>
      <c r="U385" s="209"/>
      <c r="V385" s="207"/>
      <c r="W385" s="207"/>
      <c r="X385" s="209">
        <f t="shared" si="55"/>
        <v>0</v>
      </c>
      <c r="Y385" s="209">
        <f t="shared" si="56"/>
        <v>0</v>
      </c>
      <c r="Z385" s="207" t="str">
        <f t="shared" ca="1" si="64"/>
        <v/>
      </c>
      <c r="AA385" s="209" t="str">
        <f t="shared" si="62"/>
        <v/>
      </c>
      <c r="AB385" s="209"/>
      <c r="AC385" s="207" t="str">
        <f t="shared" ca="1" si="61"/>
        <v/>
      </c>
      <c r="AD385" s="207"/>
      <c r="AE385" s="207"/>
      <c r="AF385" s="208" t="str">
        <f>IF(ISBLANK(D385),"",VLOOKUP(F385,'SIZE CALCULATION'!$F:$G,2,0))</f>
        <v/>
      </c>
      <c r="AG385" s="207" t="str">
        <f t="shared" si="66"/>
        <v/>
      </c>
      <c r="AH385" s="207" t="str">
        <f t="shared" si="57"/>
        <v/>
      </c>
      <c r="AI385" s="210" t="str">
        <f>IF(ISBLANK(D385),"",VLOOKUP($A385,INDEX!$D$2:$F$13,3,0))</f>
        <v/>
      </c>
      <c r="AJ385" s="207" t="str">
        <f t="shared" si="58"/>
        <v/>
      </c>
      <c r="AK385" s="207"/>
      <c r="AL385" s="207"/>
      <c r="AM385" s="207" t="str">
        <f>IFERROR(IF(ISBLANK($D385),"",VLOOKUP($N385,'TABLE CHARGE RATE'!$A$30:$K$106,5,0)),"Check")</f>
        <v/>
      </c>
      <c r="AN385" s="207" t="str">
        <f>IFERROR(IF(ISBLANK($D385),"",VLOOKUP($N385,'TABLE CHARGE RATE'!$A$30:$K$106,6,0)),"Check")</f>
        <v/>
      </c>
      <c r="AO385" s="207" t="str">
        <f>IFERROR(IF(ISBLANK($D385),"",VLOOKUP($N385,'TABLE CHARGE RATE'!$A$30:$K$106,7,0)),"Check")</f>
        <v/>
      </c>
      <c r="AP385" s="207" t="str">
        <f>IFERROR(IF(ISBLANK($D385),"",VLOOKUP($N385,'TABLE CHARGE RATE'!$A$30:$K$106,8,0)),"Check")</f>
        <v/>
      </c>
      <c r="AQ385" s="207" t="str">
        <f>IFERROR(IF(ISBLANK($D385),"",VLOOKUP($N385,'TABLE CHARGE RATE'!$A$30:$K$106,9,0)),"Check")</f>
        <v/>
      </c>
      <c r="AR385" s="207" t="str">
        <f>IFERROR(IF(ISBLANK($D385),"",VLOOKUP($N385,'TABLE CHARGE RATE'!$A$30:$K$106,10,0)),"Check")</f>
        <v/>
      </c>
      <c r="AS385" s="207" t="str">
        <f>IFERROR(IF(ISBLANK($D385),"",VLOOKUP($N385,'TABLE CHARGE RATE'!$A$30:$K$106,11,0)),"Check")</f>
        <v/>
      </c>
      <c r="AT385" s="207"/>
    </row>
    <row r="386" spans="1:46" x14ac:dyDescent="0.2">
      <c r="A386" s="207" t="str">
        <f t="shared" si="65"/>
        <v/>
      </c>
      <c r="B386" s="208" t="str">
        <f>IF(ISBLANK(D386),"",VLOOKUP(WEEKDAY($C386,1),INDEX!$J$2:$K$8,2,0))</f>
        <v/>
      </c>
      <c r="C386" s="209"/>
      <c r="D386" s="207"/>
      <c r="E386" s="207"/>
      <c r="F386" s="207"/>
      <c r="G386" s="207"/>
      <c r="H386" s="207"/>
      <c r="I386" s="207"/>
      <c r="J386" s="207"/>
      <c r="K386" s="207"/>
      <c r="L386" s="207"/>
      <c r="M386" s="207"/>
      <c r="N386" s="207"/>
      <c r="O386" s="207"/>
      <c r="P386" s="207"/>
      <c r="Q386" s="207"/>
      <c r="R386" s="207"/>
      <c r="S386" s="207"/>
      <c r="T386" s="207"/>
      <c r="U386" s="209"/>
      <c r="V386" s="207"/>
      <c r="W386" s="207"/>
      <c r="X386" s="209">
        <f t="shared" si="55"/>
        <v>0</v>
      </c>
      <c r="Y386" s="209">
        <f t="shared" si="56"/>
        <v>0</v>
      </c>
      <c r="Z386" s="207" t="str">
        <f t="shared" ca="1" si="64"/>
        <v/>
      </c>
      <c r="AA386" s="209" t="str">
        <f t="shared" si="62"/>
        <v/>
      </c>
      <c r="AB386" s="209"/>
      <c r="AC386" s="207" t="str">
        <f t="shared" ca="1" si="61"/>
        <v/>
      </c>
      <c r="AD386" s="207"/>
      <c r="AE386" s="207"/>
      <c r="AF386" s="208" t="str">
        <f>IF(ISBLANK(D386),"",VLOOKUP(F386,'SIZE CALCULATION'!$F:$G,2,0))</f>
        <v/>
      </c>
      <c r="AG386" s="207" t="str">
        <f t="shared" si="66"/>
        <v/>
      </c>
      <c r="AH386" s="207" t="str">
        <f t="shared" si="57"/>
        <v/>
      </c>
      <c r="AI386" s="210" t="str">
        <f>IF(ISBLANK(D386),"",VLOOKUP($A386,INDEX!$D$2:$F$13,3,0))</f>
        <v/>
      </c>
      <c r="AJ386" s="207" t="str">
        <f t="shared" si="58"/>
        <v/>
      </c>
      <c r="AK386" s="207"/>
      <c r="AL386" s="207"/>
      <c r="AM386" s="207" t="str">
        <f>IFERROR(IF(ISBLANK($D386),"",VLOOKUP($N386,'TABLE CHARGE RATE'!$A$30:$K$106,5,0)),"Check")</f>
        <v/>
      </c>
      <c r="AN386" s="207" t="str">
        <f>IFERROR(IF(ISBLANK($D386),"",VLOOKUP($N386,'TABLE CHARGE RATE'!$A$30:$K$106,6,0)),"Check")</f>
        <v/>
      </c>
      <c r="AO386" s="207" t="str">
        <f>IFERROR(IF(ISBLANK($D386),"",VLOOKUP($N386,'TABLE CHARGE RATE'!$A$30:$K$106,7,0)),"Check")</f>
        <v/>
      </c>
      <c r="AP386" s="207" t="str">
        <f>IFERROR(IF(ISBLANK($D386),"",VLOOKUP($N386,'TABLE CHARGE RATE'!$A$30:$K$106,8,0)),"Check")</f>
        <v/>
      </c>
      <c r="AQ386" s="207" t="str">
        <f>IFERROR(IF(ISBLANK($D386),"",VLOOKUP($N386,'TABLE CHARGE RATE'!$A$30:$K$106,9,0)),"Check")</f>
        <v/>
      </c>
      <c r="AR386" s="207" t="str">
        <f>IFERROR(IF(ISBLANK($D386),"",VLOOKUP($N386,'TABLE CHARGE RATE'!$A$30:$K$106,10,0)),"Check")</f>
        <v/>
      </c>
      <c r="AS386" s="207" t="str">
        <f>IFERROR(IF(ISBLANK($D386),"",VLOOKUP($N386,'TABLE CHARGE RATE'!$A$30:$K$106,11,0)),"Check")</f>
        <v/>
      </c>
      <c r="AT386" s="207"/>
    </row>
    <row r="387" spans="1:46" x14ac:dyDescent="0.2">
      <c r="A387" s="207" t="str">
        <f t="shared" si="65"/>
        <v/>
      </c>
      <c r="B387" s="208" t="str">
        <f>IF(ISBLANK(D387),"",VLOOKUP(WEEKDAY($C387,1),INDEX!$J$2:$K$8,2,0))</f>
        <v/>
      </c>
      <c r="C387" s="209"/>
      <c r="D387" s="207"/>
      <c r="E387" s="207"/>
      <c r="F387" s="207"/>
      <c r="G387" s="207"/>
      <c r="H387" s="207"/>
      <c r="I387" s="207"/>
      <c r="J387" s="207"/>
      <c r="K387" s="207"/>
      <c r="L387" s="207"/>
      <c r="M387" s="207"/>
      <c r="N387" s="207"/>
      <c r="O387" s="207"/>
      <c r="P387" s="207"/>
      <c r="Q387" s="207"/>
      <c r="R387" s="207"/>
      <c r="S387" s="207"/>
      <c r="T387" s="207"/>
      <c r="U387" s="209"/>
      <c r="V387" s="207"/>
      <c r="W387" s="207"/>
      <c r="X387" s="209">
        <f t="shared" ref="X387:X439" si="67">U387</f>
        <v>0</v>
      </c>
      <c r="Y387" s="209">
        <f t="shared" ref="Y387:Y439" si="68">U387</f>
        <v>0</v>
      </c>
      <c r="Z387" s="207" t="str">
        <f t="shared" ca="1" si="64"/>
        <v/>
      </c>
      <c r="AA387" s="209" t="str">
        <f t="shared" si="62"/>
        <v/>
      </c>
      <c r="AB387" s="209"/>
      <c r="AC387" s="207" t="str">
        <f t="shared" ca="1" si="61"/>
        <v/>
      </c>
      <c r="AD387" s="207"/>
      <c r="AE387" s="207"/>
      <c r="AF387" s="208" t="str">
        <f>IF(ISBLANK(D387),"",VLOOKUP(F387,'SIZE CALCULATION'!$F:$G,2,0))</f>
        <v/>
      </c>
      <c r="AG387" s="207" t="str">
        <f t="shared" si="66"/>
        <v/>
      </c>
      <c r="AH387" s="207" t="str">
        <f t="shared" si="57"/>
        <v/>
      </c>
      <c r="AI387" s="210" t="str">
        <f>IF(ISBLANK(D387),"",VLOOKUP($A387,INDEX!$D$2:$F$13,3,0))</f>
        <v/>
      </c>
      <c r="AJ387" s="207" t="str">
        <f t="shared" si="58"/>
        <v/>
      </c>
      <c r="AK387" s="207"/>
      <c r="AL387" s="207"/>
      <c r="AM387" s="207" t="str">
        <f>IFERROR(IF(ISBLANK($D387),"",VLOOKUP($N387,'TABLE CHARGE RATE'!$A$30:$K$106,5,0)),"Check")</f>
        <v/>
      </c>
      <c r="AN387" s="207" t="str">
        <f>IFERROR(IF(ISBLANK($D387),"",VLOOKUP($N387,'TABLE CHARGE RATE'!$A$30:$K$106,6,0)),"Check")</f>
        <v/>
      </c>
      <c r="AO387" s="207" t="str">
        <f>IFERROR(IF(ISBLANK($D387),"",VLOOKUP($N387,'TABLE CHARGE RATE'!$A$30:$K$106,7,0)),"Check")</f>
        <v/>
      </c>
      <c r="AP387" s="207" t="str">
        <f>IFERROR(IF(ISBLANK($D387),"",VLOOKUP($N387,'TABLE CHARGE RATE'!$A$30:$K$106,8,0)),"Check")</f>
        <v/>
      </c>
      <c r="AQ387" s="207" t="str">
        <f>IFERROR(IF(ISBLANK($D387),"",VLOOKUP($N387,'TABLE CHARGE RATE'!$A$30:$K$106,9,0)),"Check")</f>
        <v/>
      </c>
      <c r="AR387" s="207" t="str">
        <f>IFERROR(IF(ISBLANK($D387),"",VLOOKUP($N387,'TABLE CHARGE RATE'!$A$30:$K$106,10,0)),"Check")</f>
        <v/>
      </c>
      <c r="AS387" s="207" t="str">
        <f>IFERROR(IF(ISBLANK($D387),"",VLOOKUP($N387,'TABLE CHARGE RATE'!$A$30:$K$106,11,0)),"Check")</f>
        <v/>
      </c>
      <c r="AT387" s="207"/>
    </row>
    <row r="388" spans="1:46" x14ac:dyDescent="0.2">
      <c r="A388" s="207" t="str">
        <f t="shared" si="65"/>
        <v/>
      </c>
      <c r="B388" s="208" t="str">
        <f>IF(ISBLANK(D388),"",VLOOKUP(WEEKDAY($C388,1),INDEX!$J$2:$K$8,2,0))</f>
        <v/>
      </c>
      <c r="C388" s="209"/>
      <c r="D388" s="207"/>
      <c r="E388" s="207"/>
      <c r="F388" s="207"/>
      <c r="G388" s="207"/>
      <c r="H388" s="207"/>
      <c r="I388" s="207"/>
      <c r="J388" s="207"/>
      <c r="K388" s="207"/>
      <c r="L388" s="207"/>
      <c r="M388" s="207"/>
      <c r="N388" s="207"/>
      <c r="O388" s="207"/>
      <c r="P388" s="207"/>
      <c r="Q388" s="207"/>
      <c r="R388" s="207"/>
      <c r="S388" s="207"/>
      <c r="T388" s="207"/>
      <c r="U388" s="209"/>
      <c r="V388" s="207"/>
      <c r="W388" s="207"/>
      <c r="X388" s="209">
        <f t="shared" si="67"/>
        <v>0</v>
      </c>
      <c r="Y388" s="209">
        <f t="shared" si="68"/>
        <v>0</v>
      </c>
      <c r="Z388" s="207" t="str">
        <f t="shared" ca="1" si="64"/>
        <v/>
      </c>
      <c r="AA388" s="209" t="str">
        <f t="shared" si="62"/>
        <v/>
      </c>
      <c r="AB388" s="209"/>
      <c r="AC388" s="207" t="str">
        <f t="shared" ca="1" si="61"/>
        <v/>
      </c>
      <c r="AD388" s="207"/>
      <c r="AE388" s="207"/>
      <c r="AF388" s="208" t="str">
        <f>IF(ISBLANK(D388),"",VLOOKUP(F388,'SIZE CALCULATION'!$F:$G,2,0))</f>
        <v/>
      </c>
      <c r="AG388" s="207" t="str">
        <f t="shared" si="66"/>
        <v/>
      </c>
      <c r="AH388" s="207" t="str">
        <f t="shared" si="57"/>
        <v/>
      </c>
      <c r="AI388" s="210" t="str">
        <f>IF(ISBLANK(D388),"",VLOOKUP($A388,INDEX!$D$2:$F$13,3,0))</f>
        <v/>
      </c>
      <c r="AJ388" s="207" t="str">
        <f t="shared" si="58"/>
        <v/>
      </c>
      <c r="AK388" s="207"/>
      <c r="AL388" s="207"/>
      <c r="AM388" s="207" t="str">
        <f>IFERROR(IF(ISBLANK($D388),"",VLOOKUP($N388,'TABLE CHARGE RATE'!$A$30:$K$106,5,0)),"Check")</f>
        <v/>
      </c>
      <c r="AN388" s="207" t="str">
        <f>IFERROR(IF(ISBLANK($D388),"",VLOOKUP($N388,'TABLE CHARGE RATE'!$A$30:$K$106,6,0)),"Check")</f>
        <v/>
      </c>
      <c r="AO388" s="207" t="str">
        <f>IFERROR(IF(ISBLANK($D388),"",VLOOKUP($N388,'TABLE CHARGE RATE'!$A$30:$K$106,7,0)),"Check")</f>
        <v/>
      </c>
      <c r="AP388" s="207" t="str">
        <f>IFERROR(IF(ISBLANK($D388),"",VLOOKUP($N388,'TABLE CHARGE RATE'!$A$30:$K$106,8,0)),"Check")</f>
        <v/>
      </c>
      <c r="AQ388" s="207" t="str">
        <f>IFERROR(IF(ISBLANK($D388),"",VLOOKUP($N388,'TABLE CHARGE RATE'!$A$30:$K$106,9,0)),"Check")</f>
        <v/>
      </c>
      <c r="AR388" s="207" t="str">
        <f>IFERROR(IF(ISBLANK($D388),"",VLOOKUP($N388,'TABLE CHARGE RATE'!$A$30:$K$106,10,0)),"Check")</f>
        <v/>
      </c>
      <c r="AS388" s="207" t="str">
        <f>IFERROR(IF(ISBLANK($D388),"",VLOOKUP($N388,'TABLE CHARGE RATE'!$A$30:$K$106,11,0)),"Check")</f>
        <v/>
      </c>
      <c r="AT388" s="207"/>
    </row>
    <row r="389" spans="1:46" x14ac:dyDescent="0.2">
      <c r="A389" s="207" t="str">
        <f t="shared" si="65"/>
        <v/>
      </c>
      <c r="B389" s="208" t="str">
        <f>IF(ISBLANK(D389),"",VLOOKUP(WEEKDAY($C389,1),INDEX!$J$2:$K$8,2,0))</f>
        <v/>
      </c>
      <c r="C389" s="209"/>
      <c r="D389" s="207"/>
      <c r="E389" s="207"/>
      <c r="F389" s="207"/>
      <c r="G389" s="207"/>
      <c r="H389" s="207"/>
      <c r="I389" s="207"/>
      <c r="J389" s="207"/>
      <c r="K389" s="207"/>
      <c r="L389" s="207"/>
      <c r="M389" s="207"/>
      <c r="N389" s="207"/>
      <c r="O389" s="207"/>
      <c r="P389" s="207"/>
      <c r="Q389" s="207"/>
      <c r="R389" s="207"/>
      <c r="S389" s="207"/>
      <c r="T389" s="207"/>
      <c r="U389" s="209"/>
      <c r="V389" s="207"/>
      <c r="W389" s="207"/>
      <c r="X389" s="209">
        <f t="shared" si="67"/>
        <v>0</v>
      </c>
      <c r="Y389" s="209">
        <f t="shared" si="68"/>
        <v>0</v>
      </c>
      <c r="Z389" s="207" t="str">
        <f t="shared" ref="Z389:Z452" ca="1" si="69">IF(ISBLANK(D389),"",IFERROR(IF(ISBLANK($AK389),IF(X389&gt;=TODAY(),"Delivery",IF(Y389-X389=0,1,0)),$AK389),""))</f>
        <v/>
      </c>
      <c r="AA389" s="209" t="str">
        <f t="shared" si="62"/>
        <v/>
      </c>
      <c r="AB389" s="209"/>
      <c r="AC389" s="207" t="str">
        <f t="shared" ref="AC389:AC452" ca="1" si="70">IF(ISBLANK(D389),"",IFERROR(IF(ISBLANK($AL389),IF(AA389&gt;=TODAY(),"Collecting",IF(AB389-AA389=0,1,0)),$AL389),""))</f>
        <v/>
      </c>
      <c r="AD389" s="207"/>
      <c r="AE389" s="207"/>
      <c r="AF389" s="208" t="str">
        <f>IF(ISBLANK(D389),"",VLOOKUP(F389,'SIZE CALCULATION'!$F:$G,2,0))</f>
        <v/>
      </c>
      <c r="AG389" s="207" t="str">
        <f t="shared" si="66"/>
        <v/>
      </c>
      <c r="AH389" s="207" t="str">
        <f t="shared" ref="AH389:AH452" si="71">IF(ISBLANK(D389),"",IFERROR(AG389*G389,0))</f>
        <v/>
      </c>
      <c r="AI389" s="210" t="str">
        <f>IF(ISBLANK(D389),"",VLOOKUP($A389,INDEX!$D$2:$F$13,3,0))</f>
        <v/>
      </c>
      <c r="AJ389" s="207" t="str">
        <f t="shared" ref="AJ389:AJ452" si="72">IF(ISBLANK(D389),"",AH389+(AH389*AI389))</f>
        <v/>
      </c>
      <c r="AK389" s="207"/>
      <c r="AL389" s="207"/>
      <c r="AM389" s="207" t="str">
        <f>IFERROR(IF(ISBLANK($D389),"",VLOOKUP($N389,'TABLE CHARGE RATE'!$A$30:$K$106,5,0)),"Check")</f>
        <v/>
      </c>
      <c r="AN389" s="207" t="str">
        <f>IFERROR(IF(ISBLANK($D389),"",VLOOKUP($N389,'TABLE CHARGE RATE'!$A$30:$K$106,6,0)),"Check")</f>
        <v/>
      </c>
      <c r="AO389" s="207" t="str">
        <f>IFERROR(IF(ISBLANK($D389),"",VLOOKUP($N389,'TABLE CHARGE RATE'!$A$30:$K$106,7,0)),"Check")</f>
        <v/>
      </c>
      <c r="AP389" s="207" t="str">
        <f>IFERROR(IF(ISBLANK($D389),"",VLOOKUP($N389,'TABLE CHARGE RATE'!$A$30:$K$106,8,0)),"Check")</f>
        <v/>
      </c>
      <c r="AQ389" s="207" t="str">
        <f>IFERROR(IF(ISBLANK($D389),"",VLOOKUP($N389,'TABLE CHARGE RATE'!$A$30:$K$106,9,0)),"Check")</f>
        <v/>
      </c>
      <c r="AR389" s="207" t="str">
        <f>IFERROR(IF(ISBLANK($D389),"",VLOOKUP($N389,'TABLE CHARGE RATE'!$A$30:$K$106,10,0)),"Check")</f>
        <v/>
      </c>
      <c r="AS389" s="207" t="str">
        <f>IFERROR(IF(ISBLANK($D389),"",VLOOKUP($N389,'TABLE CHARGE RATE'!$A$30:$K$106,11,0)),"Check")</f>
        <v/>
      </c>
      <c r="AT389" s="207"/>
    </row>
    <row r="390" spans="1:46" x14ac:dyDescent="0.2">
      <c r="A390" s="207" t="str">
        <f t="shared" si="65"/>
        <v/>
      </c>
      <c r="B390" s="208" t="str">
        <f>IF(ISBLANK(D390),"",VLOOKUP(WEEKDAY($C390,1),INDEX!$J$2:$K$8,2,0))</f>
        <v/>
      </c>
      <c r="C390" s="209"/>
      <c r="D390" s="207"/>
      <c r="E390" s="207"/>
      <c r="F390" s="207"/>
      <c r="G390" s="207"/>
      <c r="H390" s="207"/>
      <c r="I390" s="207"/>
      <c r="J390" s="207"/>
      <c r="K390" s="207"/>
      <c r="L390" s="207"/>
      <c r="M390" s="207"/>
      <c r="N390" s="207"/>
      <c r="O390" s="207"/>
      <c r="P390" s="207"/>
      <c r="Q390" s="207"/>
      <c r="R390" s="207"/>
      <c r="S390" s="207"/>
      <c r="T390" s="207"/>
      <c r="U390" s="209"/>
      <c r="V390" s="207"/>
      <c r="W390" s="207"/>
      <c r="X390" s="209">
        <f t="shared" si="67"/>
        <v>0</v>
      </c>
      <c r="Y390" s="209">
        <f t="shared" si="68"/>
        <v>0</v>
      </c>
      <c r="Z390" s="207" t="str">
        <f t="shared" ca="1" si="69"/>
        <v/>
      </c>
      <c r="AA390" s="209" t="str">
        <f t="shared" si="62"/>
        <v/>
      </c>
      <c r="AB390" s="209"/>
      <c r="AC390" s="207" t="str">
        <f t="shared" ca="1" si="70"/>
        <v/>
      </c>
      <c r="AD390" s="207"/>
      <c r="AE390" s="207"/>
      <c r="AF390" s="208" t="str">
        <f>IF(ISBLANK(D390),"",VLOOKUP(F390,'SIZE CALCULATION'!$F:$G,2,0))</f>
        <v/>
      </c>
      <c r="AG390" s="207" t="str">
        <f t="shared" si="66"/>
        <v/>
      </c>
      <c r="AH390" s="207" t="str">
        <f t="shared" si="71"/>
        <v/>
      </c>
      <c r="AI390" s="210" t="str">
        <f>IF(ISBLANK(D390),"",VLOOKUP($A390,INDEX!$D$2:$F$13,3,0))</f>
        <v/>
      </c>
      <c r="AJ390" s="207" t="str">
        <f t="shared" si="72"/>
        <v/>
      </c>
      <c r="AK390" s="207"/>
      <c r="AL390" s="207"/>
      <c r="AM390" s="207" t="str">
        <f>IFERROR(IF(ISBLANK($D390),"",VLOOKUP($N390,'TABLE CHARGE RATE'!$A$30:$K$106,5,0)),"Check")</f>
        <v/>
      </c>
      <c r="AN390" s="207" t="str">
        <f>IFERROR(IF(ISBLANK($D390),"",VLOOKUP($N390,'TABLE CHARGE RATE'!$A$30:$K$106,6,0)),"Check")</f>
        <v/>
      </c>
      <c r="AO390" s="207" t="str">
        <f>IFERROR(IF(ISBLANK($D390),"",VLOOKUP($N390,'TABLE CHARGE RATE'!$A$30:$K$106,7,0)),"Check")</f>
        <v/>
      </c>
      <c r="AP390" s="207" t="str">
        <f>IFERROR(IF(ISBLANK($D390),"",VLOOKUP($N390,'TABLE CHARGE RATE'!$A$30:$K$106,8,0)),"Check")</f>
        <v/>
      </c>
      <c r="AQ390" s="207" t="str">
        <f>IFERROR(IF(ISBLANK($D390),"",VLOOKUP($N390,'TABLE CHARGE RATE'!$A$30:$K$106,9,0)),"Check")</f>
        <v/>
      </c>
      <c r="AR390" s="207" t="str">
        <f>IFERROR(IF(ISBLANK($D390),"",VLOOKUP($N390,'TABLE CHARGE RATE'!$A$30:$K$106,10,0)),"Check")</f>
        <v/>
      </c>
      <c r="AS390" s="207" t="str">
        <f>IFERROR(IF(ISBLANK($D390),"",VLOOKUP($N390,'TABLE CHARGE RATE'!$A$30:$K$106,11,0)),"Check")</f>
        <v/>
      </c>
      <c r="AT390" s="207"/>
    </row>
    <row r="391" spans="1:46" x14ac:dyDescent="0.2">
      <c r="A391" s="207" t="str">
        <f t="shared" si="65"/>
        <v/>
      </c>
      <c r="B391" s="208" t="str">
        <f>IF(ISBLANK(D391),"",VLOOKUP(WEEKDAY($C391,1),INDEX!$J$2:$K$8,2,0))</f>
        <v/>
      </c>
      <c r="C391" s="209"/>
      <c r="D391" s="207"/>
      <c r="E391" s="207"/>
      <c r="F391" s="207"/>
      <c r="G391" s="207"/>
      <c r="H391" s="207"/>
      <c r="I391" s="207"/>
      <c r="J391" s="207"/>
      <c r="K391" s="207"/>
      <c r="L391" s="207"/>
      <c r="M391" s="207"/>
      <c r="N391" s="207"/>
      <c r="O391" s="207"/>
      <c r="P391" s="207"/>
      <c r="Q391" s="207"/>
      <c r="R391" s="207"/>
      <c r="S391" s="207"/>
      <c r="T391" s="207"/>
      <c r="U391" s="209"/>
      <c r="V391" s="207"/>
      <c r="W391" s="207"/>
      <c r="X391" s="209">
        <f t="shared" si="67"/>
        <v>0</v>
      </c>
      <c r="Y391" s="209">
        <f t="shared" si="68"/>
        <v>0</v>
      </c>
      <c r="Z391" s="207" t="str">
        <f t="shared" ca="1" si="69"/>
        <v/>
      </c>
      <c r="AA391" s="209" t="str">
        <f t="shared" si="62"/>
        <v/>
      </c>
      <c r="AB391" s="209"/>
      <c r="AC391" s="207" t="str">
        <f t="shared" ca="1" si="70"/>
        <v/>
      </c>
      <c r="AD391" s="207"/>
      <c r="AE391" s="207"/>
      <c r="AF391" s="208" t="str">
        <f>IF(ISBLANK(D391),"",VLOOKUP(F391,'SIZE CALCULATION'!$F:$G,2,0))</f>
        <v/>
      </c>
      <c r="AG391" s="207" t="str">
        <f t="shared" si="66"/>
        <v/>
      </c>
      <c r="AH391" s="207" t="str">
        <f t="shared" si="71"/>
        <v/>
      </c>
      <c r="AI391" s="210" t="str">
        <f>IF(ISBLANK(D391),"",VLOOKUP($A391,INDEX!$D$2:$F$13,3,0))</f>
        <v/>
      </c>
      <c r="AJ391" s="207" t="str">
        <f t="shared" si="72"/>
        <v/>
      </c>
      <c r="AK391" s="207"/>
      <c r="AL391" s="207"/>
      <c r="AM391" s="207" t="str">
        <f>IFERROR(IF(ISBLANK($D391),"",VLOOKUP($N391,'TABLE CHARGE RATE'!$A$30:$K$106,5,0)),"Check")</f>
        <v/>
      </c>
      <c r="AN391" s="207" t="str">
        <f>IFERROR(IF(ISBLANK($D391),"",VLOOKUP($N391,'TABLE CHARGE RATE'!$A$30:$K$106,6,0)),"Check")</f>
        <v/>
      </c>
      <c r="AO391" s="207" t="str">
        <f>IFERROR(IF(ISBLANK($D391),"",VLOOKUP($N391,'TABLE CHARGE RATE'!$A$30:$K$106,7,0)),"Check")</f>
        <v/>
      </c>
      <c r="AP391" s="207" t="str">
        <f>IFERROR(IF(ISBLANK($D391),"",VLOOKUP($N391,'TABLE CHARGE RATE'!$A$30:$K$106,8,0)),"Check")</f>
        <v/>
      </c>
      <c r="AQ391" s="207" t="str">
        <f>IFERROR(IF(ISBLANK($D391),"",VLOOKUP($N391,'TABLE CHARGE RATE'!$A$30:$K$106,9,0)),"Check")</f>
        <v/>
      </c>
      <c r="AR391" s="207" t="str">
        <f>IFERROR(IF(ISBLANK($D391),"",VLOOKUP($N391,'TABLE CHARGE RATE'!$A$30:$K$106,10,0)),"Check")</f>
        <v/>
      </c>
      <c r="AS391" s="207" t="str">
        <f>IFERROR(IF(ISBLANK($D391),"",VLOOKUP($N391,'TABLE CHARGE RATE'!$A$30:$K$106,11,0)),"Check")</f>
        <v/>
      </c>
      <c r="AT391" s="207"/>
    </row>
    <row r="392" spans="1:46" x14ac:dyDescent="0.2">
      <c r="A392" s="207" t="str">
        <f t="shared" si="65"/>
        <v/>
      </c>
      <c r="B392" s="208" t="str">
        <f>IF(ISBLANK(D392),"",VLOOKUP(WEEKDAY($C392,1),INDEX!$J$2:$K$8,2,0))</f>
        <v/>
      </c>
      <c r="C392" s="209"/>
      <c r="D392" s="207"/>
      <c r="E392" s="207"/>
      <c r="F392" s="207"/>
      <c r="G392" s="207"/>
      <c r="H392" s="207"/>
      <c r="I392" s="207"/>
      <c r="J392" s="207"/>
      <c r="K392" s="207"/>
      <c r="L392" s="207"/>
      <c r="M392" s="207"/>
      <c r="N392" s="207"/>
      <c r="O392" s="207"/>
      <c r="P392" s="207"/>
      <c r="Q392" s="207"/>
      <c r="R392" s="207"/>
      <c r="S392" s="207"/>
      <c r="T392" s="207"/>
      <c r="U392" s="209"/>
      <c r="V392" s="207"/>
      <c r="W392" s="207"/>
      <c r="X392" s="209">
        <f t="shared" si="67"/>
        <v>0</v>
      </c>
      <c r="Y392" s="209">
        <f t="shared" si="68"/>
        <v>0</v>
      </c>
      <c r="Z392" s="207" t="str">
        <f t="shared" ca="1" si="69"/>
        <v/>
      </c>
      <c r="AA392" s="209" t="str">
        <f t="shared" si="62"/>
        <v/>
      </c>
      <c r="AB392" s="209"/>
      <c r="AC392" s="207" t="str">
        <f t="shared" ca="1" si="70"/>
        <v/>
      </c>
      <c r="AD392" s="207"/>
      <c r="AE392" s="207"/>
      <c r="AF392" s="208" t="str">
        <f>IF(ISBLANK(D392),"",VLOOKUP(F392,'SIZE CALCULATION'!$F:$G,2,0))</f>
        <v/>
      </c>
      <c r="AG392" s="207" t="str">
        <f t="shared" si="66"/>
        <v/>
      </c>
      <c r="AH392" s="207" t="str">
        <f t="shared" si="71"/>
        <v/>
      </c>
      <c r="AI392" s="210" t="str">
        <f>IF(ISBLANK(D392),"",VLOOKUP($A392,INDEX!$D$2:$F$13,3,0))</f>
        <v/>
      </c>
      <c r="AJ392" s="207" t="str">
        <f t="shared" si="72"/>
        <v/>
      </c>
      <c r="AK392" s="207"/>
      <c r="AL392" s="207"/>
      <c r="AM392" s="207" t="str">
        <f>IFERROR(IF(ISBLANK($D392),"",VLOOKUP($N392,'TABLE CHARGE RATE'!$A$30:$K$106,5,0)),"Check")</f>
        <v/>
      </c>
      <c r="AN392" s="207" t="str">
        <f>IFERROR(IF(ISBLANK($D392),"",VLOOKUP($N392,'TABLE CHARGE RATE'!$A$30:$K$106,6,0)),"Check")</f>
        <v/>
      </c>
      <c r="AO392" s="207" t="str">
        <f>IFERROR(IF(ISBLANK($D392),"",VLOOKUP($N392,'TABLE CHARGE RATE'!$A$30:$K$106,7,0)),"Check")</f>
        <v/>
      </c>
      <c r="AP392" s="207" t="str">
        <f>IFERROR(IF(ISBLANK($D392),"",VLOOKUP($N392,'TABLE CHARGE RATE'!$A$30:$K$106,8,0)),"Check")</f>
        <v/>
      </c>
      <c r="AQ392" s="207" t="str">
        <f>IFERROR(IF(ISBLANK($D392),"",VLOOKUP($N392,'TABLE CHARGE RATE'!$A$30:$K$106,9,0)),"Check")</f>
        <v/>
      </c>
      <c r="AR392" s="207" t="str">
        <f>IFERROR(IF(ISBLANK($D392),"",VLOOKUP($N392,'TABLE CHARGE RATE'!$A$30:$K$106,10,0)),"Check")</f>
        <v/>
      </c>
      <c r="AS392" s="207" t="str">
        <f>IFERROR(IF(ISBLANK($D392),"",VLOOKUP($N392,'TABLE CHARGE RATE'!$A$30:$K$106,11,0)),"Check")</f>
        <v/>
      </c>
      <c r="AT392" s="207"/>
    </row>
    <row r="393" spans="1:46" x14ac:dyDescent="0.2">
      <c r="A393" s="207" t="str">
        <f t="shared" si="65"/>
        <v/>
      </c>
      <c r="B393" s="208" t="str">
        <f>IF(ISBLANK(D393),"",VLOOKUP(WEEKDAY($C393,1),INDEX!$J$2:$K$8,2,0))</f>
        <v/>
      </c>
      <c r="C393" s="209"/>
      <c r="D393" s="207"/>
      <c r="E393" s="207"/>
      <c r="F393" s="207"/>
      <c r="G393" s="207"/>
      <c r="H393" s="207"/>
      <c r="I393" s="207"/>
      <c r="J393" s="207"/>
      <c r="K393" s="207"/>
      <c r="L393" s="207"/>
      <c r="M393" s="207"/>
      <c r="N393" s="207"/>
      <c r="O393" s="207"/>
      <c r="P393" s="207"/>
      <c r="Q393" s="207"/>
      <c r="R393" s="207"/>
      <c r="S393" s="207"/>
      <c r="T393" s="207"/>
      <c r="U393" s="209"/>
      <c r="V393" s="207"/>
      <c r="W393" s="207"/>
      <c r="X393" s="209">
        <f t="shared" si="67"/>
        <v>0</v>
      </c>
      <c r="Y393" s="209">
        <f t="shared" si="68"/>
        <v>0</v>
      </c>
      <c r="Z393" s="207" t="str">
        <f t="shared" ca="1" si="69"/>
        <v/>
      </c>
      <c r="AA393" s="209" t="str">
        <f t="shared" si="62"/>
        <v/>
      </c>
      <c r="AB393" s="209"/>
      <c r="AC393" s="207" t="str">
        <f t="shared" ca="1" si="70"/>
        <v/>
      </c>
      <c r="AD393" s="207"/>
      <c r="AE393" s="207"/>
      <c r="AF393" s="208" t="str">
        <f>IF(ISBLANK(D393),"",VLOOKUP(F393,'SIZE CALCULATION'!$F:$G,2,0))</f>
        <v/>
      </c>
      <c r="AG393" s="207" t="str">
        <f t="shared" si="66"/>
        <v/>
      </c>
      <c r="AH393" s="207" t="str">
        <f t="shared" si="71"/>
        <v/>
      </c>
      <c r="AI393" s="210" t="str">
        <f>IF(ISBLANK(D393),"",VLOOKUP($A393,INDEX!$D$2:$F$13,3,0))</f>
        <v/>
      </c>
      <c r="AJ393" s="207" t="str">
        <f t="shared" si="72"/>
        <v/>
      </c>
      <c r="AK393" s="207"/>
      <c r="AL393" s="207"/>
      <c r="AM393" s="207" t="str">
        <f>IFERROR(IF(ISBLANK($D393),"",VLOOKUP($N393,'TABLE CHARGE RATE'!$A$30:$K$106,5,0)),"Check")</f>
        <v/>
      </c>
      <c r="AN393" s="207" t="str">
        <f>IFERROR(IF(ISBLANK($D393),"",VLOOKUP($N393,'TABLE CHARGE RATE'!$A$30:$K$106,6,0)),"Check")</f>
        <v/>
      </c>
      <c r="AO393" s="207" t="str">
        <f>IFERROR(IF(ISBLANK($D393),"",VLOOKUP($N393,'TABLE CHARGE RATE'!$A$30:$K$106,7,0)),"Check")</f>
        <v/>
      </c>
      <c r="AP393" s="207" t="str">
        <f>IFERROR(IF(ISBLANK($D393),"",VLOOKUP($N393,'TABLE CHARGE RATE'!$A$30:$K$106,8,0)),"Check")</f>
        <v/>
      </c>
      <c r="AQ393" s="207" t="str">
        <f>IFERROR(IF(ISBLANK($D393),"",VLOOKUP($N393,'TABLE CHARGE RATE'!$A$30:$K$106,9,0)),"Check")</f>
        <v/>
      </c>
      <c r="AR393" s="207" t="str">
        <f>IFERROR(IF(ISBLANK($D393),"",VLOOKUP($N393,'TABLE CHARGE RATE'!$A$30:$K$106,10,0)),"Check")</f>
        <v/>
      </c>
      <c r="AS393" s="207" t="str">
        <f>IFERROR(IF(ISBLANK($D393),"",VLOOKUP($N393,'TABLE CHARGE RATE'!$A$30:$K$106,11,0)),"Check")</f>
        <v/>
      </c>
      <c r="AT393" s="207"/>
    </row>
    <row r="394" spans="1:46" x14ac:dyDescent="0.2">
      <c r="A394" s="207" t="str">
        <f t="shared" si="65"/>
        <v/>
      </c>
      <c r="B394" s="208" t="str">
        <f>IF(ISBLANK(D394),"",VLOOKUP(WEEKDAY($C394,1),INDEX!$J$2:$K$8,2,0))</f>
        <v/>
      </c>
      <c r="C394" s="209"/>
      <c r="D394" s="207"/>
      <c r="E394" s="207"/>
      <c r="F394" s="207"/>
      <c r="G394" s="207"/>
      <c r="H394" s="207"/>
      <c r="I394" s="207"/>
      <c r="J394" s="207"/>
      <c r="K394" s="207"/>
      <c r="L394" s="207"/>
      <c r="M394" s="207"/>
      <c r="N394" s="207"/>
      <c r="O394" s="207"/>
      <c r="P394" s="207"/>
      <c r="Q394" s="207"/>
      <c r="R394" s="207"/>
      <c r="S394" s="207"/>
      <c r="T394" s="207"/>
      <c r="U394" s="209"/>
      <c r="V394" s="207"/>
      <c r="W394" s="207"/>
      <c r="X394" s="209">
        <f t="shared" si="67"/>
        <v>0</v>
      </c>
      <c r="Y394" s="209">
        <f t="shared" si="68"/>
        <v>0</v>
      </c>
      <c r="Z394" s="207" t="str">
        <f t="shared" ca="1" si="69"/>
        <v/>
      </c>
      <c r="AA394" s="209" t="str">
        <f t="shared" si="62"/>
        <v/>
      </c>
      <c r="AB394" s="209"/>
      <c r="AC394" s="207" t="str">
        <f t="shared" ca="1" si="70"/>
        <v/>
      </c>
      <c r="AD394" s="207"/>
      <c r="AE394" s="207"/>
      <c r="AF394" s="208" t="str">
        <f>IF(ISBLANK(D394),"",VLOOKUP(F394,'SIZE CALCULATION'!$F:$G,2,0))</f>
        <v/>
      </c>
      <c r="AG394" s="207" t="str">
        <f t="shared" si="66"/>
        <v/>
      </c>
      <c r="AH394" s="207" t="str">
        <f t="shared" si="71"/>
        <v/>
      </c>
      <c r="AI394" s="210" t="str">
        <f>IF(ISBLANK(D394),"",VLOOKUP($A394,INDEX!$D$2:$F$13,3,0))</f>
        <v/>
      </c>
      <c r="AJ394" s="207" t="str">
        <f t="shared" si="72"/>
        <v/>
      </c>
      <c r="AK394" s="207"/>
      <c r="AL394" s="207"/>
      <c r="AM394" s="207" t="str">
        <f>IFERROR(IF(ISBLANK($D394),"",VLOOKUP($N394,'TABLE CHARGE RATE'!$A$30:$K$106,5,0)),"Check")</f>
        <v/>
      </c>
      <c r="AN394" s="207" t="str">
        <f>IFERROR(IF(ISBLANK($D394),"",VLOOKUP($N394,'TABLE CHARGE RATE'!$A$30:$K$106,6,0)),"Check")</f>
        <v/>
      </c>
      <c r="AO394" s="207" t="str">
        <f>IFERROR(IF(ISBLANK($D394),"",VLOOKUP($N394,'TABLE CHARGE RATE'!$A$30:$K$106,7,0)),"Check")</f>
        <v/>
      </c>
      <c r="AP394" s="207" t="str">
        <f>IFERROR(IF(ISBLANK($D394),"",VLOOKUP($N394,'TABLE CHARGE RATE'!$A$30:$K$106,8,0)),"Check")</f>
        <v/>
      </c>
      <c r="AQ394" s="207" t="str">
        <f>IFERROR(IF(ISBLANK($D394),"",VLOOKUP($N394,'TABLE CHARGE RATE'!$A$30:$K$106,9,0)),"Check")</f>
        <v/>
      </c>
      <c r="AR394" s="207" t="str">
        <f>IFERROR(IF(ISBLANK($D394),"",VLOOKUP($N394,'TABLE CHARGE RATE'!$A$30:$K$106,10,0)),"Check")</f>
        <v/>
      </c>
      <c r="AS394" s="207" t="str">
        <f>IFERROR(IF(ISBLANK($D394),"",VLOOKUP($N394,'TABLE CHARGE RATE'!$A$30:$K$106,11,0)),"Check")</f>
        <v/>
      </c>
      <c r="AT394" s="207"/>
    </row>
    <row r="395" spans="1:46" x14ac:dyDescent="0.2">
      <c r="A395" s="207" t="str">
        <f t="shared" si="65"/>
        <v/>
      </c>
      <c r="B395" s="208" t="str">
        <f>IF(ISBLANK(D395),"",VLOOKUP(WEEKDAY($C395,1),INDEX!$J$2:$K$8,2,0))</f>
        <v/>
      </c>
      <c r="C395" s="209"/>
      <c r="D395" s="207"/>
      <c r="E395" s="207"/>
      <c r="F395" s="207"/>
      <c r="G395" s="207"/>
      <c r="H395" s="207"/>
      <c r="I395" s="207"/>
      <c r="J395" s="207"/>
      <c r="K395" s="207"/>
      <c r="L395" s="207"/>
      <c r="M395" s="207"/>
      <c r="N395" s="207"/>
      <c r="O395" s="207"/>
      <c r="P395" s="207"/>
      <c r="Q395" s="207"/>
      <c r="R395" s="207"/>
      <c r="S395" s="207"/>
      <c r="T395" s="207"/>
      <c r="U395" s="209"/>
      <c r="V395" s="207"/>
      <c r="W395" s="207"/>
      <c r="X395" s="209">
        <f t="shared" si="67"/>
        <v>0</v>
      </c>
      <c r="Y395" s="209">
        <f t="shared" si="68"/>
        <v>0</v>
      </c>
      <c r="Z395" s="207" t="str">
        <f t="shared" ca="1" si="69"/>
        <v/>
      </c>
      <c r="AA395" s="209" t="str">
        <f t="shared" si="62"/>
        <v/>
      </c>
      <c r="AB395" s="209"/>
      <c r="AC395" s="207" t="str">
        <f t="shared" ca="1" si="70"/>
        <v/>
      </c>
      <c r="AD395" s="207"/>
      <c r="AE395" s="207"/>
      <c r="AF395" s="208" t="str">
        <f>IF(ISBLANK(D395),"",VLOOKUP(F395,'SIZE CALCULATION'!$F:$G,2,0))</f>
        <v/>
      </c>
      <c r="AG395" s="207" t="str">
        <f t="shared" si="66"/>
        <v/>
      </c>
      <c r="AH395" s="207" t="str">
        <f t="shared" si="71"/>
        <v/>
      </c>
      <c r="AI395" s="210" t="str">
        <f>IF(ISBLANK(D395),"",VLOOKUP($A395,INDEX!$D$2:$F$13,3,0))</f>
        <v/>
      </c>
      <c r="AJ395" s="207" t="str">
        <f t="shared" si="72"/>
        <v/>
      </c>
      <c r="AK395" s="207"/>
      <c r="AL395" s="207"/>
      <c r="AM395" s="207" t="str">
        <f>IFERROR(IF(ISBLANK($D395),"",VLOOKUP($N395,'TABLE CHARGE RATE'!$A$30:$K$106,5,0)),"Check")</f>
        <v/>
      </c>
      <c r="AN395" s="207" t="str">
        <f>IFERROR(IF(ISBLANK($D395),"",VLOOKUP($N395,'TABLE CHARGE RATE'!$A$30:$K$106,6,0)),"Check")</f>
        <v/>
      </c>
      <c r="AO395" s="207" t="str">
        <f>IFERROR(IF(ISBLANK($D395),"",VLOOKUP($N395,'TABLE CHARGE RATE'!$A$30:$K$106,7,0)),"Check")</f>
        <v/>
      </c>
      <c r="AP395" s="207" t="str">
        <f>IFERROR(IF(ISBLANK($D395),"",VLOOKUP($N395,'TABLE CHARGE RATE'!$A$30:$K$106,8,0)),"Check")</f>
        <v/>
      </c>
      <c r="AQ395" s="207" t="str">
        <f>IFERROR(IF(ISBLANK($D395),"",VLOOKUP($N395,'TABLE CHARGE RATE'!$A$30:$K$106,9,0)),"Check")</f>
        <v/>
      </c>
      <c r="AR395" s="207" t="str">
        <f>IFERROR(IF(ISBLANK($D395),"",VLOOKUP($N395,'TABLE CHARGE RATE'!$A$30:$K$106,10,0)),"Check")</f>
        <v/>
      </c>
      <c r="AS395" s="207" t="str">
        <f>IFERROR(IF(ISBLANK($D395),"",VLOOKUP($N395,'TABLE CHARGE RATE'!$A$30:$K$106,11,0)),"Check")</f>
        <v/>
      </c>
      <c r="AT395" s="207"/>
    </row>
    <row r="396" spans="1:46" x14ac:dyDescent="0.2">
      <c r="A396" s="207" t="str">
        <f t="shared" si="65"/>
        <v/>
      </c>
      <c r="B396" s="208" t="str">
        <f>IF(ISBLANK(D396),"",VLOOKUP(WEEKDAY($C396,1),INDEX!$J$2:$K$8,2,0))</f>
        <v/>
      </c>
      <c r="C396" s="209"/>
      <c r="D396" s="207"/>
      <c r="E396" s="207"/>
      <c r="F396" s="207"/>
      <c r="G396" s="207"/>
      <c r="H396" s="207"/>
      <c r="I396" s="207"/>
      <c r="J396" s="207"/>
      <c r="K396" s="207"/>
      <c r="L396" s="207"/>
      <c r="M396" s="207"/>
      <c r="N396" s="207"/>
      <c r="O396" s="207"/>
      <c r="P396" s="207"/>
      <c r="Q396" s="207"/>
      <c r="R396" s="207"/>
      <c r="S396" s="207"/>
      <c r="T396" s="207"/>
      <c r="U396" s="209"/>
      <c r="V396" s="207"/>
      <c r="W396" s="207"/>
      <c r="X396" s="209">
        <f t="shared" si="67"/>
        <v>0</v>
      </c>
      <c r="Y396" s="209">
        <f t="shared" si="68"/>
        <v>0</v>
      </c>
      <c r="Z396" s="207" t="str">
        <f t="shared" ca="1" si="69"/>
        <v/>
      </c>
      <c r="AA396" s="209" t="str">
        <f t="shared" si="62"/>
        <v/>
      </c>
      <c r="AB396" s="209"/>
      <c r="AC396" s="207" t="str">
        <f t="shared" ca="1" si="70"/>
        <v/>
      </c>
      <c r="AD396" s="207"/>
      <c r="AE396" s="207"/>
      <c r="AF396" s="208" t="str">
        <f>IF(ISBLANK(D396),"",VLOOKUP(F396,'SIZE CALCULATION'!$F:$G,2,0))</f>
        <v/>
      </c>
      <c r="AG396" s="207" t="str">
        <f t="shared" si="66"/>
        <v/>
      </c>
      <c r="AH396" s="207" t="str">
        <f t="shared" si="71"/>
        <v/>
      </c>
      <c r="AI396" s="210" t="str">
        <f>IF(ISBLANK(D396),"",VLOOKUP($A396,INDEX!$D$2:$F$13,3,0))</f>
        <v/>
      </c>
      <c r="AJ396" s="207" t="str">
        <f t="shared" si="72"/>
        <v/>
      </c>
      <c r="AK396" s="207"/>
      <c r="AL396" s="207"/>
      <c r="AM396" s="207" t="str">
        <f>IFERROR(IF(ISBLANK($D396),"",VLOOKUP($N396,'TABLE CHARGE RATE'!$A$30:$K$106,5,0)),"Check")</f>
        <v/>
      </c>
      <c r="AN396" s="207" t="str">
        <f>IFERROR(IF(ISBLANK($D396),"",VLOOKUP($N396,'TABLE CHARGE RATE'!$A$30:$K$106,6,0)),"Check")</f>
        <v/>
      </c>
      <c r="AO396" s="207" t="str">
        <f>IFERROR(IF(ISBLANK($D396),"",VLOOKUP($N396,'TABLE CHARGE RATE'!$A$30:$K$106,7,0)),"Check")</f>
        <v/>
      </c>
      <c r="AP396" s="207" t="str">
        <f>IFERROR(IF(ISBLANK($D396),"",VLOOKUP($N396,'TABLE CHARGE RATE'!$A$30:$K$106,8,0)),"Check")</f>
        <v/>
      </c>
      <c r="AQ396" s="207" t="str">
        <f>IFERROR(IF(ISBLANK($D396),"",VLOOKUP($N396,'TABLE CHARGE RATE'!$A$30:$K$106,9,0)),"Check")</f>
        <v/>
      </c>
      <c r="AR396" s="207" t="str">
        <f>IFERROR(IF(ISBLANK($D396),"",VLOOKUP($N396,'TABLE CHARGE RATE'!$A$30:$K$106,10,0)),"Check")</f>
        <v/>
      </c>
      <c r="AS396" s="207" t="str">
        <f>IFERROR(IF(ISBLANK($D396),"",VLOOKUP($N396,'TABLE CHARGE RATE'!$A$30:$K$106,11,0)),"Check")</f>
        <v/>
      </c>
      <c r="AT396" s="207"/>
    </row>
    <row r="397" spans="1:46" x14ac:dyDescent="0.2">
      <c r="A397" s="207" t="str">
        <f t="shared" si="65"/>
        <v/>
      </c>
      <c r="B397" s="208" t="str">
        <f>IF(ISBLANK(D397),"",VLOOKUP(WEEKDAY($C397,1),INDEX!$J$2:$K$8,2,0))</f>
        <v/>
      </c>
      <c r="C397" s="209"/>
      <c r="D397" s="207"/>
      <c r="E397" s="207"/>
      <c r="F397" s="207"/>
      <c r="G397" s="207"/>
      <c r="H397" s="207"/>
      <c r="I397" s="207"/>
      <c r="J397" s="207"/>
      <c r="K397" s="207"/>
      <c r="L397" s="207"/>
      <c r="M397" s="207"/>
      <c r="N397" s="207"/>
      <c r="O397" s="207"/>
      <c r="P397" s="207"/>
      <c r="Q397" s="207"/>
      <c r="R397" s="207"/>
      <c r="S397" s="207"/>
      <c r="T397" s="207"/>
      <c r="U397" s="209"/>
      <c r="V397" s="207"/>
      <c r="W397" s="207"/>
      <c r="X397" s="209">
        <f t="shared" si="67"/>
        <v>0</v>
      </c>
      <c r="Y397" s="209">
        <f t="shared" si="68"/>
        <v>0</v>
      </c>
      <c r="Z397" s="207" t="str">
        <f t="shared" ca="1" si="69"/>
        <v/>
      </c>
      <c r="AA397" s="209" t="str">
        <f t="shared" si="62"/>
        <v/>
      </c>
      <c r="AB397" s="209"/>
      <c r="AC397" s="207" t="str">
        <f t="shared" ca="1" si="70"/>
        <v/>
      </c>
      <c r="AD397" s="207"/>
      <c r="AE397" s="207"/>
      <c r="AF397" s="208" t="str">
        <f>IF(ISBLANK(D397),"",VLOOKUP(F397,'SIZE CALCULATION'!$F:$G,2,0))</f>
        <v/>
      </c>
      <c r="AG397" s="207" t="str">
        <f t="shared" si="66"/>
        <v/>
      </c>
      <c r="AH397" s="207" t="str">
        <f t="shared" si="71"/>
        <v/>
      </c>
      <c r="AI397" s="210" t="str">
        <f>IF(ISBLANK(D397),"",VLOOKUP($A397,INDEX!$D$2:$F$13,3,0))</f>
        <v/>
      </c>
      <c r="AJ397" s="207" t="str">
        <f t="shared" si="72"/>
        <v/>
      </c>
      <c r="AK397" s="207"/>
      <c r="AL397" s="207"/>
      <c r="AM397" s="207" t="str">
        <f>IFERROR(IF(ISBLANK($D397),"",VLOOKUP($N397,'TABLE CHARGE RATE'!$A$30:$K$106,5,0)),"Check")</f>
        <v/>
      </c>
      <c r="AN397" s="207" t="str">
        <f>IFERROR(IF(ISBLANK($D397),"",VLOOKUP($N397,'TABLE CHARGE RATE'!$A$30:$K$106,6,0)),"Check")</f>
        <v/>
      </c>
      <c r="AO397" s="207" t="str">
        <f>IFERROR(IF(ISBLANK($D397),"",VLOOKUP($N397,'TABLE CHARGE RATE'!$A$30:$K$106,7,0)),"Check")</f>
        <v/>
      </c>
      <c r="AP397" s="207" t="str">
        <f>IFERROR(IF(ISBLANK($D397),"",VLOOKUP($N397,'TABLE CHARGE RATE'!$A$30:$K$106,8,0)),"Check")</f>
        <v/>
      </c>
      <c r="AQ397" s="207" t="str">
        <f>IFERROR(IF(ISBLANK($D397),"",VLOOKUP($N397,'TABLE CHARGE RATE'!$A$30:$K$106,9,0)),"Check")</f>
        <v/>
      </c>
      <c r="AR397" s="207" t="str">
        <f>IFERROR(IF(ISBLANK($D397),"",VLOOKUP($N397,'TABLE CHARGE RATE'!$A$30:$K$106,10,0)),"Check")</f>
        <v/>
      </c>
      <c r="AS397" s="207" t="str">
        <f>IFERROR(IF(ISBLANK($D397),"",VLOOKUP($N397,'TABLE CHARGE RATE'!$A$30:$K$106,11,0)),"Check")</f>
        <v/>
      </c>
      <c r="AT397" s="207"/>
    </row>
    <row r="398" spans="1:46" x14ac:dyDescent="0.2">
      <c r="A398" s="207" t="str">
        <f t="shared" si="65"/>
        <v/>
      </c>
      <c r="B398" s="208" t="str">
        <f>IF(ISBLANK(D398),"",VLOOKUP(WEEKDAY($C398,1),INDEX!$J$2:$K$8,2,0))</f>
        <v/>
      </c>
      <c r="C398" s="209"/>
      <c r="D398" s="207"/>
      <c r="E398" s="207"/>
      <c r="F398" s="207"/>
      <c r="G398" s="207"/>
      <c r="H398" s="207"/>
      <c r="I398" s="207"/>
      <c r="J398" s="207"/>
      <c r="K398" s="207"/>
      <c r="L398" s="207"/>
      <c r="M398" s="207"/>
      <c r="N398" s="207"/>
      <c r="O398" s="207"/>
      <c r="P398" s="207"/>
      <c r="Q398" s="207"/>
      <c r="R398" s="207"/>
      <c r="S398" s="207"/>
      <c r="T398" s="207"/>
      <c r="U398" s="209"/>
      <c r="V398" s="207"/>
      <c r="W398" s="207"/>
      <c r="X398" s="209">
        <f t="shared" si="67"/>
        <v>0</v>
      </c>
      <c r="Y398" s="209">
        <f t="shared" si="68"/>
        <v>0</v>
      </c>
      <c r="Z398" s="207" t="str">
        <f t="shared" ca="1" si="69"/>
        <v/>
      </c>
      <c r="AA398" s="209" t="str">
        <f t="shared" si="62"/>
        <v/>
      </c>
      <c r="AB398" s="209"/>
      <c r="AC398" s="207" t="str">
        <f t="shared" ca="1" si="70"/>
        <v/>
      </c>
      <c r="AD398" s="207"/>
      <c r="AE398" s="207"/>
      <c r="AF398" s="208" t="str">
        <f>IF(ISBLANK(D398),"",VLOOKUP(F398,'SIZE CALCULATION'!$F:$G,2,0))</f>
        <v/>
      </c>
      <c r="AG398" s="207" t="str">
        <f t="shared" si="66"/>
        <v/>
      </c>
      <c r="AH398" s="207" t="str">
        <f t="shared" si="71"/>
        <v/>
      </c>
      <c r="AI398" s="210" t="str">
        <f>IF(ISBLANK(D398),"",VLOOKUP($A398,INDEX!$D$2:$F$13,3,0))</f>
        <v/>
      </c>
      <c r="AJ398" s="207" t="str">
        <f t="shared" si="72"/>
        <v/>
      </c>
      <c r="AK398" s="207"/>
      <c r="AL398" s="207"/>
      <c r="AM398" s="207" t="str">
        <f>IFERROR(IF(ISBLANK($D398),"",VLOOKUP($N398,'TABLE CHARGE RATE'!$A$30:$K$106,5,0)),"Check")</f>
        <v/>
      </c>
      <c r="AN398" s="207" t="str">
        <f>IFERROR(IF(ISBLANK($D398),"",VLOOKUP($N398,'TABLE CHARGE RATE'!$A$30:$K$106,6,0)),"Check")</f>
        <v/>
      </c>
      <c r="AO398" s="207" t="str">
        <f>IFERROR(IF(ISBLANK($D398),"",VLOOKUP($N398,'TABLE CHARGE RATE'!$A$30:$K$106,7,0)),"Check")</f>
        <v/>
      </c>
      <c r="AP398" s="207" t="str">
        <f>IFERROR(IF(ISBLANK($D398),"",VLOOKUP($N398,'TABLE CHARGE RATE'!$A$30:$K$106,8,0)),"Check")</f>
        <v/>
      </c>
      <c r="AQ398" s="207" t="str">
        <f>IFERROR(IF(ISBLANK($D398),"",VLOOKUP($N398,'TABLE CHARGE RATE'!$A$30:$K$106,9,0)),"Check")</f>
        <v/>
      </c>
      <c r="AR398" s="207" t="str">
        <f>IFERROR(IF(ISBLANK($D398),"",VLOOKUP($N398,'TABLE CHARGE RATE'!$A$30:$K$106,10,0)),"Check")</f>
        <v/>
      </c>
      <c r="AS398" s="207" t="str">
        <f>IFERROR(IF(ISBLANK($D398),"",VLOOKUP($N398,'TABLE CHARGE RATE'!$A$30:$K$106,11,0)),"Check")</f>
        <v/>
      </c>
      <c r="AT398" s="207"/>
    </row>
    <row r="399" spans="1:46" x14ac:dyDescent="0.2">
      <c r="A399" s="207" t="str">
        <f t="shared" si="65"/>
        <v/>
      </c>
      <c r="B399" s="208" t="str">
        <f>IF(ISBLANK(D399),"",VLOOKUP(WEEKDAY($C399,1),INDEX!$J$2:$K$8,2,0))</f>
        <v/>
      </c>
      <c r="C399" s="209"/>
      <c r="D399" s="207"/>
      <c r="E399" s="207"/>
      <c r="F399" s="207"/>
      <c r="G399" s="207"/>
      <c r="H399" s="207"/>
      <c r="I399" s="207"/>
      <c r="J399" s="207"/>
      <c r="K399" s="207"/>
      <c r="L399" s="207"/>
      <c r="M399" s="207"/>
      <c r="N399" s="207"/>
      <c r="O399" s="207"/>
      <c r="P399" s="207"/>
      <c r="Q399" s="207"/>
      <c r="R399" s="207"/>
      <c r="S399" s="207"/>
      <c r="T399" s="207"/>
      <c r="U399" s="209"/>
      <c r="V399" s="207"/>
      <c r="W399" s="207"/>
      <c r="X399" s="209">
        <f t="shared" si="67"/>
        <v>0</v>
      </c>
      <c r="Y399" s="209">
        <f t="shared" si="68"/>
        <v>0</v>
      </c>
      <c r="Z399" s="207" t="str">
        <f t="shared" ca="1" si="69"/>
        <v/>
      </c>
      <c r="AA399" s="209" t="str">
        <f t="shared" si="62"/>
        <v/>
      </c>
      <c r="AB399" s="209"/>
      <c r="AC399" s="207" t="str">
        <f t="shared" ca="1" si="70"/>
        <v/>
      </c>
      <c r="AD399" s="207"/>
      <c r="AE399" s="207"/>
      <c r="AF399" s="208" t="str">
        <f>IF(ISBLANK(D399),"",VLOOKUP(F399,'SIZE CALCULATION'!$F:$G,2,0))</f>
        <v/>
      </c>
      <c r="AG399" s="207" t="str">
        <f t="shared" si="66"/>
        <v/>
      </c>
      <c r="AH399" s="207" t="str">
        <f t="shared" si="71"/>
        <v/>
      </c>
      <c r="AI399" s="210" t="str">
        <f>IF(ISBLANK(D399),"",VLOOKUP($A399,INDEX!$D$2:$F$13,3,0))</f>
        <v/>
      </c>
      <c r="AJ399" s="207" t="str">
        <f t="shared" si="72"/>
        <v/>
      </c>
      <c r="AK399" s="207"/>
      <c r="AL399" s="207"/>
      <c r="AM399" s="207" t="str">
        <f>IFERROR(IF(ISBLANK($D399),"",VLOOKUP($N399,'TABLE CHARGE RATE'!$A$30:$K$106,5,0)),"Check")</f>
        <v/>
      </c>
      <c r="AN399" s="207" t="str">
        <f>IFERROR(IF(ISBLANK($D399),"",VLOOKUP($N399,'TABLE CHARGE RATE'!$A$30:$K$106,6,0)),"Check")</f>
        <v/>
      </c>
      <c r="AO399" s="207" t="str">
        <f>IFERROR(IF(ISBLANK($D399),"",VLOOKUP($N399,'TABLE CHARGE RATE'!$A$30:$K$106,7,0)),"Check")</f>
        <v/>
      </c>
      <c r="AP399" s="207" t="str">
        <f>IFERROR(IF(ISBLANK($D399),"",VLOOKUP($N399,'TABLE CHARGE RATE'!$A$30:$K$106,8,0)),"Check")</f>
        <v/>
      </c>
      <c r="AQ399" s="207" t="str">
        <f>IFERROR(IF(ISBLANK($D399),"",VLOOKUP($N399,'TABLE CHARGE RATE'!$A$30:$K$106,9,0)),"Check")</f>
        <v/>
      </c>
      <c r="AR399" s="207" t="str">
        <f>IFERROR(IF(ISBLANK($D399),"",VLOOKUP($N399,'TABLE CHARGE RATE'!$A$30:$K$106,10,0)),"Check")</f>
        <v/>
      </c>
      <c r="AS399" s="207" t="str">
        <f>IFERROR(IF(ISBLANK($D399),"",VLOOKUP($N399,'TABLE CHARGE RATE'!$A$30:$K$106,11,0)),"Check")</f>
        <v/>
      </c>
      <c r="AT399" s="207"/>
    </row>
    <row r="400" spans="1:46" x14ac:dyDescent="0.2">
      <c r="A400" s="207" t="str">
        <f t="shared" si="65"/>
        <v/>
      </c>
      <c r="B400" s="208" t="str">
        <f>IF(ISBLANK(D400),"",VLOOKUP(WEEKDAY($C400,1),INDEX!$J$2:$K$8,2,0))</f>
        <v/>
      </c>
      <c r="C400" s="209"/>
      <c r="D400" s="207"/>
      <c r="E400" s="207"/>
      <c r="F400" s="207"/>
      <c r="G400" s="207"/>
      <c r="H400" s="207"/>
      <c r="I400" s="207"/>
      <c r="J400" s="207"/>
      <c r="K400" s="207"/>
      <c r="L400" s="207"/>
      <c r="M400" s="207"/>
      <c r="N400" s="207"/>
      <c r="O400" s="207"/>
      <c r="P400" s="207"/>
      <c r="Q400" s="207"/>
      <c r="R400" s="207"/>
      <c r="S400" s="207"/>
      <c r="T400" s="207"/>
      <c r="U400" s="209"/>
      <c r="V400" s="207"/>
      <c r="W400" s="207"/>
      <c r="X400" s="209">
        <f t="shared" si="67"/>
        <v>0</v>
      </c>
      <c r="Y400" s="209">
        <f t="shared" si="68"/>
        <v>0</v>
      </c>
      <c r="Z400" s="207" t="str">
        <f t="shared" ca="1" si="69"/>
        <v/>
      </c>
      <c r="AA400" s="209" t="str">
        <f t="shared" si="62"/>
        <v/>
      </c>
      <c r="AB400" s="209"/>
      <c r="AC400" s="207" t="str">
        <f t="shared" ca="1" si="70"/>
        <v/>
      </c>
      <c r="AD400" s="207"/>
      <c r="AE400" s="207"/>
      <c r="AF400" s="208" t="str">
        <f>IF(ISBLANK(D400),"",VLOOKUP(F400,'SIZE CALCULATION'!$F:$G,2,0))</f>
        <v/>
      </c>
      <c r="AG400" s="207" t="str">
        <f t="shared" si="66"/>
        <v/>
      </c>
      <c r="AH400" s="207" t="str">
        <f t="shared" si="71"/>
        <v/>
      </c>
      <c r="AI400" s="210" t="str">
        <f>IF(ISBLANK(D400),"",VLOOKUP($A400,INDEX!$D$2:$F$13,3,0))</f>
        <v/>
      </c>
      <c r="AJ400" s="207" t="str">
        <f t="shared" si="72"/>
        <v/>
      </c>
      <c r="AK400" s="207"/>
      <c r="AL400" s="207"/>
      <c r="AM400" s="207" t="str">
        <f>IFERROR(IF(ISBLANK($D400),"",VLOOKUP($N400,'TABLE CHARGE RATE'!$A$30:$K$106,5,0)),"Check")</f>
        <v/>
      </c>
      <c r="AN400" s="207" t="str">
        <f>IFERROR(IF(ISBLANK($D400),"",VLOOKUP($N400,'TABLE CHARGE RATE'!$A$30:$K$106,6,0)),"Check")</f>
        <v/>
      </c>
      <c r="AO400" s="207" t="str">
        <f>IFERROR(IF(ISBLANK($D400),"",VLOOKUP($N400,'TABLE CHARGE RATE'!$A$30:$K$106,7,0)),"Check")</f>
        <v/>
      </c>
      <c r="AP400" s="207" t="str">
        <f>IFERROR(IF(ISBLANK($D400),"",VLOOKUP($N400,'TABLE CHARGE RATE'!$A$30:$K$106,8,0)),"Check")</f>
        <v/>
      </c>
      <c r="AQ400" s="207" t="str">
        <f>IFERROR(IF(ISBLANK($D400),"",VLOOKUP($N400,'TABLE CHARGE RATE'!$A$30:$K$106,9,0)),"Check")</f>
        <v/>
      </c>
      <c r="AR400" s="207" t="str">
        <f>IFERROR(IF(ISBLANK($D400),"",VLOOKUP($N400,'TABLE CHARGE RATE'!$A$30:$K$106,10,0)),"Check")</f>
        <v/>
      </c>
      <c r="AS400" s="207" t="str">
        <f>IFERROR(IF(ISBLANK($D400),"",VLOOKUP($N400,'TABLE CHARGE RATE'!$A$30:$K$106,11,0)),"Check")</f>
        <v/>
      </c>
      <c r="AT400" s="207"/>
    </row>
    <row r="401" spans="1:46" x14ac:dyDescent="0.2">
      <c r="A401" s="207" t="str">
        <f t="shared" si="65"/>
        <v/>
      </c>
      <c r="B401" s="208" t="str">
        <f>IF(ISBLANK(D401),"",VLOOKUP(WEEKDAY($C401,1),INDEX!$J$2:$K$8,2,0))</f>
        <v/>
      </c>
      <c r="C401" s="209"/>
      <c r="D401" s="207"/>
      <c r="E401" s="207"/>
      <c r="F401" s="207"/>
      <c r="G401" s="207"/>
      <c r="H401" s="207"/>
      <c r="I401" s="207"/>
      <c r="J401" s="207"/>
      <c r="K401" s="207"/>
      <c r="L401" s="207"/>
      <c r="M401" s="207"/>
      <c r="N401" s="207"/>
      <c r="O401" s="207"/>
      <c r="P401" s="207"/>
      <c r="Q401" s="207"/>
      <c r="R401" s="207"/>
      <c r="S401" s="207"/>
      <c r="T401" s="207"/>
      <c r="U401" s="209"/>
      <c r="V401" s="207"/>
      <c r="W401" s="207"/>
      <c r="X401" s="209">
        <f t="shared" si="67"/>
        <v>0</v>
      </c>
      <c r="Y401" s="209">
        <f t="shared" si="68"/>
        <v>0</v>
      </c>
      <c r="Z401" s="207" t="str">
        <f t="shared" ca="1" si="69"/>
        <v/>
      </c>
      <c r="AA401" s="209" t="str">
        <f t="shared" si="62"/>
        <v/>
      </c>
      <c r="AB401" s="209"/>
      <c r="AC401" s="207" t="str">
        <f t="shared" ca="1" si="70"/>
        <v/>
      </c>
      <c r="AD401" s="207"/>
      <c r="AE401" s="207"/>
      <c r="AF401" s="208" t="str">
        <f>IF(ISBLANK(D401),"",VLOOKUP(F401,'SIZE CALCULATION'!$F:$G,2,0))</f>
        <v/>
      </c>
      <c r="AG401" s="207" t="str">
        <f t="shared" si="66"/>
        <v/>
      </c>
      <c r="AH401" s="207" t="str">
        <f t="shared" si="71"/>
        <v/>
      </c>
      <c r="AI401" s="210" t="str">
        <f>IF(ISBLANK(D401),"",VLOOKUP($A401,INDEX!$D$2:$F$13,3,0))</f>
        <v/>
      </c>
      <c r="AJ401" s="207" t="str">
        <f t="shared" si="72"/>
        <v/>
      </c>
      <c r="AK401" s="207"/>
      <c r="AL401" s="207"/>
      <c r="AM401" s="207" t="str">
        <f>IFERROR(IF(ISBLANK($D401),"",VLOOKUP($N401,'TABLE CHARGE RATE'!$A$30:$K$106,5,0)),"Check")</f>
        <v/>
      </c>
      <c r="AN401" s="207" t="str">
        <f>IFERROR(IF(ISBLANK($D401),"",VLOOKUP($N401,'TABLE CHARGE RATE'!$A$30:$K$106,6,0)),"Check")</f>
        <v/>
      </c>
      <c r="AO401" s="207" t="str">
        <f>IFERROR(IF(ISBLANK($D401),"",VLOOKUP($N401,'TABLE CHARGE RATE'!$A$30:$K$106,7,0)),"Check")</f>
        <v/>
      </c>
      <c r="AP401" s="207" t="str">
        <f>IFERROR(IF(ISBLANK($D401),"",VLOOKUP($N401,'TABLE CHARGE RATE'!$A$30:$K$106,8,0)),"Check")</f>
        <v/>
      </c>
      <c r="AQ401" s="207" t="str">
        <f>IFERROR(IF(ISBLANK($D401),"",VLOOKUP($N401,'TABLE CHARGE RATE'!$A$30:$K$106,9,0)),"Check")</f>
        <v/>
      </c>
      <c r="AR401" s="207" t="str">
        <f>IFERROR(IF(ISBLANK($D401),"",VLOOKUP($N401,'TABLE CHARGE RATE'!$A$30:$K$106,10,0)),"Check")</f>
        <v/>
      </c>
      <c r="AS401" s="207" t="str">
        <f>IFERROR(IF(ISBLANK($D401),"",VLOOKUP($N401,'TABLE CHARGE RATE'!$A$30:$K$106,11,0)),"Check")</f>
        <v/>
      </c>
      <c r="AT401" s="207"/>
    </row>
    <row r="402" spans="1:46" x14ac:dyDescent="0.2">
      <c r="A402" s="207" t="str">
        <f t="shared" si="65"/>
        <v/>
      </c>
      <c r="B402" s="208" t="str">
        <f>IF(ISBLANK(D402),"",VLOOKUP(WEEKDAY($C402,1),INDEX!$J$2:$K$8,2,0))</f>
        <v/>
      </c>
      <c r="C402" s="209"/>
      <c r="D402" s="207"/>
      <c r="E402" s="207"/>
      <c r="F402" s="207"/>
      <c r="G402" s="207"/>
      <c r="H402" s="207"/>
      <c r="I402" s="207"/>
      <c r="J402" s="207"/>
      <c r="K402" s="207"/>
      <c r="L402" s="207"/>
      <c r="M402" s="207"/>
      <c r="N402" s="207"/>
      <c r="O402" s="207"/>
      <c r="P402" s="207"/>
      <c r="Q402" s="207"/>
      <c r="R402" s="207"/>
      <c r="S402" s="207"/>
      <c r="T402" s="207"/>
      <c r="U402" s="209"/>
      <c r="V402" s="207"/>
      <c r="W402" s="207"/>
      <c r="X402" s="209">
        <f t="shared" si="67"/>
        <v>0</v>
      </c>
      <c r="Y402" s="209">
        <f t="shared" si="68"/>
        <v>0</v>
      </c>
      <c r="Z402" s="207" t="str">
        <f t="shared" ca="1" si="69"/>
        <v/>
      </c>
      <c r="AA402" s="209" t="str">
        <f t="shared" si="62"/>
        <v/>
      </c>
      <c r="AB402" s="209"/>
      <c r="AC402" s="207" t="str">
        <f t="shared" ca="1" si="70"/>
        <v/>
      </c>
      <c r="AD402" s="207"/>
      <c r="AE402" s="207"/>
      <c r="AF402" s="208" t="str">
        <f>IF(ISBLANK(D402),"",VLOOKUP(F402,'SIZE CALCULATION'!$F:$G,2,0))</f>
        <v/>
      </c>
      <c r="AG402" s="207" t="str">
        <f t="shared" si="66"/>
        <v/>
      </c>
      <c r="AH402" s="207" t="str">
        <f t="shared" si="71"/>
        <v/>
      </c>
      <c r="AI402" s="210" t="str">
        <f>IF(ISBLANK(D402),"",VLOOKUP($A402,INDEX!$D$2:$F$13,3,0))</f>
        <v/>
      </c>
      <c r="AJ402" s="207" t="str">
        <f t="shared" si="72"/>
        <v/>
      </c>
      <c r="AK402" s="207"/>
      <c r="AL402" s="207"/>
      <c r="AM402" s="207" t="str">
        <f>IFERROR(IF(ISBLANK($D402),"",VLOOKUP($N402,'TABLE CHARGE RATE'!$A$30:$K$106,5,0)),"Check")</f>
        <v/>
      </c>
      <c r="AN402" s="207" t="str">
        <f>IFERROR(IF(ISBLANK($D402),"",VLOOKUP($N402,'TABLE CHARGE RATE'!$A$30:$K$106,6,0)),"Check")</f>
        <v/>
      </c>
      <c r="AO402" s="207" t="str">
        <f>IFERROR(IF(ISBLANK($D402),"",VLOOKUP($N402,'TABLE CHARGE RATE'!$A$30:$K$106,7,0)),"Check")</f>
        <v/>
      </c>
      <c r="AP402" s="207" t="str">
        <f>IFERROR(IF(ISBLANK($D402),"",VLOOKUP($N402,'TABLE CHARGE RATE'!$A$30:$K$106,8,0)),"Check")</f>
        <v/>
      </c>
      <c r="AQ402" s="207" t="str">
        <f>IFERROR(IF(ISBLANK($D402),"",VLOOKUP($N402,'TABLE CHARGE RATE'!$A$30:$K$106,9,0)),"Check")</f>
        <v/>
      </c>
      <c r="AR402" s="207" t="str">
        <f>IFERROR(IF(ISBLANK($D402),"",VLOOKUP($N402,'TABLE CHARGE RATE'!$A$30:$K$106,10,0)),"Check")</f>
        <v/>
      </c>
      <c r="AS402" s="207" t="str">
        <f>IFERROR(IF(ISBLANK($D402),"",VLOOKUP($N402,'TABLE CHARGE RATE'!$A$30:$K$106,11,0)),"Check")</f>
        <v/>
      </c>
      <c r="AT402" s="207"/>
    </row>
    <row r="403" spans="1:46" x14ac:dyDescent="0.2">
      <c r="A403" s="207" t="str">
        <f t="shared" si="65"/>
        <v/>
      </c>
      <c r="B403" s="208" t="str">
        <f>IF(ISBLANK(D403),"",VLOOKUP(WEEKDAY($C403,1),INDEX!$J$2:$K$8,2,0))</f>
        <v/>
      </c>
      <c r="C403" s="209"/>
      <c r="D403" s="207"/>
      <c r="E403" s="207"/>
      <c r="F403" s="207"/>
      <c r="G403" s="207"/>
      <c r="H403" s="207"/>
      <c r="I403" s="207"/>
      <c r="J403" s="207"/>
      <c r="K403" s="207"/>
      <c r="L403" s="207"/>
      <c r="M403" s="207"/>
      <c r="N403" s="207"/>
      <c r="O403" s="207"/>
      <c r="P403" s="207"/>
      <c r="Q403" s="207"/>
      <c r="R403" s="207"/>
      <c r="S403" s="207"/>
      <c r="T403" s="207"/>
      <c r="U403" s="209"/>
      <c r="V403" s="207"/>
      <c r="W403" s="207"/>
      <c r="X403" s="209">
        <f t="shared" si="67"/>
        <v>0</v>
      </c>
      <c r="Y403" s="209">
        <f t="shared" si="68"/>
        <v>0</v>
      </c>
      <c r="Z403" s="207" t="str">
        <f t="shared" ca="1" si="69"/>
        <v/>
      </c>
      <c r="AA403" s="209" t="str">
        <f t="shared" si="62"/>
        <v/>
      </c>
      <c r="AB403" s="209"/>
      <c r="AC403" s="207" t="str">
        <f t="shared" ca="1" si="70"/>
        <v/>
      </c>
      <c r="AD403" s="207"/>
      <c r="AE403" s="207"/>
      <c r="AF403" s="208" t="str">
        <f>IF(ISBLANK(D403),"",VLOOKUP(F403,'SIZE CALCULATION'!$F:$G,2,0))</f>
        <v/>
      </c>
      <c r="AG403" s="207" t="str">
        <f t="shared" si="66"/>
        <v/>
      </c>
      <c r="AH403" s="207" t="str">
        <f t="shared" si="71"/>
        <v/>
      </c>
      <c r="AI403" s="210" t="str">
        <f>IF(ISBLANK(D403),"",VLOOKUP($A403,INDEX!$D$2:$F$13,3,0))</f>
        <v/>
      </c>
      <c r="AJ403" s="207" t="str">
        <f t="shared" si="72"/>
        <v/>
      </c>
      <c r="AK403" s="207"/>
      <c r="AL403" s="207"/>
      <c r="AM403" s="207" t="str">
        <f>IFERROR(IF(ISBLANK($D403),"",VLOOKUP($N403,'TABLE CHARGE RATE'!$A$30:$K$106,5,0)),"Check")</f>
        <v/>
      </c>
      <c r="AN403" s="207" t="str">
        <f>IFERROR(IF(ISBLANK($D403),"",VLOOKUP($N403,'TABLE CHARGE RATE'!$A$30:$K$106,6,0)),"Check")</f>
        <v/>
      </c>
      <c r="AO403" s="207" t="str">
        <f>IFERROR(IF(ISBLANK($D403),"",VLOOKUP($N403,'TABLE CHARGE RATE'!$A$30:$K$106,7,0)),"Check")</f>
        <v/>
      </c>
      <c r="AP403" s="207" t="str">
        <f>IFERROR(IF(ISBLANK($D403),"",VLOOKUP($N403,'TABLE CHARGE RATE'!$A$30:$K$106,8,0)),"Check")</f>
        <v/>
      </c>
      <c r="AQ403" s="207" t="str">
        <f>IFERROR(IF(ISBLANK($D403),"",VLOOKUP($N403,'TABLE CHARGE RATE'!$A$30:$K$106,9,0)),"Check")</f>
        <v/>
      </c>
      <c r="AR403" s="207" t="str">
        <f>IFERROR(IF(ISBLANK($D403),"",VLOOKUP($N403,'TABLE CHARGE RATE'!$A$30:$K$106,10,0)),"Check")</f>
        <v/>
      </c>
      <c r="AS403" s="207" t="str">
        <f>IFERROR(IF(ISBLANK($D403),"",VLOOKUP($N403,'TABLE CHARGE RATE'!$A$30:$K$106,11,0)),"Check")</f>
        <v/>
      </c>
      <c r="AT403" s="207"/>
    </row>
    <row r="404" spans="1:46" x14ac:dyDescent="0.2">
      <c r="A404" s="207" t="str">
        <f t="shared" si="65"/>
        <v/>
      </c>
      <c r="B404" s="208" t="str">
        <f>IF(ISBLANK(D404),"",VLOOKUP(WEEKDAY($C404,1),INDEX!$J$2:$K$8,2,0))</f>
        <v/>
      </c>
      <c r="C404" s="209"/>
      <c r="D404" s="207"/>
      <c r="E404" s="207"/>
      <c r="F404" s="207"/>
      <c r="G404" s="207"/>
      <c r="H404" s="207"/>
      <c r="I404" s="207"/>
      <c r="J404" s="207"/>
      <c r="K404" s="207"/>
      <c r="L404" s="207"/>
      <c r="M404" s="207"/>
      <c r="N404" s="207"/>
      <c r="O404" s="207"/>
      <c r="P404" s="207"/>
      <c r="Q404" s="207"/>
      <c r="R404" s="207"/>
      <c r="S404" s="207"/>
      <c r="T404" s="207"/>
      <c r="U404" s="209"/>
      <c r="V404" s="207"/>
      <c r="W404" s="207"/>
      <c r="X404" s="209">
        <f t="shared" si="67"/>
        <v>0</v>
      </c>
      <c r="Y404" s="209">
        <f t="shared" si="68"/>
        <v>0</v>
      </c>
      <c r="Z404" s="207" t="str">
        <f t="shared" ca="1" si="69"/>
        <v/>
      </c>
      <c r="AA404" s="209" t="str">
        <f t="shared" si="62"/>
        <v/>
      </c>
      <c r="AB404" s="209"/>
      <c r="AC404" s="207" t="str">
        <f t="shared" ca="1" si="70"/>
        <v/>
      </c>
      <c r="AD404" s="207"/>
      <c r="AE404" s="207"/>
      <c r="AF404" s="208" t="str">
        <f>IF(ISBLANK(D404),"",VLOOKUP(F404,'SIZE CALCULATION'!$F:$G,2,0))</f>
        <v/>
      </c>
      <c r="AG404" s="207" t="str">
        <f t="shared" si="66"/>
        <v/>
      </c>
      <c r="AH404" s="207" t="str">
        <f t="shared" si="71"/>
        <v/>
      </c>
      <c r="AI404" s="210" t="str">
        <f>IF(ISBLANK(D404),"",VLOOKUP($A404,INDEX!$D$2:$F$13,3,0))</f>
        <v/>
      </c>
      <c r="AJ404" s="207" t="str">
        <f t="shared" si="72"/>
        <v/>
      </c>
      <c r="AK404" s="207"/>
      <c r="AL404" s="207"/>
      <c r="AM404" s="207" t="str">
        <f>IFERROR(IF(ISBLANK($D404),"",VLOOKUP($N404,'TABLE CHARGE RATE'!$A$30:$K$106,5,0)),"Check")</f>
        <v/>
      </c>
      <c r="AN404" s="207" t="str">
        <f>IFERROR(IF(ISBLANK($D404),"",VLOOKUP($N404,'TABLE CHARGE RATE'!$A$30:$K$106,6,0)),"Check")</f>
        <v/>
      </c>
      <c r="AO404" s="207" t="str">
        <f>IFERROR(IF(ISBLANK($D404),"",VLOOKUP($N404,'TABLE CHARGE RATE'!$A$30:$K$106,7,0)),"Check")</f>
        <v/>
      </c>
      <c r="AP404" s="207" t="str">
        <f>IFERROR(IF(ISBLANK($D404),"",VLOOKUP($N404,'TABLE CHARGE RATE'!$A$30:$K$106,8,0)),"Check")</f>
        <v/>
      </c>
      <c r="AQ404" s="207" t="str">
        <f>IFERROR(IF(ISBLANK($D404),"",VLOOKUP($N404,'TABLE CHARGE RATE'!$A$30:$K$106,9,0)),"Check")</f>
        <v/>
      </c>
      <c r="AR404" s="207" t="str">
        <f>IFERROR(IF(ISBLANK($D404),"",VLOOKUP($N404,'TABLE CHARGE RATE'!$A$30:$K$106,10,0)),"Check")</f>
        <v/>
      </c>
      <c r="AS404" s="207" t="str">
        <f>IFERROR(IF(ISBLANK($D404),"",VLOOKUP($N404,'TABLE CHARGE RATE'!$A$30:$K$106,11,0)),"Check")</f>
        <v/>
      </c>
      <c r="AT404" s="207"/>
    </row>
    <row r="405" spans="1:46" x14ac:dyDescent="0.2">
      <c r="A405" s="207" t="str">
        <f t="shared" si="65"/>
        <v/>
      </c>
      <c r="B405" s="208" t="str">
        <f>IF(ISBLANK(D405),"",VLOOKUP(WEEKDAY($C405,1),INDEX!$J$2:$K$8,2,0))</f>
        <v/>
      </c>
      <c r="C405" s="209"/>
      <c r="D405" s="207"/>
      <c r="E405" s="207"/>
      <c r="F405" s="207"/>
      <c r="G405" s="207"/>
      <c r="H405" s="207"/>
      <c r="I405" s="207"/>
      <c r="J405" s="207"/>
      <c r="K405" s="207"/>
      <c r="L405" s="207"/>
      <c r="M405" s="207"/>
      <c r="N405" s="207"/>
      <c r="O405" s="207"/>
      <c r="P405" s="207"/>
      <c r="Q405" s="207"/>
      <c r="R405" s="207"/>
      <c r="S405" s="207"/>
      <c r="T405" s="207"/>
      <c r="U405" s="209"/>
      <c r="V405" s="207"/>
      <c r="W405" s="207"/>
      <c r="X405" s="209">
        <f t="shared" si="67"/>
        <v>0</v>
      </c>
      <c r="Y405" s="209">
        <f t="shared" si="68"/>
        <v>0</v>
      </c>
      <c r="Z405" s="207" t="str">
        <f t="shared" ca="1" si="69"/>
        <v/>
      </c>
      <c r="AA405" s="209" t="str">
        <f t="shared" si="62"/>
        <v/>
      </c>
      <c r="AB405" s="209"/>
      <c r="AC405" s="207" t="str">
        <f t="shared" ca="1" si="70"/>
        <v/>
      </c>
      <c r="AD405" s="207"/>
      <c r="AE405" s="207"/>
      <c r="AF405" s="208" t="str">
        <f>IF(ISBLANK(D405),"",VLOOKUP(F405,'SIZE CALCULATION'!$F:$G,2,0))</f>
        <v/>
      </c>
      <c r="AG405" s="207" t="str">
        <f t="shared" si="66"/>
        <v/>
      </c>
      <c r="AH405" s="207" t="str">
        <f t="shared" si="71"/>
        <v/>
      </c>
      <c r="AI405" s="210" t="str">
        <f>IF(ISBLANK(D405),"",VLOOKUP($A405,INDEX!$D$2:$F$13,3,0))</f>
        <v/>
      </c>
      <c r="AJ405" s="207" t="str">
        <f t="shared" si="72"/>
        <v/>
      </c>
      <c r="AK405" s="207"/>
      <c r="AL405" s="207"/>
      <c r="AM405" s="207" t="str">
        <f>IFERROR(IF(ISBLANK($D405),"",VLOOKUP($N405,'TABLE CHARGE RATE'!$A$30:$K$106,5,0)),"Check")</f>
        <v/>
      </c>
      <c r="AN405" s="207" t="str">
        <f>IFERROR(IF(ISBLANK($D405),"",VLOOKUP($N405,'TABLE CHARGE RATE'!$A$30:$K$106,6,0)),"Check")</f>
        <v/>
      </c>
      <c r="AO405" s="207" t="str">
        <f>IFERROR(IF(ISBLANK($D405),"",VLOOKUP($N405,'TABLE CHARGE RATE'!$A$30:$K$106,7,0)),"Check")</f>
        <v/>
      </c>
      <c r="AP405" s="207" t="str">
        <f>IFERROR(IF(ISBLANK($D405),"",VLOOKUP($N405,'TABLE CHARGE RATE'!$A$30:$K$106,8,0)),"Check")</f>
        <v/>
      </c>
      <c r="AQ405" s="207" t="str">
        <f>IFERROR(IF(ISBLANK($D405),"",VLOOKUP($N405,'TABLE CHARGE RATE'!$A$30:$K$106,9,0)),"Check")</f>
        <v/>
      </c>
      <c r="AR405" s="207" t="str">
        <f>IFERROR(IF(ISBLANK($D405),"",VLOOKUP($N405,'TABLE CHARGE RATE'!$A$30:$K$106,10,0)),"Check")</f>
        <v/>
      </c>
      <c r="AS405" s="207" t="str">
        <f>IFERROR(IF(ISBLANK($D405),"",VLOOKUP($N405,'TABLE CHARGE RATE'!$A$30:$K$106,11,0)),"Check")</f>
        <v/>
      </c>
      <c r="AT405" s="207"/>
    </row>
    <row r="406" spans="1:46" x14ac:dyDescent="0.2">
      <c r="A406" s="207" t="str">
        <f t="shared" si="65"/>
        <v/>
      </c>
      <c r="B406" s="208" t="str">
        <f>IF(ISBLANK(D406),"",VLOOKUP(WEEKDAY($C406,1),INDEX!$J$2:$K$8,2,0))</f>
        <v/>
      </c>
      <c r="C406" s="209"/>
      <c r="D406" s="207"/>
      <c r="E406" s="207"/>
      <c r="F406" s="207"/>
      <c r="G406" s="207"/>
      <c r="H406" s="207"/>
      <c r="I406" s="207"/>
      <c r="J406" s="207"/>
      <c r="K406" s="207"/>
      <c r="L406" s="207"/>
      <c r="M406" s="207"/>
      <c r="N406" s="207"/>
      <c r="O406" s="207"/>
      <c r="P406" s="207"/>
      <c r="Q406" s="207"/>
      <c r="R406" s="207"/>
      <c r="S406" s="207"/>
      <c r="T406" s="207"/>
      <c r="U406" s="209"/>
      <c r="V406" s="207"/>
      <c r="W406" s="207"/>
      <c r="X406" s="209">
        <f t="shared" si="67"/>
        <v>0</v>
      </c>
      <c r="Y406" s="209">
        <f t="shared" si="68"/>
        <v>0</v>
      </c>
      <c r="Z406" s="207" t="str">
        <f t="shared" ca="1" si="69"/>
        <v/>
      </c>
      <c r="AA406" s="209" t="str">
        <f t="shared" si="62"/>
        <v/>
      </c>
      <c r="AB406" s="209"/>
      <c r="AC406" s="207" t="str">
        <f t="shared" ca="1" si="70"/>
        <v/>
      </c>
      <c r="AD406" s="207"/>
      <c r="AE406" s="207"/>
      <c r="AF406" s="208" t="str">
        <f>IF(ISBLANK(D406),"",VLOOKUP(F406,'SIZE CALCULATION'!$F:$G,2,0))</f>
        <v/>
      </c>
      <c r="AG406" s="207" t="str">
        <f t="shared" si="66"/>
        <v/>
      </c>
      <c r="AH406" s="207" t="str">
        <f t="shared" si="71"/>
        <v/>
      </c>
      <c r="AI406" s="210" t="str">
        <f>IF(ISBLANK(D406),"",VLOOKUP($A406,INDEX!$D$2:$F$13,3,0))</f>
        <v/>
      </c>
      <c r="AJ406" s="207" t="str">
        <f t="shared" si="72"/>
        <v/>
      </c>
      <c r="AK406" s="207"/>
      <c r="AL406" s="207"/>
      <c r="AM406" s="207" t="str">
        <f>IFERROR(IF(ISBLANK($D406),"",VLOOKUP($N406,'TABLE CHARGE RATE'!$A$30:$K$106,5,0)),"Check")</f>
        <v/>
      </c>
      <c r="AN406" s="207" t="str">
        <f>IFERROR(IF(ISBLANK($D406),"",VLOOKUP($N406,'TABLE CHARGE RATE'!$A$30:$K$106,6,0)),"Check")</f>
        <v/>
      </c>
      <c r="AO406" s="207" t="str">
        <f>IFERROR(IF(ISBLANK($D406),"",VLOOKUP($N406,'TABLE CHARGE RATE'!$A$30:$K$106,7,0)),"Check")</f>
        <v/>
      </c>
      <c r="AP406" s="207" t="str">
        <f>IFERROR(IF(ISBLANK($D406),"",VLOOKUP($N406,'TABLE CHARGE RATE'!$A$30:$K$106,8,0)),"Check")</f>
        <v/>
      </c>
      <c r="AQ406" s="207" t="str">
        <f>IFERROR(IF(ISBLANK($D406),"",VLOOKUP($N406,'TABLE CHARGE RATE'!$A$30:$K$106,9,0)),"Check")</f>
        <v/>
      </c>
      <c r="AR406" s="207" t="str">
        <f>IFERROR(IF(ISBLANK($D406),"",VLOOKUP($N406,'TABLE CHARGE RATE'!$A$30:$K$106,10,0)),"Check")</f>
        <v/>
      </c>
      <c r="AS406" s="207" t="str">
        <f>IFERROR(IF(ISBLANK($D406),"",VLOOKUP($N406,'TABLE CHARGE RATE'!$A$30:$K$106,11,0)),"Check")</f>
        <v/>
      </c>
      <c r="AT406" s="207"/>
    </row>
    <row r="407" spans="1:46" x14ac:dyDescent="0.2">
      <c r="A407" s="207" t="str">
        <f t="shared" si="65"/>
        <v/>
      </c>
      <c r="B407" s="208" t="str">
        <f>IF(ISBLANK(D407),"",VLOOKUP(WEEKDAY($C407,1),INDEX!$J$2:$K$8,2,0))</f>
        <v/>
      </c>
      <c r="C407" s="209"/>
      <c r="D407" s="207"/>
      <c r="E407" s="207"/>
      <c r="F407" s="207"/>
      <c r="G407" s="207"/>
      <c r="H407" s="207"/>
      <c r="I407" s="207"/>
      <c r="J407" s="207"/>
      <c r="K407" s="207"/>
      <c r="L407" s="207"/>
      <c r="M407" s="207"/>
      <c r="N407" s="207"/>
      <c r="O407" s="207"/>
      <c r="P407" s="207"/>
      <c r="Q407" s="207"/>
      <c r="R407" s="207"/>
      <c r="S407" s="207"/>
      <c r="T407" s="207"/>
      <c r="U407" s="209"/>
      <c r="V407" s="207"/>
      <c r="W407" s="207"/>
      <c r="X407" s="209">
        <f t="shared" si="67"/>
        <v>0</v>
      </c>
      <c r="Y407" s="209">
        <f t="shared" si="68"/>
        <v>0</v>
      </c>
      <c r="Z407" s="207" t="str">
        <f t="shared" ca="1" si="69"/>
        <v/>
      </c>
      <c r="AA407" s="209" t="str">
        <f t="shared" si="62"/>
        <v/>
      </c>
      <c r="AB407" s="209"/>
      <c r="AC407" s="207" t="str">
        <f t="shared" ca="1" si="70"/>
        <v/>
      </c>
      <c r="AD407" s="207"/>
      <c r="AE407" s="207"/>
      <c r="AF407" s="208" t="str">
        <f>IF(ISBLANK(D407),"",VLOOKUP(F407,'SIZE CALCULATION'!$F:$G,2,0))</f>
        <v/>
      </c>
      <c r="AG407" s="207" t="str">
        <f t="shared" si="66"/>
        <v/>
      </c>
      <c r="AH407" s="207" t="str">
        <f t="shared" si="71"/>
        <v/>
      </c>
      <c r="AI407" s="210" t="str">
        <f>IF(ISBLANK(D407),"",VLOOKUP($A407,INDEX!$D$2:$F$13,3,0))</f>
        <v/>
      </c>
      <c r="AJ407" s="207" t="str">
        <f t="shared" si="72"/>
        <v/>
      </c>
      <c r="AK407" s="207"/>
      <c r="AL407" s="207"/>
      <c r="AM407" s="207" t="str">
        <f>IFERROR(IF(ISBLANK($D407),"",VLOOKUP($N407,'TABLE CHARGE RATE'!$A$30:$K$106,5,0)),"Check")</f>
        <v/>
      </c>
      <c r="AN407" s="207" t="str">
        <f>IFERROR(IF(ISBLANK($D407),"",VLOOKUP($N407,'TABLE CHARGE RATE'!$A$30:$K$106,6,0)),"Check")</f>
        <v/>
      </c>
      <c r="AO407" s="207" t="str">
        <f>IFERROR(IF(ISBLANK($D407),"",VLOOKUP($N407,'TABLE CHARGE RATE'!$A$30:$K$106,7,0)),"Check")</f>
        <v/>
      </c>
      <c r="AP407" s="207" t="str">
        <f>IFERROR(IF(ISBLANK($D407),"",VLOOKUP($N407,'TABLE CHARGE RATE'!$A$30:$K$106,8,0)),"Check")</f>
        <v/>
      </c>
      <c r="AQ407" s="207" t="str">
        <f>IFERROR(IF(ISBLANK($D407),"",VLOOKUP($N407,'TABLE CHARGE RATE'!$A$30:$K$106,9,0)),"Check")</f>
        <v/>
      </c>
      <c r="AR407" s="207" t="str">
        <f>IFERROR(IF(ISBLANK($D407),"",VLOOKUP($N407,'TABLE CHARGE RATE'!$A$30:$K$106,10,0)),"Check")</f>
        <v/>
      </c>
      <c r="AS407" s="207" t="str">
        <f>IFERROR(IF(ISBLANK($D407),"",VLOOKUP($N407,'TABLE CHARGE RATE'!$A$30:$K$106,11,0)),"Check")</f>
        <v/>
      </c>
      <c r="AT407" s="207"/>
    </row>
    <row r="408" spans="1:46" x14ac:dyDescent="0.2">
      <c r="A408" s="207" t="str">
        <f t="shared" si="65"/>
        <v/>
      </c>
      <c r="B408" s="208" t="str">
        <f>IF(ISBLANK(D408),"",VLOOKUP(WEEKDAY($C408,1),INDEX!$J$2:$K$8,2,0))</f>
        <v/>
      </c>
      <c r="C408" s="209"/>
      <c r="D408" s="207"/>
      <c r="E408" s="207"/>
      <c r="F408" s="207"/>
      <c r="G408" s="207"/>
      <c r="H408" s="207"/>
      <c r="I408" s="207"/>
      <c r="J408" s="207"/>
      <c r="K408" s="207"/>
      <c r="L408" s="207"/>
      <c r="M408" s="207"/>
      <c r="N408" s="207"/>
      <c r="O408" s="207"/>
      <c r="P408" s="207"/>
      <c r="Q408" s="207"/>
      <c r="R408" s="207"/>
      <c r="S408" s="207"/>
      <c r="T408" s="207"/>
      <c r="U408" s="209"/>
      <c r="V408" s="207"/>
      <c r="W408" s="207"/>
      <c r="X408" s="209">
        <f t="shared" si="67"/>
        <v>0</v>
      </c>
      <c r="Y408" s="209">
        <f t="shared" si="68"/>
        <v>0</v>
      </c>
      <c r="Z408" s="207" t="str">
        <f t="shared" ca="1" si="69"/>
        <v/>
      </c>
      <c r="AA408" s="209" t="str">
        <f t="shared" si="62"/>
        <v/>
      </c>
      <c r="AB408" s="209"/>
      <c r="AC408" s="207" t="str">
        <f t="shared" ca="1" si="70"/>
        <v/>
      </c>
      <c r="AD408" s="207"/>
      <c r="AE408" s="207"/>
      <c r="AF408" s="208" t="str">
        <f>IF(ISBLANK(D408),"",VLOOKUP(F408,'SIZE CALCULATION'!$F:$G,2,0))</f>
        <v/>
      </c>
      <c r="AG408" s="207" t="str">
        <f t="shared" si="66"/>
        <v/>
      </c>
      <c r="AH408" s="207" t="str">
        <f t="shared" si="71"/>
        <v/>
      </c>
      <c r="AI408" s="210" t="str">
        <f>IF(ISBLANK(D408),"",VLOOKUP($A408,INDEX!$D$2:$F$13,3,0))</f>
        <v/>
      </c>
      <c r="AJ408" s="207" t="str">
        <f t="shared" si="72"/>
        <v/>
      </c>
      <c r="AK408" s="207"/>
      <c r="AL408" s="207"/>
      <c r="AM408" s="207" t="str">
        <f>IFERROR(IF(ISBLANK($D408),"",VLOOKUP($N408,'TABLE CHARGE RATE'!$A$30:$K$106,5,0)),"Check")</f>
        <v/>
      </c>
      <c r="AN408" s="207" t="str">
        <f>IFERROR(IF(ISBLANK($D408),"",VLOOKUP($N408,'TABLE CHARGE RATE'!$A$30:$K$106,6,0)),"Check")</f>
        <v/>
      </c>
      <c r="AO408" s="207" t="str">
        <f>IFERROR(IF(ISBLANK($D408),"",VLOOKUP($N408,'TABLE CHARGE RATE'!$A$30:$K$106,7,0)),"Check")</f>
        <v/>
      </c>
      <c r="AP408" s="207" t="str">
        <f>IFERROR(IF(ISBLANK($D408),"",VLOOKUP($N408,'TABLE CHARGE RATE'!$A$30:$K$106,8,0)),"Check")</f>
        <v/>
      </c>
      <c r="AQ408" s="207" t="str">
        <f>IFERROR(IF(ISBLANK($D408),"",VLOOKUP($N408,'TABLE CHARGE RATE'!$A$30:$K$106,9,0)),"Check")</f>
        <v/>
      </c>
      <c r="AR408" s="207" t="str">
        <f>IFERROR(IF(ISBLANK($D408),"",VLOOKUP($N408,'TABLE CHARGE RATE'!$A$30:$K$106,10,0)),"Check")</f>
        <v/>
      </c>
      <c r="AS408" s="207" t="str">
        <f>IFERROR(IF(ISBLANK($D408),"",VLOOKUP($N408,'TABLE CHARGE RATE'!$A$30:$K$106,11,0)),"Check")</f>
        <v/>
      </c>
      <c r="AT408" s="207"/>
    </row>
    <row r="409" spans="1:46" x14ac:dyDescent="0.2">
      <c r="A409" s="207" t="str">
        <f t="shared" si="65"/>
        <v/>
      </c>
      <c r="B409" s="208" t="str">
        <f>IF(ISBLANK(D409),"",VLOOKUP(WEEKDAY($C409,1),INDEX!$J$2:$K$8,2,0))</f>
        <v/>
      </c>
      <c r="C409" s="209"/>
      <c r="D409" s="207"/>
      <c r="E409" s="207"/>
      <c r="F409" s="207"/>
      <c r="G409" s="207"/>
      <c r="H409" s="207"/>
      <c r="I409" s="207"/>
      <c r="J409" s="207"/>
      <c r="K409" s="207"/>
      <c r="L409" s="207"/>
      <c r="M409" s="207"/>
      <c r="N409" s="207"/>
      <c r="O409" s="207"/>
      <c r="P409" s="207"/>
      <c r="Q409" s="207"/>
      <c r="R409" s="207"/>
      <c r="S409" s="207"/>
      <c r="T409" s="207"/>
      <c r="U409" s="209"/>
      <c r="V409" s="207"/>
      <c r="W409" s="207"/>
      <c r="X409" s="209">
        <f t="shared" si="67"/>
        <v>0</v>
      </c>
      <c r="Y409" s="209">
        <f t="shared" si="68"/>
        <v>0</v>
      </c>
      <c r="Z409" s="207" t="str">
        <f t="shared" ca="1" si="69"/>
        <v/>
      </c>
      <c r="AA409" s="209" t="str">
        <f t="shared" si="62"/>
        <v/>
      </c>
      <c r="AB409" s="209"/>
      <c r="AC409" s="207" t="str">
        <f t="shared" ca="1" si="70"/>
        <v/>
      </c>
      <c r="AD409" s="207"/>
      <c r="AE409" s="207"/>
      <c r="AF409" s="208" t="str">
        <f>IF(ISBLANK(D409),"",VLOOKUP(F409,'SIZE CALCULATION'!$F:$G,2,0))</f>
        <v/>
      </c>
      <c r="AG409" s="207" t="str">
        <f t="shared" si="66"/>
        <v/>
      </c>
      <c r="AH409" s="207" t="str">
        <f t="shared" si="71"/>
        <v/>
      </c>
      <c r="AI409" s="210" t="str">
        <f>IF(ISBLANK(D409),"",VLOOKUP($A409,INDEX!$D$2:$F$13,3,0))</f>
        <v/>
      </c>
      <c r="AJ409" s="207" t="str">
        <f t="shared" si="72"/>
        <v/>
      </c>
      <c r="AK409" s="207"/>
      <c r="AL409" s="207"/>
      <c r="AM409" s="207" t="str">
        <f>IFERROR(IF(ISBLANK($D409),"",VLOOKUP($N409,'TABLE CHARGE RATE'!$A$30:$K$106,5,0)),"Check")</f>
        <v/>
      </c>
      <c r="AN409" s="207" t="str">
        <f>IFERROR(IF(ISBLANK($D409),"",VLOOKUP($N409,'TABLE CHARGE RATE'!$A$30:$K$106,6,0)),"Check")</f>
        <v/>
      </c>
      <c r="AO409" s="207" t="str">
        <f>IFERROR(IF(ISBLANK($D409),"",VLOOKUP($N409,'TABLE CHARGE RATE'!$A$30:$K$106,7,0)),"Check")</f>
        <v/>
      </c>
      <c r="AP409" s="207" t="str">
        <f>IFERROR(IF(ISBLANK($D409),"",VLOOKUP($N409,'TABLE CHARGE RATE'!$A$30:$K$106,8,0)),"Check")</f>
        <v/>
      </c>
      <c r="AQ409" s="207" t="str">
        <f>IFERROR(IF(ISBLANK($D409),"",VLOOKUP($N409,'TABLE CHARGE RATE'!$A$30:$K$106,9,0)),"Check")</f>
        <v/>
      </c>
      <c r="AR409" s="207" t="str">
        <f>IFERROR(IF(ISBLANK($D409),"",VLOOKUP($N409,'TABLE CHARGE RATE'!$A$30:$K$106,10,0)),"Check")</f>
        <v/>
      </c>
      <c r="AS409" s="207" t="str">
        <f>IFERROR(IF(ISBLANK($D409),"",VLOOKUP($N409,'TABLE CHARGE RATE'!$A$30:$K$106,11,0)),"Check")</f>
        <v/>
      </c>
      <c r="AT409" s="207"/>
    </row>
    <row r="410" spans="1:46" x14ac:dyDescent="0.2">
      <c r="A410" s="207" t="str">
        <f t="shared" si="65"/>
        <v/>
      </c>
      <c r="B410" s="208" t="str">
        <f>IF(ISBLANK(D410),"",VLOOKUP(WEEKDAY($C410,1),INDEX!$J$2:$K$8,2,0))</f>
        <v/>
      </c>
      <c r="C410" s="209"/>
      <c r="D410" s="207"/>
      <c r="E410" s="207"/>
      <c r="F410" s="207"/>
      <c r="G410" s="207"/>
      <c r="H410" s="207"/>
      <c r="I410" s="207"/>
      <c r="J410" s="207"/>
      <c r="K410" s="207"/>
      <c r="L410" s="207"/>
      <c r="M410" s="207"/>
      <c r="N410" s="207"/>
      <c r="O410" s="207"/>
      <c r="P410" s="207"/>
      <c r="Q410" s="207"/>
      <c r="R410" s="207"/>
      <c r="S410" s="207"/>
      <c r="T410" s="207"/>
      <c r="U410" s="209"/>
      <c r="V410" s="207"/>
      <c r="W410" s="207"/>
      <c r="X410" s="209">
        <f t="shared" si="67"/>
        <v>0</v>
      </c>
      <c r="Y410" s="209">
        <f t="shared" si="68"/>
        <v>0</v>
      </c>
      <c r="Z410" s="207" t="str">
        <f t="shared" ca="1" si="69"/>
        <v/>
      </c>
      <c r="AA410" s="209" t="str">
        <f t="shared" si="62"/>
        <v/>
      </c>
      <c r="AB410" s="209"/>
      <c r="AC410" s="207" t="str">
        <f t="shared" ca="1" si="70"/>
        <v/>
      </c>
      <c r="AD410" s="207"/>
      <c r="AE410" s="207"/>
      <c r="AF410" s="208" t="str">
        <f>IF(ISBLANK(D410),"",VLOOKUP(F410,'SIZE CALCULATION'!$F:$G,2,0))</f>
        <v/>
      </c>
      <c r="AG410" s="207" t="str">
        <f t="shared" si="66"/>
        <v/>
      </c>
      <c r="AH410" s="207" t="str">
        <f t="shared" si="71"/>
        <v/>
      </c>
      <c r="AI410" s="210" t="str">
        <f>IF(ISBLANK(D410),"",VLOOKUP($A410,INDEX!$D$2:$F$13,3,0))</f>
        <v/>
      </c>
      <c r="AJ410" s="207" t="str">
        <f t="shared" si="72"/>
        <v/>
      </c>
      <c r="AK410" s="207"/>
      <c r="AL410" s="207"/>
      <c r="AM410" s="207" t="str">
        <f>IFERROR(IF(ISBLANK($D410),"",VLOOKUP($N410,'TABLE CHARGE RATE'!$A$30:$K$106,5,0)),"Check")</f>
        <v/>
      </c>
      <c r="AN410" s="207" t="str">
        <f>IFERROR(IF(ISBLANK($D410),"",VLOOKUP($N410,'TABLE CHARGE RATE'!$A$30:$K$106,6,0)),"Check")</f>
        <v/>
      </c>
      <c r="AO410" s="207" t="str">
        <f>IFERROR(IF(ISBLANK($D410),"",VLOOKUP($N410,'TABLE CHARGE RATE'!$A$30:$K$106,7,0)),"Check")</f>
        <v/>
      </c>
      <c r="AP410" s="207" t="str">
        <f>IFERROR(IF(ISBLANK($D410),"",VLOOKUP($N410,'TABLE CHARGE RATE'!$A$30:$K$106,8,0)),"Check")</f>
        <v/>
      </c>
      <c r="AQ410" s="207" t="str">
        <f>IFERROR(IF(ISBLANK($D410),"",VLOOKUP($N410,'TABLE CHARGE RATE'!$A$30:$K$106,9,0)),"Check")</f>
        <v/>
      </c>
      <c r="AR410" s="207" t="str">
        <f>IFERROR(IF(ISBLANK($D410),"",VLOOKUP($N410,'TABLE CHARGE RATE'!$A$30:$K$106,10,0)),"Check")</f>
        <v/>
      </c>
      <c r="AS410" s="207" t="str">
        <f>IFERROR(IF(ISBLANK($D410),"",VLOOKUP($N410,'TABLE CHARGE RATE'!$A$30:$K$106,11,0)),"Check")</f>
        <v/>
      </c>
      <c r="AT410" s="207"/>
    </row>
    <row r="411" spans="1:46" x14ac:dyDescent="0.2">
      <c r="A411" s="207" t="str">
        <f t="shared" si="65"/>
        <v/>
      </c>
      <c r="B411" s="208" t="str">
        <f>IF(ISBLANK(D411),"",VLOOKUP(WEEKDAY($C411,1),INDEX!$J$2:$K$8,2,0))</f>
        <v/>
      </c>
      <c r="C411" s="209"/>
      <c r="D411" s="207"/>
      <c r="E411" s="207"/>
      <c r="F411" s="207"/>
      <c r="G411" s="207"/>
      <c r="H411" s="207"/>
      <c r="I411" s="207"/>
      <c r="J411" s="207"/>
      <c r="K411" s="207"/>
      <c r="L411" s="207"/>
      <c r="M411" s="207"/>
      <c r="N411" s="207"/>
      <c r="O411" s="207"/>
      <c r="P411" s="207"/>
      <c r="Q411" s="207"/>
      <c r="R411" s="207"/>
      <c r="S411" s="207"/>
      <c r="T411" s="207"/>
      <c r="U411" s="209"/>
      <c r="V411" s="207"/>
      <c r="W411" s="207"/>
      <c r="X411" s="209">
        <f t="shared" si="67"/>
        <v>0</v>
      </c>
      <c r="Y411" s="209">
        <f t="shared" si="68"/>
        <v>0</v>
      </c>
      <c r="Z411" s="207" t="str">
        <f t="shared" ca="1" si="69"/>
        <v/>
      </c>
      <c r="AA411" s="209" t="str">
        <f t="shared" si="62"/>
        <v/>
      </c>
      <c r="AB411" s="209"/>
      <c r="AC411" s="207" t="str">
        <f t="shared" ca="1" si="70"/>
        <v/>
      </c>
      <c r="AD411" s="207"/>
      <c r="AE411" s="207"/>
      <c r="AF411" s="208" t="str">
        <f>IF(ISBLANK(D411),"",VLOOKUP(F411,'SIZE CALCULATION'!$F:$G,2,0))</f>
        <v/>
      </c>
      <c r="AG411" s="207" t="str">
        <f t="shared" si="66"/>
        <v/>
      </c>
      <c r="AH411" s="207" t="str">
        <f t="shared" si="71"/>
        <v/>
      </c>
      <c r="AI411" s="210" t="str">
        <f>IF(ISBLANK(D411),"",VLOOKUP($A411,INDEX!$D$2:$F$13,3,0))</f>
        <v/>
      </c>
      <c r="AJ411" s="207" t="str">
        <f t="shared" si="72"/>
        <v/>
      </c>
      <c r="AK411" s="207"/>
      <c r="AL411" s="207"/>
      <c r="AM411" s="207" t="str">
        <f>IFERROR(IF(ISBLANK($D411),"",VLOOKUP($N411,'TABLE CHARGE RATE'!$A$30:$K$106,5,0)),"Check")</f>
        <v/>
      </c>
      <c r="AN411" s="207" t="str">
        <f>IFERROR(IF(ISBLANK($D411),"",VLOOKUP($N411,'TABLE CHARGE RATE'!$A$30:$K$106,6,0)),"Check")</f>
        <v/>
      </c>
      <c r="AO411" s="207" t="str">
        <f>IFERROR(IF(ISBLANK($D411),"",VLOOKUP($N411,'TABLE CHARGE RATE'!$A$30:$K$106,7,0)),"Check")</f>
        <v/>
      </c>
      <c r="AP411" s="207" t="str">
        <f>IFERROR(IF(ISBLANK($D411),"",VLOOKUP($N411,'TABLE CHARGE RATE'!$A$30:$K$106,8,0)),"Check")</f>
        <v/>
      </c>
      <c r="AQ411" s="207" t="str">
        <f>IFERROR(IF(ISBLANK($D411),"",VLOOKUP($N411,'TABLE CHARGE RATE'!$A$30:$K$106,9,0)),"Check")</f>
        <v/>
      </c>
      <c r="AR411" s="207" t="str">
        <f>IFERROR(IF(ISBLANK($D411),"",VLOOKUP($N411,'TABLE CHARGE RATE'!$A$30:$K$106,10,0)),"Check")</f>
        <v/>
      </c>
      <c r="AS411" s="207" t="str">
        <f>IFERROR(IF(ISBLANK($D411),"",VLOOKUP($N411,'TABLE CHARGE RATE'!$A$30:$K$106,11,0)),"Check")</f>
        <v/>
      </c>
      <c r="AT411" s="207"/>
    </row>
    <row r="412" spans="1:46" x14ac:dyDescent="0.2">
      <c r="A412" s="207" t="str">
        <f t="shared" si="65"/>
        <v/>
      </c>
      <c r="B412" s="208" t="str">
        <f>IF(ISBLANK(D412),"",VLOOKUP(WEEKDAY($C412,1),INDEX!$J$2:$K$8,2,0))</f>
        <v/>
      </c>
      <c r="C412" s="209"/>
      <c r="D412" s="207"/>
      <c r="E412" s="207"/>
      <c r="F412" s="207"/>
      <c r="G412" s="207"/>
      <c r="H412" s="207"/>
      <c r="I412" s="207"/>
      <c r="J412" s="207"/>
      <c r="K412" s="207"/>
      <c r="L412" s="207"/>
      <c r="M412" s="207"/>
      <c r="N412" s="207"/>
      <c r="O412" s="207"/>
      <c r="P412" s="207"/>
      <c r="Q412" s="207"/>
      <c r="R412" s="207"/>
      <c r="S412" s="207"/>
      <c r="T412" s="207"/>
      <c r="U412" s="209"/>
      <c r="V412" s="207"/>
      <c r="W412" s="207"/>
      <c r="X412" s="209">
        <f t="shared" si="67"/>
        <v>0</v>
      </c>
      <c r="Y412" s="209">
        <f t="shared" si="68"/>
        <v>0</v>
      </c>
      <c r="Z412" s="207" t="str">
        <f t="shared" ca="1" si="69"/>
        <v/>
      </c>
      <c r="AA412" s="209" t="str">
        <f t="shared" si="62"/>
        <v/>
      </c>
      <c r="AB412" s="209"/>
      <c r="AC412" s="207" t="str">
        <f t="shared" ca="1" si="70"/>
        <v/>
      </c>
      <c r="AD412" s="207"/>
      <c r="AE412" s="207"/>
      <c r="AF412" s="208" t="str">
        <f>IF(ISBLANK(D412),"",VLOOKUP(F412,'SIZE CALCULATION'!$F:$G,2,0))</f>
        <v/>
      </c>
      <c r="AG412" s="207" t="str">
        <f t="shared" si="66"/>
        <v/>
      </c>
      <c r="AH412" s="207" t="str">
        <f t="shared" si="71"/>
        <v/>
      </c>
      <c r="AI412" s="210" t="str">
        <f>IF(ISBLANK(D412),"",VLOOKUP($A412,INDEX!$D$2:$F$13,3,0))</f>
        <v/>
      </c>
      <c r="AJ412" s="207" t="str">
        <f t="shared" si="72"/>
        <v/>
      </c>
      <c r="AK412" s="207"/>
      <c r="AL412" s="207"/>
      <c r="AM412" s="207" t="str">
        <f>IFERROR(IF(ISBLANK($D412),"",VLOOKUP($N412,'TABLE CHARGE RATE'!$A$30:$K$106,5,0)),"Check")</f>
        <v/>
      </c>
      <c r="AN412" s="207" t="str">
        <f>IFERROR(IF(ISBLANK($D412),"",VLOOKUP($N412,'TABLE CHARGE RATE'!$A$30:$K$106,6,0)),"Check")</f>
        <v/>
      </c>
      <c r="AO412" s="207" t="str">
        <f>IFERROR(IF(ISBLANK($D412),"",VLOOKUP($N412,'TABLE CHARGE RATE'!$A$30:$K$106,7,0)),"Check")</f>
        <v/>
      </c>
      <c r="AP412" s="207" t="str">
        <f>IFERROR(IF(ISBLANK($D412),"",VLOOKUP($N412,'TABLE CHARGE RATE'!$A$30:$K$106,8,0)),"Check")</f>
        <v/>
      </c>
      <c r="AQ412" s="207" t="str">
        <f>IFERROR(IF(ISBLANK($D412),"",VLOOKUP($N412,'TABLE CHARGE RATE'!$A$30:$K$106,9,0)),"Check")</f>
        <v/>
      </c>
      <c r="AR412" s="207" t="str">
        <f>IFERROR(IF(ISBLANK($D412),"",VLOOKUP($N412,'TABLE CHARGE RATE'!$A$30:$K$106,10,0)),"Check")</f>
        <v/>
      </c>
      <c r="AS412" s="207" t="str">
        <f>IFERROR(IF(ISBLANK($D412),"",VLOOKUP($N412,'TABLE CHARGE RATE'!$A$30:$K$106,11,0)),"Check")</f>
        <v/>
      </c>
      <c r="AT412" s="207"/>
    </row>
    <row r="413" spans="1:46" x14ac:dyDescent="0.2">
      <c r="A413" s="207" t="str">
        <f t="shared" si="65"/>
        <v/>
      </c>
      <c r="B413" s="208" t="str">
        <f>IF(ISBLANK(D413),"",VLOOKUP(WEEKDAY($C413,1),INDEX!$J$2:$K$8,2,0))</f>
        <v/>
      </c>
      <c r="C413" s="209"/>
      <c r="D413" s="207"/>
      <c r="E413" s="207"/>
      <c r="F413" s="207"/>
      <c r="G413" s="207"/>
      <c r="H413" s="207"/>
      <c r="I413" s="207"/>
      <c r="J413" s="207"/>
      <c r="K413" s="207"/>
      <c r="L413" s="207"/>
      <c r="M413" s="207"/>
      <c r="N413" s="207"/>
      <c r="O413" s="207"/>
      <c r="P413" s="207"/>
      <c r="Q413" s="207"/>
      <c r="R413" s="207"/>
      <c r="S413" s="207"/>
      <c r="T413" s="207"/>
      <c r="U413" s="209"/>
      <c r="V413" s="207"/>
      <c r="W413" s="207"/>
      <c r="X413" s="209">
        <f t="shared" si="67"/>
        <v>0</v>
      </c>
      <c r="Y413" s="209">
        <f t="shared" si="68"/>
        <v>0</v>
      </c>
      <c r="Z413" s="207" t="str">
        <f t="shared" ca="1" si="69"/>
        <v/>
      </c>
      <c r="AA413" s="209" t="str">
        <f t="shared" si="62"/>
        <v/>
      </c>
      <c r="AB413" s="209"/>
      <c r="AC413" s="207" t="str">
        <f t="shared" ca="1" si="70"/>
        <v/>
      </c>
      <c r="AD413" s="207"/>
      <c r="AE413" s="207"/>
      <c r="AF413" s="208" t="str">
        <f>IF(ISBLANK(D413),"",VLOOKUP(F413,'SIZE CALCULATION'!$F:$G,2,0))</f>
        <v/>
      </c>
      <c r="AG413" s="207" t="str">
        <f t="shared" si="66"/>
        <v/>
      </c>
      <c r="AH413" s="207" t="str">
        <f t="shared" si="71"/>
        <v/>
      </c>
      <c r="AI413" s="210" t="str">
        <f>IF(ISBLANK(D413),"",VLOOKUP($A413,INDEX!$D$2:$F$13,3,0))</f>
        <v/>
      </c>
      <c r="AJ413" s="207" t="str">
        <f t="shared" si="72"/>
        <v/>
      </c>
      <c r="AK413" s="207"/>
      <c r="AL413" s="207"/>
      <c r="AM413" s="207" t="str">
        <f>IFERROR(IF(ISBLANK($D413),"",VLOOKUP($N413,'TABLE CHARGE RATE'!$A$30:$K$106,5,0)),"Check")</f>
        <v/>
      </c>
      <c r="AN413" s="207" t="str">
        <f>IFERROR(IF(ISBLANK($D413),"",VLOOKUP($N413,'TABLE CHARGE RATE'!$A$30:$K$106,6,0)),"Check")</f>
        <v/>
      </c>
      <c r="AO413" s="207" t="str">
        <f>IFERROR(IF(ISBLANK($D413),"",VLOOKUP($N413,'TABLE CHARGE RATE'!$A$30:$K$106,7,0)),"Check")</f>
        <v/>
      </c>
      <c r="AP413" s="207" t="str">
        <f>IFERROR(IF(ISBLANK($D413),"",VLOOKUP($N413,'TABLE CHARGE RATE'!$A$30:$K$106,8,0)),"Check")</f>
        <v/>
      </c>
      <c r="AQ413" s="207" t="str">
        <f>IFERROR(IF(ISBLANK($D413),"",VLOOKUP($N413,'TABLE CHARGE RATE'!$A$30:$K$106,9,0)),"Check")</f>
        <v/>
      </c>
      <c r="AR413" s="207" t="str">
        <f>IFERROR(IF(ISBLANK($D413),"",VLOOKUP($N413,'TABLE CHARGE RATE'!$A$30:$K$106,10,0)),"Check")</f>
        <v/>
      </c>
      <c r="AS413" s="207" t="str">
        <f>IFERROR(IF(ISBLANK($D413),"",VLOOKUP($N413,'TABLE CHARGE RATE'!$A$30:$K$106,11,0)),"Check")</f>
        <v/>
      </c>
      <c r="AT413" s="207"/>
    </row>
    <row r="414" spans="1:46" x14ac:dyDescent="0.2">
      <c r="A414" s="207" t="str">
        <f t="shared" si="65"/>
        <v/>
      </c>
      <c r="B414" s="208" t="str">
        <f>IF(ISBLANK(D414),"",VLOOKUP(WEEKDAY($C414,1),INDEX!$J$2:$K$8,2,0))</f>
        <v/>
      </c>
      <c r="C414" s="209"/>
      <c r="D414" s="207"/>
      <c r="E414" s="207"/>
      <c r="F414" s="207"/>
      <c r="G414" s="207"/>
      <c r="H414" s="207"/>
      <c r="I414" s="207"/>
      <c r="J414" s="207"/>
      <c r="K414" s="207"/>
      <c r="L414" s="207"/>
      <c r="M414" s="207"/>
      <c r="N414" s="207"/>
      <c r="O414" s="207"/>
      <c r="P414" s="207"/>
      <c r="Q414" s="207"/>
      <c r="R414" s="207"/>
      <c r="S414" s="207"/>
      <c r="T414" s="207"/>
      <c r="U414" s="209"/>
      <c r="V414" s="207"/>
      <c r="W414" s="207"/>
      <c r="X414" s="209">
        <f t="shared" si="67"/>
        <v>0</v>
      </c>
      <c r="Y414" s="209">
        <f t="shared" si="68"/>
        <v>0</v>
      </c>
      <c r="Z414" s="207" t="str">
        <f t="shared" ca="1" si="69"/>
        <v/>
      </c>
      <c r="AA414" s="209" t="str">
        <f t="shared" si="62"/>
        <v/>
      </c>
      <c r="AB414" s="209"/>
      <c r="AC414" s="207" t="str">
        <f t="shared" ca="1" si="70"/>
        <v/>
      </c>
      <c r="AD414" s="207"/>
      <c r="AE414" s="207"/>
      <c r="AF414" s="208" t="str">
        <f>IF(ISBLANK(D414),"",VLOOKUP(F414,'SIZE CALCULATION'!$F:$G,2,0))</f>
        <v/>
      </c>
      <c r="AG414" s="207" t="str">
        <f t="shared" si="66"/>
        <v/>
      </c>
      <c r="AH414" s="207" t="str">
        <f t="shared" si="71"/>
        <v/>
      </c>
      <c r="AI414" s="210" t="str">
        <f>IF(ISBLANK(D414),"",VLOOKUP($A414,INDEX!$D$2:$F$13,3,0))</f>
        <v/>
      </c>
      <c r="AJ414" s="207" t="str">
        <f t="shared" si="72"/>
        <v/>
      </c>
      <c r="AK414" s="207"/>
      <c r="AL414" s="207"/>
      <c r="AM414" s="207" t="str">
        <f>IFERROR(IF(ISBLANK($D414),"",VLOOKUP($N414,'TABLE CHARGE RATE'!$A$30:$K$106,5,0)),"Check")</f>
        <v/>
      </c>
      <c r="AN414" s="207" t="str">
        <f>IFERROR(IF(ISBLANK($D414),"",VLOOKUP($N414,'TABLE CHARGE RATE'!$A$30:$K$106,6,0)),"Check")</f>
        <v/>
      </c>
      <c r="AO414" s="207" t="str">
        <f>IFERROR(IF(ISBLANK($D414),"",VLOOKUP($N414,'TABLE CHARGE RATE'!$A$30:$K$106,7,0)),"Check")</f>
        <v/>
      </c>
      <c r="AP414" s="207" t="str">
        <f>IFERROR(IF(ISBLANK($D414),"",VLOOKUP($N414,'TABLE CHARGE RATE'!$A$30:$K$106,8,0)),"Check")</f>
        <v/>
      </c>
      <c r="AQ414" s="207" t="str">
        <f>IFERROR(IF(ISBLANK($D414),"",VLOOKUP($N414,'TABLE CHARGE RATE'!$A$30:$K$106,9,0)),"Check")</f>
        <v/>
      </c>
      <c r="AR414" s="207" t="str">
        <f>IFERROR(IF(ISBLANK($D414),"",VLOOKUP($N414,'TABLE CHARGE RATE'!$A$30:$K$106,10,0)),"Check")</f>
        <v/>
      </c>
      <c r="AS414" s="207" t="str">
        <f>IFERROR(IF(ISBLANK($D414),"",VLOOKUP($N414,'TABLE CHARGE RATE'!$A$30:$K$106,11,0)),"Check")</f>
        <v/>
      </c>
      <c r="AT414" s="207"/>
    </row>
    <row r="415" spans="1:46" x14ac:dyDescent="0.2">
      <c r="A415" s="207" t="str">
        <f t="shared" si="65"/>
        <v/>
      </c>
      <c r="B415" s="208" t="str">
        <f>IF(ISBLANK(D415),"",VLOOKUP(WEEKDAY($C415,1),INDEX!$J$2:$K$8,2,0))</f>
        <v/>
      </c>
      <c r="C415" s="209"/>
      <c r="D415" s="207"/>
      <c r="E415" s="207"/>
      <c r="F415" s="207"/>
      <c r="G415" s="207"/>
      <c r="H415" s="207"/>
      <c r="I415" s="207"/>
      <c r="J415" s="207"/>
      <c r="K415" s="207"/>
      <c r="L415" s="207"/>
      <c r="M415" s="207"/>
      <c r="N415" s="207"/>
      <c r="O415" s="207"/>
      <c r="P415" s="207"/>
      <c r="Q415" s="207"/>
      <c r="R415" s="207"/>
      <c r="S415" s="207"/>
      <c r="T415" s="207"/>
      <c r="U415" s="209"/>
      <c r="V415" s="207"/>
      <c r="W415" s="207"/>
      <c r="X415" s="209">
        <f t="shared" si="67"/>
        <v>0</v>
      </c>
      <c r="Y415" s="209">
        <f t="shared" si="68"/>
        <v>0</v>
      </c>
      <c r="Z415" s="207" t="str">
        <f t="shared" ca="1" si="69"/>
        <v/>
      </c>
      <c r="AA415" s="209" t="str">
        <f t="shared" si="62"/>
        <v/>
      </c>
      <c r="AB415" s="209"/>
      <c r="AC415" s="207" t="str">
        <f t="shared" ca="1" si="70"/>
        <v/>
      </c>
      <c r="AD415" s="207"/>
      <c r="AE415" s="207"/>
      <c r="AF415" s="208" t="str">
        <f>IF(ISBLANK(D415),"",VLOOKUP(F415,'SIZE CALCULATION'!$F:$G,2,0))</f>
        <v/>
      </c>
      <c r="AG415" s="207" t="str">
        <f t="shared" si="66"/>
        <v/>
      </c>
      <c r="AH415" s="207" t="str">
        <f t="shared" si="71"/>
        <v/>
      </c>
      <c r="AI415" s="210" t="str">
        <f>IF(ISBLANK(D415),"",VLOOKUP($A415,INDEX!$D$2:$F$13,3,0))</f>
        <v/>
      </c>
      <c r="AJ415" s="207" t="str">
        <f t="shared" si="72"/>
        <v/>
      </c>
      <c r="AK415" s="207"/>
      <c r="AL415" s="207"/>
      <c r="AM415" s="207" t="str">
        <f>IFERROR(IF(ISBLANK($D415),"",VLOOKUP($N415,'TABLE CHARGE RATE'!$A$30:$K$106,5,0)),"Check")</f>
        <v/>
      </c>
      <c r="AN415" s="207" t="str">
        <f>IFERROR(IF(ISBLANK($D415),"",VLOOKUP($N415,'TABLE CHARGE RATE'!$A$30:$K$106,6,0)),"Check")</f>
        <v/>
      </c>
      <c r="AO415" s="207" t="str">
        <f>IFERROR(IF(ISBLANK($D415),"",VLOOKUP($N415,'TABLE CHARGE RATE'!$A$30:$K$106,7,0)),"Check")</f>
        <v/>
      </c>
      <c r="AP415" s="207" t="str">
        <f>IFERROR(IF(ISBLANK($D415),"",VLOOKUP($N415,'TABLE CHARGE RATE'!$A$30:$K$106,8,0)),"Check")</f>
        <v/>
      </c>
      <c r="AQ415" s="207" t="str">
        <f>IFERROR(IF(ISBLANK($D415),"",VLOOKUP($N415,'TABLE CHARGE RATE'!$A$30:$K$106,9,0)),"Check")</f>
        <v/>
      </c>
      <c r="AR415" s="207" t="str">
        <f>IFERROR(IF(ISBLANK($D415),"",VLOOKUP($N415,'TABLE CHARGE RATE'!$A$30:$K$106,10,0)),"Check")</f>
        <v/>
      </c>
      <c r="AS415" s="207" t="str">
        <f>IFERROR(IF(ISBLANK($D415),"",VLOOKUP($N415,'TABLE CHARGE RATE'!$A$30:$K$106,11,0)),"Check")</f>
        <v/>
      </c>
      <c r="AT415" s="207"/>
    </row>
    <row r="416" spans="1:46" x14ac:dyDescent="0.2">
      <c r="A416" s="207" t="str">
        <f t="shared" si="65"/>
        <v/>
      </c>
      <c r="B416" s="208" t="str">
        <f>IF(ISBLANK(D416),"",VLOOKUP(WEEKDAY($C416,1),INDEX!$J$2:$K$8,2,0))</f>
        <v/>
      </c>
      <c r="C416" s="209"/>
      <c r="D416" s="207"/>
      <c r="E416" s="207"/>
      <c r="F416" s="207"/>
      <c r="G416" s="207"/>
      <c r="H416" s="207"/>
      <c r="I416" s="207"/>
      <c r="J416" s="207"/>
      <c r="K416" s="207"/>
      <c r="L416" s="207"/>
      <c r="M416" s="207"/>
      <c r="N416" s="207"/>
      <c r="O416" s="207"/>
      <c r="P416" s="207"/>
      <c r="Q416" s="207"/>
      <c r="R416" s="207"/>
      <c r="S416" s="207"/>
      <c r="T416" s="207"/>
      <c r="U416" s="209"/>
      <c r="V416" s="207"/>
      <c r="W416" s="207"/>
      <c r="X416" s="209">
        <f t="shared" si="67"/>
        <v>0</v>
      </c>
      <c r="Y416" s="209">
        <f t="shared" si="68"/>
        <v>0</v>
      </c>
      <c r="Z416" s="207" t="str">
        <f t="shared" ca="1" si="69"/>
        <v/>
      </c>
      <c r="AA416" s="209" t="str">
        <f t="shared" si="62"/>
        <v/>
      </c>
      <c r="AB416" s="209"/>
      <c r="AC416" s="207" t="str">
        <f t="shared" ca="1" si="70"/>
        <v/>
      </c>
      <c r="AD416" s="207"/>
      <c r="AE416" s="207"/>
      <c r="AF416" s="208" t="str">
        <f>IF(ISBLANK(D416),"",VLOOKUP(F416,'SIZE CALCULATION'!$F:$G,2,0))</f>
        <v/>
      </c>
      <c r="AG416" s="207" t="str">
        <f t="shared" si="66"/>
        <v/>
      </c>
      <c r="AH416" s="207" t="str">
        <f t="shared" si="71"/>
        <v/>
      </c>
      <c r="AI416" s="210" t="str">
        <f>IF(ISBLANK(D416),"",VLOOKUP($A416,INDEX!$D$2:$F$13,3,0))</f>
        <v/>
      </c>
      <c r="AJ416" s="207" t="str">
        <f t="shared" si="72"/>
        <v/>
      </c>
      <c r="AK416" s="207"/>
      <c r="AL416" s="207"/>
      <c r="AM416" s="207" t="str">
        <f>IFERROR(IF(ISBLANK($D416),"",VLOOKUP($N416,'TABLE CHARGE RATE'!$A$30:$K$106,5,0)),"Check")</f>
        <v/>
      </c>
      <c r="AN416" s="207" t="str">
        <f>IFERROR(IF(ISBLANK($D416),"",VLOOKUP($N416,'TABLE CHARGE RATE'!$A$30:$K$106,6,0)),"Check")</f>
        <v/>
      </c>
      <c r="AO416" s="207" t="str">
        <f>IFERROR(IF(ISBLANK($D416),"",VLOOKUP($N416,'TABLE CHARGE RATE'!$A$30:$K$106,7,0)),"Check")</f>
        <v/>
      </c>
      <c r="AP416" s="207" t="str">
        <f>IFERROR(IF(ISBLANK($D416),"",VLOOKUP($N416,'TABLE CHARGE RATE'!$A$30:$K$106,8,0)),"Check")</f>
        <v/>
      </c>
      <c r="AQ416" s="207" t="str">
        <f>IFERROR(IF(ISBLANK($D416),"",VLOOKUP($N416,'TABLE CHARGE RATE'!$A$30:$K$106,9,0)),"Check")</f>
        <v/>
      </c>
      <c r="AR416" s="207" t="str">
        <f>IFERROR(IF(ISBLANK($D416),"",VLOOKUP($N416,'TABLE CHARGE RATE'!$A$30:$K$106,10,0)),"Check")</f>
        <v/>
      </c>
      <c r="AS416" s="207" t="str">
        <f>IFERROR(IF(ISBLANK($D416),"",VLOOKUP($N416,'TABLE CHARGE RATE'!$A$30:$K$106,11,0)),"Check")</f>
        <v/>
      </c>
      <c r="AT416" s="207"/>
    </row>
    <row r="417" spans="1:46" x14ac:dyDescent="0.2">
      <c r="A417" s="207" t="str">
        <f t="shared" si="65"/>
        <v/>
      </c>
      <c r="B417" s="208" t="str">
        <f>IF(ISBLANK(D417),"",VLOOKUP(WEEKDAY($C417,1),INDEX!$J$2:$K$8,2,0))</f>
        <v/>
      </c>
      <c r="C417" s="209"/>
      <c r="D417" s="207"/>
      <c r="E417" s="207"/>
      <c r="F417" s="207"/>
      <c r="G417" s="207"/>
      <c r="H417" s="207"/>
      <c r="I417" s="207"/>
      <c r="J417" s="207"/>
      <c r="K417" s="207"/>
      <c r="L417" s="207"/>
      <c r="M417" s="207"/>
      <c r="N417" s="207"/>
      <c r="O417" s="207"/>
      <c r="P417" s="207"/>
      <c r="Q417" s="207"/>
      <c r="R417" s="207"/>
      <c r="S417" s="207"/>
      <c r="T417" s="207"/>
      <c r="U417" s="209"/>
      <c r="V417" s="207"/>
      <c r="W417" s="207"/>
      <c r="X417" s="209">
        <f t="shared" si="67"/>
        <v>0</v>
      </c>
      <c r="Y417" s="209">
        <f t="shared" si="68"/>
        <v>0</v>
      </c>
      <c r="Z417" s="207" t="str">
        <f t="shared" ca="1" si="69"/>
        <v/>
      </c>
      <c r="AA417" s="209" t="str">
        <f t="shared" ref="AA417:AA480" si="73">IF(ISBLANK(D417),"",Y417+10)</f>
        <v/>
      </c>
      <c r="AB417" s="209"/>
      <c r="AC417" s="207" t="str">
        <f t="shared" ca="1" si="70"/>
        <v/>
      </c>
      <c r="AD417" s="207"/>
      <c r="AE417" s="207"/>
      <c r="AF417" s="208" t="str">
        <f>IF(ISBLANK(D417),"",VLOOKUP(F417,'SIZE CALCULATION'!$F:$G,2,0))</f>
        <v/>
      </c>
      <c r="AG417" s="207" t="str">
        <f t="shared" si="66"/>
        <v/>
      </c>
      <c r="AH417" s="207" t="str">
        <f t="shared" si="71"/>
        <v/>
      </c>
      <c r="AI417" s="210" t="str">
        <f>IF(ISBLANK(D417),"",VLOOKUP($A417,INDEX!$D$2:$F$13,3,0))</f>
        <v/>
      </c>
      <c r="AJ417" s="207" t="str">
        <f t="shared" si="72"/>
        <v/>
      </c>
      <c r="AK417" s="207"/>
      <c r="AL417" s="207"/>
      <c r="AM417" s="207" t="str">
        <f>IFERROR(IF(ISBLANK($D417),"",VLOOKUP($N417,'TABLE CHARGE RATE'!$A$30:$K$106,5,0)),"Check")</f>
        <v/>
      </c>
      <c r="AN417" s="207" t="str">
        <f>IFERROR(IF(ISBLANK($D417),"",VLOOKUP($N417,'TABLE CHARGE RATE'!$A$30:$K$106,6,0)),"Check")</f>
        <v/>
      </c>
      <c r="AO417" s="207" t="str">
        <f>IFERROR(IF(ISBLANK($D417),"",VLOOKUP($N417,'TABLE CHARGE RATE'!$A$30:$K$106,7,0)),"Check")</f>
        <v/>
      </c>
      <c r="AP417" s="207" t="str">
        <f>IFERROR(IF(ISBLANK($D417),"",VLOOKUP($N417,'TABLE CHARGE RATE'!$A$30:$K$106,8,0)),"Check")</f>
        <v/>
      </c>
      <c r="AQ417" s="207" t="str">
        <f>IFERROR(IF(ISBLANK($D417),"",VLOOKUP($N417,'TABLE CHARGE RATE'!$A$30:$K$106,9,0)),"Check")</f>
        <v/>
      </c>
      <c r="AR417" s="207" t="str">
        <f>IFERROR(IF(ISBLANK($D417),"",VLOOKUP($N417,'TABLE CHARGE RATE'!$A$30:$K$106,10,0)),"Check")</f>
        <v/>
      </c>
      <c r="AS417" s="207" t="str">
        <f>IFERROR(IF(ISBLANK($D417),"",VLOOKUP($N417,'TABLE CHARGE RATE'!$A$30:$K$106,11,0)),"Check")</f>
        <v/>
      </c>
      <c r="AT417" s="207"/>
    </row>
    <row r="418" spans="1:46" x14ac:dyDescent="0.2">
      <c r="A418" s="207" t="str">
        <f t="shared" si="65"/>
        <v/>
      </c>
      <c r="B418" s="208" t="str">
        <f>IF(ISBLANK(D418),"",VLOOKUP(WEEKDAY($C418,1),INDEX!$J$2:$K$8,2,0))</f>
        <v/>
      </c>
      <c r="C418" s="209"/>
      <c r="D418" s="207"/>
      <c r="E418" s="207"/>
      <c r="F418" s="207"/>
      <c r="G418" s="207"/>
      <c r="H418" s="207"/>
      <c r="I418" s="207"/>
      <c r="J418" s="207"/>
      <c r="K418" s="207"/>
      <c r="L418" s="207"/>
      <c r="M418" s="207"/>
      <c r="N418" s="207"/>
      <c r="O418" s="207"/>
      <c r="P418" s="207"/>
      <c r="Q418" s="207"/>
      <c r="R418" s="207"/>
      <c r="S418" s="207"/>
      <c r="T418" s="207"/>
      <c r="U418" s="209"/>
      <c r="V418" s="207"/>
      <c r="W418" s="207"/>
      <c r="X418" s="209">
        <f t="shared" si="67"/>
        <v>0</v>
      </c>
      <c r="Y418" s="209">
        <f t="shared" si="68"/>
        <v>0</v>
      </c>
      <c r="Z418" s="207" t="str">
        <f t="shared" ca="1" si="69"/>
        <v/>
      </c>
      <c r="AA418" s="209" t="str">
        <f t="shared" si="73"/>
        <v/>
      </c>
      <c r="AB418" s="209"/>
      <c r="AC418" s="207" t="str">
        <f t="shared" ca="1" si="70"/>
        <v/>
      </c>
      <c r="AD418" s="207"/>
      <c r="AE418" s="207"/>
      <c r="AF418" s="208" t="str">
        <f>IF(ISBLANK(D418),"",VLOOKUP(F418,'SIZE CALCULATION'!$F:$G,2,0))</f>
        <v/>
      </c>
      <c r="AG418" s="207" t="str">
        <f t="shared" si="66"/>
        <v/>
      </c>
      <c r="AH418" s="207" t="str">
        <f t="shared" si="71"/>
        <v/>
      </c>
      <c r="AI418" s="210" t="str">
        <f>IF(ISBLANK(D418),"",VLOOKUP($A418,INDEX!$D$2:$F$13,3,0))</f>
        <v/>
      </c>
      <c r="AJ418" s="207" t="str">
        <f t="shared" si="72"/>
        <v/>
      </c>
      <c r="AK418" s="207"/>
      <c r="AL418" s="207"/>
      <c r="AM418" s="207" t="str">
        <f>IFERROR(IF(ISBLANK($D418),"",VLOOKUP($N418,'TABLE CHARGE RATE'!$A$30:$K$106,5,0)),"Check")</f>
        <v/>
      </c>
      <c r="AN418" s="207" t="str">
        <f>IFERROR(IF(ISBLANK($D418),"",VLOOKUP($N418,'TABLE CHARGE RATE'!$A$30:$K$106,6,0)),"Check")</f>
        <v/>
      </c>
      <c r="AO418" s="207" t="str">
        <f>IFERROR(IF(ISBLANK($D418),"",VLOOKUP($N418,'TABLE CHARGE RATE'!$A$30:$K$106,7,0)),"Check")</f>
        <v/>
      </c>
      <c r="AP418" s="207" t="str">
        <f>IFERROR(IF(ISBLANK($D418),"",VLOOKUP($N418,'TABLE CHARGE RATE'!$A$30:$K$106,8,0)),"Check")</f>
        <v/>
      </c>
      <c r="AQ418" s="207" t="str">
        <f>IFERROR(IF(ISBLANK($D418),"",VLOOKUP($N418,'TABLE CHARGE RATE'!$A$30:$K$106,9,0)),"Check")</f>
        <v/>
      </c>
      <c r="AR418" s="207" t="str">
        <f>IFERROR(IF(ISBLANK($D418),"",VLOOKUP($N418,'TABLE CHARGE RATE'!$A$30:$K$106,10,0)),"Check")</f>
        <v/>
      </c>
      <c r="AS418" s="207" t="str">
        <f>IFERROR(IF(ISBLANK($D418),"",VLOOKUP($N418,'TABLE CHARGE RATE'!$A$30:$K$106,11,0)),"Check")</f>
        <v/>
      </c>
      <c r="AT418" s="207"/>
    </row>
    <row r="419" spans="1:46" x14ac:dyDescent="0.2">
      <c r="A419" s="207" t="str">
        <f t="shared" si="65"/>
        <v/>
      </c>
      <c r="B419" s="208" t="str">
        <f>IF(ISBLANK(D419),"",VLOOKUP(WEEKDAY($C419,1),INDEX!$J$2:$K$8,2,0))</f>
        <v/>
      </c>
      <c r="C419" s="209"/>
      <c r="D419" s="207"/>
      <c r="E419" s="207"/>
      <c r="F419" s="207"/>
      <c r="G419" s="207"/>
      <c r="H419" s="207"/>
      <c r="I419" s="207"/>
      <c r="J419" s="207"/>
      <c r="K419" s="207"/>
      <c r="L419" s="207"/>
      <c r="M419" s="207"/>
      <c r="N419" s="207"/>
      <c r="O419" s="207"/>
      <c r="P419" s="207"/>
      <c r="Q419" s="207"/>
      <c r="R419" s="207"/>
      <c r="S419" s="207"/>
      <c r="T419" s="207"/>
      <c r="U419" s="209"/>
      <c r="V419" s="207"/>
      <c r="W419" s="207"/>
      <c r="X419" s="209">
        <f t="shared" si="67"/>
        <v>0</v>
      </c>
      <c r="Y419" s="209">
        <f t="shared" si="68"/>
        <v>0</v>
      </c>
      <c r="Z419" s="207" t="str">
        <f t="shared" ca="1" si="69"/>
        <v/>
      </c>
      <c r="AA419" s="209" t="str">
        <f t="shared" si="73"/>
        <v/>
      </c>
      <c r="AB419" s="209"/>
      <c r="AC419" s="207" t="str">
        <f t="shared" ca="1" si="70"/>
        <v/>
      </c>
      <c r="AD419" s="207"/>
      <c r="AE419" s="207"/>
      <c r="AF419" s="208" t="str">
        <f>IF(ISBLANK(D419),"",VLOOKUP(F419,'SIZE CALCULATION'!$F:$G,2,0))</f>
        <v/>
      </c>
      <c r="AG419" s="207" t="str">
        <f t="shared" si="66"/>
        <v/>
      </c>
      <c r="AH419" s="207" t="str">
        <f t="shared" si="71"/>
        <v/>
      </c>
      <c r="AI419" s="210" t="str">
        <f>IF(ISBLANK(D419),"",VLOOKUP($A419,INDEX!$D$2:$F$13,3,0))</f>
        <v/>
      </c>
      <c r="AJ419" s="207" t="str">
        <f t="shared" si="72"/>
        <v/>
      </c>
      <c r="AK419" s="207"/>
      <c r="AL419" s="207"/>
      <c r="AM419" s="207" t="str">
        <f>IFERROR(IF(ISBLANK($D419),"",VLOOKUP($N419,'TABLE CHARGE RATE'!$A$30:$K$106,5,0)),"Check")</f>
        <v/>
      </c>
      <c r="AN419" s="207" t="str">
        <f>IFERROR(IF(ISBLANK($D419),"",VLOOKUP($N419,'TABLE CHARGE RATE'!$A$30:$K$106,6,0)),"Check")</f>
        <v/>
      </c>
      <c r="AO419" s="207" t="str">
        <f>IFERROR(IF(ISBLANK($D419),"",VLOOKUP($N419,'TABLE CHARGE RATE'!$A$30:$K$106,7,0)),"Check")</f>
        <v/>
      </c>
      <c r="AP419" s="207" t="str">
        <f>IFERROR(IF(ISBLANK($D419),"",VLOOKUP($N419,'TABLE CHARGE RATE'!$A$30:$K$106,8,0)),"Check")</f>
        <v/>
      </c>
      <c r="AQ419" s="207" t="str">
        <f>IFERROR(IF(ISBLANK($D419),"",VLOOKUP($N419,'TABLE CHARGE RATE'!$A$30:$K$106,9,0)),"Check")</f>
        <v/>
      </c>
      <c r="AR419" s="207" t="str">
        <f>IFERROR(IF(ISBLANK($D419),"",VLOOKUP($N419,'TABLE CHARGE RATE'!$A$30:$K$106,10,0)),"Check")</f>
        <v/>
      </c>
      <c r="AS419" s="207" t="str">
        <f>IFERROR(IF(ISBLANK($D419),"",VLOOKUP($N419,'TABLE CHARGE RATE'!$A$30:$K$106,11,0)),"Check")</f>
        <v/>
      </c>
      <c r="AT419" s="207"/>
    </row>
    <row r="420" spans="1:46" x14ac:dyDescent="0.2">
      <c r="A420" s="207" t="str">
        <f t="shared" si="65"/>
        <v/>
      </c>
      <c r="B420" s="208" t="str">
        <f>IF(ISBLANK(D420),"",VLOOKUP(WEEKDAY($C420,1),INDEX!$J$2:$K$8,2,0))</f>
        <v/>
      </c>
      <c r="C420" s="209"/>
      <c r="D420" s="207"/>
      <c r="E420" s="207"/>
      <c r="F420" s="207"/>
      <c r="G420" s="207"/>
      <c r="H420" s="207"/>
      <c r="I420" s="207"/>
      <c r="J420" s="207"/>
      <c r="K420" s="207"/>
      <c r="L420" s="207"/>
      <c r="M420" s="207"/>
      <c r="N420" s="207"/>
      <c r="O420" s="207"/>
      <c r="P420" s="207"/>
      <c r="Q420" s="207"/>
      <c r="R420" s="207"/>
      <c r="S420" s="207"/>
      <c r="T420" s="207"/>
      <c r="U420" s="209"/>
      <c r="V420" s="207"/>
      <c r="W420" s="207"/>
      <c r="X420" s="209">
        <f t="shared" si="67"/>
        <v>0</v>
      </c>
      <c r="Y420" s="209">
        <f t="shared" si="68"/>
        <v>0</v>
      </c>
      <c r="Z420" s="207" t="str">
        <f t="shared" ca="1" si="69"/>
        <v/>
      </c>
      <c r="AA420" s="209" t="str">
        <f t="shared" si="73"/>
        <v/>
      </c>
      <c r="AB420" s="209"/>
      <c r="AC420" s="207" t="str">
        <f t="shared" ca="1" si="70"/>
        <v/>
      </c>
      <c r="AD420" s="207"/>
      <c r="AE420" s="207"/>
      <c r="AF420" s="208" t="str">
        <f>IF(ISBLANK(D420),"",VLOOKUP(F420,'SIZE CALCULATION'!$F:$G,2,0))</f>
        <v/>
      </c>
      <c r="AG420" s="207" t="str">
        <f t="shared" si="66"/>
        <v/>
      </c>
      <c r="AH420" s="207" t="str">
        <f t="shared" si="71"/>
        <v/>
      </c>
      <c r="AI420" s="210" t="str">
        <f>IF(ISBLANK(D420),"",VLOOKUP($A420,INDEX!$D$2:$F$13,3,0))</f>
        <v/>
      </c>
      <c r="AJ420" s="207" t="str">
        <f t="shared" si="72"/>
        <v/>
      </c>
      <c r="AK420" s="207"/>
      <c r="AL420" s="207"/>
      <c r="AM420" s="207" t="str">
        <f>IFERROR(IF(ISBLANK($D420),"",VLOOKUP($N420,'TABLE CHARGE RATE'!$A$30:$K$106,5,0)),"Check")</f>
        <v/>
      </c>
      <c r="AN420" s="207" t="str">
        <f>IFERROR(IF(ISBLANK($D420),"",VLOOKUP($N420,'TABLE CHARGE RATE'!$A$30:$K$106,6,0)),"Check")</f>
        <v/>
      </c>
      <c r="AO420" s="207" t="str">
        <f>IFERROR(IF(ISBLANK($D420),"",VLOOKUP($N420,'TABLE CHARGE RATE'!$A$30:$K$106,7,0)),"Check")</f>
        <v/>
      </c>
      <c r="AP420" s="207" t="str">
        <f>IFERROR(IF(ISBLANK($D420),"",VLOOKUP($N420,'TABLE CHARGE RATE'!$A$30:$K$106,8,0)),"Check")</f>
        <v/>
      </c>
      <c r="AQ420" s="207" t="str">
        <f>IFERROR(IF(ISBLANK($D420),"",VLOOKUP($N420,'TABLE CHARGE RATE'!$A$30:$K$106,9,0)),"Check")</f>
        <v/>
      </c>
      <c r="AR420" s="207" t="str">
        <f>IFERROR(IF(ISBLANK($D420),"",VLOOKUP($N420,'TABLE CHARGE RATE'!$A$30:$K$106,10,0)),"Check")</f>
        <v/>
      </c>
      <c r="AS420" s="207" t="str">
        <f>IFERROR(IF(ISBLANK($D420),"",VLOOKUP($N420,'TABLE CHARGE RATE'!$A$30:$K$106,11,0)),"Check")</f>
        <v/>
      </c>
      <c r="AT420" s="207"/>
    </row>
    <row r="421" spans="1:46" x14ac:dyDescent="0.2">
      <c r="A421" s="207" t="str">
        <f t="shared" si="65"/>
        <v/>
      </c>
      <c r="B421" s="208" t="str">
        <f>IF(ISBLANK(D421),"",VLOOKUP(WEEKDAY($C421,1),INDEX!$J$2:$K$8,2,0))</f>
        <v/>
      </c>
      <c r="C421" s="209"/>
      <c r="D421" s="207"/>
      <c r="E421" s="207"/>
      <c r="F421" s="207"/>
      <c r="G421" s="207"/>
      <c r="H421" s="207"/>
      <c r="I421" s="207"/>
      <c r="J421" s="207"/>
      <c r="K421" s="207"/>
      <c r="L421" s="207"/>
      <c r="M421" s="207"/>
      <c r="N421" s="207"/>
      <c r="O421" s="207"/>
      <c r="P421" s="207"/>
      <c r="Q421" s="207"/>
      <c r="R421" s="207"/>
      <c r="S421" s="207"/>
      <c r="T421" s="207"/>
      <c r="U421" s="209"/>
      <c r="V421" s="207"/>
      <c r="W421" s="207"/>
      <c r="X421" s="209">
        <f t="shared" si="67"/>
        <v>0</v>
      </c>
      <c r="Y421" s="209">
        <f t="shared" si="68"/>
        <v>0</v>
      </c>
      <c r="Z421" s="207" t="str">
        <f t="shared" ca="1" si="69"/>
        <v/>
      </c>
      <c r="AA421" s="209" t="str">
        <f t="shared" si="73"/>
        <v/>
      </c>
      <c r="AB421" s="209"/>
      <c r="AC421" s="207" t="str">
        <f t="shared" ca="1" si="70"/>
        <v/>
      </c>
      <c r="AD421" s="207"/>
      <c r="AE421" s="207"/>
      <c r="AF421" s="208" t="str">
        <f>IF(ISBLANK(D421),"",VLOOKUP(F421,'SIZE CALCULATION'!$F:$G,2,0))</f>
        <v/>
      </c>
      <c r="AG421" s="207" t="str">
        <f t="shared" si="66"/>
        <v/>
      </c>
      <c r="AH421" s="207" t="str">
        <f t="shared" si="71"/>
        <v/>
      </c>
      <c r="AI421" s="210" t="str">
        <f>IF(ISBLANK(D421),"",VLOOKUP($A421,INDEX!$D$2:$F$13,3,0))</f>
        <v/>
      </c>
      <c r="AJ421" s="207" t="str">
        <f t="shared" si="72"/>
        <v/>
      </c>
      <c r="AK421" s="207"/>
      <c r="AL421" s="207"/>
      <c r="AM421" s="207" t="str">
        <f>IFERROR(IF(ISBLANK($D421),"",VLOOKUP($N421,'TABLE CHARGE RATE'!$A$30:$K$106,5,0)),"Check")</f>
        <v/>
      </c>
      <c r="AN421" s="207" t="str">
        <f>IFERROR(IF(ISBLANK($D421),"",VLOOKUP($N421,'TABLE CHARGE RATE'!$A$30:$K$106,6,0)),"Check")</f>
        <v/>
      </c>
      <c r="AO421" s="207" t="str">
        <f>IFERROR(IF(ISBLANK($D421),"",VLOOKUP($N421,'TABLE CHARGE RATE'!$A$30:$K$106,7,0)),"Check")</f>
        <v/>
      </c>
      <c r="AP421" s="207" t="str">
        <f>IFERROR(IF(ISBLANK($D421),"",VLOOKUP($N421,'TABLE CHARGE RATE'!$A$30:$K$106,8,0)),"Check")</f>
        <v/>
      </c>
      <c r="AQ421" s="207" t="str">
        <f>IFERROR(IF(ISBLANK($D421),"",VLOOKUP($N421,'TABLE CHARGE RATE'!$A$30:$K$106,9,0)),"Check")</f>
        <v/>
      </c>
      <c r="AR421" s="207" t="str">
        <f>IFERROR(IF(ISBLANK($D421),"",VLOOKUP($N421,'TABLE CHARGE RATE'!$A$30:$K$106,10,0)),"Check")</f>
        <v/>
      </c>
      <c r="AS421" s="207" t="str">
        <f>IFERROR(IF(ISBLANK($D421),"",VLOOKUP($N421,'TABLE CHARGE RATE'!$A$30:$K$106,11,0)),"Check")</f>
        <v/>
      </c>
      <c r="AT421" s="207"/>
    </row>
    <row r="422" spans="1:46" x14ac:dyDescent="0.2">
      <c r="A422" s="207" t="str">
        <f t="shared" si="65"/>
        <v/>
      </c>
      <c r="B422" s="208" t="str">
        <f>IF(ISBLANK(D422),"",VLOOKUP(WEEKDAY($C422,1),INDEX!$J$2:$K$8,2,0))</f>
        <v/>
      </c>
      <c r="C422" s="209"/>
      <c r="D422" s="207"/>
      <c r="E422" s="207"/>
      <c r="F422" s="207"/>
      <c r="G422" s="207"/>
      <c r="H422" s="207"/>
      <c r="I422" s="207"/>
      <c r="J422" s="207"/>
      <c r="K422" s="207"/>
      <c r="L422" s="207"/>
      <c r="M422" s="207"/>
      <c r="N422" s="207"/>
      <c r="O422" s="207"/>
      <c r="P422" s="207"/>
      <c r="Q422" s="207"/>
      <c r="R422" s="207"/>
      <c r="S422" s="207"/>
      <c r="T422" s="207"/>
      <c r="U422" s="209"/>
      <c r="V422" s="207"/>
      <c r="W422" s="207"/>
      <c r="X422" s="209">
        <f t="shared" si="67"/>
        <v>0</v>
      </c>
      <c r="Y422" s="209">
        <f t="shared" si="68"/>
        <v>0</v>
      </c>
      <c r="Z422" s="207" t="str">
        <f t="shared" ca="1" si="69"/>
        <v/>
      </c>
      <c r="AA422" s="209" t="str">
        <f t="shared" si="73"/>
        <v/>
      </c>
      <c r="AB422" s="209"/>
      <c r="AC422" s="207" t="str">
        <f t="shared" ca="1" si="70"/>
        <v/>
      </c>
      <c r="AD422" s="207"/>
      <c r="AE422" s="207"/>
      <c r="AF422" s="208" t="str">
        <f>IF(ISBLANK(D422),"",VLOOKUP(F422,'SIZE CALCULATION'!$F:$G,2,0))</f>
        <v/>
      </c>
      <c r="AG422" s="207" t="str">
        <f t="shared" si="66"/>
        <v/>
      </c>
      <c r="AH422" s="207" t="str">
        <f t="shared" si="71"/>
        <v/>
      </c>
      <c r="AI422" s="210" t="str">
        <f>IF(ISBLANK(D422),"",VLOOKUP($A422,INDEX!$D$2:$F$13,3,0))</f>
        <v/>
      </c>
      <c r="AJ422" s="207" t="str">
        <f t="shared" si="72"/>
        <v/>
      </c>
      <c r="AK422" s="207"/>
      <c r="AL422" s="207"/>
      <c r="AM422" s="207" t="str">
        <f>IFERROR(IF(ISBLANK($D422),"",VLOOKUP($N422,'TABLE CHARGE RATE'!$A$30:$K$106,5,0)),"Check")</f>
        <v/>
      </c>
      <c r="AN422" s="207" t="str">
        <f>IFERROR(IF(ISBLANK($D422),"",VLOOKUP($N422,'TABLE CHARGE RATE'!$A$30:$K$106,6,0)),"Check")</f>
        <v/>
      </c>
      <c r="AO422" s="207" t="str">
        <f>IFERROR(IF(ISBLANK($D422),"",VLOOKUP($N422,'TABLE CHARGE RATE'!$A$30:$K$106,7,0)),"Check")</f>
        <v/>
      </c>
      <c r="AP422" s="207" t="str">
        <f>IFERROR(IF(ISBLANK($D422),"",VLOOKUP($N422,'TABLE CHARGE RATE'!$A$30:$K$106,8,0)),"Check")</f>
        <v/>
      </c>
      <c r="AQ422" s="207" t="str">
        <f>IFERROR(IF(ISBLANK($D422),"",VLOOKUP($N422,'TABLE CHARGE RATE'!$A$30:$K$106,9,0)),"Check")</f>
        <v/>
      </c>
      <c r="AR422" s="207" t="str">
        <f>IFERROR(IF(ISBLANK($D422),"",VLOOKUP($N422,'TABLE CHARGE RATE'!$A$30:$K$106,10,0)),"Check")</f>
        <v/>
      </c>
      <c r="AS422" s="207" t="str">
        <f>IFERROR(IF(ISBLANK($D422),"",VLOOKUP($N422,'TABLE CHARGE RATE'!$A$30:$K$106,11,0)),"Check")</f>
        <v/>
      </c>
      <c r="AT422" s="207"/>
    </row>
    <row r="423" spans="1:46" x14ac:dyDescent="0.2">
      <c r="A423" s="207" t="str">
        <f t="shared" si="65"/>
        <v/>
      </c>
      <c r="B423" s="208" t="str">
        <f>IF(ISBLANK(D423),"",VLOOKUP(WEEKDAY($C423,1),INDEX!$J$2:$K$8,2,0))</f>
        <v/>
      </c>
      <c r="C423" s="209"/>
      <c r="D423" s="207"/>
      <c r="E423" s="207"/>
      <c r="F423" s="207"/>
      <c r="G423" s="207"/>
      <c r="H423" s="207"/>
      <c r="I423" s="207"/>
      <c r="J423" s="207"/>
      <c r="K423" s="207"/>
      <c r="L423" s="207"/>
      <c r="M423" s="207"/>
      <c r="N423" s="207"/>
      <c r="O423" s="207"/>
      <c r="P423" s="207"/>
      <c r="Q423" s="207"/>
      <c r="R423" s="207"/>
      <c r="S423" s="207"/>
      <c r="T423" s="207"/>
      <c r="U423" s="209"/>
      <c r="V423" s="207"/>
      <c r="W423" s="207"/>
      <c r="X423" s="209">
        <f t="shared" si="67"/>
        <v>0</v>
      </c>
      <c r="Y423" s="209">
        <f t="shared" si="68"/>
        <v>0</v>
      </c>
      <c r="Z423" s="207" t="str">
        <f t="shared" ca="1" si="69"/>
        <v/>
      </c>
      <c r="AA423" s="209" t="str">
        <f t="shared" si="73"/>
        <v/>
      </c>
      <c r="AB423" s="209"/>
      <c r="AC423" s="207" t="str">
        <f t="shared" ca="1" si="70"/>
        <v/>
      </c>
      <c r="AD423" s="207"/>
      <c r="AE423" s="207"/>
      <c r="AF423" s="208" t="str">
        <f>IF(ISBLANK(D423),"",VLOOKUP(F423,'SIZE CALCULATION'!$F:$G,2,0))</f>
        <v/>
      </c>
      <c r="AG423" s="207" t="str">
        <f t="shared" si="66"/>
        <v/>
      </c>
      <c r="AH423" s="207" t="str">
        <f t="shared" si="71"/>
        <v/>
      </c>
      <c r="AI423" s="210" t="str">
        <f>IF(ISBLANK(D423),"",VLOOKUP($A423,INDEX!$D$2:$F$13,3,0))</f>
        <v/>
      </c>
      <c r="AJ423" s="207" t="str">
        <f t="shared" si="72"/>
        <v/>
      </c>
      <c r="AK423" s="207"/>
      <c r="AL423" s="207"/>
      <c r="AM423" s="207" t="str">
        <f>IFERROR(IF(ISBLANK($D423),"",VLOOKUP($N423,'TABLE CHARGE RATE'!$A$30:$K$106,5,0)),"Check")</f>
        <v/>
      </c>
      <c r="AN423" s="207" t="str">
        <f>IFERROR(IF(ISBLANK($D423),"",VLOOKUP($N423,'TABLE CHARGE RATE'!$A$30:$K$106,6,0)),"Check")</f>
        <v/>
      </c>
      <c r="AO423" s="207" t="str">
        <f>IFERROR(IF(ISBLANK($D423),"",VLOOKUP($N423,'TABLE CHARGE RATE'!$A$30:$K$106,7,0)),"Check")</f>
        <v/>
      </c>
      <c r="AP423" s="207" t="str">
        <f>IFERROR(IF(ISBLANK($D423),"",VLOOKUP($N423,'TABLE CHARGE RATE'!$A$30:$K$106,8,0)),"Check")</f>
        <v/>
      </c>
      <c r="AQ423" s="207" t="str">
        <f>IFERROR(IF(ISBLANK($D423),"",VLOOKUP($N423,'TABLE CHARGE RATE'!$A$30:$K$106,9,0)),"Check")</f>
        <v/>
      </c>
      <c r="AR423" s="207" t="str">
        <f>IFERROR(IF(ISBLANK($D423),"",VLOOKUP($N423,'TABLE CHARGE RATE'!$A$30:$K$106,10,0)),"Check")</f>
        <v/>
      </c>
      <c r="AS423" s="207" t="str">
        <f>IFERROR(IF(ISBLANK($D423),"",VLOOKUP($N423,'TABLE CHARGE RATE'!$A$30:$K$106,11,0)),"Check")</f>
        <v/>
      </c>
      <c r="AT423" s="207"/>
    </row>
    <row r="424" spans="1:46" x14ac:dyDescent="0.2">
      <c r="A424" s="207" t="str">
        <f t="shared" si="65"/>
        <v/>
      </c>
      <c r="B424" s="208" t="str">
        <f>IF(ISBLANK(D424),"",VLOOKUP(WEEKDAY($C424,1),INDEX!$J$2:$K$8,2,0))</f>
        <v/>
      </c>
      <c r="C424" s="209"/>
      <c r="D424" s="207"/>
      <c r="E424" s="207"/>
      <c r="F424" s="207"/>
      <c r="G424" s="207"/>
      <c r="H424" s="207"/>
      <c r="I424" s="207"/>
      <c r="J424" s="207"/>
      <c r="K424" s="207"/>
      <c r="L424" s="207"/>
      <c r="M424" s="207"/>
      <c r="N424" s="207"/>
      <c r="O424" s="207"/>
      <c r="P424" s="207"/>
      <c r="Q424" s="207"/>
      <c r="R424" s="207"/>
      <c r="S424" s="207"/>
      <c r="T424" s="207"/>
      <c r="U424" s="209"/>
      <c r="V424" s="207"/>
      <c r="W424" s="207"/>
      <c r="X424" s="209">
        <f t="shared" si="67"/>
        <v>0</v>
      </c>
      <c r="Y424" s="209">
        <f t="shared" si="68"/>
        <v>0</v>
      </c>
      <c r="Z424" s="207" t="str">
        <f t="shared" ca="1" si="69"/>
        <v/>
      </c>
      <c r="AA424" s="209" t="str">
        <f t="shared" si="73"/>
        <v/>
      </c>
      <c r="AB424" s="209"/>
      <c r="AC424" s="207" t="str">
        <f t="shared" ca="1" si="70"/>
        <v/>
      </c>
      <c r="AD424" s="207"/>
      <c r="AE424" s="207"/>
      <c r="AF424" s="208" t="str">
        <f>IF(ISBLANK(D424),"",VLOOKUP(F424,'SIZE CALCULATION'!$F:$G,2,0))</f>
        <v/>
      </c>
      <c r="AG424" s="207" t="str">
        <f t="shared" si="66"/>
        <v/>
      </c>
      <c r="AH424" s="207" t="str">
        <f t="shared" si="71"/>
        <v/>
      </c>
      <c r="AI424" s="210" t="str">
        <f>IF(ISBLANK(D424),"",VLOOKUP($A424,INDEX!$D$2:$F$13,3,0))</f>
        <v/>
      </c>
      <c r="AJ424" s="207" t="str">
        <f t="shared" si="72"/>
        <v/>
      </c>
      <c r="AK424" s="207"/>
      <c r="AL424" s="207"/>
      <c r="AM424" s="207" t="str">
        <f>IFERROR(IF(ISBLANK($D424),"",VLOOKUP($N424,'TABLE CHARGE RATE'!$A$30:$K$106,5,0)),"Check")</f>
        <v/>
      </c>
      <c r="AN424" s="207" t="str">
        <f>IFERROR(IF(ISBLANK($D424),"",VLOOKUP($N424,'TABLE CHARGE RATE'!$A$30:$K$106,6,0)),"Check")</f>
        <v/>
      </c>
      <c r="AO424" s="207" t="str">
        <f>IFERROR(IF(ISBLANK($D424),"",VLOOKUP($N424,'TABLE CHARGE RATE'!$A$30:$K$106,7,0)),"Check")</f>
        <v/>
      </c>
      <c r="AP424" s="207" t="str">
        <f>IFERROR(IF(ISBLANK($D424),"",VLOOKUP($N424,'TABLE CHARGE RATE'!$A$30:$K$106,8,0)),"Check")</f>
        <v/>
      </c>
      <c r="AQ424" s="207" t="str">
        <f>IFERROR(IF(ISBLANK($D424),"",VLOOKUP($N424,'TABLE CHARGE RATE'!$A$30:$K$106,9,0)),"Check")</f>
        <v/>
      </c>
      <c r="AR424" s="207" t="str">
        <f>IFERROR(IF(ISBLANK($D424),"",VLOOKUP($N424,'TABLE CHARGE RATE'!$A$30:$K$106,10,0)),"Check")</f>
        <v/>
      </c>
      <c r="AS424" s="207" t="str">
        <f>IFERROR(IF(ISBLANK($D424),"",VLOOKUP($N424,'TABLE CHARGE RATE'!$A$30:$K$106,11,0)),"Check")</f>
        <v/>
      </c>
      <c r="AT424" s="207"/>
    </row>
    <row r="425" spans="1:46" x14ac:dyDescent="0.2">
      <c r="A425" s="207" t="str">
        <f t="shared" si="65"/>
        <v/>
      </c>
      <c r="B425" s="208" t="str">
        <f>IF(ISBLANK(D425),"",VLOOKUP(WEEKDAY($C425,1),INDEX!$J$2:$K$8,2,0))</f>
        <v/>
      </c>
      <c r="C425" s="209"/>
      <c r="D425" s="207"/>
      <c r="E425" s="207"/>
      <c r="F425" s="207"/>
      <c r="G425" s="207"/>
      <c r="H425" s="207"/>
      <c r="I425" s="207"/>
      <c r="J425" s="207"/>
      <c r="K425" s="207"/>
      <c r="L425" s="207"/>
      <c r="M425" s="207"/>
      <c r="N425" s="207"/>
      <c r="O425" s="207"/>
      <c r="P425" s="207"/>
      <c r="Q425" s="207"/>
      <c r="R425" s="207"/>
      <c r="S425" s="207"/>
      <c r="T425" s="207"/>
      <c r="U425" s="209"/>
      <c r="V425" s="207"/>
      <c r="W425" s="207"/>
      <c r="X425" s="209">
        <f t="shared" si="67"/>
        <v>0</v>
      </c>
      <c r="Y425" s="209">
        <f t="shared" si="68"/>
        <v>0</v>
      </c>
      <c r="Z425" s="207" t="str">
        <f t="shared" ca="1" si="69"/>
        <v/>
      </c>
      <c r="AA425" s="209" t="str">
        <f t="shared" si="73"/>
        <v/>
      </c>
      <c r="AB425" s="209"/>
      <c r="AC425" s="207" t="str">
        <f t="shared" ca="1" si="70"/>
        <v/>
      </c>
      <c r="AD425" s="207"/>
      <c r="AE425" s="207"/>
      <c r="AF425" s="208" t="str">
        <f>IF(ISBLANK(D425),"",VLOOKUP(F425,'SIZE CALCULATION'!$F:$G,2,0))</f>
        <v/>
      </c>
      <c r="AG425" s="207" t="str">
        <f t="shared" si="66"/>
        <v/>
      </c>
      <c r="AH425" s="207" t="str">
        <f t="shared" si="71"/>
        <v/>
      </c>
      <c r="AI425" s="210" t="str">
        <f>IF(ISBLANK(D425),"",VLOOKUP($A425,INDEX!$D$2:$F$13,3,0))</f>
        <v/>
      </c>
      <c r="AJ425" s="207" t="str">
        <f t="shared" si="72"/>
        <v/>
      </c>
      <c r="AK425" s="207"/>
      <c r="AL425" s="207"/>
      <c r="AM425" s="207" t="str">
        <f>IFERROR(IF(ISBLANK($D425),"",VLOOKUP($N425,'TABLE CHARGE RATE'!$A$30:$K$106,5,0)),"Check")</f>
        <v/>
      </c>
      <c r="AN425" s="207" t="str">
        <f>IFERROR(IF(ISBLANK($D425),"",VLOOKUP($N425,'TABLE CHARGE RATE'!$A$30:$K$106,6,0)),"Check")</f>
        <v/>
      </c>
      <c r="AO425" s="207" t="str">
        <f>IFERROR(IF(ISBLANK($D425),"",VLOOKUP($N425,'TABLE CHARGE RATE'!$A$30:$K$106,7,0)),"Check")</f>
        <v/>
      </c>
      <c r="AP425" s="207" t="str">
        <f>IFERROR(IF(ISBLANK($D425),"",VLOOKUP($N425,'TABLE CHARGE RATE'!$A$30:$K$106,8,0)),"Check")</f>
        <v/>
      </c>
      <c r="AQ425" s="207" t="str">
        <f>IFERROR(IF(ISBLANK($D425),"",VLOOKUP($N425,'TABLE CHARGE RATE'!$A$30:$K$106,9,0)),"Check")</f>
        <v/>
      </c>
      <c r="AR425" s="207" t="str">
        <f>IFERROR(IF(ISBLANK($D425),"",VLOOKUP($N425,'TABLE CHARGE RATE'!$A$30:$K$106,10,0)),"Check")</f>
        <v/>
      </c>
      <c r="AS425" s="207" t="str">
        <f>IFERROR(IF(ISBLANK($D425),"",VLOOKUP($N425,'TABLE CHARGE RATE'!$A$30:$K$106,11,0)),"Check")</f>
        <v/>
      </c>
      <c r="AT425" s="207"/>
    </row>
    <row r="426" spans="1:46" x14ac:dyDescent="0.2">
      <c r="A426" s="207" t="str">
        <f t="shared" ref="A426:A489" si="74">IF(ISBLANK(D426),"",MONTH(C426))</f>
        <v/>
      </c>
      <c r="B426" s="208" t="str">
        <f>IF(ISBLANK(D426),"",VLOOKUP(WEEKDAY($C426,1),INDEX!$J$2:$K$8,2,0))</f>
        <v/>
      </c>
      <c r="C426" s="209"/>
      <c r="D426" s="207"/>
      <c r="E426" s="207"/>
      <c r="F426" s="207"/>
      <c r="G426" s="207"/>
      <c r="H426" s="207"/>
      <c r="I426" s="207"/>
      <c r="J426" s="207"/>
      <c r="K426" s="207"/>
      <c r="L426" s="207"/>
      <c r="M426" s="207"/>
      <c r="N426" s="207"/>
      <c r="O426" s="207"/>
      <c r="P426" s="207"/>
      <c r="Q426" s="207"/>
      <c r="R426" s="207"/>
      <c r="S426" s="207"/>
      <c r="T426" s="207"/>
      <c r="U426" s="209"/>
      <c r="V426" s="207"/>
      <c r="W426" s="207"/>
      <c r="X426" s="209">
        <f t="shared" si="67"/>
        <v>0</v>
      </c>
      <c r="Y426" s="209">
        <f t="shared" si="68"/>
        <v>0</v>
      </c>
      <c r="Z426" s="207" t="str">
        <f t="shared" ca="1" si="69"/>
        <v/>
      </c>
      <c r="AA426" s="209" t="str">
        <f t="shared" si="73"/>
        <v/>
      </c>
      <c r="AB426" s="209"/>
      <c r="AC426" s="207" t="str">
        <f t="shared" ca="1" si="70"/>
        <v/>
      </c>
      <c r="AD426" s="207"/>
      <c r="AE426" s="207"/>
      <c r="AF426" s="208" t="str">
        <f>IF(ISBLANK(D426),"",VLOOKUP(F426,'SIZE CALCULATION'!$F:$G,2,0))</f>
        <v/>
      </c>
      <c r="AG426" s="207" t="str">
        <f t="shared" si="66"/>
        <v/>
      </c>
      <c r="AH426" s="207" t="str">
        <f t="shared" si="71"/>
        <v/>
      </c>
      <c r="AI426" s="210" t="str">
        <f>IF(ISBLANK(D426),"",VLOOKUP($A426,INDEX!$D$2:$F$13,3,0))</f>
        <v/>
      </c>
      <c r="AJ426" s="207" t="str">
        <f t="shared" si="72"/>
        <v/>
      </c>
      <c r="AK426" s="207"/>
      <c r="AL426" s="207"/>
      <c r="AM426" s="207" t="str">
        <f>IFERROR(IF(ISBLANK($D426),"",VLOOKUP($N426,'TABLE CHARGE RATE'!$A$30:$K$106,5,0)),"Check")</f>
        <v/>
      </c>
      <c r="AN426" s="207" t="str">
        <f>IFERROR(IF(ISBLANK($D426),"",VLOOKUP($N426,'TABLE CHARGE RATE'!$A$30:$K$106,6,0)),"Check")</f>
        <v/>
      </c>
      <c r="AO426" s="207" t="str">
        <f>IFERROR(IF(ISBLANK($D426),"",VLOOKUP($N426,'TABLE CHARGE RATE'!$A$30:$K$106,7,0)),"Check")</f>
        <v/>
      </c>
      <c r="AP426" s="207" t="str">
        <f>IFERROR(IF(ISBLANK($D426),"",VLOOKUP($N426,'TABLE CHARGE RATE'!$A$30:$K$106,8,0)),"Check")</f>
        <v/>
      </c>
      <c r="AQ426" s="207" t="str">
        <f>IFERROR(IF(ISBLANK($D426),"",VLOOKUP($N426,'TABLE CHARGE RATE'!$A$30:$K$106,9,0)),"Check")</f>
        <v/>
      </c>
      <c r="AR426" s="207" t="str">
        <f>IFERROR(IF(ISBLANK($D426),"",VLOOKUP($N426,'TABLE CHARGE RATE'!$A$30:$K$106,10,0)),"Check")</f>
        <v/>
      </c>
      <c r="AS426" s="207" t="str">
        <f>IFERROR(IF(ISBLANK($D426),"",VLOOKUP($N426,'TABLE CHARGE RATE'!$A$30:$K$106,11,0)),"Check")</f>
        <v/>
      </c>
      <c r="AT426" s="207"/>
    </row>
    <row r="427" spans="1:46" x14ac:dyDescent="0.2">
      <c r="A427" s="207" t="str">
        <f t="shared" si="74"/>
        <v/>
      </c>
      <c r="B427" s="208" t="str">
        <f>IF(ISBLANK(D427),"",VLOOKUP(WEEKDAY($C427,1),INDEX!$J$2:$K$8,2,0))</f>
        <v/>
      </c>
      <c r="C427" s="209"/>
      <c r="D427" s="207"/>
      <c r="E427" s="207"/>
      <c r="F427" s="207"/>
      <c r="G427" s="207"/>
      <c r="H427" s="207"/>
      <c r="I427" s="207"/>
      <c r="J427" s="207"/>
      <c r="K427" s="207"/>
      <c r="L427" s="207"/>
      <c r="M427" s="207"/>
      <c r="N427" s="207"/>
      <c r="O427" s="207"/>
      <c r="P427" s="207"/>
      <c r="Q427" s="207"/>
      <c r="R427" s="207"/>
      <c r="S427" s="207"/>
      <c r="T427" s="207"/>
      <c r="U427" s="209"/>
      <c r="V427" s="207"/>
      <c r="W427" s="207"/>
      <c r="X427" s="209">
        <f t="shared" si="67"/>
        <v>0</v>
      </c>
      <c r="Y427" s="209">
        <f t="shared" si="68"/>
        <v>0</v>
      </c>
      <c r="Z427" s="207" t="str">
        <f t="shared" ca="1" si="69"/>
        <v/>
      </c>
      <c r="AA427" s="209" t="str">
        <f t="shared" si="73"/>
        <v/>
      </c>
      <c r="AB427" s="209"/>
      <c r="AC427" s="207" t="str">
        <f t="shared" ca="1" si="70"/>
        <v/>
      </c>
      <c r="AD427" s="207"/>
      <c r="AE427" s="207"/>
      <c r="AF427" s="208" t="str">
        <f>IF(ISBLANK(D427),"",VLOOKUP(F427,'SIZE CALCULATION'!$F:$G,2,0))</f>
        <v/>
      </c>
      <c r="AG427" s="207" t="str">
        <f t="shared" si="66"/>
        <v/>
      </c>
      <c r="AH427" s="207" t="str">
        <f t="shared" si="71"/>
        <v/>
      </c>
      <c r="AI427" s="210" t="str">
        <f>IF(ISBLANK(D427),"",VLOOKUP($A427,INDEX!$D$2:$F$13,3,0))</f>
        <v/>
      </c>
      <c r="AJ427" s="207" t="str">
        <f t="shared" si="72"/>
        <v/>
      </c>
      <c r="AK427" s="207"/>
      <c r="AL427" s="207"/>
      <c r="AM427" s="207" t="str">
        <f>IFERROR(IF(ISBLANK($D427),"",VLOOKUP($N427,'TABLE CHARGE RATE'!$A$30:$K$106,5,0)),"Check")</f>
        <v/>
      </c>
      <c r="AN427" s="207" t="str">
        <f>IFERROR(IF(ISBLANK($D427),"",VLOOKUP($N427,'TABLE CHARGE RATE'!$A$30:$K$106,6,0)),"Check")</f>
        <v/>
      </c>
      <c r="AO427" s="207" t="str">
        <f>IFERROR(IF(ISBLANK($D427),"",VLOOKUP($N427,'TABLE CHARGE RATE'!$A$30:$K$106,7,0)),"Check")</f>
        <v/>
      </c>
      <c r="AP427" s="207" t="str">
        <f>IFERROR(IF(ISBLANK($D427),"",VLOOKUP($N427,'TABLE CHARGE RATE'!$A$30:$K$106,8,0)),"Check")</f>
        <v/>
      </c>
      <c r="AQ427" s="207" t="str">
        <f>IFERROR(IF(ISBLANK($D427),"",VLOOKUP($N427,'TABLE CHARGE RATE'!$A$30:$K$106,9,0)),"Check")</f>
        <v/>
      </c>
      <c r="AR427" s="207" t="str">
        <f>IFERROR(IF(ISBLANK($D427),"",VLOOKUP($N427,'TABLE CHARGE RATE'!$A$30:$K$106,10,0)),"Check")</f>
        <v/>
      </c>
      <c r="AS427" s="207" t="str">
        <f>IFERROR(IF(ISBLANK($D427),"",VLOOKUP($N427,'TABLE CHARGE RATE'!$A$30:$K$106,11,0)),"Check")</f>
        <v/>
      </c>
      <c r="AT427" s="207"/>
    </row>
    <row r="428" spans="1:46" x14ac:dyDescent="0.2">
      <c r="A428" s="207" t="str">
        <f t="shared" si="74"/>
        <v/>
      </c>
      <c r="B428" s="208" t="str">
        <f>IF(ISBLANK(D428),"",VLOOKUP(WEEKDAY($C428,1),INDEX!$J$2:$K$8,2,0))</f>
        <v/>
      </c>
      <c r="C428" s="209"/>
      <c r="D428" s="207"/>
      <c r="E428" s="207"/>
      <c r="F428" s="207"/>
      <c r="G428" s="207"/>
      <c r="H428" s="207"/>
      <c r="I428" s="207"/>
      <c r="J428" s="207"/>
      <c r="K428" s="207"/>
      <c r="L428" s="207"/>
      <c r="M428" s="207"/>
      <c r="N428" s="207"/>
      <c r="O428" s="207"/>
      <c r="P428" s="207"/>
      <c r="Q428" s="207"/>
      <c r="R428" s="207"/>
      <c r="S428" s="207"/>
      <c r="T428" s="207"/>
      <c r="U428" s="209"/>
      <c r="V428" s="207"/>
      <c r="W428" s="207"/>
      <c r="X428" s="209">
        <f t="shared" si="67"/>
        <v>0</v>
      </c>
      <c r="Y428" s="209">
        <f t="shared" si="68"/>
        <v>0</v>
      </c>
      <c r="Z428" s="207" t="str">
        <f t="shared" ca="1" si="69"/>
        <v/>
      </c>
      <c r="AA428" s="209" t="str">
        <f t="shared" si="73"/>
        <v/>
      </c>
      <c r="AB428" s="209"/>
      <c r="AC428" s="207" t="str">
        <f t="shared" ca="1" si="70"/>
        <v/>
      </c>
      <c r="AD428" s="207"/>
      <c r="AE428" s="207"/>
      <c r="AF428" s="208" t="str">
        <f>IF(ISBLANK(D428),"",VLOOKUP(F428,'SIZE CALCULATION'!$F:$G,2,0))</f>
        <v/>
      </c>
      <c r="AG428" s="207" t="str">
        <f t="shared" si="66"/>
        <v/>
      </c>
      <c r="AH428" s="207" t="str">
        <f t="shared" si="71"/>
        <v/>
      </c>
      <c r="AI428" s="210" t="str">
        <f>IF(ISBLANK(D428),"",VLOOKUP($A428,INDEX!$D$2:$F$13,3,0))</f>
        <v/>
      </c>
      <c r="AJ428" s="207" t="str">
        <f t="shared" si="72"/>
        <v/>
      </c>
      <c r="AK428" s="207"/>
      <c r="AL428" s="207"/>
      <c r="AM428" s="207" t="str">
        <f>IFERROR(IF(ISBLANK($D428),"",VLOOKUP($N428,'TABLE CHARGE RATE'!$A$30:$K$106,5,0)),"Check")</f>
        <v/>
      </c>
      <c r="AN428" s="207" t="str">
        <f>IFERROR(IF(ISBLANK($D428),"",VLOOKUP($N428,'TABLE CHARGE RATE'!$A$30:$K$106,6,0)),"Check")</f>
        <v/>
      </c>
      <c r="AO428" s="207" t="str">
        <f>IFERROR(IF(ISBLANK($D428),"",VLOOKUP($N428,'TABLE CHARGE RATE'!$A$30:$K$106,7,0)),"Check")</f>
        <v/>
      </c>
      <c r="AP428" s="207" t="str">
        <f>IFERROR(IF(ISBLANK($D428),"",VLOOKUP($N428,'TABLE CHARGE RATE'!$A$30:$K$106,8,0)),"Check")</f>
        <v/>
      </c>
      <c r="AQ428" s="207" t="str">
        <f>IFERROR(IF(ISBLANK($D428),"",VLOOKUP($N428,'TABLE CHARGE RATE'!$A$30:$K$106,9,0)),"Check")</f>
        <v/>
      </c>
      <c r="AR428" s="207" t="str">
        <f>IFERROR(IF(ISBLANK($D428),"",VLOOKUP($N428,'TABLE CHARGE RATE'!$A$30:$K$106,10,0)),"Check")</f>
        <v/>
      </c>
      <c r="AS428" s="207" t="str">
        <f>IFERROR(IF(ISBLANK($D428),"",VLOOKUP($N428,'TABLE CHARGE RATE'!$A$30:$K$106,11,0)),"Check")</f>
        <v/>
      </c>
      <c r="AT428" s="207"/>
    </row>
    <row r="429" spans="1:46" x14ac:dyDescent="0.2">
      <c r="A429" s="207" t="str">
        <f t="shared" si="74"/>
        <v/>
      </c>
      <c r="B429" s="208" t="str">
        <f>IF(ISBLANK(D429),"",VLOOKUP(WEEKDAY($C429,1),INDEX!$J$2:$K$8,2,0))</f>
        <v/>
      </c>
      <c r="C429" s="209"/>
      <c r="D429" s="207"/>
      <c r="E429" s="207"/>
      <c r="F429" s="207"/>
      <c r="G429" s="207"/>
      <c r="H429" s="207"/>
      <c r="I429" s="207"/>
      <c r="J429" s="207"/>
      <c r="K429" s="207"/>
      <c r="L429" s="207"/>
      <c r="M429" s="207"/>
      <c r="N429" s="207"/>
      <c r="O429" s="207"/>
      <c r="P429" s="207"/>
      <c r="Q429" s="207"/>
      <c r="R429" s="207"/>
      <c r="S429" s="207"/>
      <c r="T429" s="207"/>
      <c r="U429" s="209"/>
      <c r="V429" s="207"/>
      <c r="W429" s="207"/>
      <c r="X429" s="209">
        <f t="shared" si="67"/>
        <v>0</v>
      </c>
      <c r="Y429" s="209">
        <f t="shared" si="68"/>
        <v>0</v>
      </c>
      <c r="Z429" s="207" t="str">
        <f t="shared" ca="1" si="69"/>
        <v/>
      </c>
      <c r="AA429" s="209" t="str">
        <f t="shared" si="73"/>
        <v/>
      </c>
      <c r="AB429" s="209"/>
      <c r="AC429" s="207" t="str">
        <f t="shared" ca="1" si="70"/>
        <v/>
      </c>
      <c r="AD429" s="207"/>
      <c r="AE429" s="207"/>
      <c r="AF429" s="208" t="str">
        <f>IF(ISBLANK(D429),"",VLOOKUP(F429,'SIZE CALCULATION'!$F:$G,2,0))</f>
        <v/>
      </c>
      <c r="AG429" s="207" t="str">
        <f t="shared" si="66"/>
        <v/>
      </c>
      <c r="AH429" s="207" t="str">
        <f t="shared" si="71"/>
        <v/>
      </c>
      <c r="AI429" s="210" t="str">
        <f>IF(ISBLANK(D429),"",VLOOKUP($A429,INDEX!$D$2:$F$13,3,0))</f>
        <v/>
      </c>
      <c r="AJ429" s="207" t="str">
        <f t="shared" si="72"/>
        <v/>
      </c>
      <c r="AK429" s="207"/>
      <c r="AL429" s="207"/>
      <c r="AM429" s="207" t="str">
        <f>IFERROR(IF(ISBLANK($D429),"",VLOOKUP($N429,'TABLE CHARGE RATE'!$A$30:$K$106,5,0)),"Check")</f>
        <v/>
      </c>
      <c r="AN429" s="207" t="str">
        <f>IFERROR(IF(ISBLANK($D429),"",VLOOKUP($N429,'TABLE CHARGE RATE'!$A$30:$K$106,6,0)),"Check")</f>
        <v/>
      </c>
      <c r="AO429" s="207" t="str">
        <f>IFERROR(IF(ISBLANK($D429),"",VLOOKUP($N429,'TABLE CHARGE RATE'!$A$30:$K$106,7,0)),"Check")</f>
        <v/>
      </c>
      <c r="AP429" s="207" t="str">
        <f>IFERROR(IF(ISBLANK($D429),"",VLOOKUP($N429,'TABLE CHARGE RATE'!$A$30:$K$106,8,0)),"Check")</f>
        <v/>
      </c>
      <c r="AQ429" s="207" t="str">
        <f>IFERROR(IF(ISBLANK($D429),"",VLOOKUP($N429,'TABLE CHARGE RATE'!$A$30:$K$106,9,0)),"Check")</f>
        <v/>
      </c>
      <c r="AR429" s="207" t="str">
        <f>IFERROR(IF(ISBLANK($D429),"",VLOOKUP($N429,'TABLE CHARGE RATE'!$A$30:$K$106,10,0)),"Check")</f>
        <v/>
      </c>
      <c r="AS429" s="207" t="str">
        <f>IFERROR(IF(ISBLANK($D429),"",VLOOKUP($N429,'TABLE CHARGE RATE'!$A$30:$K$106,11,0)),"Check")</f>
        <v/>
      </c>
      <c r="AT429" s="207"/>
    </row>
    <row r="430" spans="1:46" x14ac:dyDescent="0.2">
      <c r="A430" s="207" t="str">
        <f t="shared" si="74"/>
        <v/>
      </c>
      <c r="B430" s="208" t="str">
        <f>IF(ISBLANK(D430),"",VLOOKUP(WEEKDAY($C430,1),INDEX!$J$2:$K$8,2,0))</f>
        <v/>
      </c>
      <c r="C430" s="209"/>
      <c r="D430" s="207"/>
      <c r="E430" s="207"/>
      <c r="F430" s="207"/>
      <c r="G430" s="207"/>
      <c r="H430" s="207"/>
      <c r="I430" s="207"/>
      <c r="J430" s="207"/>
      <c r="K430" s="207"/>
      <c r="L430" s="207"/>
      <c r="M430" s="207"/>
      <c r="N430" s="207"/>
      <c r="O430" s="207"/>
      <c r="P430" s="207"/>
      <c r="Q430" s="207"/>
      <c r="R430" s="207"/>
      <c r="S430" s="207"/>
      <c r="T430" s="207"/>
      <c r="U430" s="209"/>
      <c r="V430" s="207"/>
      <c r="W430" s="207"/>
      <c r="X430" s="209">
        <f t="shared" si="67"/>
        <v>0</v>
      </c>
      <c r="Y430" s="209">
        <f t="shared" si="68"/>
        <v>0</v>
      </c>
      <c r="Z430" s="207" t="str">
        <f t="shared" ca="1" si="69"/>
        <v/>
      </c>
      <c r="AA430" s="209" t="str">
        <f t="shared" si="73"/>
        <v/>
      </c>
      <c r="AB430" s="209"/>
      <c r="AC430" s="207" t="str">
        <f t="shared" ca="1" si="70"/>
        <v/>
      </c>
      <c r="AD430" s="207"/>
      <c r="AE430" s="207"/>
      <c r="AF430" s="208" t="str">
        <f>IF(ISBLANK(D430),"",VLOOKUP(F430,'SIZE CALCULATION'!$F:$G,2,0))</f>
        <v/>
      </c>
      <c r="AG430" s="207" t="str">
        <f t="shared" si="66"/>
        <v/>
      </c>
      <c r="AH430" s="207" t="str">
        <f t="shared" si="71"/>
        <v/>
      </c>
      <c r="AI430" s="210" t="str">
        <f>IF(ISBLANK(D430),"",VLOOKUP($A430,INDEX!$D$2:$F$13,3,0))</f>
        <v/>
      </c>
      <c r="AJ430" s="207" t="str">
        <f t="shared" si="72"/>
        <v/>
      </c>
      <c r="AK430" s="207"/>
      <c r="AL430" s="207"/>
      <c r="AM430" s="207" t="str">
        <f>IFERROR(IF(ISBLANK($D430),"",VLOOKUP($N430,'TABLE CHARGE RATE'!$A$30:$K$106,5,0)),"Check")</f>
        <v/>
      </c>
      <c r="AN430" s="207" t="str">
        <f>IFERROR(IF(ISBLANK($D430),"",VLOOKUP($N430,'TABLE CHARGE RATE'!$A$30:$K$106,6,0)),"Check")</f>
        <v/>
      </c>
      <c r="AO430" s="207" t="str">
        <f>IFERROR(IF(ISBLANK($D430),"",VLOOKUP($N430,'TABLE CHARGE RATE'!$A$30:$K$106,7,0)),"Check")</f>
        <v/>
      </c>
      <c r="AP430" s="207" t="str">
        <f>IFERROR(IF(ISBLANK($D430),"",VLOOKUP($N430,'TABLE CHARGE RATE'!$A$30:$K$106,8,0)),"Check")</f>
        <v/>
      </c>
      <c r="AQ430" s="207" t="str">
        <f>IFERROR(IF(ISBLANK($D430),"",VLOOKUP($N430,'TABLE CHARGE RATE'!$A$30:$K$106,9,0)),"Check")</f>
        <v/>
      </c>
      <c r="AR430" s="207" t="str">
        <f>IFERROR(IF(ISBLANK($D430),"",VLOOKUP($N430,'TABLE CHARGE RATE'!$A$30:$K$106,10,0)),"Check")</f>
        <v/>
      </c>
      <c r="AS430" s="207" t="str">
        <f>IFERROR(IF(ISBLANK($D430),"",VLOOKUP($N430,'TABLE CHARGE RATE'!$A$30:$K$106,11,0)),"Check")</f>
        <v/>
      </c>
      <c r="AT430" s="207"/>
    </row>
    <row r="431" spans="1:46" x14ac:dyDescent="0.2">
      <c r="A431" s="207" t="str">
        <f t="shared" si="74"/>
        <v/>
      </c>
      <c r="B431" s="208" t="str">
        <f>IF(ISBLANK(D431),"",VLOOKUP(WEEKDAY($C431,1),INDEX!$J$2:$K$8,2,0))</f>
        <v/>
      </c>
      <c r="C431" s="209"/>
      <c r="D431" s="207"/>
      <c r="E431" s="207"/>
      <c r="F431" s="207"/>
      <c r="G431" s="207"/>
      <c r="H431" s="207"/>
      <c r="I431" s="207"/>
      <c r="J431" s="207"/>
      <c r="K431" s="207"/>
      <c r="L431" s="207"/>
      <c r="M431" s="207"/>
      <c r="N431" s="207"/>
      <c r="O431" s="207"/>
      <c r="P431" s="207"/>
      <c r="Q431" s="207"/>
      <c r="R431" s="207"/>
      <c r="S431" s="207"/>
      <c r="T431" s="207"/>
      <c r="U431" s="209"/>
      <c r="V431" s="207"/>
      <c r="W431" s="207"/>
      <c r="X431" s="209">
        <f t="shared" si="67"/>
        <v>0</v>
      </c>
      <c r="Y431" s="209">
        <f t="shared" si="68"/>
        <v>0</v>
      </c>
      <c r="Z431" s="207" t="str">
        <f t="shared" ca="1" si="69"/>
        <v/>
      </c>
      <c r="AA431" s="209" t="str">
        <f t="shared" si="73"/>
        <v/>
      </c>
      <c r="AB431" s="209"/>
      <c r="AC431" s="207" t="str">
        <f t="shared" ca="1" si="70"/>
        <v/>
      </c>
      <c r="AD431" s="207"/>
      <c r="AE431" s="207"/>
      <c r="AF431" s="208" t="str">
        <f>IF(ISBLANK(D431),"",VLOOKUP(F431,'SIZE CALCULATION'!$F:$G,2,0))</f>
        <v/>
      </c>
      <c r="AG431" s="207" t="str">
        <f t="shared" si="66"/>
        <v/>
      </c>
      <c r="AH431" s="207" t="str">
        <f t="shared" si="71"/>
        <v/>
      </c>
      <c r="AI431" s="210" t="str">
        <f>IF(ISBLANK(D431),"",VLOOKUP($A431,INDEX!$D$2:$F$13,3,0))</f>
        <v/>
      </c>
      <c r="AJ431" s="207" t="str">
        <f t="shared" si="72"/>
        <v/>
      </c>
      <c r="AK431" s="207"/>
      <c r="AL431" s="207"/>
      <c r="AM431" s="207" t="str">
        <f>IFERROR(IF(ISBLANK($D431),"",VLOOKUP($N431,'TABLE CHARGE RATE'!$A$30:$K$106,5,0)),"Check")</f>
        <v/>
      </c>
      <c r="AN431" s="207" t="str">
        <f>IFERROR(IF(ISBLANK($D431),"",VLOOKUP($N431,'TABLE CHARGE RATE'!$A$30:$K$106,6,0)),"Check")</f>
        <v/>
      </c>
      <c r="AO431" s="207" t="str">
        <f>IFERROR(IF(ISBLANK($D431),"",VLOOKUP($N431,'TABLE CHARGE RATE'!$A$30:$K$106,7,0)),"Check")</f>
        <v/>
      </c>
      <c r="AP431" s="207" t="str">
        <f>IFERROR(IF(ISBLANK($D431),"",VLOOKUP($N431,'TABLE CHARGE RATE'!$A$30:$K$106,8,0)),"Check")</f>
        <v/>
      </c>
      <c r="AQ431" s="207" t="str">
        <f>IFERROR(IF(ISBLANK($D431),"",VLOOKUP($N431,'TABLE CHARGE RATE'!$A$30:$K$106,9,0)),"Check")</f>
        <v/>
      </c>
      <c r="AR431" s="207" t="str">
        <f>IFERROR(IF(ISBLANK($D431),"",VLOOKUP($N431,'TABLE CHARGE RATE'!$A$30:$K$106,10,0)),"Check")</f>
        <v/>
      </c>
      <c r="AS431" s="207" t="str">
        <f>IFERROR(IF(ISBLANK($D431),"",VLOOKUP($N431,'TABLE CHARGE RATE'!$A$30:$K$106,11,0)),"Check")</f>
        <v/>
      </c>
      <c r="AT431" s="207"/>
    </row>
    <row r="432" spans="1:46" x14ac:dyDescent="0.2">
      <c r="A432" s="207" t="str">
        <f t="shared" si="74"/>
        <v/>
      </c>
      <c r="B432" s="208" t="str">
        <f>IF(ISBLANK(D432),"",VLOOKUP(WEEKDAY($C432,1),INDEX!$J$2:$K$8,2,0))</f>
        <v/>
      </c>
      <c r="C432" s="209"/>
      <c r="D432" s="207"/>
      <c r="E432" s="207"/>
      <c r="F432" s="207"/>
      <c r="G432" s="207"/>
      <c r="H432" s="207"/>
      <c r="I432" s="207"/>
      <c r="J432" s="207"/>
      <c r="K432" s="207"/>
      <c r="L432" s="207"/>
      <c r="M432" s="207"/>
      <c r="N432" s="207"/>
      <c r="O432" s="207"/>
      <c r="P432" s="207"/>
      <c r="Q432" s="207"/>
      <c r="R432" s="207"/>
      <c r="S432" s="207"/>
      <c r="T432" s="207"/>
      <c r="U432" s="209"/>
      <c r="V432" s="207"/>
      <c r="W432" s="207"/>
      <c r="X432" s="209">
        <f t="shared" si="67"/>
        <v>0</v>
      </c>
      <c r="Y432" s="209">
        <f t="shared" si="68"/>
        <v>0</v>
      </c>
      <c r="Z432" s="207" t="str">
        <f t="shared" ca="1" si="69"/>
        <v/>
      </c>
      <c r="AA432" s="209" t="str">
        <f t="shared" si="73"/>
        <v/>
      </c>
      <c r="AB432" s="209"/>
      <c r="AC432" s="207" t="str">
        <f t="shared" ca="1" si="70"/>
        <v/>
      </c>
      <c r="AD432" s="207"/>
      <c r="AE432" s="207"/>
      <c r="AF432" s="208" t="str">
        <f>IF(ISBLANK(D432),"",VLOOKUP(F432,'SIZE CALCULATION'!$F:$G,2,0))</f>
        <v/>
      </c>
      <c r="AG432" s="207" t="str">
        <f t="shared" si="66"/>
        <v/>
      </c>
      <c r="AH432" s="207" t="str">
        <f t="shared" si="71"/>
        <v/>
      </c>
      <c r="AI432" s="210" t="str">
        <f>IF(ISBLANK(D432),"",VLOOKUP($A432,INDEX!$D$2:$F$13,3,0))</f>
        <v/>
      </c>
      <c r="AJ432" s="207" t="str">
        <f t="shared" si="72"/>
        <v/>
      </c>
      <c r="AK432" s="207"/>
      <c r="AL432" s="207"/>
      <c r="AM432" s="207" t="str">
        <f>IFERROR(IF(ISBLANK($D432),"",VLOOKUP($N432,'TABLE CHARGE RATE'!$A$30:$K$106,5,0)),"Check")</f>
        <v/>
      </c>
      <c r="AN432" s="207" t="str">
        <f>IFERROR(IF(ISBLANK($D432),"",VLOOKUP($N432,'TABLE CHARGE RATE'!$A$30:$K$106,6,0)),"Check")</f>
        <v/>
      </c>
      <c r="AO432" s="207" t="str">
        <f>IFERROR(IF(ISBLANK($D432),"",VLOOKUP($N432,'TABLE CHARGE RATE'!$A$30:$K$106,7,0)),"Check")</f>
        <v/>
      </c>
      <c r="AP432" s="207" t="str">
        <f>IFERROR(IF(ISBLANK($D432),"",VLOOKUP($N432,'TABLE CHARGE RATE'!$A$30:$K$106,8,0)),"Check")</f>
        <v/>
      </c>
      <c r="AQ432" s="207" t="str">
        <f>IFERROR(IF(ISBLANK($D432),"",VLOOKUP($N432,'TABLE CHARGE RATE'!$A$30:$K$106,9,0)),"Check")</f>
        <v/>
      </c>
      <c r="AR432" s="207" t="str">
        <f>IFERROR(IF(ISBLANK($D432),"",VLOOKUP($N432,'TABLE CHARGE RATE'!$A$30:$K$106,10,0)),"Check")</f>
        <v/>
      </c>
      <c r="AS432" s="207" t="str">
        <f>IFERROR(IF(ISBLANK($D432),"",VLOOKUP($N432,'TABLE CHARGE RATE'!$A$30:$K$106,11,0)),"Check")</f>
        <v/>
      </c>
      <c r="AT432" s="207"/>
    </row>
    <row r="433" spans="1:46" x14ac:dyDescent="0.2">
      <c r="A433" s="207" t="str">
        <f t="shared" si="74"/>
        <v/>
      </c>
      <c r="B433" s="208" t="str">
        <f>IF(ISBLANK(D433),"",VLOOKUP(WEEKDAY($C433,1),INDEX!$J$2:$K$8,2,0))</f>
        <v/>
      </c>
      <c r="C433" s="209"/>
      <c r="D433" s="207"/>
      <c r="E433" s="207"/>
      <c r="F433" s="207"/>
      <c r="G433" s="207"/>
      <c r="H433" s="207"/>
      <c r="I433" s="207"/>
      <c r="J433" s="207"/>
      <c r="K433" s="207"/>
      <c r="L433" s="207"/>
      <c r="M433" s="207"/>
      <c r="N433" s="207"/>
      <c r="O433" s="207"/>
      <c r="P433" s="207"/>
      <c r="Q433" s="207"/>
      <c r="R433" s="207"/>
      <c r="S433" s="207"/>
      <c r="T433" s="207"/>
      <c r="U433" s="209"/>
      <c r="V433" s="207"/>
      <c r="W433" s="207"/>
      <c r="X433" s="209">
        <f t="shared" si="67"/>
        <v>0</v>
      </c>
      <c r="Y433" s="209">
        <f t="shared" si="68"/>
        <v>0</v>
      </c>
      <c r="Z433" s="207" t="str">
        <f t="shared" ca="1" si="69"/>
        <v/>
      </c>
      <c r="AA433" s="209" t="str">
        <f t="shared" si="73"/>
        <v/>
      </c>
      <c r="AB433" s="209"/>
      <c r="AC433" s="207" t="str">
        <f t="shared" ca="1" si="70"/>
        <v/>
      </c>
      <c r="AD433" s="207"/>
      <c r="AE433" s="207"/>
      <c r="AF433" s="208" t="str">
        <f>IF(ISBLANK(D433),"",VLOOKUP(F433,'SIZE CALCULATION'!$F:$G,2,0))</f>
        <v/>
      </c>
      <c r="AG433" s="207" t="str">
        <f t="shared" si="66"/>
        <v/>
      </c>
      <c r="AH433" s="207" t="str">
        <f t="shared" si="71"/>
        <v/>
      </c>
      <c r="AI433" s="210" t="str">
        <f>IF(ISBLANK(D433),"",VLOOKUP($A433,INDEX!$D$2:$F$13,3,0))</f>
        <v/>
      </c>
      <c r="AJ433" s="207" t="str">
        <f t="shared" si="72"/>
        <v/>
      </c>
      <c r="AK433" s="207"/>
      <c r="AL433" s="207"/>
      <c r="AM433" s="207" t="str">
        <f>IFERROR(IF(ISBLANK($D433),"",VLOOKUP($N433,'TABLE CHARGE RATE'!$A$30:$K$106,5,0)),"Check")</f>
        <v/>
      </c>
      <c r="AN433" s="207" t="str">
        <f>IFERROR(IF(ISBLANK($D433),"",VLOOKUP($N433,'TABLE CHARGE RATE'!$A$30:$K$106,6,0)),"Check")</f>
        <v/>
      </c>
      <c r="AO433" s="207" t="str">
        <f>IFERROR(IF(ISBLANK($D433),"",VLOOKUP($N433,'TABLE CHARGE RATE'!$A$30:$K$106,7,0)),"Check")</f>
        <v/>
      </c>
      <c r="AP433" s="207" t="str">
        <f>IFERROR(IF(ISBLANK($D433),"",VLOOKUP($N433,'TABLE CHARGE RATE'!$A$30:$K$106,8,0)),"Check")</f>
        <v/>
      </c>
      <c r="AQ433" s="207" t="str">
        <f>IFERROR(IF(ISBLANK($D433),"",VLOOKUP($N433,'TABLE CHARGE RATE'!$A$30:$K$106,9,0)),"Check")</f>
        <v/>
      </c>
      <c r="AR433" s="207" t="str">
        <f>IFERROR(IF(ISBLANK($D433),"",VLOOKUP($N433,'TABLE CHARGE RATE'!$A$30:$K$106,10,0)),"Check")</f>
        <v/>
      </c>
      <c r="AS433" s="207" t="str">
        <f>IFERROR(IF(ISBLANK($D433),"",VLOOKUP($N433,'TABLE CHARGE RATE'!$A$30:$K$106,11,0)),"Check")</f>
        <v/>
      </c>
      <c r="AT433" s="207"/>
    </row>
    <row r="434" spans="1:46" x14ac:dyDescent="0.2">
      <c r="A434" s="207" t="str">
        <f t="shared" si="74"/>
        <v/>
      </c>
      <c r="B434" s="208" t="str">
        <f>IF(ISBLANK(D434),"",VLOOKUP(WEEKDAY($C434,1),INDEX!$J$2:$K$8,2,0))</f>
        <v/>
      </c>
      <c r="C434" s="209"/>
      <c r="D434" s="207"/>
      <c r="E434" s="207"/>
      <c r="F434" s="207"/>
      <c r="G434" s="207"/>
      <c r="H434" s="207"/>
      <c r="I434" s="207"/>
      <c r="J434" s="207"/>
      <c r="K434" s="207"/>
      <c r="L434" s="207"/>
      <c r="M434" s="207"/>
      <c r="N434" s="207"/>
      <c r="O434" s="207"/>
      <c r="P434" s="207"/>
      <c r="Q434" s="207"/>
      <c r="R434" s="207"/>
      <c r="S434" s="207"/>
      <c r="T434" s="207"/>
      <c r="U434" s="209"/>
      <c r="V434" s="207"/>
      <c r="W434" s="207"/>
      <c r="X434" s="209">
        <f t="shared" si="67"/>
        <v>0</v>
      </c>
      <c r="Y434" s="209">
        <f t="shared" si="68"/>
        <v>0</v>
      </c>
      <c r="Z434" s="207" t="str">
        <f t="shared" ca="1" si="69"/>
        <v/>
      </c>
      <c r="AA434" s="209" t="str">
        <f t="shared" si="73"/>
        <v/>
      </c>
      <c r="AB434" s="209"/>
      <c r="AC434" s="207" t="str">
        <f t="shared" ca="1" si="70"/>
        <v/>
      </c>
      <c r="AD434" s="207"/>
      <c r="AE434" s="207"/>
      <c r="AF434" s="208" t="str">
        <f>IF(ISBLANK(D434),"",VLOOKUP(F434,'SIZE CALCULATION'!$F:$G,2,0))</f>
        <v/>
      </c>
      <c r="AG434" s="207" t="str">
        <f t="shared" si="66"/>
        <v/>
      </c>
      <c r="AH434" s="207" t="str">
        <f t="shared" si="71"/>
        <v/>
      </c>
      <c r="AI434" s="210" t="str">
        <f>IF(ISBLANK(D434),"",VLOOKUP($A434,INDEX!$D$2:$F$13,3,0))</f>
        <v/>
      </c>
      <c r="AJ434" s="207" t="str">
        <f t="shared" si="72"/>
        <v/>
      </c>
      <c r="AK434" s="207"/>
      <c r="AL434" s="207"/>
      <c r="AM434" s="207" t="str">
        <f>IFERROR(IF(ISBLANK($D434),"",VLOOKUP($N434,'TABLE CHARGE RATE'!$A$30:$K$106,5,0)),"Check")</f>
        <v/>
      </c>
      <c r="AN434" s="207" t="str">
        <f>IFERROR(IF(ISBLANK($D434),"",VLOOKUP($N434,'TABLE CHARGE RATE'!$A$30:$K$106,6,0)),"Check")</f>
        <v/>
      </c>
      <c r="AO434" s="207" t="str">
        <f>IFERROR(IF(ISBLANK($D434),"",VLOOKUP($N434,'TABLE CHARGE RATE'!$A$30:$K$106,7,0)),"Check")</f>
        <v/>
      </c>
      <c r="AP434" s="207" t="str">
        <f>IFERROR(IF(ISBLANK($D434),"",VLOOKUP($N434,'TABLE CHARGE RATE'!$A$30:$K$106,8,0)),"Check")</f>
        <v/>
      </c>
      <c r="AQ434" s="207" t="str">
        <f>IFERROR(IF(ISBLANK($D434),"",VLOOKUP($N434,'TABLE CHARGE RATE'!$A$30:$K$106,9,0)),"Check")</f>
        <v/>
      </c>
      <c r="AR434" s="207" t="str">
        <f>IFERROR(IF(ISBLANK($D434),"",VLOOKUP($N434,'TABLE CHARGE RATE'!$A$30:$K$106,10,0)),"Check")</f>
        <v/>
      </c>
      <c r="AS434" s="207" t="str">
        <f>IFERROR(IF(ISBLANK($D434),"",VLOOKUP($N434,'TABLE CHARGE RATE'!$A$30:$K$106,11,0)),"Check")</f>
        <v/>
      </c>
      <c r="AT434" s="207"/>
    </row>
    <row r="435" spans="1:46" x14ac:dyDescent="0.2">
      <c r="A435" s="207" t="str">
        <f t="shared" si="74"/>
        <v/>
      </c>
      <c r="B435" s="208" t="str">
        <f>IF(ISBLANK(D435),"",VLOOKUP(WEEKDAY($C435,1),INDEX!$J$2:$K$8,2,0))</f>
        <v/>
      </c>
      <c r="C435" s="209"/>
      <c r="D435" s="207"/>
      <c r="E435" s="207"/>
      <c r="F435" s="207"/>
      <c r="G435" s="207"/>
      <c r="H435" s="207"/>
      <c r="I435" s="207"/>
      <c r="J435" s="207"/>
      <c r="K435" s="207"/>
      <c r="L435" s="207"/>
      <c r="M435" s="207"/>
      <c r="N435" s="207"/>
      <c r="O435" s="207"/>
      <c r="P435" s="207"/>
      <c r="Q435" s="207"/>
      <c r="R435" s="207"/>
      <c r="S435" s="207"/>
      <c r="T435" s="207"/>
      <c r="U435" s="209"/>
      <c r="V435" s="207"/>
      <c r="W435" s="207"/>
      <c r="X435" s="209">
        <f t="shared" si="67"/>
        <v>0</v>
      </c>
      <c r="Y435" s="209">
        <f t="shared" si="68"/>
        <v>0</v>
      </c>
      <c r="Z435" s="207" t="str">
        <f t="shared" ca="1" si="69"/>
        <v/>
      </c>
      <c r="AA435" s="209" t="str">
        <f t="shared" si="73"/>
        <v/>
      </c>
      <c r="AB435" s="209"/>
      <c r="AC435" s="207" t="str">
        <f t="shared" ca="1" si="70"/>
        <v/>
      </c>
      <c r="AD435" s="207"/>
      <c r="AE435" s="207"/>
      <c r="AF435" s="208" t="str">
        <f>IF(ISBLANK(D435),"",VLOOKUP(F435,'SIZE CALCULATION'!$F:$G,2,0))</f>
        <v/>
      </c>
      <c r="AG435" s="207" t="str">
        <f t="shared" ref="AG435:AG498" si="75">IF(ISBLANK(D435),"",HLOOKUP($AF435,$AM$1:$AR$966,$AT435,0))</f>
        <v/>
      </c>
      <c r="AH435" s="207" t="str">
        <f t="shared" si="71"/>
        <v/>
      </c>
      <c r="AI435" s="210" t="str">
        <f>IF(ISBLANK(D435),"",VLOOKUP($A435,INDEX!$D$2:$F$13,3,0))</f>
        <v/>
      </c>
      <c r="AJ435" s="207" t="str">
        <f t="shared" si="72"/>
        <v/>
      </c>
      <c r="AK435" s="207"/>
      <c r="AL435" s="207"/>
      <c r="AM435" s="207" t="str">
        <f>IFERROR(IF(ISBLANK($D435),"",VLOOKUP($N435,'TABLE CHARGE RATE'!$A$30:$K$106,5,0)),"Check")</f>
        <v/>
      </c>
      <c r="AN435" s="207" t="str">
        <f>IFERROR(IF(ISBLANK($D435),"",VLOOKUP($N435,'TABLE CHARGE RATE'!$A$30:$K$106,6,0)),"Check")</f>
        <v/>
      </c>
      <c r="AO435" s="207" t="str">
        <f>IFERROR(IF(ISBLANK($D435),"",VLOOKUP($N435,'TABLE CHARGE RATE'!$A$30:$K$106,7,0)),"Check")</f>
        <v/>
      </c>
      <c r="AP435" s="207" t="str">
        <f>IFERROR(IF(ISBLANK($D435),"",VLOOKUP($N435,'TABLE CHARGE RATE'!$A$30:$K$106,8,0)),"Check")</f>
        <v/>
      </c>
      <c r="AQ435" s="207" t="str">
        <f>IFERROR(IF(ISBLANK($D435),"",VLOOKUP($N435,'TABLE CHARGE RATE'!$A$30:$K$106,9,0)),"Check")</f>
        <v/>
      </c>
      <c r="AR435" s="207" t="str">
        <f>IFERROR(IF(ISBLANK($D435),"",VLOOKUP($N435,'TABLE CHARGE RATE'!$A$30:$K$106,10,0)),"Check")</f>
        <v/>
      </c>
      <c r="AS435" s="207" t="str">
        <f>IFERROR(IF(ISBLANK($D435),"",VLOOKUP($N435,'TABLE CHARGE RATE'!$A$30:$K$106,11,0)),"Check")</f>
        <v/>
      </c>
      <c r="AT435" s="207"/>
    </row>
    <row r="436" spans="1:46" x14ac:dyDescent="0.2">
      <c r="A436" s="207" t="str">
        <f t="shared" si="74"/>
        <v/>
      </c>
      <c r="B436" s="208" t="str">
        <f>IF(ISBLANK(D436),"",VLOOKUP(WEEKDAY($C436,1),INDEX!$J$2:$K$8,2,0))</f>
        <v/>
      </c>
      <c r="C436" s="209"/>
      <c r="D436" s="207"/>
      <c r="E436" s="207"/>
      <c r="F436" s="207"/>
      <c r="G436" s="207"/>
      <c r="H436" s="207"/>
      <c r="I436" s="207"/>
      <c r="J436" s="207"/>
      <c r="K436" s="207"/>
      <c r="L436" s="207"/>
      <c r="M436" s="207"/>
      <c r="N436" s="207"/>
      <c r="O436" s="207"/>
      <c r="P436" s="207"/>
      <c r="Q436" s="207"/>
      <c r="R436" s="207"/>
      <c r="S436" s="207"/>
      <c r="T436" s="207"/>
      <c r="U436" s="209"/>
      <c r="V436" s="207"/>
      <c r="W436" s="207"/>
      <c r="X436" s="209">
        <f t="shared" si="67"/>
        <v>0</v>
      </c>
      <c r="Y436" s="209">
        <f t="shared" si="68"/>
        <v>0</v>
      </c>
      <c r="Z436" s="207" t="str">
        <f t="shared" ca="1" si="69"/>
        <v/>
      </c>
      <c r="AA436" s="209" t="str">
        <f t="shared" si="73"/>
        <v/>
      </c>
      <c r="AB436" s="209"/>
      <c r="AC436" s="207" t="str">
        <f t="shared" ca="1" si="70"/>
        <v/>
      </c>
      <c r="AD436" s="207"/>
      <c r="AE436" s="207"/>
      <c r="AF436" s="208" t="str">
        <f>IF(ISBLANK(D436),"",VLOOKUP(F436,'SIZE CALCULATION'!$F:$G,2,0))</f>
        <v/>
      </c>
      <c r="AG436" s="207" t="str">
        <f t="shared" si="75"/>
        <v/>
      </c>
      <c r="AH436" s="207" t="str">
        <f t="shared" si="71"/>
        <v/>
      </c>
      <c r="AI436" s="210" t="str">
        <f>IF(ISBLANK(D436),"",VLOOKUP($A436,INDEX!$D$2:$F$13,3,0))</f>
        <v/>
      </c>
      <c r="AJ436" s="207" t="str">
        <f t="shared" si="72"/>
        <v/>
      </c>
      <c r="AK436" s="207"/>
      <c r="AL436" s="207"/>
      <c r="AM436" s="207" t="str">
        <f>IFERROR(IF(ISBLANK($D436),"",VLOOKUP($N436,'TABLE CHARGE RATE'!$A$30:$K$106,5,0)),"Check")</f>
        <v/>
      </c>
      <c r="AN436" s="207" t="str">
        <f>IFERROR(IF(ISBLANK($D436),"",VLOOKUP($N436,'TABLE CHARGE RATE'!$A$30:$K$106,6,0)),"Check")</f>
        <v/>
      </c>
      <c r="AO436" s="207" t="str">
        <f>IFERROR(IF(ISBLANK($D436),"",VLOOKUP($N436,'TABLE CHARGE RATE'!$A$30:$K$106,7,0)),"Check")</f>
        <v/>
      </c>
      <c r="AP436" s="207" t="str">
        <f>IFERROR(IF(ISBLANK($D436),"",VLOOKUP($N436,'TABLE CHARGE RATE'!$A$30:$K$106,8,0)),"Check")</f>
        <v/>
      </c>
      <c r="AQ436" s="207" t="str">
        <f>IFERROR(IF(ISBLANK($D436),"",VLOOKUP($N436,'TABLE CHARGE RATE'!$A$30:$K$106,9,0)),"Check")</f>
        <v/>
      </c>
      <c r="AR436" s="207" t="str">
        <f>IFERROR(IF(ISBLANK($D436),"",VLOOKUP($N436,'TABLE CHARGE RATE'!$A$30:$K$106,10,0)),"Check")</f>
        <v/>
      </c>
      <c r="AS436" s="207" t="str">
        <f>IFERROR(IF(ISBLANK($D436),"",VLOOKUP($N436,'TABLE CHARGE RATE'!$A$30:$K$106,11,0)),"Check")</f>
        <v/>
      </c>
      <c r="AT436" s="207"/>
    </row>
    <row r="437" spans="1:46" x14ac:dyDescent="0.2">
      <c r="A437" s="207" t="str">
        <f t="shared" si="74"/>
        <v/>
      </c>
      <c r="B437" s="208" t="str">
        <f>IF(ISBLANK(D437),"",VLOOKUP(WEEKDAY($C437,1),INDEX!$J$2:$K$8,2,0))</f>
        <v/>
      </c>
      <c r="C437" s="209"/>
      <c r="D437" s="207"/>
      <c r="E437" s="207"/>
      <c r="F437" s="207"/>
      <c r="G437" s="207"/>
      <c r="H437" s="207"/>
      <c r="I437" s="207"/>
      <c r="J437" s="207"/>
      <c r="K437" s="207"/>
      <c r="L437" s="207"/>
      <c r="M437" s="207"/>
      <c r="N437" s="207"/>
      <c r="O437" s="207"/>
      <c r="P437" s="207"/>
      <c r="Q437" s="207"/>
      <c r="R437" s="207"/>
      <c r="S437" s="207"/>
      <c r="T437" s="207"/>
      <c r="U437" s="209"/>
      <c r="V437" s="207"/>
      <c r="W437" s="207"/>
      <c r="X437" s="209">
        <f t="shared" si="67"/>
        <v>0</v>
      </c>
      <c r="Y437" s="209">
        <f t="shared" si="68"/>
        <v>0</v>
      </c>
      <c r="Z437" s="207" t="str">
        <f t="shared" ca="1" si="69"/>
        <v/>
      </c>
      <c r="AA437" s="209" t="str">
        <f t="shared" si="73"/>
        <v/>
      </c>
      <c r="AB437" s="209"/>
      <c r="AC437" s="207" t="str">
        <f t="shared" ca="1" si="70"/>
        <v/>
      </c>
      <c r="AD437" s="207"/>
      <c r="AE437" s="207"/>
      <c r="AF437" s="208" t="str">
        <f>IF(ISBLANK(D437),"",VLOOKUP(F437,'SIZE CALCULATION'!$F:$G,2,0))</f>
        <v/>
      </c>
      <c r="AG437" s="207" t="str">
        <f t="shared" si="75"/>
        <v/>
      </c>
      <c r="AH437" s="207" t="str">
        <f t="shared" si="71"/>
        <v/>
      </c>
      <c r="AI437" s="210" t="str">
        <f>IF(ISBLANK(D437),"",VLOOKUP($A437,INDEX!$D$2:$F$13,3,0))</f>
        <v/>
      </c>
      <c r="AJ437" s="207" t="str">
        <f t="shared" si="72"/>
        <v/>
      </c>
      <c r="AK437" s="207"/>
      <c r="AL437" s="207"/>
      <c r="AM437" s="207" t="str">
        <f>IFERROR(IF(ISBLANK($D437),"",VLOOKUP($N437,'TABLE CHARGE RATE'!$A$30:$K$106,5,0)),"Check")</f>
        <v/>
      </c>
      <c r="AN437" s="207" t="str">
        <f>IFERROR(IF(ISBLANK($D437),"",VLOOKUP($N437,'TABLE CHARGE RATE'!$A$30:$K$106,6,0)),"Check")</f>
        <v/>
      </c>
      <c r="AO437" s="207" t="str">
        <f>IFERROR(IF(ISBLANK($D437),"",VLOOKUP($N437,'TABLE CHARGE RATE'!$A$30:$K$106,7,0)),"Check")</f>
        <v/>
      </c>
      <c r="AP437" s="207" t="str">
        <f>IFERROR(IF(ISBLANK($D437),"",VLOOKUP($N437,'TABLE CHARGE RATE'!$A$30:$K$106,8,0)),"Check")</f>
        <v/>
      </c>
      <c r="AQ437" s="207" t="str">
        <f>IFERROR(IF(ISBLANK($D437),"",VLOOKUP($N437,'TABLE CHARGE RATE'!$A$30:$K$106,9,0)),"Check")</f>
        <v/>
      </c>
      <c r="AR437" s="207" t="str">
        <f>IFERROR(IF(ISBLANK($D437),"",VLOOKUP($N437,'TABLE CHARGE RATE'!$A$30:$K$106,10,0)),"Check")</f>
        <v/>
      </c>
      <c r="AS437" s="207" t="str">
        <f>IFERROR(IF(ISBLANK($D437),"",VLOOKUP($N437,'TABLE CHARGE RATE'!$A$30:$K$106,11,0)),"Check")</f>
        <v/>
      </c>
      <c r="AT437" s="207"/>
    </row>
    <row r="438" spans="1:46" x14ac:dyDescent="0.2">
      <c r="A438" s="207" t="str">
        <f t="shared" si="74"/>
        <v/>
      </c>
      <c r="B438" s="208" t="str">
        <f>IF(ISBLANK(D438),"",VLOOKUP(WEEKDAY($C438,1),INDEX!$J$2:$K$8,2,0))</f>
        <v/>
      </c>
      <c r="C438" s="209"/>
      <c r="D438" s="207"/>
      <c r="E438" s="207"/>
      <c r="F438" s="207"/>
      <c r="G438" s="207"/>
      <c r="H438" s="207"/>
      <c r="I438" s="207"/>
      <c r="J438" s="207"/>
      <c r="K438" s="207"/>
      <c r="L438" s="207"/>
      <c r="M438" s="207"/>
      <c r="N438" s="207"/>
      <c r="O438" s="207"/>
      <c r="P438" s="207"/>
      <c r="Q438" s="207"/>
      <c r="R438" s="207"/>
      <c r="S438" s="207"/>
      <c r="T438" s="207"/>
      <c r="U438" s="209"/>
      <c r="V438" s="207"/>
      <c r="W438" s="207"/>
      <c r="X438" s="209">
        <f t="shared" si="67"/>
        <v>0</v>
      </c>
      <c r="Y438" s="209">
        <f t="shared" si="68"/>
        <v>0</v>
      </c>
      <c r="Z438" s="207" t="str">
        <f t="shared" ca="1" si="69"/>
        <v/>
      </c>
      <c r="AA438" s="209" t="str">
        <f t="shared" si="73"/>
        <v/>
      </c>
      <c r="AB438" s="209"/>
      <c r="AC438" s="207" t="str">
        <f t="shared" ca="1" si="70"/>
        <v/>
      </c>
      <c r="AD438" s="207"/>
      <c r="AE438" s="207"/>
      <c r="AF438" s="208" t="str">
        <f>IF(ISBLANK(D438),"",VLOOKUP(F438,'SIZE CALCULATION'!$F:$G,2,0))</f>
        <v/>
      </c>
      <c r="AG438" s="207" t="str">
        <f t="shared" si="75"/>
        <v/>
      </c>
      <c r="AH438" s="207" t="str">
        <f t="shared" si="71"/>
        <v/>
      </c>
      <c r="AI438" s="210" t="str">
        <f>IF(ISBLANK(D438),"",VLOOKUP($A438,INDEX!$D$2:$F$13,3,0))</f>
        <v/>
      </c>
      <c r="AJ438" s="207" t="str">
        <f t="shared" si="72"/>
        <v/>
      </c>
      <c r="AK438" s="207"/>
      <c r="AL438" s="207"/>
      <c r="AM438" s="207" t="str">
        <f>IFERROR(IF(ISBLANK($D438),"",VLOOKUP($N438,'TABLE CHARGE RATE'!$A$30:$K$106,5,0)),"Check")</f>
        <v/>
      </c>
      <c r="AN438" s="207" t="str">
        <f>IFERROR(IF(ISBLANK($D438),"",VLOOKUP($N438,'TABLE CHARGE RATE'!$A$30:$K$106,6,0)),"Check")</f>
        <v/>
      </c>
      <c r="AO438" s="207" t="str">
        <f>IFERROR(IF(ISBLANK($D438),"",VLOOKUP($N438,'TABLE CHARGE RATE'!$A$30:$K$106,7,0)),"Check")</f>
        <v/>
      </c>
      <c r="AP438" s="207" t="str">
        <f>IFERROR(IF(ISBLANK($D438),"",VLOOKUP($N438,'TABLE CHARGE RATE'!$A$30:$K$106,8,0)),"Check")</f>
        <v/>
      </c>
      <c r="AQ438" s="207" t="str">
        <f>IFERROR(IF(ISBLANK($D438),"",VLOOKUP($N438,'TABLE CHARGE RATE'!$A$30:$K$106,9,0)),"Check")</f>
        <v/>
      </c>
      <c r="AR438" s="207" t="str">
        <f>IFERROR(IF(ISBLANK($D438),"",VLOOKUP($N438,'TABLE CHARGE RATE'!$A$30:$K$106,10,0)),"Check")</f>
        <v/>
      </c>
      <c r="AS438" s="207" t="str">
        <f>IFERROR(IF(ISBLANK($D438),"",VLOOKUP($N438,'TABLE CHARGE RATE'!$A$30:$K$106,11,0)),"Check")</f>
        <v/>
      </c>
      <c r="AT438" s="207"/>
    </row>
    <row r="439" spans="1:46" x14ac:dyDescent="0.2">
      <c r="A439" s="207" t="str">
        <f t="shared" si="74"/>
        <v/>
      </c>
      <c r="B439" s="208" t="str">
        <f>IF(ISBLANK(D439),"",VLOOKUP(WEEKDAY($C439,1),INDEX!$J$2:$K$8,2,0))</f>
        <v/>
      </c>
      <c r="C439" s="209"/>
      <c r="D439" s="207"/>
      <c r="E439" s="207"/>
      <c r="F439" s="207"/>
      <c r="G439" s="207"/>
      <c r="H439" s="207"/>
      <c r="I439" s="207"/>
      <c r="J439" s="207"/>
      <c r="K439" s="207"/>
      <c r="L439" s="207"/>
      <c r="M439" s="207"/>
      <c r="N439" s="207"/>
      <c r="O439" s="207"/>
      <c r="P439" s="207"/>
      <c r="Q439" s="207"/>
      <c r="R439" s="207"/>
      <c r="S439" s="207"/>
      <c r="T439" s="207"/>
      <c r="U439" s="209"/>
      <c r="V439" s="207"/>
      <c r="W439" s="207"/>
      <c r="X439" s="209">
        <f t="shared" si="67"/>
        <v>0</v>
      </c>
      <c r="Y439" s="209">
        <f t="shared" si="68"/>
        <v>0</v>
      </c>
      <c r="Z439" s="207" t="str">
        <f t="shared" ca="1" si="69"/>
        <v/>
      </c>
      <c r="AA439" s="209" t="str">
        <f t="shared" si="73"/>
        <v/>
      </c>
      <c r="AB439" s="209"/>
      <c r="AC439" s="207" t="str">
        <f t="shared" ca="1" si="70"/>
        <v/>
      </c>
      <c r="AD439" s="207"/>
      <c r="AE439" s="207"/>
      <c r="AF439" s="208" t="str">
        <f>IF(ISBLANK(D439),"",VLOOKUP(F439,'SIZE CALCULATION'!$F:$G,2,0))</f>
        <v/>
      </c>
      <c r="AG439" s="207" t="str">
        <f t="shared" si="75"/>
        <v/>
      </c>
      <c r="AH439" s="207" t="str">
        <f t="shared" si="71"/>
        <v/>
      </c>
      <c r="AI439" s="210" t="str">
        <f>IF(ISBLANK(D439),"",VLOOKUP($A439,INDEX!$D$2:$F$13,3,0))</f>
        <v/>
      </c>
      <c r="AJ439" s="207" t="str">
        <f t="shared" si="72"/>
        <v/>
      </c>
      <c r="AK439" s="207"/>
      <c r="AL439" s="207"/>
      <c r="AM439" s="207" t="str">
        <f>IFERROR(IF(ISBLANK($D439),"",VLOOKUP($N439,'TABLE CHARGE RATE'!$A$30:$K$106,5,0)),"Check")</f>
        <v/>
      </c>
      <c r="AN439" s="207" t="str">
        <f>IFERROR(IF(ISBLANK($D439),"",VLOOKUP($N439,'TABLE CHARGE RATE'!$A$30:$K$106,6,0)),"Check")</f>
        <v/>
      </c>
      <c r="AO439" s="207" t="str">
        <f>IFERROR(IF(ISBLANK($D439),"",VLOOKUP($N439,'TABLE CHARGE RATE'!$A$30:$K$106,7,0)),"Check")</f>
        <v/>
      </c>
      <c r="AP439" s="207" t="str">
        <f>IFERROR(IF(ISBLANK($D439),"",VLOOKUP($N439,'TABLE CHARGE RATE'!$A$30:$K$106,8,0)),"Check")</f>
        <v/>
      </c>
      <c r="AQ439" s="207" t="str">
        <f>IFERROR(IF(ISBLANK($D439),"",VLOOKUP($N439,'TABLE CHARGE RATE'!$A$30:$K$106,9,0)),"Check")</f>
        <v/>
      </c>
      <c r="AR439" s="207" t="str">
        <f>IFERROR(IF(ISBLANK($D439),"",VLOOKUP($N439,'TABLE CHARGE RATE'!$A$30:$K$106,10,0)),"Check")</f>
        <v/>
      </c>
      <c r="AS439" s="207" t="str">
        <f>IFERROR(IF(ISBLANK($D439),"",VLOOKUP($N439,'TABLE CHARGE RATE'!$A$30:$K$106,11,0)),"Check")</f>
        <v/>
      </c>
      <c r="AT439" s="207"/>
    </row>
    <row r="440" spans="1:46" x14ac:dyDescent="0.2">
      <c r="A440" s="207" t="str">
        <f t="shared" si="74"/>
        <v/>
      </c>
      <c r="B440" s="208" t="str">
        <f>IF(ISBLANK(D440),"",VLOOKUP(WEEKDAY($C440,1),INDEX!$J$2:$K$8,2,0))</f>
        <v/>
      </c>
      <c r="C440" s="209"/>
      <c r="D440" s="207"/>
      <c r="E440" s="207"/>
      <c r="F440" s="207"/>
      <c r="G440" s="207"/>
      <c r="H440" s="207"/>
      <c r="I440" s="207"/>
      <c r="J440" s="207"/>
      <c r="K440" s="207"/>
      <c r="L440" s="207"/>
      <c r="M440" s="207"/>
      <c r="N440" s="207"/>
      <c r="O440" s="207"/>
      <c r="P440" s="207"/>
      <c r="Q440" s="207"/>
      <c r="R440" s="207"/>
      <c r="S440" s="207"/>
      <c r="T440" s="207"/>
      <c r="U440" s="209"/>
      <c r="V440" s="207"/>
      <c r="W440" s="207"/>
      <c r="X440" s="209"/>
      <c r="Y440" s="209"/>
      <c r="Z440" s="207" t="str">
        <f t="shared" ca="1" si="69"/>
        <v/>
      </c>
      <c r="AA440" s="209" t="str">
        <f t="shared" si="73"/>
        <v/>
      </c>
      <c r="AB440" s="209"/>
      <c r="AC440" s="207" t="str">
        <f t="shared" ca="1" si="70"/>
        <v/>
      </c>
      <c r="AD440" s="207"/>
      <c r="AE440" s="207"/>
      <c r="AF440" s="208" t="str">
        <f>IF(ISBLANK(D440),"",VLOOKUP(F440,'SIZE CALCULATION'!$F:$G,2,0))</f>
        <v/>
      </c>
      <c r="AG440" s="207" t="str">
        <f t="shared" si="75"/>
        <v/>
      </c>
      <c r="AH440" s="207" t="str">
        <f t="shared" si="71"/>
        <v/>
      </c>
      <c r="AI440" s="210" t="str">
        <f>IF(ISBLANK(D440),"",VLOOKUP($A440,INDEX!$D$2:$F$13,3,0))</f>
        <v/>
      </c>
      <c r="AJ440" s="207" t="str">
        <f t="shared" si="72"/>
        <v/>
      </c>
      <c r="AK440" s="207"/>
      <c r="AL440" s="207"/>
      <c r="AM440" s="207" t="str">
        <f>IFERROR(IF(ISBLANK($D440),"",VLOOKUP($N440,'TABLE CHARGE RATE'!$A$30:$K$106,5,0)),"Check")</f>
        <v/>
      </c>
      <c r="AN440" s="207" t="str">
        <f>IFERROR(IF(ISBLANK($D440),"",VLOOKUP($N440,'TABLE CHARGE RATE'!$A$30:$K$106,6,0)),"Check")</f>
        <v/>
      </c>
      <c r="AO440" s="207" t="str">
        <f>IFERROR(IF(ISBLANK($D440),"",VLOOKUP($N440,'TABLE CHARGE RATE'!$A$30:$K$106,7,0)),"Check")</f>
        <v/>
      </c>
      <c r="AP440" s="207" t="str">
        <f>IFERROR(IF(ISBLANK($D440),"",VLOOKUP($N440,'TABLE CHARGE RATE'!$A$30:$K$106,8,0)),"Check")</f>
        <v/>
      </c>
      <c r="AQ440" s="207" t="str">
        <f>IFERROR(IF(ISBLANK($D440),"",VLOOKUP($N440,'TABLE CHARGE RATE'!$A$30:$K$106,9,0)),"Check")</f>
        <v/>
      </c>
      <c r="AR440" s="207" t="str">
        <f>IFERROR(IF(ISBLANK($D440),"",VLOOKUP($N440,'TABLE CHARGE RATE'!$A$30:$K$106,10,0)),"Check")</f>
        <v/>
      </c>
      <c r="AS440" s="207" t="str">
        <f>IFERROR(IF(ISBLANK($D440),"",VLOOKUP($N440,'TABLE CHARGE RATE'!$A$30:$K$106,11,0)),"Check")</f>
        <v/>
      </c>
      <c r="AT440" s="207"/>
    </row>
    <row r="441" spans="1:46" x14ac:dyDescent="0.2">
      <c r="A441" s="207" t="str">
        <f t="shared" si="74"/>
        <v/>
      </c>
      <c r="B441" s="208" t="str">
        <f>IF(ISBLANK(D441),"",VLOOKUP(WEEKDAY($C441,1),INDEX!$J$2:$K$8,2,0))</f>
        <v/>
      </c>
      <c r="C441" s="209"/>
      <c r="D441" s="207"/>
      <c r="E441" s="207"/>
      <c r="F441" s="207"/>
      <c r="G441" s="207"/>
      <c r="H441" s="207"/>
      <c r="I441" s="207"/>
      <c r="J441" s="207"/>
      <c r="K441" s="207"/>
      <c r="L441" s="207"/>
      <c r="M441" s="207"/>
      <c r="N441" s="207"/>
      <c r="O441" s="207"/>
      <c r="P441" s="207"/>
      <c r="Q441" s="207"/>
      <c r="R441" s="207"/>
      <c r="S441" s="207"/>
      <c r="T441" s="207"/>
      <c r="U441" s="209"/>
      <c r="V441" s="207"/>
      <c r="W441" s="207"/>
      <c r="X441" s="209"/>
      <c r="Y441" s="209"/>
      <c r="Z441" s="207" t="str">
        <f t="shared" ca="1" si="69"/>
        <v/>
      </c>
      <c r="AA441" s="209" t="str">
        <f t="shared" si="73"/>
        <v/>
      </c>
      <c r="AB441" s="209"/>
      <c r="AC441" s="207" t="str">
        <f t="shared" ca="1" si="70"/>
        <v/>
      </c>
      <c r="AD441" s="207"/>
      <c r="AE441" s="207"/>
      <c r="AF441" s="208" t="str">
        <f>IF(ISBLANK(D441),"",VLOOKUP(F441,'SIZE CALCULATION'!$F:$G,2,0))</f>
        <v/>
      </c>
      <c r="AG441" s="207" t="str">
        <f t="shared" si="75"/>
        <v/>
      </c>
      <c r="AH441" s="207" t="str">
        <f t="shared" si="71"/>
        <v/>
      </c>
      <c r="AI441" s="210" t="str">
        <f>IF(ISBLANK(D441),"",VLOOKUP($A441,INDEX!$D$2:$F$13,3,0))</f>
        <v/>
      </c>
      <c r="AJ441" s="207" t="str">
        <f t="shared" si="72"/>
        <v/>
      </c>
      <c r="AK441" s="207"/>
      <c r="AL441" s="207"/>
      <c r="AM441" s="207" t="str">
        <f>IFERROR(IF(ISBLANK($D441),"",VLOOKUP($N441,'TABLE CHARGE RATE'!$A$30:$K$106,5,0)),"Check")</f>
        <v/>
      </c>
      <c r="AN441" s="207" t="str">
        <f>IFERROR(IF(ISBLANK($D441),"",VLOOKUP($N441,'TABLE CHARGE RATE'!$A$30:$K$106,6,0)),"Check")</f>
        <v/>
      </c>
      <c r="AO441" s="207" t="str">
        <f>IFERROR(IF(ISBLANK($D441),"",VLOOKUP($N441,'TABLE CHARGE RATE'!$A$30:$K$106,7,0)),"Check")</f>
        <v/>
      </c>
      <c r="AP441" s="207" t="str">
        <f>IFERROR(IF(ISBLANK($D441),"",VLOOKUP($N441,'TABLE CHARGE RATE'!$A$30:$K$106,8,0)),"Check")</f>
        <v/>
      </c>
      <c r="AQ441" s="207" t="str">
        <f>IFERROR(IF(ISBLANK($D441),"",VLOOKUP($N441,'TABLE CHARGE RATE'!$A$30:$K$106,9,0)),"Check")</f>
        <v/>
      </c>
      <c r="AR441" s="207" t="str">
        <f>IFERROR(IF(ISBLANK($D441),"",VLOOKUP($N441,'TABLE CHARGE RATE'!$A$30:$K$106,10,0)),"Check")</f>
        <v/>
      </c>
      <c r="AS441" s="207" t="str">
        <f>IFERROR(IF(ISBLANK($D441),"",VLOOKUP($N441,'TABLE CHARGE RATE'!$A$30:$K$106,11,0)),"Check")</f>
        <v/>
      </c>
      <c r="AT441" s="207"/>
    </row>
    <row r="442" spans="1:46" x14ac:dyDescent="0.2">
      <c r="A442" s="207" t="str">
        <f t="shared" si="74"/>
        <v/>
      </c>
      <c r="B442" s="208" t="str">
        <f>IF(ISBLANK(D442),"",VLOOKUP(WEEKDAY($C442,1),INDEX!$J$2:$K$8,2,0))</f>
        <v/>
      </c>
      <c r="C442" s="209"/>
      <c r="D442" s="207"/>
      <c r="E442" s="207"/>
      <c r="F442" s="207"/>
      <c r="G442" s="207"/>
      <c r="H442" s="207"/>
      <c r="I442" s="207"/>
      <c r="J442" s="207"/>
      <c r="K442" s="207"/>
      <c r="L442" s="207"/>
      <c r="M442" s="207"/>
      <c r="N442" s="207"/>
      <c r="O442" s="207"/>
      <c r="P442" s="207"/>
      <c r="Q442" s="207"/>
      <c r="R442" s="207"/>
      <c r="S442" s="207"/>
      <c r="T442" s="207"/>
      <c r="U442" s="209"/>
      <c r="V442" s="207"/>
      <c r="W442" s="207"/>
      <c r="X442" s="209"/>
      <c r="Y442" s="209"/>
      <c r="Z442" s="207" t="str">
        <f t="shared" ca="1" si="69"/>
        <v/>
      </c>
      <c r="AA442" s="209" t="str">
        <f t="shared" si="73"/>
        <v/>
      </c>
      <c r="AB442" s="209"/>
      <c r="AC442" s="207" t="str">
        <f t="shared" ca="1" si="70"/>
        <v/>
      </c>
      <c r="AD442" s="207"/>
      <c r="AE442" s="207"/>
      <c r="AF442" s="208" t="str">
        <f>IF(ISBLANK(D442),"",VLOOKUP(F442,'SIZE CALCULATION'!$F:$G,2,0))</f>
        <v/>
      </c>
      <c r="AG442" s="207" t="str">
        <f t="shared" si="75"/>
        <v/>
      </c>
      <c r="AH442" s="207" t="str">
        <f t="shared" si="71"/>
        <v/>
      </c>
      <c r="AI442" s="210" t="str">
        <f>IF(ISBLANK(D442),"",VLOOKUP($A442,INDEX!$D$2:$F$13,3,0))</f>
        <v/>
      </c>
      <c r="AJ442" s="207" t="str">
        <f t="shared" si="72"/>
        <v/>
      </c>
      <c r="AK442" s="207"/>
      <c r="AL442" s="207"/>
      <c r="AM442" s="207" t="str">
        <f>IFERROR(IF(ISBLANK($D442),"",VLOOKUP($N442,'TABLE CHARGE RATE'!$A$30:$K$106,5,0)),"Check")</f>
        <v/>
      </c>
      <c r="AN442" s="207" t="str">
        <f>IFERROR(IF(ISBLANK($D442),"",VLOOKUP($N442,'TABLE CHARGE RATE'!$A$30:$K$106,6,0)),"Check")</f>
        <v/>
      </c>
      <c r="AO442" s="207" t="str">
        <f>IFERROR(IF(ISBLANK($D442),"",VLOOKUP($N442,'TABLE CHARGE RATE'!$A$30:$K$106,7,0)),"Check")</f>
        <v/>
      </c>
      <c r="AP442" s="207" t="str">
        <f>IFERROR(IF(ISBLANK($D442),"",VLOOKUP($N442,'TABLE CHARGE RATE'!$A$30:$K$106,8,0)),"Check")</f>
        <v/>
      </c>
      <c r="AQ442" s="207" t="str">
        <f>IFERROR(IF(ISBLANK($D442),"",VLOOKUP($N442,'TABLE CHARGE RATE'!$A$30:$K$106,9,0)),"Check")</f>
        <v/>
      </c>
      <c r="AR442" s="207" t="str">
        <f>IFERROR(IF(ISBLANK($D442),"",VLOOKUP($N442,'TABLE CHARGE RATE'!$A$30:$K$106,10,0)),"Check")</f>
        <v/>
      </c>
      <c r="AS442" s="207" t="str">
        <f>IFERROR(IF(ISBLANK($D442),"",VLOOKUP($N442,'TABLE CHARGE RATE'!$A$30:$K$106,11,0)),"Check")</f>
        <v/>
      </c>
      <c r="AT442" s="207"/>
    </row>
    <row r="443" spans="1:46" x14ac:dyDescent="0.2">
      <c r="A443" s="207" t="str">
        <f t="shared" si="74"/>
        <v/>
      </c>
      <c r="B443" s="208" t="str">
        <f>IF(ISBLANK(D443),"",VLOOKUP(WEEKDAY($C443,1),INDEX!$J$2:$K$8,2,0))</f>
        <v/>
      </c>
      <c r="C443" s="209"/>
      <c r="D443" s="207"/>
      <c r="E443" s="207"/>
      <c r="F443" s="207"/>
      <c r="G443" s="207"/>
      <c r="H443" s="207"/>
      <c r="I443" s="207"/>
      <c r="J443" s="207"/>
      <c r="K443" s="207"/>
      <c r="L443" s="207"/>
      <c r="M443" s="207"/>
      <c r="N443" s="207"/>
      <c r="O443" s="207"/>
      <c r="P443" s="207"/>
      <c r="Q443" s="207"/>
      <c r="R443" s="207"/>
      <c r="S443" s="207"/>
      <c r="T443" s="207"/>
      <c r="U443" s="209"/>
      <c r="V443" s="207"/>
      <c r="W443" s="207"/>
      <c r="X443" s="209"/>
      <c r="Y443" s="209"/>
      <c r="Z443" s="207" t="str">
        <f t="shared" ca="1" si="69"/>
        <v/>
      </c>
      <c r="AA443" s="209" t="str">
        <f t="shared" si="73"/>
        <v/>
      </c>
      <c r="AB443" s="209"/>
      <c r="AC443" s="207" t="str">
        <f t="shared" ca="1" si="70"/>
        <v/>
      </c>
      <c r="AD443" s="207"/>
      <c r="AE443" s="207"/>
      <c r="AF443" s="208" t="str">
        <f>IF(ISBLANK(D443),"",VLOOKUP(F443,'SIZE CALCULATION'!$F:$G,2,0))</f>
        <v/>
      </c>
      <c r="AG443" s="207" t="str">
        <f t="shared" si="75"/>
        <v/>
      </c>
      <c r="AH443" s="207" t="str">
        <f t="shared" si="71"/>
        <v/>
      </c>
      <c r="AI443" s="210" t="str">
        <f>IF(ISBLANK(D443),"",VLOOKUP($A443,INDEX!$D$2:$F$13,3,0))</f>
        <v/>
      </c>
      <c r="AJ443" s="207" t="str">
        <f t="shared" si="72"/>
        <v/>
      </c>
      <c r="AK443" s="207"/>
      <c r="AL443" s="207"/>
      <c r="AM443" s="207" t="str">
        <f>IFERROR(IF(ISBLANK($D443),"",VLOOKUP($N443,'TABLE CHARGE RATE'!$A$30:$K$106,5,0)),"Check")</f>
        <v/>
      </c>
      <c r="AN443" s="207" t="str">
        <f>IFERROR(IF(ISBLANK($D443),"",VLOOKUP($N443,'TABLE CHARGE RATE'!$A$30:$K$106,6,0)),"Check")</f>
        <v/>
      </c>
      <c r="AO443" s="207" t="str">
        <f>IFERROR(IF(ISBLANK($D443),"",VLOOKUP($N443,'TABLE CHARGE RATE'!$A$30:$K$106,7,0)),"Check")</f>
        <v/>
      </c>
      <c r="AP443" s="207" t="str">
        <f>IFERROR(IF(ISBLANK($D443),"",VLOOKUP($N443,'TABLE CHARGE RATE'!$A$30:$K$106,8,0)),"Check")</f>
        <v/>
      </c>
      <c r="AQ443" s="207" t="str">
        <f>IFERROR(IF(ISBLANK($D443),"",VLOOKUP($N443,'TABLE CHARGE RATE'!$A$30:$K$106,9,0)),"Check")</f>
        <v/>
      </c>
      <c r="AR443" s="207" t="str">
        <f>IFERROR(IF(ISBLANK($D443),"",VLOOKUP($N443,'TABLE CHARGE RATE'!$A$30:$K$106,10,0)),"Check")</f>
        <v/>
      </c>
      <c r="AS443" s="207" t="str">
        <f>IFERROR(IF(ISBLANK($D443),"",VLOOKUP($N443,'TABLE CHARGE RATE'!$A$30:$K$106,11,0)),"Check")</f>
        <v/>
      </c>
      <c r="AT443" s="207"/>
    </row>
    <row r="444" spans="1:46" x14ac:dyDescent="0.2">
      <c r="A444" s="207" t="str">
        <f t="shared" si="74"/>
        <v/>
      </c>
      <c r="B444" s="208" t="str">
        <f>IF(ISBLANK(D444),"",VLOOKUP(WEEKDAY($C444,1),INDEX!$J$2:$K$8,2,0))</f>
        <v/>
      </c>
      <c r="C444" s="209"/>
      <c r="D444" s="207"/>
      <c r="E444" s="207"/>
      <c r="F444" s="207"/>
      <c r="G444" s="207"/>
      <c r="H444" s="207"/>
      <c r="I444" s="207"/>
      <c r="J444" s="207"/>
      <c r="K444" s="207"/>
      <c r="L444" s="207"/>
      <c r="M444" s="207"/>
      <c r="N444" s="207"/>
      <c r="O444" s="207"/>
      <c r="P444" s="207"/>
      <c r="Q444" s="207"/>
      <c r="R444" s="207"/>
      <c r="S444" s="207"/>
      <c r="T444" s="207"/>
      <c r="U444" s="209"/>
      <c r="V444" s="207"/>
      <c r="W444" s="207"/>
      <c r="X444" s="209"/>
      <c r="Y444" s="209"/>
      <c r="Z444" s="207" t="str">
        <f t="shared" ca="1" si="69"/>
        <v/>
      </c>
      <c r="AA444" s="209" t="str">
        <f t="shared" si="73"/>
        <v/>
      </c>
      <c r="AB444" s="209"/>
      <c r="AC444" s="207" t="str">
        <f t="shared" ca="1" si="70"/>
        <v/>
      </c>
      <c r="AD444" s="207"/>
      <c r="AE444" s="207"/>
      <c r="AF444" s="208" t="str">
        <f>IF(ISBLANK(D444),"",VLOOKUP(F444,'SIZE CALCULATION'!$F:$G,2,0))</f>
        <v/>
      </c>
      <c r="AG444" s="207" t="str">
        <f t="shared" si="75"/>
        <v/>
      </c>
      <c r="AH444" s="207" t="str">
        <f t="shared" si="71"/>
        <v/>
      </c>
      <c r="AI444" s="210" t="str">
        <f>IF(ISBLANK(D444),"",VLOOKUP($A444,INDEX!$D$2:$F$13,3,0))</f>
        <v/>
      </c>
      <c r="AJ444" s="207" t="str">
        <f t="shared" si="72"/>
        <v/>
      </c>
      <c r="AK444" s="207"/>
      <c r="AL444" s="207"/>
      <c r="AM444" s="207" t="str">
        <f>IFERROR(IF(ISBLANK($D444),"",VLOOKUP($N444,'TABLE CHARGE RATE'!$A$30:$K$106,5,0)),"Check")</f>
        <v/>
      </c>
      <c r="AN444" s="207" t="str">
        <f>IFERROR(IF(ISBLANK($D444),"",VLOOKUP($N444,'TABLE CHARGE RATE'!$A$30:$K$106,6,0)),"Check")</f>
        <v/>
      </c>
      <c r="AO444" s="207" t="str">
        <f>IFERROR(IF(ISBLANK($D444),"",VLOOKUP($N444,'TABLE CHARGE RATE'!$A$30:$K$106,7,0)),"Check")</f>
        <v/>
      </c>
      <c r="AP444" s="207" t="str">
        <f>IFERROR(IF(ISBLANK($D444),"",VLOOKUP($N444,'TABLE CHARGE RATE'!$A$30:$K$106,8,0)),"Check")</f>
        <v/>
      </c>
      <c r="AQ444" s="207" t="str">
        <f>IFERROR(IF(ISBLANK($D444),"",VLOOKUP($N444,'TABLE CHARGE RATE'!$A$30:$K$106,9,0)),"Check")</f>
        <v/>
      </c>
      <c r="AR444" s="207" t="str">
        <f>IFERROR(IF(ISBLANK($D444),"",VLOOKUP($N444,'TABLE CHARGE RATE'!$A$30:$K$106,10,0)),"Check")</f>
        <v/>
      </c>
      <c r="AS444" s="207" t="str">
        <f>IFERROR(IF(ISBLANK($D444),"",VLOOKUP($N444,'TABLE CHARGE RATE'!$A$30:$K$106,11,0)),"Check")</f>
        <v/>
      </c>
      <c r="AT444" s="207"/>
    </row>
    <row r="445" spans="1:46" x14ac:dyDescent="0.2">
      <c r="A445" s="207" t="str">
        <f t="shared" si="74"/>
        <v/>
      </c>
      <c r="B445" s="208" t="str">
        <f>IF(ISBLANK(D445),"",VLOOKUP(WEEKDAY($C445,1),INDEX!$J$2:$K$8,2,0))</f>
        <v/>
      </c>
      <c r="C445" s="209"/>
      <c r="D445" s="207"/>
      <c r="E445" s="207"/>
      <c r="F445" s="207"/>
      <c r="G445" s="207"/>
      <c r="H445" s="207"/>
      <c r="I445" s="207"/>
      <c r="J445" s="207"/>
      <c r="K445" s="207"/>
      <c r="L445" s="207"/>
      <c r="M445" s="207"/>
      <c r="N445" s="207"/>
      <c r="O445" s="207"/>
      <c r="P445" s="207"/>
      <c r="Q445" s="207"/>
      <c r="R445" s="207"/>
      <c r="S445" s="207"/>
      <c r="T445" s="207"/>
      <c r="U445" s="209"/>
      <c r="V445" s="207"/>
      <c r="W445" s="207"/>
      <c r="X445" s="209"/>
      <c r="Y445" s="209"/>
      <c r="Z445" s="207" t="str">
        <f t="shared" ca="1" si="69"/>
        <v/>
      </c>
      <c r="AA445" s="209" t="str">
        <f t="shared" si="73"/>
        <v/>
      </c>
      <c r="AB445" s="209"/>
      <c r="AC445" s="207" t="str">
        <f t="shared" ca="1" si="70"/>
        <v/>
      </c>
      <c r="AD445" s="207"/>
      <c r="AE445" s="207"/>
      <c r="AF445" s="208" t="str">
        <f>IF(ISBLANK(D445),"",VLOOKUP(F445,'SIZE CALCULATION'!$F:$G,2,0))</f>
        <v/>
      </c>
      <c r="AG445" s="207" t="str">
        <f t="shared" si="75"/>
        <v/>
      </c>
      <c r="AH445" s="207" t="str">
        <f t="shared" si="71"/>
        <v/>
      </c>
      <c r="AI445" s="210" t="str">
        <f>IF(ISBLANK(D445),"",VLOOKUP($A445,INDEX!$D$2:$F$13,3,0))</f>
        <v/>
      </c>
      <c r="AJ445" s="207" t="str">
        <f t="shared" si="72"/>
        <v/>
      </c>
      <c r="AK445" s="207"/>
      <c r="AL445" s="207"/>
      <c r="AM445" s="207" t="str">
        <f>IFERROR(IF(ISBLANK($D445),"",VLOOKUP($N445,'TABLE CHARGE RATE'!$A$30:$K$106,5,0)),"Check")</f>
        <v/>
      </c>
      <c r="AN445" s="207" t="str">
        <f>IFERROR(IF(ISBLANK($D445),"",VLOOKUP($N445,'TABLE CHARGE RATE'!$A$30:$K$106,6,0)),"Check")</f>
        <v/>
      </c>
      <c r="AO445" s="207" t="str">
        <f>IFERROR(IF(ISBLANK($D445),"",VLOOKUP($N445,'TABLE CHARGE RATE'!$A$30:$K$106,7,0)),"Check")</f>
        <v/>
      </c>
      <c r="AP445" s="207" t="str">
        <f>IFERROR(IF(ISBLANK($D445),"",VLOOKUP($N445,'TABLE CHARGE RATE'!$A$30:$K$106,8,0)),"Check")</f>
        <v/>
      </c>
      <c r="AQ445" s="207" t="str">
        <f>IFERROR(IF(ISBLANK($D445),"",VLOOKUP($N445,'TABLE CHARGE RATE'!$A$30:$K$106,9,0)),"Check")</f>
        <v/>
      </c>
      <c r="AR445" s="207" t="str">
        <f>IFERROR(IF(ISBLANK($D445),"",VLOOKUP($N445,'TABLE CHARGE RATE'!$A$30:$K$106,10,0)),"Check")</f>
        <v/>
      </c>
      <c r="AS445" s="207" t="str">
        <f>IFERROR(IF(ISBLANK($D445),"",VLOOKUP($N445,'TABLE CHARGE RATE'!$A$30:$K$106,11,0)),"Check")</f>
        <v/>
      </c>
      <c r="AT445" s="207"/>
    </row>
    <row r="446" spans="1:46" x14ac:dyDescent="0.2">
      <c r="A446" s="207" t="str">
        <f t="shared" si="74"/>
        <v/>
      </c>
      <c r="B446" s="208" t="str">
        <f>IF(ISBLANK(D446),"",VLOOKUP(WEEKDAY($C446,1),INDEX!$J$2:$K$8,2,0))</f>
        <v/>
      </c>
      <c r="C446" s="209"/>
      <c r="D446" s="207"/>
      <c r="E446" s="207"/>
      <c r="F446" s="207"/>
      <c r="G446" s="207"/>
      <c r="H446" s="207"/>
      <c r="I446" s="207"/>
      <c r="J446" s="207"/>
      <c r="K446" s="207"/>
      <c r="L446" s="207"/>
      <c r="M446" s="207"/>
      <c r="N446" s="207"/>
      <c r="O446" s="207"/>
      <c r="P446" s="207"/>
      <c r="Q446" s="207"/>
      <c r="R446" s="207"/>
      <c r="S446" s="207"/>
      <c r="T446" s="207"/>
      <c r="U446" s="209"/>
      <c r="V446" s="207"/>
      <c r="W446" s="207"/>
      <c r="X446" s="209"/>
      <c r="Y446" s="209"/>
      <c r="Z446" s="207" t="str">
        <f t="shared" ca="1" si="69"/>
        <v/>
      </c>
      <c r="AA446" s="209" t="str">
        <f t="shared" si="73"/>
        <v/>
      </c>
      <c r="AB446" s="209"/>
      <c r="AC446" s="207" t="str">
        <f t="shared" ca="1" si="70"/>
        <v/>
      </c>
      <c r="AD446" s="207"/>
      <c r="AE446" s="207"/>
      <c r="AF446" s="208" t="str">
        <f>IF(ISBLANK(D446),"",VLOOKUP(F446,'SIZE CALCULATION'!$F:$G,2,0))</f>
        <v/>
      </c>
      <c r="AG446" s="207" t="str">
        <f t="shared" si="75"/>
        <v/>
      </c>
      <c r="AH446" s="207" t="str">
        <f t="shared" si="71"/>
        <v/>
      </c>
      <c r="AI446" s="210" t="str">
        <f>IF(ISBLANK(D446),"",VLOOKUP($A446,INDEX!$D$2:$F$13,3,0))</f>
        <v/>
      </c>
      <c r="AJ446" s="207" t="str">
        <f t="shared" si="72"/>
        <v/>
      </c>
      <c r="AK446" s="207"/>
      <c r="AL446" s="207"/>
      <c r="AM446" s="207" t="str">
        <f>IFERROR(IF(ISBLANK($D446),"",VLOOKUP($N446,'TABLE CHARGE RATE'!$A$30:$K$106,5,0)),"Check")</f>
        <v/>
      </c>
      <c r="AN446" s="207" t="str">
        <f>IFERROR(IF(ISBLANK($D446),"",VLOOKUP($N446,'TABLE CHARGE RATE'!$A$30:$K$106,6,0)),"Check")</f>
        <v/>
      </c>
      <c r="AO446" s="207" t="str">
        <f>IFERROR(IF(ISBLANK($D446),"",VLOOKUP($N446,'TABLE CHARGE RATE'!$A$30:$K$106,7,0)),"Check")</f>
        <v/>
      </c>
      <c r="AP446" s="207" t="str">
        <f>IFERROR(IF(ISBLANK($D446),"",VLOOKUP($N446,'TABLE CHARGE RATE'!$A$30:$K$106,8,0)),"Check")</f>
        <v/>
      </c>
      <c r="AQ446" s="207" t="str">
        <f>IFERROR(IF(ISBLANK($D446),"",VLOOKUP($N446,'TABLE CHARGE RATE'!$A$30:$K$106,9,0)),"Check")</f>
        <v/>
      </c>
      <c r="AR446" s="207" t="str">
        <f>IFERROR(IF(ISBLANK($D446),"",VLOOKUP($N446,'TABLE CHARGE RATE'!$A$30:$K$106,10,0)),"Check")</f>
        <v/>
      </c>
      <c r="AS446" s="207" t="str">
        <f>IFERROR(IF(ISBLANK($D446),"",VLOOKUP($N446,'TABLE CHARGE RATE'!$A$30:$K$106,11,0)),"Check")</f>
        <v/>
      </c>
      <c r="AT446" s="207"/>
    </row>
    <row r="447" spans="1:46" x14ac:dyDescent="0.2">
      <c r="A447" s="207" t="str">
        <f t="shared" si="74"/>
        <v/>
      </c>
      <c r="B447" s="208" t="str">
        <f>IF(ISBLANK(D447),"",VLOOKUP(WEEKDAY($C447,1),INDEX!$J$2:$K$8,2,0))</f>
        <v/>
      </c>
      <c r="C447" s="209"/>
      <c r="D447" s="207"/>
      <c r="E447" s="207"/>
      <c r="F447" s="207"/>
      <c r="G447" s="207"/>
      <c r="H447" s="207"/>
      <c r="I447" s="207"/>
      <c r="J447" s="207"/>
      <c r="K447" s="207"/>
      <c r="L447" s="207"/>
      <c r="M447" s="207"/>
      <c r="N447" s="207"/>
      <c r="O447" s="207"/>
      <c r="P447" s="207"/>
      <c r="Q447" s="207"/>
      <c r="R447" s="207"/>
      <c r="S447" s="207"/>
      <c r="T447" s="207"/>
      <c r="U447" s="209"/>
      <c r="V447" s="207"/>
      <c r="W447" s="207"/>
      <c r="X447" s="209"/>
      <c r="Y447" s="209"/>
      <c r="Z447" s="207" t="str">
        <f t="shared" ca="1" si="69"/>
        <v/>
      </c>
      <c r="AA447" s="209" t="str">
        <f t="shared" si="73"/>
        <v/>
      </c>
      <c r="AB447" s="209"/>
      <c r="AC447" s="207" t="str">
        <f t="shared" ca="1" si="70"/>
        <v/>
      </c>
      <c r="AD447" s="207"/>
      <c r="AE447" s="207"/>
      <c r="AF447" s="208" t="str">
        <f>IF(ISBLANK(D447),"",VLOOKUP(F447,'SIZE CALCULATION'!$F:$G,2,0))</f>
        <v/>
      </c>
      <c r="AG447" s="207" t="str">
        <f t="shared" si="75"/>
        <v/>
      </c>
      <c r="AH447" s="207" t="str">
        <f t="shared" si="71"/>
        <v/>
      </c>
      <c r="AI447" s="210" t="str">
        <f>IF(ISBLANK(D447),"",VLOOKUP($A447,INDEX!$D$2:$F$13,3,0))</f>
        <v/>
      </c>
      <c r="AJ447" s="207" t="str">
        <f t="shared" si="72"/>
        <v/>
      </c>
      <c r="AK447" s="207"/>
      <c r="AL447" s="207"/>
      <c r="AM447" s="207" t="str">
        <f>IFERROR(IF(ISBLANK($D447),"",VLOOKUP($N447,'TABLE CHARGE RATE'!$A$30:$K$106,5,0)),"Check")</f>
        <v/>
      </c>
      <c r="AN447" s="207" t="str">
        <f>IFERROR(IF(ISBLANK($D447),"",VLOOKUP($N447,'TABLE CHARGE RATE'!$A$30:$K$106,6,0)),"Check")</f>
        <v/>
      </c>
      <c r="AO447" s="207" t="str">
        <f>IFERROR(IF(ISBLANK($D447),"",VLOOKUP($N447,'TABLE CHARGE RATE'!$A$30:$K$106,7,0)),"Check")</f>
        <v/>
      </c>
      <c r="AP447" s="207" t="str">
        <f>IFERROR(IF(ISBLANK($D447),"",VLOOKUP($N447,'TABLE CHARGE RATE'!$A$30:$K$106,8,0)),"Check")</f>
        <v/>
      </c>
      <c r="AQ447" s="207" t="str">
        <f>IFERROR(IF(ISBLANK($D447),"",VLOOKUP($N447,'TABLE CHARGE RATE'!$A$30:$K$106,9,0)),"Check")</f>
        <v/>
      </c>
      <c r="AR447" s="207" t="str">
        <f>IFERROR(IF(ISBLANK($D447),"",VLOOKUP($N447,'TABLE CHARGE RATE'!$A$30:$K$106,10,0)),"Check")</f>
        <v/>
      </c>
      <c r="AS447" s="207" t="str">
        <f>IFERROR(IF(ISBLANK($D447),"",VLOOKUP($N447,'TABLE CHARGE RATE'!$A$30:$K$106,11,0)),"Check")</f>
        <v/>
      </c>
      <c r="AT447" s="207"/>
    </row>
    <row r="448" spans="1:46" x14ac:dyDescent="0.2">
      <c r="A448" s="207" t="str">
        <f t="shared" si="74"/>
        <v/>
      </c>
      <c r="B448" s="208" t="str">
        <f>IF(ISBLANK(D448),"",VLOOKUP(WEEKDAY($C448,1),INDEX!$J$2:$K$8,2,0))</f>
        <v/>
      </c>
      <c r="C448" s="209"/>
      <c r="D448" s="207"/>
      <c r="E448" s="207"/>
      <c r="F448" s="207"/>
      <c r="G448" s="207"/>
      <c r="H448" s="207"/>
      <c r="I448" s="207"/>
      <c r="J448" s="207"/>
      <c r="K448" s="207"/>
      <c r="L448" s="207"/>
      <c r="M448" s="207"/>
      <c r="N448" s="207"/>
      <c r="O448" s="207"/>
      <c r="P448" s="207"/>
      <c r="Q448" s="207"/>
      <c r="R448" s="207"/>
      <c r="S448" s="207"/>
      <c r="T448" s="207"/>
      <c r="U448" s="209"/>
      <c r="V448" s="207"/>
      <c r="W448" s="207"/>
      <c r="X448" s="209"/>
      <c r="Y448" s="209"/>
      <c r="Z448" s="207" t="str">
        <f t="shared" ca="1" si="69"/>
        <v/>
      </c>
      <c r="AA448" s="209" t="str">
        <f t="shared" si="73"/>
        <v/>
      </c>
      <c r="AB448" s="209"/>
      <c r="AC448" s="207" t="str">
        <f t="shared" ca="1" si="70"/>
        <v/>
      </c>
      <c r="AD448" s="207"/>
      <c r="AE448" s="207"/>
      <c r="AF448" s="208" t="str">
        <f>IF(ISBLANK(D448),"",VLOOKUP(F448,'SIZE CALCULATION'!$F:$G,2,0))</f>
        <v/>
      </c>
      <c r="AG448" s="207" t="str">
        <f t="shared" si="75"/>
        <v/>
      </c>
      <c r="AH448" s="207" t="str">
        <f t="shared" si="71"/>
        <v/>
      </c>
      <c r="AI448" s="210" t="str">
        <f>IF(ISBLANK(D448),"",VLOOKUP($A448,INDEX!$D$2:$F$13,3,0))</f>
        <v/>
      </c>
      <c r="AJ448" s="207" t="str">
        <f t="shared" si="72"/>
        <v/>
      </c>
      <c r="AK448" s="207"/>
      <c r="AL448" s="207"/>
      <c r="AM448" s="207" t="str">
        <f>IFERROR(IF(ISBLANK($D448),"",VLOOKUP($N448,'TABLE CHARGE RATE'!$A$30:$K$106,5,0)),"Check")</f>
        <v/>
      </c>
      <c r="AN448" s="207" t="str">
        <f>IFERROR(IF(ISBLANK($D448),"",VLOOKUP($N448,'TABLE CHARGE RATE'!$A$30:$K$106,6,0)),"Check")</f>
        <v/>
      </c>
      <c r="AO448" s="207" t="str">
        <f>IFERROR(IF(ISBLANK($D448),"",VLOOKUP($N448,'TABLE CHARGE RATE'!$A$30:$K$106,7,0)),"Check")</f>
        <v/>
      </c>
      <c r="AP448" s="207" t="str">
        <f>IFERROR(IF(ISBLANK($D448),"",VLOOKUP($N448,'TABLE CHARGE RATE'!$A$30:$K$106,8,0)),"Check")</f>
        <v/>
      </c>
      <c r="AQ448" s="207" t="str">
        <f>IFERROR(IF(ISBLANK($D448),"",VLOOKUP($N448,'TABLE CHARGE RATE'!$A$30:$K$106,9,0)),"Check")</f>
        <v/>
      </c>
      <c r="AR448" s="207" t="str">
        <f>IFERROR(IF(ISBLANK($D448),"",VLOOKUP($N448,'TABLE CHARGE RATE'!$A$30:$K$106,10,0)),"Check")</f>
        <v/>
      </c>
      <c r="AS448" s="207" t="str">
        <f>IFERROR(IF(ISBLANK($D448),"",VLOOKUP($N448,'TABLE CHARGE RATE'!$A$30:$K$106,11,0)),"Check")</f>
        <v/>
      </c>
      <c r="AT448" s="207"/>
    </row>
    <row r="449" spans="1:46" x14ac:dyDescent="0.2">
      <c r="A449" s="207" t="str">
        <f t="shared" si="74"/>
        <v/>
      </c>
      <c r="B449" s="208" t="str">
        <f>IF(ISBLANK(D449),"",VLOOKUP(WEEKDAY($C449,1),INDEX!$J$2:$K$8,2,0))</f>
        <v/>
      </c>
      <c r="C449" s="209"/>
      <c r="D449" s="207"/>
      <c r="E449" s="207"/>
      <c r="F449" s="207"/>
      <c r="G449" s="207"/>
      <c r="H449" s="207"/>
      <c r="I449" s="207"/>
      <c r="J449" s="207"/>
      <c r="K449" s="207"/>
      <c r="L449" s="207"/>
      <c r="M449" s="207"/>
      <c r="N449" s="207"/>
      <c r="O449" s="207"/>
      <c r="P449" s="207"/>
      <c r="Q449" s="207"/>
      <c r="R449" s="207"/>
      <c r="S449" s="207"/>
      <c r="T449" s="207"/>
      <c r="U449" s="209"/>
      <c r="V449" s="207"/>
      <c r="W449" s="207"/>
      <c r="X449" s="209"/>
      <c r="Y449" s="209"/>
      <c r="Z449" s="207" t="str">
        <f t="shared" ca="1" si="69"/>
        <v/>
      </c>
      <c r="AA449" s="209" t="str">
        <f t="shared" si="73"/>
        <v/>
      </c>
      <c r="AB449" s="209"/>
      <c r="AC449" s="207" t="str">
        <f t="shared" ca="1" si="70"/>
        <v/>
      </c>
      <c r="AD449" s="207"/>
      <c r="AE449" s="207"/>
      <c r="AF449" s="208" t="str">
        <f>IF(ISBLANK(D449),"",VLOOKUP(F449,'SIZE CALCULATION'!$F:$G,2,0))</f>
        <v/>
      </c>
      <c r="AG449" s="207" t="str">
        <f t="shared" si="75"/>
        <v/>
      </c>
      <c r="AH449" s="207" t="str">
        <f t="shared" si="71"/>
        <v/>
      </c>
      <c r="AI449" s="210" t="str">
        <f>IF(ISBLANK(D449),"",VLOOKUP($A449,INDEX!$D$2:$F$13,3,0))</f>
        <v/>
      </c>
      <c r="AJ449" s="207" t="str">
        <f t="shared" si="72"/>
        <v/>
      </c>
      <c r="AK449" s="207"/>
      <c r="AL449" s="207"/>
      <c r="AM449" s="207" t="str">
        <f>IFERROR(IF(ISBLANK($D449),"",VLOOKUP($N449,'TABLE CHARGE RATE'!$A$30:$K$106,5,0)),"Check")</f>
        <v/>
      </c>
      <c r="AN449" s="207" t="str">
        <f>IFERROR(IF(ISBLANK($D449),"",VLOOKUP($N449,'TABLE CHARGE RATE'!$A$30:$K$106,6,0)),"Check")</f>
        <v/>
      </c>
      <c r="AO449" s="207" t="str">
        <f>IFERROR(IF(ISBLANK($D449),"",VLOOKUP($N449,'TABLE CHARGE RATE'!$A$30:$K$106,7,0)),"Check")</f>
        <v/>
      </c>
      <c r="AP449" s="207" t="str">
        <f>IFERROR(IF(ISBLANK($D449),"",VLOOKUP($N449,'TABLE CHARGE RATE'!$A$30:$K$106,8,0)),"Check")</f>
        <v/>
      </c>
      <c r="AQ449" s="207" t="str">
        <f>IFERROR(IF(ISBLANK($D449),"",VLOOKUP($N449,'TABLE CHARGE RATE'!$A$30:$K$106,9,0)),"Check")</f>
        <v/>
      </c>
      <c r="AR449" s="207" t="str">
        <f>IFERROR(IF(ISBLANK($D449),"",VLOOKUP($N449,'TABLE CHARGE RATE'!$A$30:$K$106,10,0)),"Check")</f>
        <v/>
      </c>
      <c r="AS449" s="207" t="str">
        <f>IFERROR(IF(ISBLANK($D449),"",VLOOKUP($N449,'TABLE CHARGE RATE'!$A$30:$K$106,11,0)),"Check")</f>
        <v/>
      </c>
      <c r="AT449" s="207"/>
    </row>
    <row r="450" spans="1:46" x14ac:dyDescent="0.2">
      <c r="A450" s="207" t="str">
        <f t="shared" si="74"/>
        <v/>
      </c>
      <c r="B450" s="208" t="str">
        <f>IF(ISBLANK(D450),"",VLOOKUP(WEEKDAY($C450,1),INDEX!$J$2:$K$8,2,0))</f>
        <v/>
      </c>
      <c r="C450" s="209"/>
      <c r="D450" s="207"/>
      <c r="E450" s="207"/>
      <c r="F450" s="207"/>
      <c r="G450" s="207"/>
      <c r="H450" s="207"/>
      <c r="I450" s="207"/>
      <c r="J450" s="207"/>
      <c r="K450" s="207"/>
      <c r="L450" s="207"/>
      <c r="M450" s="207"/>
      <c r="N450" s="207"/>
      <c r="O450" s="207"/>
      <c r="P450" s="207"/>
      <c r="Q450" s="207"/>
      <c r="R450" s="207"/>
      <c r="S450" s="207"/>
      <c r="T450" s="207"/>
      <c r="U450" s="209"/>
      <c r="V450" s="207"/>
      <c r="W450" s="207"/>
      <c r="X450" s="209"/>
      <c r="Y450" s="209"/>
      <c r="Z450" s="207" t="str">
        <f t="shared" ca="1" si="69"/>
        <v/>
      </c>
      <c r="AA450" s="209" t="str">
        <f t="shared" si="73"/>
        <v/>
      </c>
      <c r="AB450" s="209"/>
      <c r="AC450" s="207" t="str">
        <f t="shared" ca="1" si="70"/>
        <v/>
      </c>
      <c r="AD450" s="207"/>
      <c r="AE450" s="207"/>
      <c r="AF450" s="208" t="str">
        <f>IF(ISBLANK(D450),"",VLOOKUP(F450,'SIZE CALCULATION'!$F:$G,2,0))</f>
        <v/>
      </c>
      <c r="AG450" s="207" t="str">
        <f t="shared" si="75"/>
        <v/>
      </c>
      <c r="AH450" s="207" t="str">
        <f t="shared" si="71"/>
        <v/>
      </c>
      <c r="AI450" s="210" t="str">
        <f>IF(ISBLANK(D450),"",VLOOKUP($A450,INDEX!$D$2:$F$13,3,0))</f>
        <v/>
      </c>
      <c r="AJ450" s="207" t="str">
        <f t="shared" si="72"/>
        <v/>
      </c>
      <c r="AK450" s="207"/>
      <c r="AL450" s="207"/>
      <c r="AM450" s="207" t="str">
        <f>IFERROR(IF(ISBLANK($D450),"",VLOOKUP($N450,'TABLE CHARGE RATE'!$A$30:$K$106,5,0)),"Check")</f>
        <v/>
      </c>
      <c r="AN450" s="207" t="str">
        <f>IFERROR(IF(ISBLANK($D450),"",VLOOKUP($N450,'TABLE CHARGE RATE'!$A$30:$K$106,6,0)),"Check")</f>
        <v/>
      </c>
      <c r="AO450" s="207" t="str">
        <f>IFERROR(IF(ISBLANK($D450),"",VLOOKUP($N450,'TABLE CHARGE RATE'!$A$30:$K$106,7,0)),"Check")</f>
        <v/>
      </c>
      <c r="AP450" s="207" t="str">
        <f>IFERROR(IF(ISBLANK($D450),"",VLOOKUP($N450,'TABLE CHARGE RATE'!$A$30:$K$106,8,0)),"Check")</f>
        <v/>
      </c>
      <c r="AQ450" s="207" t="str">
        <f>IFERROR(IF(ISBLANK($D450),"",VLOOKUP($N450,'TABLE CHARGE RATE'!$A$30:$K$106,9,0)),"Check")</f>
        <v/>
      </c>
      <c r="AR450" s="207" t="str">
        <f>IFERROR(IF(ISBLANK($D450),"",VLOOKUP($N450,'TABLE CHARGE RATE'!$A$30:$K$106,10,0)),"Check")</f>
        <v/>
      </c>
      <c r="AS450" s="207" t="str">
        <f>IFERROR(IF(ISBLANK($D450),"",VLOOKUP($N450,'TABLE CHARGE RATE'!$A$30:$K$106,11,0)),"Check")</f>
        <v/>
      </c>
      <c r="AT450" s="207"/>
    </row>
    <row r="451" spans="1:46" x14ac:dyDescent="0.2">
      <c r="A451" s="207" t="str">
        <f t="shared" si="74"/>
        <v/>
      </c>
      <c r="B451" s="208" t="str">
        <f>IF(ISBLANK(D451),"",VLOOKUP(WEEKDAY($C451,1),INDEX!$J$2:$K$8,2,0))</f>
        <v/>
      </c>
      <c r="C451" s="209"/>
      <c r="D451" s="207"/>
      <c r="E451" s="207"/>
      <c r="F451" s="207"/>
      <c r="G451" s="207"/>
      <c r="H451" s="207"/>
      <c r="I451" s="207"/>
      <c r="J451" s="207"/>
      <c r="K451" s="207"/>
      <c r="L451" s="207"/>
      <c r="M451" s="207"/>
      <c r="N451" s="207"/>
      <c r="O451" s="207"/>
      <c r="P451" s="207"/>
      <c r="Q451" s="207"/>
      <c r="R451" s="207"/>
      <c r="S451" s="207"/>
      <c r="T451" s="207"/>
      <c r="U451" s="209"/>
      <c r="V451" s="207"/>
      <c r="W451" s="207"/>
      <c r="X451" s="209"/>
      <c r="Y451" s="209"/>
      <c r="Z451" s="207" t="str">
        <f t="shared" ca="1" si="69"/>
        <v/>
      </c>
      <c r="AA451" s="209" t="str">
        <f t="shared" si="73"/>
        <v/>
      </c>
      <c r="AB451" s="209"/>
      <c r="AC451" s="207" t="str">
        <f t="shared" ca="1" si="70"/>
        <v/>
      </c>
      <c r="AD451" s="207"/>
      <c r="AE451" s="207"/>
      <c r="AF451" s="208" t="str">
        <f>IF(ISBLANK(D451),"",VLOOKUP(F451,'SIZE CALCULATION'!$F:$G,2,0))</f>
        <v/>
      </c>
      <c r="AG451" s="207" t="str">
        <f t="shared" si="75"/>
        <v/>
      </c>
      <c r="AH451" s="207" t="str">
        <f t="shared" si="71"/>
        <v/>
      </c>
      <c r="AI451" s="210" t="str">
        <f>IF(ISBLANK(D451),"",VLOOKUP($A451,INDEX!$D$2:$F$13,3,0))</f>
        <v/>
      </c>
      <c r="AJ451" s="207" t="str">
        <f t="shared" si="72"/>
        <v/>
      </c>
      <c r="AK451" s="207"/>
      <c r="AL451" s="207"/>
      <c r="AM451" s="207" t="str">
        <f>IFERROR(IF(ISBLANK($D451),"",VLOOKUP($N451,'TABLE CHARGE RATE'!$A$30:$K$106,5,0)),"Check")</f>
        <v/>
      </c>
      <c r="AN451" s="207" t="str">
        <f>IFERROR(IF(ISBLANK($D451),"",VLOOKUP($N451,'TABLE CHARGE RATE'!$A$30:$K$106,6,0)),"Check")</f>
        <v/>
      </c>
      <c r="AO451" s="207" t="str">
        <f>IFERROR(IF(ISBLANK($D451),"",VLOOKUP($N451,'TABLE CHARGE RATE'!$A$30:$K$106,7,0)),"Check")</f>
        <v/>
      </c>
      <c r="AP451" s="207" t="str">
        <f>IFERROR(IF(ISBLANK($D451),"",VLOOKUP($N451,'TABLE CHARGE RATE'!$A$30:$K$106,8,0)),"Check")</f>
        <v/>
      </c>
      <c r="AQ451" s="207" t="str">
        <f>IFERROR(IF(ISBLANK($D451),"",VLOOKUP($N451,'TABLE CHARGE RATE'!$A$30:$K$106,9,0)),"Check")</f>
        <v/>
      </c>
      <c r="AR451" s="207" t="str">
        <f>IFERROR(IF(ISBLANK($D451),"",VLOOKUP($N451,'TABLE CHARGE RATE'!$A$30:$K$106,10,0)),"Check")</f>
        <v/>
      </c>
      <c r="AS451" s="207" t="str">
        <f>IFERROR(IF(ISBLANK($D451),"",VLOOKUP($N451,'TABLE CHARGE RATE'!$A$30:$K$106,11,0)),"Check")</f>
        <v/>
      </c>
      <c r="AT451" s="207"/>
    </row>
    <row r="452" spans="1:46" x14ac:dyDescent="0.2">
      <c r="A452" s="207" t="str">
        <f t="shared" si="74"/>
        <v/>
      </c>
      <c r="B452" s="208" t="str">
        <f>IF(ISBLANK(D452),"",VLOOKUP(WEEKDAY($C452,1),INDEX!$J$2:$K$8,2,0))</f>
        <v/>
      </c>
      <c r="C452" s="209"/>
      <c r="D452" s="207"/>
      <c r="E452" s="207"/>
      <c r="F452" s="207"/>
      <c r="G452" s="207"/>
      <c r="H452" s="207"/>
      <c r="I452" s="207"/>
      <c r="J452" s="207"/>
      <c r="K452" s="207"/>
      <c r="L452" s="207"/>
      <c r="M452" s="207"/>
      <c r="N452" s="207"/>
      <c r="O452" s="207"/>
      <c r="P452" s="207"/>
      <c r="Q452" s="207"/>
      <c r="R452" s="207"/>
      <c r="S452" s="207"/>
      <c r="T452" s="207"/>
      <c r="U452" s="209"/>
      <c r="V452" s="207"/>
      <c r="W452" s="207"/>
      <c r="X452" s="209"/>
      <c r="Y452" s="209"/>
      <c r="Z452" s="207" t="str">
        <f t="shared" ca="1" si="69"/>
        <v/>
      </c>
      <c r="AA452" s="209" t="str">
        <f t="shared" si="73"/>
        <v/>
      </c>
      <c r="AB452" s="209"/>
      <c r="AC452" s="207" t="str">
        <f t="shared" ca="1" si="70"/>
        <v/>
      </c>
      <c r="AD452" s="207"/>
      <c r="AE452" s="207"/>
      <c r="AF452" s="208" t="str">
        <f>IF(ISBLANK(D452),"",VLOOKUP(F452,'SIZE CALCULATION'!$F:$G,2,0))</f>
        <v/>
      </c>
      <c r="AG452" s="207" t="str">
        <f t="shared" si="75"/>
        <v/>
      </c>
      <c r="AH452" s="207" t="str">
        <f t="shared" si="71"/>
        <v/>
      </c>
      <c r="AI452" s="210" t="str">
        <f>IF(ISBLANK(D452),"",VLOOKUP($A452,INDEX!$D$2:$F$13,3,0))</f>
        <v/>
      </c>
      <c r="AJ452" s="207" t="str">
        <f t="shared" si="72"/>
        <v/>
      </c>
      <c r="AK452" s="207"/>
      <c r="AL452" s="207"/>
      <c r="AM452" s="207" t="str">
        <f>IFERROR(IF(ISBLANK($D452),"",VLOOKUP($N452,'TABLE CHARGE RATE'!$A$30:$K$106,5,0)),"Check")</f>
        <v/>
      </c>
      <c r="AN452" s="207" t="str">
        <f>IFERROR(IF(ISBLANK($D452),"",VLOOKUP($N452,'TABLE CHARGE RATE'!$A$30:$K$106,6,0)),"Check")</f>
        <v/>
      </c>
      <c r="AO452" s="207" t="str">
        <f>IFERROR(IF(ISBLANK($D452),"",VLOOKUP($N452,'TABLE CHARGE RATE'!$A$30:$K$106,7,0)),"Check")</f>
        <v/>
      </c>
      <c r="AP452" s="207" t="str">
        <f>IFERROR(IF(ISBLANK($D452),"",VLOOKUP($N452,'TABLE CHARGE RATE'!$A$30:$K$106,8,0)),"Check")</f>
        <v/>
      </c>
      <c r="AQ452" s="207" t="str">
        <f>IFERROR(IF(ISBLANK($D452),"",VLOOKUP($N452,'TABLE CHARGE RATE'!$A$30:$K$106,9,0)),"Check")</f>
        <v/>
      </c>
      <c r="AR452" s="207" t="str">
        <f>IFERROR(IF(ISBLANK($D452),"",VLOOKUP($N452,'TABLE CHARGE RATE'!$A$30:$K$106,10,0)),"Check")</f>
        <v/>
      </c>
      <c r="AS452" s="207" t="str">
        <f>IFERROR(IF(ISBLANK($D452),"",VLOOKUP($N452,'TABLE CHARGE RATE'!$A$30:$K$106,11,0)),"Check")</f>
        <v/>
      </c>
      <c r="AT452" s="207"/>
    </row>
    <row r="453" spans="1:46" x14ac:dyDescent="0.2">
      <c r="A453" s="207" t="str">
        <f t="shared" si="74"/>
        <v/>
      </c>
      <c r="B453" s="208" t="str">
        <f>IF(ISBLANK(D453),"",VLOOKUP(WEEKDAY($C453,1),INDEX!$J$2:$K$8,2,0))</f>
        <v/>
      </c>
      <c r="C453" s="209"/>
      <c r="D453" s="207"/>
      <c r="E453" s="207"/>
      <c r="F453" s="207"/>
      <c r="G453" s="207"/>
      <c r="H453" s="207"/>
      <c r="I453" s="207"/>
      <c r="J453" s="207"/>
      <c r="K453" s="207"/>
      <c r="L453" s="207"/>
      <c r="M453" s="207"/>
      <c r="N453" s="207"/>
      <c r="O453" s="207"/>
      <c r="P453" s="207"/>
      <c r="Q453" s="207"/>
      <c r="R453" s="207"/>
      <c r="S453" s="207"/>
      <c r="T453" s="207"/>
      <c r="U453" s="209"/>
      <c r="V453" s="207"/>
      <c r="W453" s="207"/>
      <c r="X453" s="209"/>
      <c r="Y453" s="209"/>
      <c r="Z453" s="207" t="str">
        <f t="shared" ref="Z453:Z516" ca="1" si="76">IF(ISBLANK(D453),"",IFERROR(IF(ISBLANK($AK453),IF(X453&gt;=TODAY(),"Delivery",IF(Y453-X453=0,1,0)),$AK453),""))</f>
        <v/>
      </c>
      <c r="AA453" s="209" t="str">
        <f t="shared" si="73"/>
        <v/>
      </c>
      <c r="AB453" s="209"/>
      <c r="AC453" s="207" t="str">
        <f t="shared" ref="AC453:AC516" ca="1" si="77">IF(ISBLANK(D453),"",IFERROR(IF(ISBLANK($AL453),IF(AA453&gt;=TODAY(),"Collecting",IF(AB453-AA453=0,1,0)),$AL453),""))</f>
        <v/>
      </c>
      <c r="AD453" s="207"/>
      <c r="AE453" s="207"/>
      <c r="AF453" s="208" t="str">
        <f>IF(ISBLANK(D453),"",VLOOKUP(F453,'SIZE CALCULATION'!$F:$G,2,0))</f>
        <v/>
      </c>
      <c r="AG453" s="207" t="str">
        <f t="shared" si="75"/>
        <v/>
      </c>
      <c r="AH453" s="207" t="str">
        <f t="shared" ref="AH453:AH516" si="78">IF(ISBLANK(D453),"",IFERROR(AG453*G453,0))</f>
        <v/>
      </c>
      <c r="AI453" s="210" t="str">
        <f>IF(ISBLANK(D453),"",VLOOKUP($A453,INDEX!$D$2:$F$13,3,0))</f>
        <v/>
      </c>
      <c r="AJ453" s="207" t="str">
        <f t="shared" ref="AJ453:AJ516" si="79">IF(ISBLANK(D453),"",AH453+(AH453*AI453))</f>
        <v/>
      </c>
      <c r="AK453" s="207"/>
      <c r="AL453" s="207"/>
      <c r="AM453" s="207" t="str">
        <f>IFERROR(IF(ISBLANK($D453),"",VLOOKUP($N453,'TABLE CHARGE RATE'!$A$30:$K$106,5,0)),"Check")</f>
        <v/>
      </c>
      <c r="AN453" s="207" t="str">
        <f>IFERROR(IF(ISBLANK($D453),"",VLOOKUP($N453,'TABLE CHARGE RATE'!$A$30:$K$106,6,0)),"Check")</f>
        <v/>
      </c>
      <c r="AO453" s="207" t="str">
        <f>IFERROR(IF(ISBLANK($D453),"",VLOOKUP($N453,'TABLE CHARGE RATE'!$A$30:$K$106,7,0)),"Check")</f>
        <v/>
      </c>
      <c r="AP453" s="207" t="str">
        <f>IFERROR(IF(ISBLANK($D453),"",VLOOKUP($N453,'TABLE CHARGE RATE'!$A$30:$K$106,8,0)),"Check")</f>
        <v/>
      </c>
      <c r="AQ453" s="207" t="str">
        <f>IFERROR(IF(ISBLANK($D453),"",VLOOKUP($N453,'TABLE CHARGE RATE'!$A$30:$K$106,9,0)),"Check")</f>
        <v/>
      </c>
      <c r="AR453" s="207" t="str">
        <f>IFERROR(IF(ISBLANK($D453),"",VLOOKUP($N453,'TABLE CHARGE RATE'!$A$30:$K$106,10,0)),"Check")</f>
        <v/>
      </c>
      <c r="AS453" s="207" t="str">
        <f>IFERROR(IF(ISBLANK($D453),"",VLOOKUP($N453,'TABLE CHARGE RATE'!$A$30:$K$106,11,0)),"Check")</f>
        <v/>
      </c>
      <c r="AT453" s="207"/>
    </row>
    <row r="454" spans="1:46" x14ac:dyDescent="0.2">
      <c r="A454" s="207" t="str">
        <f t="shared" si="74"/>
        <v/>
      </c>
      <c r="B454" s="208" t="str">
        <f>IF(ISBLANK(D454),"",VLOOKUP(WEEKDAY($C454,1),INDEX!$J$2:$K$8,2,0))</f>
        <v/>
      </c>
      <c r="C454" s="209"/>
      <c r="D454" s="207"/>
      <c r="E454" s="207"/>
      <c r="F454" s="207"/>
      <c r="G454" s="207"/>
      <c r="H454" s="207"/>
      <c r="I454" s="207"/>
      <c r="J454" s="207"/>
      <c r="K454" s="207"/>
      <c r="L454" s="207"/>
      <c r="M454" s="207"/>
      <c r="N454" s="207"/>
      <c r="O454" s="207"/>
      <c r="P454" s="207"/>
      <c r="Q454" s="207"/>
      <c r="R454" s="207"/>
      <c r="S454" s="207"/>
      <c r="T454" s="207"/>
      <c r="U454" s="209"/>
      <c r="V454" s="207"/>
      <c r="W454" s="207"/>
      <c r="X454" s="209"/>
      <c r="Y454" s="209"/>
      <c r="Z454" s="207" t="str">
        <f t="shared" ca="1" si="76"/>
        <v/>
      </c>
      <c r="AA454" s="209" t="str">
        <f t="shared" si="73"/>
        <v/>
      </c>
      <c r="AB454" s="209"/>
      <c r="AC454" s="207" t="str">
        <f t="shared" ca="1" si="77"/>
        <v/>
      </c>
      <c r="AD454" s="207"/>
      <c r="AE454" s="207"/>
      <c r="AF454" s="208" t="str">
        <f>IF(ISBLANK(D454),"",VLOOKUP(F454,'SIZE CALCULATION'!$F:$G,2,0))</f>
        <v/>
      </c>
      <c r="AG454" s="207" t="str">
        <f t="shared" si="75"/>
        <v/>
      </c>
      <c r="AH454" s="207" t="str">
        <f t="shared" si="78"/>
        <v/>
      </c>
      <c r="AI454" s="210" t="str">
        <f>IF(ISBLANK(D454),"",VLOOKUP($A454,INDEX!$D$2:$F$13,3,0))</f>
        <v/>
      </c>
      <c r="AJ454" s="207" t="str">
        <f t="shared" si="79"/>
        <v/>
      </c>
      <c r="AK454" s="207"/>
      <c r="AL454" s="207"/>
      <c r="AM454" s="207" t="str">
        <f>IFERROR(IF(ISBLANK($D454),"",VLOOKUP($N454,'TABLE CHARGE RATE'!$A$30:$K$106,5,0)),"Check")</f>
        <v/>
      </c>
      <c r="AN454" s="207" t="str">
        <f>IFERROR(IF(ISBLANK($D454),"",VLOOKUP($N454,'TABLE CHARGE RATE'!$A$30:$K$106,6,0)),"Check")</f>
        <v/>
      </c>
      <c r="AO454" s="207" t="str">
        <f>IFERROR(IF(ISBLANK($D454),"",VLOOKUP($N454,'TABLE CHARGE RATE'!$A$30:$K$106,7,0)),"Check")</f>
        <v/>
      </c>
      <c r="AP454" s="207" t="str">
        <f>IFERROR(IF(ISBLANK($D454),"",VLOOKUP($N454,'TABLE CHARGE RATE'!$A$30:$K$106,8,0)),"Check")</f>
        <v/>
      </c>
      <c r="AQ454" s="207" t="str">
        <f>IFERROR(IF(ISBLANK($D454),"",VLOOKUP($N454,'TABLE CHARGE RATE'!$A$30:$K$106,9,0)),"Check")</f>
        <v/>
      </c>
      <c r="AR454" s="207" t="str">
        <f>IFERROR(IF(ISBLANK($D454),"",VLOOKUP($N454,'TABLE CHARGE RATE'!$A$30:$K$106,10,0)),"Check")</f>
        <v/>
      </c>
      <c r="AS454" s="207" t="str">
        <f>IFERROR(IF(ISBLANK($D454),"",VLOOKUP($N454,'TABLE CHARGE RATE'!$A$30:$K$106,11,0)),"Check")</f>
        <v/>
      </c>
      <c r="AT454" s="207"/>
    </row>
    <row r="455" spans="1:46" x14ac:dyDescent="0.2">
      <c r="A455" s="207" t="str">
        <f t="shared" si="74"/>
        <v/>
      </c>
      <c r="B455" s="208" t="str">
        <f>IF(ISBLANK(D455),"",VLOOKUP(WEEKDAY($C455,1),INDEX!$J$2:$K$8,2,0))</f>
        <v/>
      </c>
      <c r="C455" s="209"/>
      <c r="D455" s="207"/>
      <c r="E455" s="207"/>
      <c r="F455" s="207"/>
      <c r="G455" s="207"/>
      <c r="H455" s="207"/>
      <c r="I455" s="207"/>
      <c r="J455" s="207"/>
      <c r="K455" s="207"/>
      <c r="L455" s="207"/>
      <c r="M455" s="207"/>
      <c r="N455" s="207"/>
      <c r="O455" s="207"/>
      <c r="P455" s="207"/>
      <c r="Q455" s="207"/>
      <c r="R455" s="207"/>
      <c r="S455" s="207"/>
      <c r="T455" s="207"/>
      <c r="U455" s="209"/>
      <c r="V455" s="207"/>
      <c r="W455" s="207"/>
      <c r="X455" s="209"/>
      <c r="Y455" s="209"/>
      <c r="Z455" s="207" t="str">
        <f t="shared" ca="1" si="76"/>
        <v/>
      </c>
      <c r="AA455" s="209" t="str">
        <f t="shared" si="73"/>
        <v/>
      </c>
      <c r="AB455" s="209"/>
      <c r="AC455" s="207" t="str">
        <f t="shared" ca="1" si="77"/>
        <v/>
      </c>
      <c r="AD455" s="207"/>
      <c r="AE455" s="207"/>
      <c r="AF455" s="208" t="str">
        <f>IF(ISBLANK(D455),"",VLOOKUP(F455,'SIZE CALCULATION'!$F:$G,2,0))</f>
        <v/>
      </c>
      <c r="AG455" s="207" t="str">
        <f t="shared" si="75"/>
        <v/>
      </c>
      <c r="AH455" s="207" t="str">
        <f t="shared" si="78"/>
        <v/>
      </c>
      <c r="AI455" s="210" t="str">
        <f>IF(ISBLANK(D455),"",VLOOKUP($A455,INDEX!$D$2:$F$13,3,0))</f>
        <v/>
      </c>
      <c r="AJ455" s="207" t="str">
        <f t="shared" si="79"/>
        <v/>
      </c>
      <c r="AK455" s="207"/>
      <c r="AL455" s="207"/>
      <c r="AM455" s="207" t="str">
        <f>IFERROR(IF(ISBLANK($D455),"",VLOOKUP($N455,'TABLE CHARGE RATE'!$A$30:$K$106,5,0)),"Check")</f>
        <v/>
      </c>
      <c r="AN455" s="207" t="str">
        <f>IFERROR(IF(ISBLANK($D455),"",VLOOKUP($N455,'TABLE CHARGE RATE'!$A$30:$K$106,6,0)),"Check")</f>
        <v/>
      </c>
      <c r="AO455" s="207" t="str">
        <f>IFERROR(IF(ISBLANK($D455),"",VLOOKUP($N455,'TABLE CHARGE RATE'!$A$30:$K$106,7,0)),"Check")</f>
        <v/>
      </c>
      <c r="AP455" s="207" t="str">
        <f>IFERROR(IF(ISBLANK($D455),"",VLOOKUP($N455,'TABLE CHARGE RATE'!$A$30:$K$106,8,0)),"Check")</f>
        <v/>
      </c>
      <c r="AQ455" s="207" t="str">
        <f>IFERROR(IF(ISBLANK($D455),"",VLOOKUP($N455,'TABLE CHARGE RATE'!$A$30:$K$106,9,0)),"Check")</f>
        <v/>
      </c>
      <c r="AR455" s="207" t="str">
        <f>IFERROR(IF(ISBLANK($D455),"",VLOOKUP($N455,'TABLE CHARGE RATE'!$A$30:$K$106,10,0)),"Check")</f>
        <v/>
      </c>
      <c r="AS455" s="207" t="str">
        <f>IFERROR(IF(ISBLANK($D455),"",VLOOKUP($N455,'TABLE CHARGE RATE'!$A$30:$K$106,11,0)),"Check")</f>
        <v/>
      </c>
      <c r="AT455" s="207"/>
    </row>
    <row r="456" spans="1:46" x14ac:dyDescent="0.2">
      <c r="A456" s="207" t="str">
        <f t="shared" si="74"/>
        <v/>
      </c>
      <c r="B456" s="208" t="str">
        <f>IF(ISBLANK(D456),"",VLOOKUP(WEEKDAY($C456,1),INDEX!$J$2:$K$8,2,0))</f>
        <v/>
      </c>
      <c r="C456" s="209"/>
      <c r="D456" s="207"/>
      <c r="E456" s="207"/>
      <c r="F456" s="207"/>
      <c r="G456" s="207"/>
      <c r="H456" s="207"/>
      <c r="I456" s="207"/>
      <c r="J456" s="207"/>
      <c r="K456" s="207"/>
      <c r="L456" s="207"/>
      <c r="M456" s="207"/>
      <c r="N456" s="207"/>
      <c r="O456" s="207"/>
      <c r="P456" s="207"/>
      <c r="Q456" s="207"/>
      <c r="R456" s="207"/>
      <c r="S456" s="207"/>
      <c r="T456" s="207"/>
      <c r="U456" s="209"/>
      <c r="V456" s="207"/>
      <c r="W456" s="207"/>
      <c r="X456" s="209"/>
      <c r="Y456" s="209"/>
      <c r="Z456" s="207" t="str">
        <f t="shared" ca="1" si="76"/>
        <v/>
      </c>
      <c r="AA456" s="209" t="str">
        <f t="shared" si="73"/>
        <v/>
      </c>
      <c r="AB456" s="209"/>
      <c r="AC456" s="207" t="str">
        <f t="shared" ca="1" si="77"/>
        <v/>
      </c>
      <c r="AD456" s="207"/>
      <c r="AE456" s="207"/>
      <c r="AF456" s="208" t="str">
        <f>IF(ISBLANK(D456),"",VLOOKUP(F456,'SIZE CALCULATION'!$F:$G,2,0))</f>
        <v/>
      </c>
      <c r="AG456" s="207" t="str">
        <f t="shared" si="75"/>
        <v/>
      </c>
      <c r="AH456" s="207" t="str">
        <f t="shared" si="78"/>
        <v/>
      </c>
      <c r="AI456" s="210" t="str">
        <f>IF(ISBLANK(D456),"",VLOOKUP($A456,INDEX!$D$2:$F$13,3,0))</f>
        <v/>
      </c>
      <c r="AJ456" s="207" t="str">
        <f t="shared" si="79"/>
        <v/>
      </c>
      <c r="AK456" s="207"/>
      <c r="AL456" s="207"/>
      <c r="AM456" s="207" t="str">
        <f>IFERROR(IF(ISBLANK($D456),"",VLOOKUP($N456,'TABLE CHARGE RATE'!$A$30:$K$106,5,0)),"Check")</f>
        <v/>
      </c>
      <c r="AN456" s="207" t="str">
        <f>IFERROR(IF(ISBLANK($D456),"",VLOOKUP($N456,'TABLE CHARGE RATE'!$A$30:$K$106,6,0)),"Check")</f>
        <v/>
      </c>
      <c r="AO456" s="207" t="str">
        <f>IFERROR(IF(ISBLANK($D456),"",VLOOKUP($N456,'TABLE CHARGE RATE'!$A$30:$K$106,7,0)),"Check")</f>
        <v/>
      </c>
      <c r="AP456" s="207" t="str">
        <f>IFERROR(IF(ISBLANK($D456),"",VLOOKUP($N456,'TABLE CHARGE RATE'!$A$30:$K$106,8,0)),"Check")</f>
        <v/>
      </c>
      <c r="AQ456" s="207" t="str">
        <f>IFERROR(IF(ISBLANK($D456),"",VLOOKUP($N456,'TABLE CHARGE RATE'!$A$30:$K$106,9,0)),"Check")</f>
        <v/>
      </c>
      <c r="AR456" s="207" t="str">
        <f>IFERROR(IF(ISBLANK($D456),"",VLOOKUP($N456,'TABLE CHARGE RATE'!$A$30:$K$106,10,0)),"Check")</f>
        <v/>
      </c>
      <c r="AS456" s="207" t="str">
        <f>IFERROR(IF(ISBLANK($D456),"",VLOOKUP($N456,'TABLE CHARGE RATE'!$A$30:$K$106,11,0)),"Check")</f>
        <v/>
      </c>
      <c r="AT456" s="207"/>
    </row>
    <row r="457" spans="1:46" x14ac:dyDescent="0.2">
      <c r="A457" s="207" t="str">
        <f t="shared" si="74"/>
        <v/>
      </c>
      <c r="B457" s="208" t="str">
        <f>IF(ISBLANK(D457),"",VLOOKUP(WEEKDAY($C457,1),INDEX!$J$2:$K$8,2,0))</f>
        <v/>
      </c>
      <c r="C457" s="209"/>
      <c r="D457" s="207"/>
      <c r="E457" s="207"/>
      <c r="F457" s="207"/>
      <c r="G457" s="207"/>
      <c r="H457" s="207"/>
      <c r="I457" s="207"/>
      <c r="J457" s="207"/>
      <c r="K457" s="207"/>
      <c r="L457" s="207"/>
      <c r="M457" s="207"/>
      <c r="N457" s="207"/>
      <c r="O457" s="207"/>
      <c r="P457" s="207"/>
      <c r="Q457" s="207"/>
      <c r="R457" s="207"/>
      <c r="S457" s="207"/>
      <c r="T457" s="207"/>
      <c r="U457" s="209"/>
      <c r="V457" s="207"/>
      <c r="W457" s="207"/>
      <c r="X457" s="209"/>
      <c r="Y457" s="209"/>
      <c r="Z457" s="207" t="str">
        <f t="shared" ca="1" si="76"/>
        <v/>
      </c>
      <c r="AA457" s="209" t="str">
        <f t="shared" si="73"/>
        <v/>
      </c>
      <c r="AB457" s="209"/>
      <c r="AC457" s="207" t="str">
        <f t="shared" ca="1" si="77"/>
        <v/>
      </c>
      <c r="AD457" s="207"/>
      <c r="AE457" s="207"/>
      <c r="AF457" s="208" t="str">
        <f>IF(ISBLANK(D457),"",VLOOKUP(F457,'SIZE CALCULATION'!$F:$G,2,0))</f>
        <v/>
      </c>
      <c r="AG457" s="207" t="str">
        <f t="shared" si="75"/>
        <v/>
      </c>
      <c r="AH457" s="207" t="str">
        <f t="shared" si="78"/>
        <v/>
      </c>
      <c r="AI457" s="210" t="str">
        <f>IF(ISBLANK(D457),"",VLOOKUP($A457,INDEX!$D$2:$F$13,3,0))</f>
        <v/>
      </c>
      <c r="AJ457" s="207" t="str">
        <f t="shared" si="79"/>
        <v/>
      </c>
      <c r="AK457" s="207"/>
      <c r="AL457" s="207"/>
      <c r="AM457" s="207" t="str">
        <f>IFERROR(IF(ISBLANK($D457),"",VLOOKUP($N457,'TABLE CHARGE RATE'!$A$30:$K$106,5,0)),"Check")</f>
        <v/>
      </c>
      <c r="AN457" s="207" t="str">
        <f>IFERROR(IF(ISBLANK($D457),"",VLOOKUP($N457,'TABLE CHARGE RATE'!$A$30:$K$106,6,0)),"Check")</f>
        <v/>
      </c>
      <c r="AO457" s="207" t="str">
        <f>IFERROR(IF(ISBLANK($D457),"",VLOOKUP($N457,'TABLE CHARGE RATE'!$A$30:$K$106,7,0)),"Check")</f>
        <v/>
      </c>
      <c r="AP457" s="207" t="str">
        <f>IFERROR(IF(ISBLANK($D457),"",VLOOKUP($N457,'TABLE CHARGE RATE'!$A$30:$K$106,8,0)),"Check")</f>
        <v/>
      </c>
      <c r="AQ457" s="207" t="str">
        <f>IFERROR(IF(ISBLANK($D457),"",VLOOKUP($N457,'TABLE CHARGE RATE'!$A$30:$K$106,9,0)),"Check")</f>
        <v/>
      </c>
      <c r="AR457" s="207" t="str">
        <f>IFERROR(IF(ISBLANK($D457),"",VLOOKUP($N457,'TABLE CHARGE RATE'!$A$30:$K$106,10,0)),"Check")</f>
        <v/>
      </c>
      <c r="AS457" s="207" t="str">
        <f>IFERROR(IF(ISBLANK($D457),"",VLOOKUP($N457,'TABLE CHARGE RATE'!$A$30:$K$106,11,0)),"Check")</f>
        <v/>
      </c>
      <c r="AT457" s="207"/>
    </row>
    <row r="458" spans="1:46" x14ac:dyDescent="0.2">
      <c r="A458" s="207" t="str">
        <f t="shared" si="74"/>
        <v/>
      </c>
      <c r="B458" s="208" t="str">
        <f>IF(ISBLANK(D458),"",VLOOKUP(WEEKDAY($C458,1),INDEX!$J$2:$K$8,2,0))</f>
        <v/>
      </c>
      <c r="C458" s="209"/>
      <c r="D458" s="207"/>
      <c r="E458" s="207"/>
      <c r="F458" s="207"/>
      <c r="G458" s="207"/>
      <c r="H458" s="207"/>
      <c r="I458" s="207"/>
      <c r="J458" s="207"/>
      <c r="K458" s="207"/>
      <c r="L458" s="207"/>
      <c r="M458" s="207"/>
      <c r="N458" s="207"/>
      <c r="O458" s="207"/>
      <c r="P458" s="207"/>
      <c r="Q458" s="207"/>
      <c r="R458" s="207"/>
      <c r="S458" s="207"/>
      <c r="T458" s="207"/>
      <c r="U458" s="209"/>
      <c r="V458" s="207"/>
      <c r="W458" s="207"/>
      <c r="X458" s="209"/>
      <c r="Y458" s="209"/>
      <c r="Z458" s="207" t="str">
        <f t="shared" ca="1" si="76"/>
        <v/>
      </c>
      <c r="AA458" s="209" t="str">
        <f t="shared" si="73"/>
        <v/>
      </c>
      <c r="AB458" s="209"/>
      <c r="AC458" s="207" t="str">
        <f t="shared" ca="1" si="77"/>
        <v/>
      </c>
      <c r="AD458" s="207"/>
      <c r="AE458" s="207"/>
      <c r="AF458" s="208" t="str">
        <f>IF(ISBLANK(D458),"",VLOOKUP(F458,'SIZE CALCULATION'!$F:$G,2,0))</f>
        <v/>
      </c>
      <c r="AG458" s="207" t="str">
        <f t="shared" si="75"/>
        <v/>
      </c>
      <c r="AH458" s="207" t="str">
        <f t="shared" si="78"/>
        <v/>
      </c>
      <c r="AI458" s="210" t="str">
        <f>IF(ISBLANK(D458),"",VLOOKUP($A458,INDEX!$D$2:$F$13,3,0))</f>
        <v/>
      </c>
      <c r="AJ458" s="207" t="str">
        <f t="shared" si="79"/>
        <v/>
      </c>
      <c r="AK458" s="207"/>
      <c r="AL458" s="207"/>
      <c r="AM458" s="207" t="str">
        <f>IFERROR(IF(ISBLANK($D458),"",VLOOKUP($N458,'TABLE CHARGE RATE'!$A$30:$K$106,5,0)),"Check")</f>
        <v/>
      </c>
      <c r="AN458" s="207" t="str">
        <f>IFERROR(IF(ISBLANK($D458),"",VLOOKUP($N458,'TABLE CHARGE RATE'!$A$30:$K$106,6,0)),"Check")</f>
        <v/>
      </c>
      <c r="AO458" s="207" t="str">
        <f>IFERROR(IF(ISBLANK($D458),"",VLOOKUP($N458,'TABLE CHARGE RATE'!$A$30:$K$106,7,0)),"Check")</f>
        <v/>
      </c>
      <c r="AP458" s="207" t="str">
        <f>IFERROR(IF(ISBLANK($D458),"",VLOOKUP($N458,'TABLE CHARGE RATE'!$A$30:$K$106,8,0)),"Check")</f>
        <v/>
      </c>
      <c r="AQ458" s="207" t="str">
        <f>IFERROR(IF(ISBLANK($D458),"",VLOOKUP($N458,'TABLE CHARGE RATE'!$A$30:$K$106,9,0)),"Check")</f>
        <v/>
      </c>
      <c r="AR458" s="207" t="str">
        <f>IFERROR(IF(ISBLANK($D458),"",VLOOKUP($N458,'TABLE CHARGE RATE'!$A$30:$K$106,10,0)),"Check")</f>
        <v/>
      </c>
      <c r="AS458" s="207" t="str">
        <f>IFERROR(IF(ISBLANK($D458),"",VLOOKUP($N458,'TABLE CHARGE RATE'!$A$30:$K$106,11,0)),"Check")</f>
        <v/>
      </c>
      <c r="AT458" s="207"/>
    </row>
    <row r="459" spans="1:46" x14ac:dyDescent="0.2">
      <c r="A459" s="207" t="str">
        <f t="shared" si="74"/>
        <v/>
      </c>
      <c r="B459" s="208" t="str">
        <f>IF(ISBLANK(D459),"",VLOOKUP(WEEKDAY($C459,1),INDEX!$J$2:$K$8,2,0))</f>
        <v/>
      </c>
      <c r="C459" s="209"/>
      <c r="D459" s="207"/>
      <c r="E459" s="207"/>
      <c r="F459" s="207"/>
      <c r="G459" s="207"/>
      <c r="H459" s="207"/>
      <c r="I459" s="207"/>
      <c r="J459" s="207"/>
      <c r="K459" s="207"/>
      <c r="L459" s="207"/>
      <c r="M459" s="207"/>
      <c r="N459" s="207"/>
      <c r="O459" s="207"/>
      <c r="P459" s="207"/>
      <c r="Q459" s="207"/>
      <c r="R459" s="207"/>
      <c r="S459" s="207"/>
      <c r="T459" s="207"/>
      <c r="U459" s="209"/>
      <c r="V459" s="207"/>
      <c r="W459" s="207"/>
      <c r="X459" s="209"/>
      <c r="Y459" s="209"/>
      <c r="Z459" s="207" t="str">
        <f t="shared" ca="1" si="76"/>
        <v/>
      </c>
      <c r="AA459" s="209" t="str">
        <f t="shared" si="73"/>
        <v/>
      </c>
      <c r="AB459" s="209"/>
      <c r="AC459" s="207" t="str">
        <f t="shared" ca="1" si="77"/>
        <v/>
      </c>
      <c r="AD459" s="207"/>
      <c r="AE459" s="207"/>
      <c r="AF459" s="208" t="str">
        <f>IF(ISBLANK(D459),"",VLOOKUP(F459,'SIZE CALCULATION'!$F:$G,2,0))</f>
        <v/>
      </c>
      <c r="AG459" s="207" t="str">
        <f t="shared" si="75"/>
        <v/>
      </c>
      <c r="AH459" s="207" t="str">
        <f t="shared" si="78"/>
        <v/>
      </c>
      <c r="AI459" s="210" t="str">
        <f>IF(ISBLANK(D459),"",VLOOKUP($A459,INDEX!$D$2:$F$13,3,0))</f>
        <v/>
      </c>
      <c r="AJ459" s="207" t="str">
        <f t="shared" si="79"/>
        <v/>
      </c>
      <c r="AK459" s="207"/>
      <c r="AL459" s="207"/>
      <c r="AM459" s="207" t="str">
        <f>IFERROR(IF(ISBLANK($D459),"",VLOOKUP($N459,'TABLE CHARGE RATE'!$A$30:$K$106,5,0)),"Check")</f>
        <v/>
      </c>
      <c r="AN459" s="207" t="str">
        <f>IFERROR(IF(ISBLANK($D459),"",VLOOKUP($N459,'TABLE CHARGE RATE'!$A$30:$K$106,6,0)),"Check")</f>
        <v/>
      </c>
      <c r="AO459" s="207" t="str">
        <f>IFERROR(IF(ISBLANK($D459),"",VLOOKUP($N459,'TABLE CHARGE RATE'!$A$30:$K$106,7,0)),"Check")</f>
        <v/>
      </c>
      <c r="AP459" s="207" t="str">
        <f>IFERROR(IF(ISBLANK($D459),"",VLOOKUP($N459,'TABLE CHARGE RATE'!$A$30:$K$106,8,0)),"Check")</f>
        <v/>
      </c>
      <c r="AQ459" s="207" t="str">
        <f>IFERROR(IF(ISBLANK($D459),"",VLOOKUP($N459,'TABLE CHARGE RATE'!$A$30:$K$106,9,0)),"Check")</f>
        <v/>
      </c>
      <c r="AR459" s="207" t="str">
        <f>IFERROR(IF(ISBLANK($D459),"",VLOOKUP($N459,'TABLE CHARGE RATE'!$A$30:$K$106,10,0)),"Check")</f>
        <v/>
      </c>
      <c r="AS459" s="207" t="str">
        <f>IFERROR(IF(ISBLANK($D459),"",VLOOKUP($N459,'TABLE CHARGE RATE'!$A$30:$K$106,11,0)),"Check")</f>
        <v/>
      </c>
      <c r="AT459" s="207"/>
    </row>
    <row r="460" spans="1:46" x14ac:dyDescent="0.2">
      <c r="A460" s="207" t="str">
        <f t="shared" si="74"/>
        <v/>
      </c>
      <c r="B460" s="208" t="str">
        <f>IF(ISBLANK(D460),"",VLOOKUP(WEEKDAY($C460,1),INDEX!$J$2:$K$8,2,0))</f>
        <v/>
      </c>
      <c r="C460" s="209"/>
      <c r="D460" s="207"/>
      <c r="E460" s="207"/>
      <c r="F460" s="207"/>
      <c r="G460" s="207"/>
      <c r="H460" s="207"/>
      <c r="I460" s="207"/>
      <c r="J460" s="207"/>
      <c r="K460" s="207"/>
      <c r="L460" s="207"/>
      <c r="M460" s="207"/>
      <c r="N460" s="207"/>
      <c r="O460" s="207"/>
      <c r="P460" s="207"/>
      <c r="Q460" s="207"/>
      <c r="R460" s="207"/>
      <c r="S460" s="207"/>
      <c r="T460" s="207"/>
      <c r="U460" s="209"/>
      <c r="V460" s="207"/>
      <c r="W460" s="207"/>
      <c r="X460" s="209"/>
      <c r="Y460" s="209"/>
      <c r="Z460" s="207" t="str">
        <f t="shared" ca="1" si="76"/>
        <v/>
      </c>
      <c r="AA460" s="209" t="str">
        <f t="shared" si="73"/>
        <v/>
      </c>
      <c r="AB460" s="209"/>
      <c r="AC460" s="207" t="str">
        <f t="shared" ca="1" si="77"/>
        <v/>
      </c>
      <c r="AD460" s="207"/>
      <c r="AE460" s="207"/>
      <c r="AF460" s="208" t="str">
        <f>IF(ISBLANK(D460),"",VLOOKUP(F460,'SIZE CALCULATION'!$F:$G,2,0))</f>
        <v/>
      </c>
      <c r="AG460" s="207" t="str">
        <f t="shared" si="75"/>
        <v/>
      </c>
      <c r="AH460" s="207" t="str">
        <f t="shared" si="78"/>
        <v/>
      </c>
      <c r="AI460" s="210" t="str">
        <f>IF(ISBLANK(D460),"",VLOOKUP($A460,INDEX!$D$2:$F$13,3,0))</f>
        <v/>
      </c>
      <c r="AJ460" s="207" t="str">
        <f t="shared" si="79"/>
        <v/>
      </c>
      <c r="AK460" s="207"/>
      <c r="AL460" s="207"/>
      <c r="AM460" s="207" t="str">
        <f>IFERROR(IF(ISBLANK($D460),"",VLOOKUP($N460,'TABLE CHARGE RATE'!$A$30:$K$106,5,0)),"Check")</f>
        <v/>
      </c>
      <c r="AN460" s="207" t="str">
        <f>IFERROR(IF(ISBLANK($D460),"",VLOOKUP($N460,'TABLE CHARGE RATE'!$A$30:$K$106,6,0)),"Check")</f>
        <v/>
      </c>
      <c r="AO460" s="207" t="str">
        <f>IFERROR(IF(ISBLANK($D460),"",VLOOKUP($N460,'TABLE CHARGE RATE'!$A$30:$K$106,7,0)),"Check")</f>
        <v/>
      </c>
      <c r="AP460" s="207" t="str">
        <f>IFERROR(IF(ISBLANK($D460),"",VLOOKUP($N460,'TABLE CHARGE RATE'!$A$30:$K$106,8,0)),"Check")</f>
        <v/>
      </c>
      <c r="AQ460" s="207" t="str">
        <f>IFERROR(IF(ISBLANK($D460),"",VLOOKUP($N460,'TABLE CHARGE RATE'!$A$30:$K$106,9,0)),"Check")</f>
        <v/>
      </c>
      <c r="AR460" s="207" t="str">
        <f>IFERROR(IF(ISBLANK($D460),"",VLOOKUP($N460,'TABLE CHARGE RATE'!$A$30:$K$106,10,0)),"Check")</f>
        <v/>
      </c>
      <c r="AS460" s="207" t="str">
        <f>IFERROR(IF(ISBLANK($D460),"",VLOOKUP($N460,'TABLE CHARGE RATE'!$A$30:$K$106,11,0)),"Check")</f>
        <v/>
      </c>
      <c r="AT460" s="207"/>
    </row>
    <row r="461" spans="1:46" x14ac:dyDescent="0.2">
      <c r="A461" s="207" t="str">
        <f t="shared" si="74"/>
        <v/>
      </c>
      <c r="B461" s="208" t="str">
        <f>IF(ISBLANK(D461),"",VLOOKUP(WEEKDAY($C461,1),INDEX!$J$2:$K$8,2,0))</f>
        <v/>
      </c>
      <c r="C461" s="209"/>
      <c r="D461" s="207"/>
      <c r="E461" s="207"/>
      <c r="F461" s="207"/>
      <c r="G461" s="207"/>
      <c r="H461" s="207"/>
      <c r="I461" s="207"/>
      <c r="J461" s="207"/>
      <c r="K461" s="207"/>
      <c r="L461" s="207"/>
      <c r="M461" s="207"/>
      <c r="N461" s="207"/>
      <c r="O461" s="207"/>
      <c r="P461" s="207"/>
      <c r="Q461" s="207"/>
      <c r="R461" s="207"/>
      <c r="S461" s="207"/>
      <c r="T461" s="207"/>
      <c r="U461" s="209"/>
      <c r="V461" s="207"/>
      <c r="W461" s="207"/>
      <c r="X461" s="209"/>
      <c r="Y461" s="209"/>
      <c r="Z461" s="207" t="str">
        <f t="shared" ca="1" si="76"/>
        <v/>
      </c>
      <c r="AA461" s="209" t="str">
        <f t="shared" si="73"/>
        <v/>
      </c>
      <c r="AB461" s="209"/>
      <c r="AC461" s="207" t="str">
        <f t="shared" ca="1" si="77"/>
        <v/>
      </c>
      <c r="AD461" s="207"/>
      <c r="AE461" s="207"/>
      <c r="AF461" s="208" t="str">
        <f>IF(ISBLANK(D461),"",VLOOKUP(F461,'SIZE CALCULATION'!$F:$G,2,0))</f>
        <v/>
      </c>
      <c r="AG461" s="207" t="str">
        <f t="shared" si="75"/>
        <v/>
      </c>
      <c r="AH461" s="207" t="str">
        <f t="shared" si="78"/>
        <v/>
      </c>
      <c r="AI461" s="210" t="str">
        <f>IF(ISBLANK(D461),"",VLOOKUP($A461,INDEX!$D$2:$F$13,3,0))</f>
        <v/>
      </c>
      <c r="AJ461" s="207" t="str">
        <f t="shared" si="79"/>
        <v/>
      </c>
      <c r="AK461" s="207"/>
      <c r="AL461" s="207"/>
      <c r="AM461" s="207" t="str">
        <f>IFERROR(IF(ISBLANK($D461),"",VLOOKUP($N461,'TABLE CHARGE RATE'!$A$30:$K$106,5,0)),"Check")</f>
        <v/>
      </c>
      <c r="AN461" s="207" t="str">
        <f>IFERROR(IF(ISBLANK($D461),"",VLOOKUP($N461,'TABLE CHARGE RATE'!$A$30:$K$106,6,0)),"Check")</f>
        <v/>
      </c>
      <c r="AO461" s="207" t="str">
        <f>IFERROR(IF(ISBLANK($D461),"",VLOOKUP($N461,'TABLE CHARGE RATE'!$A$30:$K$106,7,0)),"Check")</f>
        <v/>
      </c>
      <c r="AP461" s="207" t="str">
        <f>IFERROR(IF(ISBLANK($D461),"",VLOOKUP($N461,'TABLE CHARGE RATE'!$A$30:$K$106,8,0)),"Check")</f>
        <v/>
      </c>
      <c r="AQ461" s="207" t="str">
        <f>IFERROR(IF(ISBLANK($D461),"",VLOOKUP($N461,'TABLE CHARGE RATE'!$A$30:$K$106,9,0)),"Check")</f>
        <v/>
      </c>
      <c r="AR461" s="207" t="str">
        <f>IFERROR(IF(ISBLANK($D461),"",VLOOKUP($N461,'TABLE CHARGE RATE'!$A$30:$K$106,10,0)),"Check")</f>
        <v/>
      </c>
      <c r="AS461" s="207" t="str">
        <f>IFERROR(IF(ISBLANK($D461),"",VLOOKUP($N461,'TABLE CHARGE RATE'!$A$30:$K$106,11,0)),"Check")</f>
        <v/>
      </c>
      <c r="AT461" s="207"/>
    </row>
    <row r="462" spans="1:46" x14ac:dyDescent="0.2">
      <c r="A462" s="207" t="str">
        <f t="shared" si="74"/>
        <v/>
      </c>
      <c r="B462" s="208" t="str">
        <f>IF(ISBLANK(D462),"",VLOOKUP(WEEKDAY($C462,1),INDEX!$J$2:$K$8,2,0))</f>
        <v/>
      </c>
      <c r="C462" s="209"/>
      <c r="D462" s="207"/>
      <c r="E462" s="207"/>
      <c r="F462" s="207"/>
      <c r="G462" s="207"/>
      <c r="H462" s="207"/>
      <c r="I462" s="207"/>
      <c r="J462" s="207"/>
      <c r="K462" s="207"/>
      <c r="L462" s="207"/>
      <c r="M462" s="207"/>
      <c r="N462" s="207"/>
      <c r="O462" s="207"/>
      <c r="P462" s="207"/>
      <c r="Q462" s="207"/>
      <c r="R462" s="207"/>
      <c r="S462" s="207"/>
      <c r="T462" s="207"/>
      <c r="U462" s="209"/>
      <c r="V462" s="207"/>
      <c r="W462" s="207"/>
      <c r="X462" s="209"/>
      <c r="Y462" s="209"/>
      <c r="Z462" s="207" t="str">
        <f t="shared" ca="1" si="76"/>
        <v/>
      </c>
      <c r="AA462" s="209" t="str">
        <f t="shared" si="73"/>
        <v/>
      </c>
      <c r="AB462" s="209"/>
      <c r="AC462" s="207" t="str">
        <f t="shared" ca="1" si="77"/>
        <v/>
      </c>
      <c r="AD462" s="207"/>
      <c r="AE462" s="207"/>
      <c r="AF462" s="208" t="str">
        <f>IF(ISBLANK(D462),"",VLOOKUP(F462,'SIZE CALCULATION'!$F:$G,2,0))</f>
        <v/>
      </c>
      <c r="AG462" s="207" t="str">
        <f t="shared" si="75"/>
        <v/>
      </c>
      <c r="AH462" s="207" t="str">
        <f t="shared" si="78"/>
        <v/>
      </c>
      <c r="AI462" s="210" t="str">
        <f>IF(ISBLANK(D462),"",VLOOKUP($A462,INDEX!$D$2:$F$13,3,0))</f>
        <v/>
      </c>
      <c r="AJ462" s="207" t="str">
        <f t="shared" si="79"/>
        <v/>
      </c>
      <c r="AK462" s="207"/>
      <c r="AL462" s="207"/>
      <c r="AM462" s="207" t="str">
        <f>IFERROR(IF(ISBLANK($D462),"",VLOOKUP($N462,'TABLE CHARGE RATE'!$A$30:$K$106,5,0)),"Check")</f>
        <v/>
      </c>
      <c r="AN462" s="207" t="str">
        <f>IFERROR(IF(ISBLANK($D462),"",VLOOKUP($N462,'TABLE CHARGE RATE'!$A$30:$K$106,6,0)),"Check")</f>
        <v/>
      </c>
      <c r="AO462" s="207" t="str">
        <f>IFERROR(IF(ISBLANK($D462),"",VLOOKUP($N462,'TABLE CHARGE RATE'!$A$30:$K$106,7,0)),"Check")</f>
        <v/>
      </c>
      <c r="AP462" s="207" t="str">
        <f>IFERROR(IF(ISBLANK($D462),"",VLOOKUP($N462,'TABLE CHARGE RATE'!$A$30:$K$106,8,0)),"Check")</f>
        <v/>
      </c>
      <c r="AQ462" s="207" t="str">
        <f>IFERROR(IF(ISBLANK($D462),"",VLOOKUP($N462,'TABLE CHARGE RATE'!$A$30:$K$106,9,0)),"Check")</f>
        <v/>
      </c>
      <c r="AR462" s="207" t="str">
        <f>IFERROR(IF(ISBLANK($D462),"",VLOOKUP($N462,'TABLE CHARGE RATE'!$A$30:$K$106,10,0)),"Check")</f>
        <v/>
      </c>
      <c r="AS462" s="207" t="str">
        <f>IFERROR(IF(ISBLANK($D462),"",VLOOKUP($N462,'TABLE CHARGE RATE'!$A$30:$K$106,11,0)),"Check")</f>
        <v/>
      </c>
      <c r="AT462" s="207"/>
    </row>
    <row r="463" spans="1:46" x14ac:dyDescent="0.2">
      <c r="A463" s="207" t="str">
        <f t="shared" si="74"/>
        <v/>
      </c>
      <c r="B463" s="208" t="str">
        <f>IF(ISBLANK(D463),"",VLOOKUP(WEEKDAY($C463,1),INDEX!$J$2:$K$8,2,0))</f>
        <v/>
      </c>
      <c r="C463" s="209"/>
      <c r="D463" s="207"/>
      <c r="E463" s="207"/>
      <c r="F463" s="207"/>
      <c r="G463" s="207"/>
      <c r="H463" s="207"/>
      <c r="I463" s="207"/>
      <c r="J463" s="207"/>
      <c r="K463" s="207"/>
      <c r="L463" s="207"/>
      <c r="M463" s="207"/>
      <c r="N463" s="207"/>
      <c r="O463" s="207"/>
      <c r="P463" s="207"/>
      <c r="Q463" s="207"/>
      <c r="R463" s="207"/>
      <c r="S463" s="207"/>
      <c r="T463" s="207"/>
      <c r="U463" s="209"/>
      <c r="V463" s="207"/>
      <c r="W463" s="207"/>
      <c r="X463" s="209"/>
      <c r="Y463" s="209"/>
      <c r="Z463" s="207" t="str">
        <f t="shared" ca="1" si="76"/>
        <v/>
      </c>
      <c r="AA463" s="209" t="str">
        <f t="shared" si="73"/>
        <v/>
      </c>
      <c r="AB463" s="209"/>
      <c r="AC463" s="207" t="str">
        <f t="shared" ca="1" si="77"/>
        <v/>
      </c>
      <c r="AD463" s="207"/>
      <c r="AE463" s="207"/>
      <c r="AF463" s="208" t="str">
        <f>IF(ISBLANK(D463),"",VLOOKUP(F463,'SIZE CALCULATION'!$F:$G,2,0))</f>
        <v/>
      </c>
      <c r="AG463" s="207" t="str">
        <f t="shared" si="75"/>
        <v/>
      </c>
      <c r="AH463" s="207" t="str">
        <f t="shared" si="78"/>
        <v/>
      </c>
      <c r="AI463" s="210" t="str">
        <f>IF(ISBLANK(D463),"",VLOOKUP($A463,INDEX!$D$2:$F$13,3,0))</f>
        <v/>
      </c>
      <c r="AJ463" s="207" t="str">
        <f t="shared" si="79"/>
        <v/>
      </c>
      <c r="AK463" s="207"/>
      <c r="AL463" s="207"/>
      <c r="AM463" s="207" t="str">
        <f>IFERROR(IF(ISBLANK($D463),"",VLOOKUP($N463,'TABLE CHARGE RATE'!$A$30:$K$106,5,0)),"Check")</f>
        <v/>
      </c>
      <c r="AN463" s="207" t="str">
        <f>IFERROR(IF(ISBLANK($D463),"",VLOOKUP($N463,'TABLE CHARGE RATE'!$A$30:$K$106,6,0)),"Check")</f>
        <v/>
      </c>
      <c r="AO463" s="207" t="str">
        <f>IFERROR(IF(ISBLANK($D463),"",VLOOKUP($N463,'TABLE CHARGE RATE'!$A$30:$K$106,7,0)),"Check")</f>
        <v/>
      </c>
      <c r="AP463" s="207" t="str">
        <f>IFERROR(IF(ISBLANK($D463),"",VLOOKUP($N463,'TABLE CHARGE RATE'!$A$30:$K$106,8,0)),"Check")</f>
        <v/>
      </c>
      <c r="AQ463" s="207" t="str">
        <f>IFERROR(IF(ISBLANK($D463),"",VLOOKUP($N463,'TABLE CHARGE RATE'!$A$30:$K$106,9,0)),"Check")</f>
        <v/>
      </c>
      <c r="AR463" s="207" t="str">
        <f>IFERROR(IF(ISBLANK($D463),"",VLOOKUP($N463,'TABLE CHARGE RATE'!$A$30:$K$106,10,0)),"Check")</f>
        <v/>
      </c>
      <c r="AS463" s="207" t="str">
        <f>IFERROR(IF(ISBLANK($D463),"",VLOOKUP($N463,'TABLE CHARGE RATE'!$A$30:$K$106,11,0)),"Check")</f>
        <v/>
      </c>
      <c r="AT463" s="207"/>
    </row>
    <row r="464" spans="1:46" x14ac:dyDescent="0.2">
      <c r="A464" s="207" t="str">
        <f t="shared" si="74"/>
        <v/>
      </c>
      <c r="B464" s="208" t="str">
        <f>IF(ISBLANK(D464),"",VLOOKUP(WEEKDAY($C464,1),INDEX!$J$2:$K$8,2,0))</f>
        <v/>
      </c>
      <c r="C464" s="209"/>
      <c r="D464" s="207"/>
      <c r="E464" s="207"/>
      <c r="F464" s="207"/>
      <c r="G464" s="207"/>
      <c r="H464" s="207"/>
      <c r="I464" s="207"/>
      <c r="J464" s="207"/>
      <c r="K464" s="207"/>
      <c r="L464" s="207"/>
      <c r="M464" s="207"/>
      <c r="N464" s="207"/>
      <c r="O464" s="207"/>
      <c r="P464" s="207"/>
      <c r="Q464" s="207"/>
      <c r="R464" s="207"/>
      <c r="S464" s="207"/>
      <c r="T464" s="207"/>
      <c r="U464" s="209"/>
      <c r="V464" s="207"/>
      <c r="W464" s="207"/>
      <c r="X464" s="209"/>
      <c r="Y464" s="209"/>
      <c r="Z464" s="207" t="str">
        <f t="shared" ca="1" si="76"/>
        <v/>
      </c>
      <c r="AA464" s="209" t="str">
        <f t="shared" si="73"/>
        <v/>
      </c>
      <c r="AB464" s="209"/>
      <c r="AC464" s="207" t="str">
        <f t="shared" ca="1" si="77"/>
        <v/>
      </c>
      <c r="AD464" s="207"/>
      <c r="AE464" s="207"/>
      <c r="AF464" s="208" t="str">
        <f>IF(ISBLANK(D464),"",VLOOKUP(F464,'SIZE CALCULATION'!$F:$G,2,0))</f>
        <v/>
      </c>
      <c r="AG464" s="207" t="str">
        <f t="shared" si="75"/>
        <v/>
      </c>
      <c r="AH464" s="207" t="str">
        <f t="shared" si="78"/>
        <v/>
      </c>
      <c r="AI464" s="210" t="str">
        <f>IF(ISBLANK(D464),"",VLOOKUP($A464,INDEX!$D$2:$F$13,3,0))</f>
        <v/>
      </c>
      <c r="AJ464" s="207" t="str">
        <f t="shared" si="79"/>
        <v/>
      </c>
      <c r="AK464" s="207"/>
      <c r="AL464" s="207"/>
      <c r="AM464" s="207" t="str">
        <f>IFERROR(IF(ISBLANK($D464),"",VLOOKUP($N464,'TABLE CHARGE RATE'!$A$30:$K$106,5,0)),"Check")</f>
        <v/>
      </c>
      <c r="AN464" s="207" t="str">
        <f>IFERROR(IF(ISBLANK($D464),"",VLOOKUP($N464,'TABLE CHARGE RATE'!$A$30:$K$106,6,0)),"Check")</f>
        <v/>
      </c>
      <c r="AO464" s="207" t="str">
        <f>IFERROR(IF(ISBLANK($D464),"",VLOOKUP($N464,'TABLE CHARGE RATE'!$A$30:$K$106,7,0)),"Check")</f>
        <v/>
      </c>
      <c r="AP464" s="207" t="str">
        <f>IFERROR(IF(ISBLANK($D464),"",VLOOKUP($N464,'TABLE CHARGE RATE'!$A$30:$K$106,8,0)),"Check")</f>
        <v/>
      </c>
      <c r="AQ464" s="207" t="str">
        <f>IFERROR(IF(ISBLANK($D464),"",VLOOKUP($N464,'TABLE CHARGE RATE'!$A$30:$K$106,9,0)),"Check")</f>
        <v/>
      </c>
      <c r="AR464" s="207" t="str">
        <f>IFERROR(IF(ISBLANK($D464),"",VLOOKUP($N464,'TABLE CHARGE RATE'!$A$30:$K$106,10,0)),"Check")</f>
        <v/>
      </c>
      <c r="AS464" s="207" t="str">
        <f>IFERROR(IF(ISBLANK($D464),"",VLOOKUP($N464,'TABLE CHARGE RATE'!$A$30:$K$106,11,0)),"Check")</f>
        <v/>
      </c>
      <c r="AT464" s="207"/>
    </row>
    <row r="465" spans="1:46" x14ac:dyDescent="0.2">
      <c r="A465" s="207" t="str">
        <f t="shared" si="74"/>
        <v/>
      </c>
      <c r="B465" s="208" t="str">
        <f>IF(ISBLANK(D465),"",VLOOKUP(WEEKDAY($C465,1),INDEX!$J$2:$K$8,2,0))</f>
        <v/>
      </c>
      <c r="C465" s="209"/>
      <c r="D465" s="207"/>
      <c r="E465" s="207"/>
      <c r="F465" s="207"/>
      <c r="G465" s="207"/>
      <c r="H465" s="207"/>
      <c r="I465" s="207"/>
      <c r="J465" s="207"/>
      <c r="K465" s="207"/>
      <c r="L465" s="207"/>
      <c r="M465" s="207"/>
      <c r="N465" s="207"/>
      <c r="O465" s="207"/>
      <c r="P465" s="207"/>
      <c r="Q465" s="207"/>
      <c r="R465" s="207"/>
      <c r="S465" s="207"/>
      <c r="T465" s="207"/>
      <c r="U465" s="209"/>
      <c r="V465" s="207"/>
      <c r="W465" s="207"/>
      <c r="X465" s="209"/>
      <c r="Y465" s="209"/>
      <c r="Z465" s="207" t="str">
        <f t="shared" ca="1" si="76"/>
        <v/>
      </c>
      <c r="AA465" s="209" t="str">
        <f t="shared" si="73"/>
        <v/>
      </c>
      <c r="AB465" s="209"/>
      <c r="AC465" s="207" t="str">
        <f t="shared" ca="1" si="77"/>
        <v/>
      </c>
      <c r="AD465" s="207"/>
      <c r="AE465" s="207"/>
      <c r="AF465" s="208" t="str">
        <f>IF(ISBLANK(D465),"",VLOOKUP(F465,'SIZE CALCULATION'!$F:$G,2,0))</f>
        <v/>
      </c>
      <c r="AG465" s="207" t="str">
        <f t="shared" si="75"/>
        <v/>
      </c>
      <c r="AH465" s="207" t="str">
        <f t="shared" si="78"/>
        <v/>
      </c>
      <c r="AI465" s="210" t="str">
        <f>IF(ISBLANK(D465),"",VLOOKUP($A465,INDEX!$D$2:$F$13,3,0))</f>
        <v/>
      </c>
      <c r="AJ465" s="207" t="str">
        <f t="shared" si="79"/>
        <v/>
      </c>
      <c r="AK465" s="207"/>
      <c r="AL465" s="207"/>
      <c r="AM465" s="207" t="str">
        <f>IFERROR(IF(ISBLANK($D465),"",VLOOKUP($N465,'TABLE CHARGE RATE'!$A$30:$K$106,5,0)),"Check")</f>
        <v/>
      </c>
      <c r="AN465" s="207" t="str">
        <f>IFERROR(IF(ISBLANK($D465),"",VLOOKUP($N465,'TABLE CHARGE RATE'!$A$30:$K$106,6,0)),"Check")</f>
        <v/>
      </c>
      <c r="AO465" s="207" t="str">
        <f>IFERROR(IF(ISBLANK($D465),"",VLOOKUP($N465,'TABLE CHARGE RATE'!$A$30:$K$106,7,0)),"Check")</f>
        <v/>
      </c>
      <c r="AP465" s="207" t="str">
        <f>IFERROR(IF(ISBLANK($D465),"",VLOOKUP($N465,'TABLE CHARGE RATE'!$A$30:$K$106,8,0)),"Check")</f>
        <v/>
      </c>
      <c r="AQ465" s="207" t="str">
        <f>IFERROR(IF(ISBLANK($D465),"",VLOOKUP($N465,'TABLE CHARGE RATE'!$A$30:$K$106,9,0)),"Check")</f>
        <v/>
      </c>
      <c r="AR465" s="207" t="str">
        <f>IFERROR(IF(ISBLANK($D465),"",VLOOKUP($N465,'TABLE CHARGE RATE'!$A$30:$K$106,10,0)),"Check")</f>
        <v/>
      </c>
      <c r="AS465" s="207" t="str">
        <f>IFERROR(IF(ISBLANK($D465),"",VLOOKUP($N465,'TABLE CHARGE RATE'!$A$30:$K$106,11,0)),"Check")</f>
        <v/>
      </c>
      <c r="AT465" s="207"/>
    </row>
    <row r="466" spans="1:46" x14ac:dyDescent="0.2">
      <c r="A466" s="207" t="str">
        <f t="shared" si="74"/>
        <v/>
      </c>
      <c r="B466" s="208" t="str">
        <f>IF(ISBLANK(D466),"",VLOOKUP(WEEKDAY($C466,1),INDEX!$J$2:$K$8,2,0))</f>
        <v/>
      </c>
      <c r="C466" s="209"/>
      <c r="D466" s="207"/>
      <c r="E466" s="207"/>
      <c r="F466" s="207"/>
      <c r="G466" s="207"/>
      <c r="H466" s="207"/>
      <c r="I466" s="207"/>
      <c r="J466" s="207"/>
      <c r="K466" s="207"/>
      <c r="L466" s="207"/>
      <c r="M466" s="207"/>
      <c r="N466" s="207"/>
      <c r="O466" s="207"/>
      <c r="P466" s="207"/>
      <c r="Q466" s="207"/>
      <c r="R466" s="207"/>
      <c r="S466" s="207"/>
      <c r="T466" s="207"/>
      <c r="U466" s="209"/>
      <c r="V466" s="207"/>
      <c r="W466" s="207"/>
      <c r="X466" s="209"/>
      <c r="Y466" s="209"/>
      <c r="Z466" s="207" t="str">
        <f t="shared" ca="1" si="76"/>
        <v/>
      </c>
      <c r="AA466" s="209" t="str">
        <f t="shared" si="73"/>
        <v/>
      </c>
      <c r="AB466" s="209"/>
      <c r="AC466" s="207" t="str">
        <f t="shared" ca="1" si="77"/>
        <v/>
      </c>
      <c r="AD466" s="207"/>
      <c r="AE466" s="207"/>
      <c r="AF466" s="208" t="str">
        <f>IF(ISBLANK(D466),"",VLOOKUP(F466,'SIZE CALCULATION'!$F:$G,2,0))</f>
        <v/>
      </c>
      <c r="AG466" s="207" t="str">
        <f t="shared" si="75"/>
        <v/>
      </c>
      <c r="AH466" s="207" t="str">
        <f t="shared" si="78"/>
        <v/>
      </c>
      <c r="AI466" s="210" t="str">
        <f>IF(ISBLANK(D466),"",VLOOKUP($A466,INDEX!$D$2:$F$13,3,0))</f>
        <v/>
      </c>
      <c r="AJ466" s="207" t="str">
        <f t="shared" si="79"/>
        <v/>
      </c>
      <c r="AK466" s="207"/>
      <c r="AL466" s="207"/>
      <c r="AM466" s="207" t="str">
        <f>IFERROR(IF(ISBLANK($D466),"",VLOOKUP($N466,'TABLE CHARGE RATE'!$A$30:$K$106,5,0)),"Check")</f>
        <v/>
      </c>
      <c r="AN466" s="207" t="str">
        <f>IFERROR(IF(ISBLANK($D466),"",VLOOKUP($N466,'TABLE CHARGE RATE'!$A$30:$K$106,6,0)),"Check")</f>
        <v/>
      </c>
      <c r="AO466" s="207" t="str">
        <f>IFERROR(IF(ISBLANK($D466),"",VLOOKUP($N466,'TABLE CHARGE RATE'!$A$30:$K$106,7,0)),"Check")</f>
        <v/>
      </c>
      <c r="AP466" s="207" t="str">
        <f>IFERROR(IF(ISBLANK($D466),"",VLOOKUP($N466,'TABLE CHARGE RATE'!$A$30:$K$106,8,0)),"Check")</f>
        <v/>
      </c>
      <c r="AQ466" s="207" t="str">
        <f>IFERROR(IF(ISBLANK($D466),"",VLOOKUP($N466,'TABLE CHARGE RATE'!$A$30:$K$106,9,0)),"Check")</f>
        <v/>
      </c>
      <c r="AR466" s="207" t="str">
        <f>IFERROR(IF(ISBLANK($D466),"",VLOOKUP($N466,'TABLE CHARGE RATE'!$A$30:$K$106,10,0)),"Check")</f>
        <v/>
      </c>
      <c r="AS466" s="207" t="str">
        <f>IFERROR(IF(ISBLANK($D466),"",VLOOKUP($N466,'TABLE CHARGE RATE'!$A$30:$K$106,11,0)),"Check")</f>
        <v/>
      </c>
      <c r="AT466" s="207"/>
    </row>
    <row r="467" spans="1:46" x14ac:dyDescent="0.2">
      <c r="A467" s="207" t="str">
        <f t="shared" si="74"/>
        <v/>
      </c>
      <c r="B467" s="208" t="str">
        <f>IF(ISBLANK(D467),"",VLOOKUP(WEEKDAY($C467,1),INDEX!$J$2:$K$8,2,0))</f>
        <v/>
      </c>
      <c r="C467" s="209"/>
      <c r="D467" s="207"/>
      <c r="E467" s="207"/>
      <c r="F467" s="207"/>
      <c r="G467" s="207"/>
      <c r="H467" s="207"/>
      <c r="I467" s="207"/>
      <c r="J467" s="207"/>
      <c r="K467" s="207"/>
      <c r="L467" s="207"/>
      <c r="M467" s="207"/>
      <c r="N467" s="207"/>
      <c r="O467" s="207"/>
      <c r="P467" s="207"/>
      <c r="Q467" s="207"/>
      <c r="R467" s="207"/>
      <c r="S467" s="207"/>
      <c r="T467" s="207"/>
      <c r="U467" s="209"/>
      <c r="V467" s="207"/>
      <c r="W467" s="207"/>
      <c r="X467" s="209"/>
      <c r="Y467" s="209"/>
      <c r="Z467" s="207" t="str">
        <f t="shared" ca="1" si="76"/>
        <v/>
      </c>
      <c r="AA467" s="209" t="str">
        <f t="shared" si="73"/>
        <v/>
      </c>
      <c r="AB467" s="209"/>
      <c r="AC467" s="207" t="str">
        <f t="shared" ca="1" si="77"/>
        <v/>
      </c>
      <c r="AD467" s="207"/>
      <c r="AE467" s="207"/>
      <c r="AF467" s="208" t="str">
        <f>IF(ISBLANK(D467),"",VLOOKUP(F467,'SIZE CALCULATION'!$F:$G,2,0))</f>
        <v/>
      </c>
      <c r="AG467" s="207" t="str">
        <f t="shared" si="75"/>
        <v/>
      </c>
      <c r="AH467" s="207" t="str">
        <f t="shared" si="78"/>
        <v/>
      </c>
      <c r="AI467" s="210" t="str">
        <f>IF(ISBLANK(D467),"",VLOOKUP($A467,INDEX!$D$2:$F$13,3,0))</f>
        <v/>
      </c>
      <c r="AJ467" s="207" t="str">
        <f t="shared" si="79"/>
        <v/>
      </c>
      <c r="AK467" s="207"/>
      <c r="AL467" s="207"/>
      <c r="AM467" s="207" t="str">
        <f>IFERROR(IF(ISBLANK($D467),"",VLOOKUP($N467,'TABLE CHARGE RATE'!$A$30:$K$106,5,0)),"Check")</f>
        <v/>
      </c>
      <c r="AN467" s="207" t="str">
        <f>IFERROR(IF(ISBLANK($D467),"",VLOOKUP($N467,'TABLE CHARGE RATE'!$A$30:$K$106,6,0)),"Check")</f>
        <v/>
      </c>
      <c r="AO467" s="207" t="str">
        <f>IFERROR(IF(ISBLANK($D467),"",VLOOKUP($N467,'TABLE CHARGE RATE'!$A$30:$K$106,7,0)),"Check")</f>
        <v/>
      </c>
      <c r="AP467" s="207" t="str">
        <f>IFERROR(IF(ISBLANK($D467),"",VLOOKUP($N467,'TABLE CHARGE RATE'!$A$30:$K$106,8,0)),"Check")</f>
        <v/>
      </c>
      <c r="AQ467" s="207" t="str">
        <f>IFERROR(IF(ISBLANK($D467),"",VLOOKUP($N467,'TABLE CHARGE RATE'!$A$30:$K$106,9,0)),"Check")</f>
        <v/>
      </c>
      <c r="AR467" s="207" t="str">
        <f>IFERROR(IF(ISBLANK($D467),"",VLOOKUP($N467,'TABLE CHARGE RATE'!$A$30:$K$106,10,0)),"Check")</f>
        <v/>
      </c>
      <c r="AS467" s="207" t="str">
        <f>IFERROR(IF(ISBLANK($D467),"",VLOOKUP($N467,'TABLE CHARGE RATE'!$A$30:$K$106,11,0)),"Check")</f>
        <v/>
      </c>
      <c r="AT467" s="207"/>
    </row>
    <row r="468" spans="1:46" x14ac:dyDescent="0.2">
      <c r="A468" s="207" t="str">
        <f t="shared" si="74"/>
        <v/>
      </c>
      <c r="B468" s="208" t="str">
        <f>IF(ISBLANK(D468),"",VLOOKUP(WEEKDAY($C468,1),INDEX!$J$2:$K$8,2,0))</f>
        <v/>
      </c>
      <c r="C468" s="209"/>
      <c r="D468" s="207"/>
      <c r="E468" s="207"/>
      <c r="F468" s="207"/>
      <c r="G468" s="207"/>
      <c r="H468" s="207"/>
      <c r="I468" s="207"/>
      <c r="J468" s="207"/>
      <c r="K468" s="207"/>
      <c r="L468" s="207"/>
      <c r="M468" s="207"/>
      <c r="N468" s="207"/>
      <c r="O468" s="207"/>
      <c r="P468" s="207"/>
      <c r="Q468" s="207"/>
      <c r="R468" s="207"/>
      <c r="S468" s="207"/>
      <c r="T468" s="207"/>
      <c r="U468" s="209"/>
      <c r="V468" s="207"/>
      <c r="W468" s="207"/>
      <c r="X468" s="209"/>
      <c r="Y468" s="209"/>
      <c r="Z468" s="207" t="str">
        <f t="shared" ca="1" si="76"/>
        <v/>
      </c>
      <c r="AA468" s="209" t="str">
        <f t="shared" si="73"/>
        <v/>
      </c>
      <c r="AB468" s="209"/>
      <c r="AC468" s="207" t="str">
        <f t="shared" ca="1" si="77"/>
        <v/>
      </c>
      <c r="AD468" s="207"/>
      <c r="AE468" s="207"/>
      <c r="AF468" s="208" t="str">
        <f>IF(ISBLANK(D468),"",VLOOKUP(F468,'SIZE CALCULATION'!$F:$G,2,0))</f>
        <v/>
      </c>
      <c r="AG468" s="207" t="str">
        <f t="shared" si="75"/>
        <v/>
      </c>
      <c r="AH468" s="207" t="str">
        <f t="shared" si="78"/>
        <v/>
      </c>
      <c r="AI468" s="210" t="str">
        <f>IF(ISBLANK(D468),"",VLOOKUP($A468,INDEX!$D$2:$F$13,3,0))</f>
        <v/>
      </c>
      <c r="AJ468" s="207" t="str">
        <f t="shared" si="79"/>
        <v/>
      </c>
      <c r="AK468" s="207"/>
      <c r="AL468" s="207"/>
      <c r="AM468" s="207" t="str">
        <f>IFERROR(IF(ISBLANK($D468),"",VLOOKUP($N468,'TABLE CHARGE RATE'!$A$30:$K$106,5,0)),"Check")</f>
        <v/>
      </c>
      <c r="AN468" s="207" t="str">
        <f>IFERROR(IF(ISBLANK($D468),"",VLOOKUP($N468,'TABLE CHARGE RATE'!$A$30:$K$106,6,0)),"Check")</f>
        <v/>
      </c>
      <c r="AO468" s="207" t="str">
        <f>IFERROR(IF(ISBLANK($D468),"",VLOOKUP($N468,'TABLE CHARGE RATE'!$A$30:$K$106,7,0)),"Check")</f>
        <v/>
      </c>
      <c r="AP468" s="207" t="str">
        <f>IFERROR(IF(ISBLANK($D468),"",VLOOKUP($N468,'TABLE CHARGE RATE'!$A$30:$K$106,8,0)),"Check")</f>
        <v/>
      </c>
      <c r="AQ468" s="207" t="str">
        <f>IFERROR(IF(ISBLANK($D468),"",VLOOKUP($N468,'TABLE CHARGE RATE'!$A$30:$K$106,9,0)),"Check")</f>
        <v/>
      </c>
      <c r="AR468" s="207" t="str">
        <f>IFERROR(IF(ISBLANK($D468),"",VLOOKUP($N468,'TABLE CHARGE RATE'!$A$30:$K$106,10,0)),"Check")</f>
        <v/>
      </c>
      <c r="AS468" s="207" t="str">
        <f>IFERROR(IF(ISBLANK($D468),"",VLOOKUP($N468,'TABLE CHARGE RATE'!$A$30:$K$106,11,0)),"Check")</f>
        <v/>
      </c>
      <c r="AT468" s="207"/>
    </row>
    <row r="469" spans="1:46" x14ac:dyDescent="0.2">
      <c r="A469" s="207" t="str">
        <f t="shared" si="74"/>
        <v/>
      </c>
      <c r="B469" s="208" t="str">
        <f>IF(ISBLANK(D469),"",VLOOKUP(WEEKDAY($C469,1),INDEX!$J$2:$K$8,2,0))</f>
        <v/>
      </c>
      <c r="C469" s="209"/>
      <c r="D469" s="207"/>
      <c r="E469" s="207"/>
      <c r="F469" s="207"/>
      <c r="G469" s="207"/>
      <c r="H469" s="207"/>
      <c r="I469" s="207"/>
      <c r="J469" s="207"/>
      <c r="K469" s="207"/>
      <c r="L469" s="207"/>
      <c r="M469" s="207"/>
      <c r="N469" s="207"/>
      <c r="O469" s="207"/>
      <c r="P469" s="207"/>
      <c r="Q469" s="207"/>
      <c r="R469" s="207"/>
      <c r="S469" s="207"/>
      <c r="T469" s="207"/>
      <c r="U469" s="209"/>
      <c r="V469" s="207"/>
      <c r="W469" s="207"/>
      <c r="X469" s="209"/>
      <c r="Y469" s="209"/>
      <c r="Z469" s="207" t="str">
        <f t="shared" ca="1" si="76"/>
        <v/>
      </c>
      <c r="AA469" s="209" t="str">
        <f t="shared" si="73"/>
        <v/>
      </c>
      <c r="AB469" s="209"/>
      <c r="AC469" s="207" t="str">
        <f t="shared" ca="1" si="77"/>
        <v/>
      </c>
      <c r="AD469" s="207"/>
      <c r="AE469" s="207"/>
      <c r="AF469" s="208" t="str">
        <f>IF(ISBLANK(D469),"",VLOOKUP(F469,'SIZE CALCULATION'!$F:$G,2,0))</f>
        <v/>
      </c>
      <c r="AG469" s="207" t="str">
        <f t="shared" si="75"/>
        <v/>
      </c>
      <c r="AH469" s="207" t="str">
        <f t="shared" si="78"/>
        <v/>
      </c>
      <c r="AI469" s="210" t="str">
        <f>IF(ISBLANK(D469),"",VLOOKUP($A469,INDEX!$D$2:$F$13,3,0))</f>
        <v/>
      </c>
      <c r="AJ469" s="207" t="str">
        <f t="shared" si="79"/>
        <v/>
      </c>
      <c r="AK469" s="207"/>
      <c r="AL469" s="207"/>
      <c r="AM469" s="207" t="str">
        <f>IFERROR(IF(ISBLANK($D469),"",VLOOKUP($N469,'TABLE CHARGE RATE'!$A$30:$K$106,5,0)),"Check")</f>
        <v/>
      </c>
      <c r="AN469" s="207" t="str">
        <f>IFERROR(IF(ISBLANK($D469),"",VLOOKUP($N469,'TABLE CHARGE RATE'!$A$30:$K$106,6,0)),"Check")</f>
        <v/>
      </c>
      <c r="AO469" s="207" t="str">
        <f>IFERROR(IF(ISBLANK($D469),"",VLOOKUP($N469,'TABLE CHARGE RATE'!$A$30:$K$106,7,0)),"Check")</f>
        <v/>
      </c>
      <c r="AP469" s="207" t="str">
        <f>IFERROR(IF(ISBLANK($D469),"",VLOOKUP($N469,'TABLE CHARGE RATE'!$A$30:$K$106,8,0)),"Check")</f>
        <v/>
      </c>
      <c r="AQ469" s="207" t="str">
        <f>IFERROR(IF(ISBLANK($D469),"",VLOOKUP($N469,'TABLE CHARGE RATE'!$A$30:$K$106,9,0)),"Check")</f>
        <v/>
      </c>
      <c r="AR469" s="207" t="str">
        <f>IFERROR(IF(ISBLANK($D469),"",VLOOKUP($N469,'TABLE CHARGE RATE'!$A$30:$K$106,10,0)),"Check")</f>
        <v/>
      </c>
      <c r="AS469" s="207" t="str">
        <f>IFERROR(IF(ISBLANK($D469),"",VLOOKUP($N469,'TABLE CHARGE RATE'!$A$30:$K$106,11,0)),"Check")</f>
        <v/>
      </c>
      <c r="AT469" s="207"/>
    </row>
    <row r="470" spans="1:46" x14ac:dyDescent="0.2">
      <c r="A470" s="207" t="str">
        <f t="shared" si="74"/>
        <v/>
      </c>
      <c r="B470" s="208" t="str">
        <f>IF(ISBLANK(D470),"",VLOOKUP(WEEKDAY($C470,1),INDEX!$J$2:$K$8,2,0))</f>
        <v/>
      </c>
      <c r="C470" s="209"/>
      <c r="D470" s="207"/>
      <c r="E470" s="207"/>
      <c r="F470" s="207"/>
      <c r="G470" s="207"/>
      <c r="H470" s="207"/>
      <c r="I470" s="207"/>
      <c r="J470" s="207"/>
      <c r="K470" s="207"/>
      <c r="L470" s="207"/>
      <c r="M470" s="207"/>
      <c r="N470" s="207"/>
      <c r="O470" s="207"/>
      <c r="P470" s="207"/>
      <c r="Q470" s="207"/>
      <c r="R470" s="207"/>
      <c r="S470" s="207"/>
      <c r="T470" s="207"/>
      <c r="U470" s="209"/>
      <c r="V470" s="207"/>
      <c r="W470" s="207"/>
      <c r="X470" s="209"/>
      <c r="Y470" s="209"/>
      <c r="Z470" s="207" t="str">
        <f t="shared" ca="1" si="76"/>
        <v/>
      </c>
      <c r="AA470" s="209" t="str">
        <f t="shared" si="73"/>
        <v/>
      </c>
      <c r="AB470" s="209"/>
      <c r="AC470" s="207" t="str">
        <f t="shared" ca="1" si="77"/>
        <v/>
      </c>
      <c r="AD470" s="207"/>
      <c r="AE470" s="207"/>
      <c r="AF470" s="208" t="str">
        <f>IF(ISBLANK(D470),"",VLOOKUP(F470,'SIZE CALCULATION'!$F:$G,2,0))</f>
        <v/>
      </c>
      <c r="AG470" s="207" t="str">
        <f t="shared" si="75"/>
        <v/>
      </c>
      <c r="AH470" s="207" t="str">
        <f t="shared" si="78"/>
        <v/>
      </c>
      <c r="AI470" s="210" t="str">
        <f>IF(ISBLANK(D470),"",VLOOKUP($A470,INDEX!$D$2:$F$13,3,0))</f>
        <v/>
      </c>
      <c r="AJ470" s="207" t="str">
        <f t="shared" si="79"/>
        <v/>
      </c>
      <c r="AK470" s="207"/>
      <c r="AL470" s="207"/>
      <c r="AM470" s="207" t="str">
        <f>IFERROR(IF(ISBLANK($D470),"",VLOOKUP($N470,'TABLE CHARGE RATE'!$A$30:$K$106,5,0)),"Check")</f>
        <v/>
      </c>
      <c r="AN470" s="207" t="str">
        <f>IFERROR(IF(ISBLANK($D470),"",VLOOKUP($N470,'TABLE CHARGE RATE'!$A$30:$K$106,6,0)),"Check")</f>
        <v/>
      </c>
      <c r="AO470" s="207" t="str">
        <f>IFERROR(IF(ISBLANK($D470),"",VLOOKUP($N470,'TABLE CHARGE RATE'!$A$30:$K$106,7,0)),"Check")</f>
        <v/>
      </c>
      <c r="AP470" s="207" t="str">
        <f>IFERROR(IF(ISBLANK($D470),"",VLOOKUP($N470,'TABLE CHARGE RATE'!$A$30:$K$106,8,0)),"Check")</f>
        <v/>
      </c>
      <c r="AQ470" s="207" t="str">
        <f>IFERROR(IF(ISBLANK($D470),"",VLOOKUP($N470,'TABLE CHARGE RATE'!$A$30:$K$106,9,0)),"Check")</f>
        <v/>
      </c>
      <c r="AR470" s="207" t="str">
        <f>IFERROR(IF(ISBLANK($D470),"",VLOOKUP($N470,'TABLE CHARGE RATE'!$A$30:$K$106,10,0)),"Check")</f>
        <v/>
      </c>
      <c r="AS470" s="207" t="str">
        <f>IFERROR(IF(ISBLANK($D470),"",VLOOKUP($N470,'TABLE CHARGE RATE'!$A$30:$K$106,11,0)),"Check")</f>
        <v/>
      </c>
      <c r="AT470" s="207"/>
    </row>
    <row r="471" spans="1:46" x14ac:dyDescent="0.2">
      <c r="A471" s="207" t="str">
        <f t="shared" si="74"/>
        <v/>
      </c>
      <c r="B471" s="208" t="str">
        <f>IF(ISBLANK(D471),"",VLOOKUP(WEEKDAY($C471,1),INDEX!$J$2:$K$8,2,0))</f>
        <v/>
      </c>
      <c r="C471" s="209"/>
      <c r="D471" s="207"/>
      <c r="E471" s="207"/>
      <c r="F471" s="207"/>
      <c r="G471" s="207"/>
      <c r="H471" s="207"/>
      <c r="I471" s="207"/>
      <c r="J471" s="207"/>
      <c r="K471" s="207"/>
      <c r="L471" s="207"/>
      <c r="M471" s="207"/>
      <c r="N471" s="207"/>
      <c r="O471" s="207"/>
      <c r="P471" s="207"/>
      <c r="Q471" s="207"/>
      <c r="R471" s="207"/>
      <c r="S471" s="207"/>
      <c r="T471" s="207"/>
      <c r="U471" s="209"/>
      <c r="V471" s="207"/>
      <c r="W471" s="207"/>
      <c r="X471" s="209"/>
      <c r="Y471" s="209"/>
      <c r="Z471" s="207" t="str">
        <f t="shared" ca="1" si="76"/>
        <v/>
      </c>
      <c r="AA471" s="209" t="str">
        <f t="shared" si="73"/>
        <v/>
      </c>
      <c r="AB471" s="209"/>
      <c r="AC471" s="207" t="str">
        <f t="shared" ca="1" si="77"/>
        <v/>
      </c>
      <c r="AD471" s="207"/>
      <c r="AE471" s="207"/>
      <c r="AF471" s="208" t="str">
        <f>IF(ISBLANK(D471),"",VLOOKUP(F471,'SIZE CALCULATION'!$F:$G,2,0))</f>
        <v/>
      </c>
      <c r="AG471" s="207" t="str">
        <f t="shared" si="75"/>
        <v/>
      </c>
      <c r="AH471" s="207" t="str">
        <f t="shared" si="78"/>
        <v/>
      </c>
      <c r="AI471" s="210" t="str">
        <f>IF(ISBLANK(D471),"",VLOOKUP($A471,INDEX!$D$2:$F$13,3,0))</f>
        <v/>
      </c>
      <c r="AJ471" s="207" t="str">
        <f t="shared" si="79"/>
        <v/>
      </c>
      <c r="AK471" s="207"/>
      <c r="AL471" s="207"/>
      <c r="AM471" s="207" t="str">
        <f>IFERROR(IF(ISBLANK($D471),"",VLOOKUP($N471,'TABLE CHARGE RATE'!$A$30:$K$106,5,0)),"Check")</f>
        <v/>
      </c>
      <c r="AN471" s="207" t="str">
        <f>IFERROR(IF(ISBLANK($D471),"",VLOOKUP($N471,'TABLE CHARGE RATE'!$A$30:$K$106,6,0)),"Check")</f>
        <v/>
      </c>
      <c r="AO471" s="207" t="str">
        <f>IFERROR(IF(ISBLANK($D471),"",VLOOKUP($N471,'TABLE CHARGE RATE'!$A$30:$K$106,7,0)),"Check")</f>
        <v/>
      </c>
      <c r="AP471" s="207" t="str">
        <f>IFERROR(IF(ISBLANK($D471),"",VLOOKUP($N471,'TABLE CHARGE RATE'!$A$30:$K$106,8,0)),"Check")</f>
        <v/>
      </c>
      <c r="AQ471" s="207" t="str">
        <f>IFERROR(IF(ISBLANK($D471),"",VLOOKUP($N471,'TABLE CHARGE RATE'!$A$30:$K$106,9,0)),"Check")</f>
        <v/>
      </c>
      <c r="AR471" s="207" t="str">
        <f>IFERROR(IF(ISBLANK($D471),"",VLOOKUP($N471,'TABLE CHARGE RATE'!$A$30:$K$106,10,0)),"Check")</f>
        <v/>
      </c>
      <c r="AS471" s="207" t="str">
        <f>IFERROR(IF(ISBLANK($D471),"",VLOOKUP($N471,'TABLE CHARGE RATE'!$A$30:$K$106,11,0)),"Check")</f>
        <v/>
      </c>
      <c r="AT471" s="207"/>
    </row>
    <row r="472" spans="1:46" x14ac:dyDescent="0.2">
      <c r="A472" s="207" t="str">
        <f t="shared" si="74"/>
        <v/>
      </c>
      <c r="B472" s="208" t="str">
        <f>IF(ISBLANK(D472),"",VLOOKUP(WEEKDAY($C472,1),INDEX!$J$2:$K$8,2,0))</f>
        <v/>
      </c>
      <c r="C472" s="209"/>
      <c r="D472" s="207"/>
      <c r="E472" s="207"/>
      <c r="F472" s="207"/>
      <c r="G472" s="207"/>
      <c r="H472" s="207"/>
      <c r="I472" s="207"/>
      <c r="J472" s="207"/>
      <c r="K472" s="207"/>
      <c r="L472" s="207"/>
      <c r="M472" s="207"/>
      <c r="N472" s="207"/>
      <c r="O472" s="207"/>
      <c r="P472" s="207"/>
      <c r="Q472" s="207"/>
      <c r="R472" s="207"/>
      <c r="S472" s="207"/>
      <c r="T472" s="207"/>
      <c r="U472" s="209"/>
      <c r="V472" s="207"/>
      <c r="W472" s="207"/>
      <c r="X472" s="209"/>
      <c r="Y472" s="209"/>
      <c r="Z472" s="207" t="str">
        <f t="shared" ca="1" si="76"/>
        <v/>
      </c>
      <c r="AA472" s="209" t="str">
        <f t="shared" si="73"/>
        <v/>
      </c>
      <c r="AB472" s="209"/>
      <c r="AC472" s="207" t="str">
        <f t="shared" ca="1" si="77"/>
        <v/>
      </c>
      <c r="AD472" s="207"/>
      <c r="AE472" s="207"/>
      <c r="AF472" s="208" t="str">
        <f>IF(ISBLANK(D472),"",VLOOKUP(F472,'SIZE CALCULATION'!$F:$G,2,0))</f>
        <v/>
      </c>
      <c r="AG472" s="207" t="str">
        <f t="shared" si="75"/>
        <v/>
      </c>
      <c r="AH472" s="207" t="str">
        <f t="shared" si="78"/>
        <v/>
      </c>
      <c r="AI472" s="210" t="str">
        <f>IF(ISBLANK(D472),"",VLOOKUP($A472,INDEX!$D$2:$F$13,3,0))</f>
        <v/>
      </c>
      <c r="AJ472" s="207" t="str">
        <f t="shared" si="79"/>
        <v/>
      </c>
      <c r="AK472" s="207"/>
      <c r="AL472" s="207"/>
      <c r="AM472" s="207" t="str">
        <f>IFERROR(IF(ISBLANK($D472),"",VLOOKUP($N472,'TABLE CHARGE RATE'!$A$30:$K$106,5,0)),"Check")</f>
        <v/>
      </c>
      <c r="AN472" s="207" t="str">
        <f>IFERROR(IF(ISBLANK($D472),"",VLOOKUP($N472,'TABLE CHARGE RATE'!$A$30:$K$106,6,0)),"Check")</f>
        <v/>
      </c>
      <c r="AO472" s="207" t="str">
        <f>IFERROR(IF(ISBLANK($D472),"",VLOOKUP($N472,'TABLE CHARGE RATE'!$A$30:$K$106,7,0)),"Check")</f>
        <v/>
      </c>
      <c r="AP472" s="207" t="str">
        <f>IFERROR(IF(ISBLANK($D472),"",VLOOKUP($N472,'TABLE CHARGE RATE'!$A$30:$K$106,8,0)),"Check")</f>
        <v/>
      </c>
      <c r="AQ472" s="207" t="str">
        <f>IFERROR(IF(ISBLANK($D472),"",VLOOKUP($N472,'TABLE CHARGE RATE'!$A$30:$K$106,9,0)),"Check")</f>
        <v/>
      </c>
      <c r="AR472" s="207" t="str">
        <f>IFERROR(IF(ISBLANK($D472),"",VLOOKUP($N472,'TABLE CHARGE RATE'!$A$30:$K$106,10,0)),"Check")</f>
        <v/>
      </c>
      <c r="AS472" s="207" t="str">
        <f>IFERROR(IF(ISBLANK($D472),"",VLOOKUP($N472,'TABLE CHARGE RATE'!$A$30:$K$106,11,0)),"Check")</f>
        <v/>
      </c>
      <c r="AT472" s="207"/>
    </row>
    <row r="473" spans="1:46" x14ac:dyDescent="0.2">
      <c r="A473" s="207" t="str">
        <f t="shared" si="74"/>
        <v/>
      </c>
      <c r="B473" s="208" t="str">
        <f>IF(ISBLANK(D473),"",VLOOKUP(WEEKDAY($C473,1),INDEX!$J$2:$K$8,2,0))</f>
        <v/>
      </c>
      <c r="C473" s="209"/>
      <c r="D473" s="207"/>
      <c r="E473" s="207"/>
      <c r="F473" s="207"/>
      <c r="G473" s="207"/>
      <c r="H473" s="207"/>
      <c r="I473" s="207"/>
      <c r="J473" s="207"/>
      <c r="K473" s="207"/>
      <c r="L473" s="207"/>
      <c r="M473" s="207"/>
      <c r="N473" s="207"/>
      <c r="O473" s="207"/>
      <c r="P473" s="207"/>
      <c r="Q473" s="207"/>
      <c r="R473" s="207"/>
      <c r="S473" s="207"/>
      <c r="T473" s="207"/>
      <c r="U473" s="209"/>
      <c r="V473" s="207"/>
      <c r="W473" s="207"/>
      <c r="X473" s="209"/>
      <c r="Y473" s="209"/>
      <c r="Z473" s="207" t="str">
        <f t="shared" ca="1" si="76"/>
        <v/>
      </c>
      <c r="AA473" s="209" t="str">
        <f t="shared" si="73"/>
        <v/>
      </c>
      <c r="AB473" s="209"/>
      <c r="AC473" s="207" t="str">
        <f t="shared" ca="1" si="77"/>
        <v/>
      </c>
      <c r="AD473" s="207"/>
      <c r="AE473" s="207"/>
      <c r="AF473" s="208" t="str">
        <f>IF(ISBLANK(D473),"",VLOOKUP(F473,'SIZE CALCULATION'!$F:$G,2,0))</f>
        <v/>
      </c>
      <c r="AG473" s="207" t="str">
        <f t="shared" si="75"/>
        <v/>
      </c>
      <c r="AH473" s="207" t="str">
        <f t="shared" si="78"/>
        <v/>
      </c>
      <c r="AI473" s="210" t="str">
        <f>IF(ISBLANK(D473),"",VLOOKUP($A473,INDEX!$D$2:$F$13,3,0))</f>
        <v/>
      </c>
      <c r="AJ473" s="207" t="str">
        <f t="shared" si="79"/>
        <v/>
      </c>
      <c r="AK473" s="207"/>
      <c r="AL473" s="207"/>
      <c r="AM473" s="207" t="str">
        <f>IFERROR(IF(ISBLANK($D473),"",VLOOKUP($N473,'TABLE CHARGE RATE'!$A$30:$K$106,5,0)),"Check")</f>
        <v/>
      </c>
      <c r="AN473" s="207" t="str">
        <f>IFERROR(IF(ISBLANK($D473),"",VLOOKUP($N473,'TABLE CHARGE RATE'!$A$30:$K$106,6,0)),"Check")</f>
        <v/>
      </c>
      <c r="AO473" s="207" t="str">
        <f>IFERROR(IF(ISBLANK($D473),"",VLOOKUP($N473,'TABLE CHARGE RATE'!$A$30:$K$106,7,0)),"Check")</f>
        <v/>
      </c>
      <c r="AP473" s="207" t="str">
        <f>IFERROR(IF(ISBLANK($D473),"",VLOOKUP($N473,'TABLE CHARGE RATE'!$A$30:$K$106,8,0)),"Check")</f>
        <v/>
      </c>
      <c r="AQ473" s="207" t="str">
        <f>IFERROR(IF(ISBLANK($D473),"",VLOOKUP($N473,'TABLE CHARGE RATE'!$A$30:$K$106,9,0)),"Check")</f>
        <v/>
      </c>
      <c r="AR473" s="207" t="str">
        <f>IFERROR(IF(ISBLANK($D473),"",VLOOKUP($N473,'TABLE CHARGE RATE'!$A$30:$K$106,10,0)),"Check")</f>
        <v/>
      </c>
      <c r="AS473" s="207" t="str">
        <f>IFERROR(IF(ISBLANK($D473),"",VLOOKUP($N473,'TABLE CHARGE RATE'!$A$30:$K$106,11,0)),"Check")</f>
        <v/>
      </c>
      <c r="AT473" s="207"/>
    </row>
    <row r="474" spans="1:46" x14ac:dyDescent="0.2">
      <c r="A474" s="207" t="str">
        <f t="shared" si="74"/>
        <v/>
      </c>
      <c r="B474" s="208" t="str">
        <f>IF(ISBLANK(D474),"",VLOOKUP(WEEKDAY($C474,1),INDEX!$J$2:$K$8,2,0))</f>
        <v/>
      </c>
      <c r="C474" s="209"/>
      <c r="D474" s="207"/>
      <c r="E474" s="207"/>
      <c r="F474" s="207"/>
      <c r="G474" s="207"/>
      <c r="H474" s="207"/>
      <c r="I474" s="207"/>
      <c r="J474" s="207"/>
      <c r="K474" s="207"/>
      <c r="L474" s="207"/>
      <c r="M474" s="207"/>
      <c r="N474" s="207"/>
      <c r="O474" s="207"/>
      <c r="P474" s="207"/>
      <c r="Q474" s="207"/>
      <c r="R474" s="207"/>
      <c r="S474" s="207"/>
      <c r="T474" s="207"/>
      <c r="U474" s="209"/>
      <c r="V474" s="207"/>
      <c r="W474" s="207"/>
      <c r="X474" s="209"/>
      <c r="Y474" s="209"/>
      <c r="Z474" s="207" t="str">
        <f t="shared" ca="1" si="76"/>
        <v/>
      </c>
      <c r="AA474" s="209" t="str">
        <f t="shared" si="73"/>
        <v/>
      </c>
      <c r="AB474" s="209"/>
      <c r="AC474" s="207" t="str">
        <f t="shared" ca="1" si="77"/>
        <v/>
      </c>
      <c r="AD474" s="207"/>
      <c r="AE474" s="207"/>
      <c r="AF474" s="208" t="str">
        <f>IF(ISBLANK(D474),"",VLOOKUP(F474,'SIZE CALCULATION'!$F:$G,2,0))</f>
        <v/>
      </c>
      <c r="AG474" s="207" t="str">
        <f t="shared" si="75"/>
        <v/>
      </c>
      <c r="AH474" s="207" t="str">
        <f t="shared" si="78"/>
        <v/>
      </c>
      <c r="AI474" s="210" t="str">
        <f>IF(ISBLANK(D474),"",VLOOKUP($A474,INDEX!$D$2:$F$13,3,0))</f>
        <v/>
      </c>
      <c r="AJ474" s="207" t="str">
        <f t="shared" si="79"/>
        <v/>
      </c>
      <c r="AK474" s="207"/>
      <c r="AL474" s="207"/>
      <c r="AM474" s="207" t="str">
        <f>IFERROR(IF(ISBLANK($D474),"",VLOOKUP($N474,'TABLE CHARGE RATE'!$A$30:$K$106,5,0)),"Check")</f>
        <v/>
      </c>
      <c r="AN474" s="207" t="str">
        <f>IFERROR(IF(ISBLANK($D474),"",VLOOKUP($N474,'TABLE CHARGE RATE'!$A$30:$K$106,6,0)),"Check")</f>
        <v/>
      </c>
      <c r="AO474" s="207" t="str">
        <f>IFERROR(IF(ISBLANK($D474),"",VLOOKUP($N474,'TABLE CHARGE RATE'!$A$30:$K$106,7,0)),"Check")</f>
        <v/>
      </c>
      <c r="AP474" s="207" t="str">
        <f>IFERROR(IF(ISBLANK($D474),"",VLOOKUP($N474,'TABLE CHARGE RATE'!$A$30:$K$106,8,0)),"Check")</f>
        <v/>
      </c>
      <c r="AQ474" s="207" t="str">
        <f>IFERROR(IF(ISBLANK($D474),"",VLOOKUP($N474,'TABLE CHARGE RATE'!$A$30:$K$106,9,0)),"Check")</f>
        <v/>
      </c>
      <c r="AR474" s="207" t="str">
        <f>IFERROR(IF(ISBLANK($D474),"",VLOOKUP($N474,'TABLE CHARGE RATE'!$A$30:$K$106,10,0)),"Check")</f>
        <v/>
      </c>
      <c r="AS474" s="207" t="str">
        <f>IFERROR(IF(ISBLANK($D474),"",VLOOKUP($N474,'TABLE CHARGE RATE'!$A$30:$K$106,11,0)),"Check")</f>
        <v/>
      </c>
      <c r="AT474" s="207"/>
    </row>
    <row r="475" spans="1:46" x14ac:dyDescent="0.2">
      <c r="A475" s="207" t="str">
        <f t="shared" si="74"/>
        <v/>
      </c>
      <c r="B475" s="208" t="str">
        <f>IF(ISBLANK(D475),"",VLOOKUP(WEEKDAY($C475,1),INDEX!$J$2:$K$8,2,0))</f>
        <v/>
      </c>
      <c r="C475" s="209"/>
      <c r="D475" s="207"/>
      <c r="E475" s="207"/>
      <c r="F475" s="207"/>
      <c r="G475" s="207"/>
      <c r="H475" s="207"/>
      <c r="I475" s="207"/>
      <c r="J475" s="207"/>
      <c r="K475" s="207"/>
      <c r="L475" s="207"/>
      <c r="M475" s="207"/>
      <c r="N475" s="207"/>
      <c r="O475" s="207"/>
      <c r="P475" s="207"/>
      <c r="Q475" s="207"/>
      <c r="R475" s="207"/>
      <c r="S475" s="207"/>
      <c r="T475" s="207"/>
      <c r="U475" s="209"/>
      <c r="V475" s="207"/>
      <c r="W475" s="207"/>
      <c r="X475" s="209"/>
      <c r="Y475" s="209"/>
      <c r="Z475" s="207" t="str">
        <f t="shared" ca="1" si="76"/>
        <v/>
      </c>
      <c r="AA475" s="209" t="str">
        <f t="shared" si="73"/>
        <v/>
      </c>
      <c r="AB475" s="209"/>
      <c r="AC475" s="207" t="str">
        <f t="shared" ca="1" si="77"/>
        <v/>
      </c>
      <c r="AD475" s="207"/>
      <c r="AE475" s="207"/>
      <c r="AF475" s="208" t="str">
        <f>IF(ISBLANK(D475),"",VLOOKUP(F475,'SIZE CALCULATION'!$F:$G,2,0))</f>
        <v/>
      </c>
      <c r="AG475" s="207" t="str">
        <f t="shared" si="75"/>
        <v/>
      </c>
      <c r="AH475" s="207" t="str">
        <f t="shared" si="78"/>
        <v/>
      </c>
      <c r="AI475" s="210" t="str">
        <f>IF(ISBLANK(D475),"",VLOOKUP($A475,INDEX!$D$2:$F$13,3,0))</f>
        <v/>
      </c>
      <c r="AJ475" s="207" t="str">
        <f t="shared" si="79"/>
        <v/>
      </c>
      <c r="AK475" s="207"/>
      <c r="AL475" s="207"/>
      <c r="AM475" s="207" t="str">
        <f>IFERROR(IF(ISBLANK($D475),"",VLOOKUP($N475,'TABLE CHARGE RATE'!$A$30:$K$106,5,0)),"Check")</f>
        <v/>
      </c>
      <c r="AN475" s="207" t="str">
        <f>IFERROR(IF(ISBLANK($D475),"",VLOOKUP($N475,'TABLE CHARGE RATE'!$A$30:$K$106,6,0)),"Check")</f>
        <v/>
      </c>
      <c r="AO475" s="207" t="str">
        <f>IFERROR(IF(ISBLANK($D475),"",VLOOKUP($N475,'TABLE CHARGE RATE'!$A$30:$K$106,7,0)),"Check")</f>
        <v/>
      </c>
      <c r="AP475" s="207" t="str">
        <f>IFERROR(IF(ISBLANK($D475),"",VLOOKUP($N475,'TABLE CHARGE RATE'!$A$30:$K$106,8,0)),"Check")</f>
        <v/>
      </c>
      <c r="AQ475" s="207" t="str">
        <f>IFERROR(IF(ISBLANK($D475),"",VLOOKUP($N475,'TABLE CHARGE RATE'!$A$30:$K$106,9,0)),"Check")</f>
        <v/>
      </c>
      <c r="AR475" s="207" t="str">
        <f>IFERROR(IF(ISBLANK($D475),"",VLOOKUP($N475,'TABLE CHARGE RATE'!$A$30:$K$106,10,0)),"Check")</f>
        <v/>
      </c>
      <c r="AS475" s="207" t="str">
        <f>IFERROR(IF(ISBLANK($D475),"",VLOOKUP($N475,'TABLE CHARGE RATE'!$A$30:$K$106,11,0)),"Check")</f>
        <v/>
      </c>
      <c r="AT475" s="207"/>
    </row>
    <row r="476" spans="1:46" x14ac:dyDescent="0.2">
      <c r="A476" s="207" t="str">
        <f t="shared" si="74"/>
        <v/>
      </c>
      <c r="B476" s="208" t="str">
        <f>IF(ISBLANK(D476),"",VLOOKUP(WEEKDAY($C476,1),INDEX!$J$2:$K$8,2,0))</f>
        <v/>
      </c>
      <c r="C476" s="209"/>
      <c r="D476" s="207"/>
      <c r="E476" s="207"/>
      <c r="F476" s="207"/>
      <c r="G476" s="207"/>
      <c r="H476" s="207"/>
      <c r="I476" s="207"/>
      <c r="J476" s="207"/>
      <c r="K476" s="207"/>
      <c r="L476" s="207"/>
      <c r="M476" s="207"/>
      <c r="N476" s="207"/>
      <c r="O476" s="207"/>
      <c r="P476" s="207"/>
      <c r="Q476" s="207"/>
      <c r="R476" s="207"/>
      <c r="S476" s="207"/>
      <c r="T476" s="207"/>
      <c r="U476" s="209"/>
      <c r="V476" s="207"/>
      <c r="W476" s="207"/>
      <c r="X476" s="209"/>
      <c r="Y476" s="209"/>
      <c r="Z476" s="207" t="str">
        <f t="shared" ca="1" si="76"/>
        <v/>
      </c>
      <c r="AA476" s="209" t="str">
        <f t="shared" si="73"/>
        <v/>
      </c>
      <c r="AB476" s="209"/>
      <c r="AC476" s="207" t="str">
        <f t="shared" ca="1" si="77"/>
        <v/>
      </c>
      <c r="AD476" s="207"/>
      <c r="AE476" s="207"/>
      <c r="AF476" s="208" t="str">
        <f>IF(ISBLANK(D476),"",VLOOKUP(F476,'SIZE CALCULATION'!$F:$G,2,0))</f>
        <v/>
      </c>
      <c r="AG476" s="207" t="str">
        <f t="shared" si="75"/>
        <v/>
      </c>
      <c r="AH476" s="207" t="str">
        <f t="shared" si="78"/>
        <v/>
      </c>
      <c r="AI476" s="210" t="str">
        <f>IF(ISBLANK(D476),"",VLOOKUP($A476,INDEX!$D$2:$F$13,3,0))</f>
        <v/>
      </c>
      <c r="AJ476" s="207" t="str">
        <f t="shared" si="79"/>
        <v/>
      </c>
      <c r="AK476" s="207"/>
      <c r="AL476" s="207"/>
      <c r="AM476" s="207" t="str">
        <f>IFERROR(IF(ISBLANK($D476),"",VLOOKUP($N476,'TABLE CHARGE RATE'!$A$30:$K$106,5,0)),"Check")</f>
        <v/>
      </c>
      <c r="AN476" s="207" t="str">
        <f>IFERROR(IF(ISBLANK($D476),"",VLOOKUP($N476,'TABLE CHARGE RATE'!$A$30:$K$106,6,0)),"Check")</f>
        <v/>
      </c>
      <c r="AO476" s="207" t="str">
        <f>IFERROR(IF(ISBLANK($D476),"",VLOOKUP($N476,'TABLE CHARGE RATE'!$A$30:$K$106,7,0)),"Check")</f>
        <v/>
      </c>
      <c r="AP476" s="207" t="str">
        <f>IFERROR(IF(ISBLANK($D476),"",VLOOKUP($N476,'TABLE CHARGE RATE'!$A$30:$K$106,8,0)),"Check")</f>
        <v/>
      </c>
      <c r="AQ476" s="207" t="str">
        <f>IFERROR(IF(ISBLANK($D476),"",VLOOKUP($N476,'TABLE CHARGE RATE'!$A$30:$K$106,9,0)),"Check")</f>
        <v/>
      </c>
      <c r="AR476" s="207" t="str">
        <f>IFERROR(IF(ISBLANK($D476),"",VLOOKUP($N476,'TABLE CHARGE RATE'!$A$30:$K$106,10,0)),"Check")</f>
        <v/>
      </c>
      <c r="AS476" s="207" t="str">
        <f>IFERROR(IF(ISBLANK($D476),"",VLOOKUP($N476,'TABLE CHARGE RATE'!$A$30:$K$106,11,0)),"Check")</f>
        <v/>
      </c>
      <c r="AT476" s="207"/>
    </row>
    <row r="477" spans="1:46" x14ac:dyDescent="0.2">
      <c r="A477" s="207" t="str">
        <f t="shared" si="74"/>
        <v/>
      </c>
      <c r="B477" s="208" t="str">
        <f>IF(ISBLANK(D477),"",VLOOKUP(WEEKDAY($C477,1),INDEX!$J$2:$K$8,2,0))</f>
        <v/>
      </c>
      <c r="C477" s="209"/>
      <c r="D477" s="207"/>
      <c r="E477" s="207"/>
      <c r="F477" s="207"/>
      <c r="G477" s="207"/>
      <c r="H477" s="207"/>
      <c r="I477" s="207"/>
      <c r="J477" s="207"/>
      <c r="K477" s="207"/>
      <c r="L477" s="207"/>
      <c r="M477" s="207"/>
      <c r="N477" s="207"/>
      <c r="O477" s="207"/>
      <c r="P477" s="207"/>
      <c r="Q477" s="207"/>
      <c r="R477" s="207"/>
      <c r="S477" s="207"/>
      <c r="T477" s="207"/>
      <c r="U477" s="209"/>
      <c r="V477" s="207"/>
      <c r="W477" s="207"/>
      <c r="X477" s="209"/>
      <c r="Y477" s="209"/>
      <c r="Z477" s="207" t="str">
        <f t="shared" ca="1" si="76"/>
        <v/>
      </c>
      <c r="AA477" s="209" t="str">
        <f t="shared" si="73"/>
        <v/>
      </c>
      <c r="AB477" s="209"/>
      <c r="AC477" s="207" t="str">
        <f t="shared" ca="1" si="77"/>
        <v/>
      </c>
      <c r="AD477" s="207"/>
      <c r="AE477" s="207"/>
      <c r="AF477" s="208" t="str">
        <f>IF(ISBLANK(D477),"",VLOOKUP(F477,'SIZE CALCULATION'!$F:$G,2,0))</f>
        <v/>
      </c>
      <c r="AG477" s="207" t="str">
        <f t="shared" si="75"/>
        <v/>
      </c>
      <c r="AH477" s="207" t="str">
        <f t="shared" si="78"/>
        <v/>
      </c>
      <c r="AI477" s="210" t="str">
        <f>IF(ISBLANK(D477),"",VLOOKUP($A477,INDEX!$D$2:$F$13,3,0))</f>
        <v/>
      </c>
      <c r="AJ477" s="207" t="str">
        <f t="shared" si="79"/>
        <v/>
      </c>
      <c r="AK477" s="207"/>
      <c r="AL477" s="207"/>
      <c r="AM477" s="207" t="str">
        <f>IFERROR(IF(ISBLANK($D477),"",VLOOKUP($N477,'TABLE CHARGE RATE'!$A$30:$K$106,5,0)),"Check")</f>
        <v/>
      </c>
      <c r="AN477" s="207" t="str">
        <f>IFERROR(IF(ISBLANK($D477),"",VLOOKUP($N477,'TABLE CHARGE RATE'!$A$30:$K$106,6,0)),"Check")</f>
        <v/>
      </c>
      <c r="AO477" s="207" t="str">
        <f>IFERROR(IF(ISBLANK($D477),"",VLOOKUP($N477,'TABLE CHARGE RATE'!$A$30:$K$106,7,0)),"Check")</f>
        <v/>
      </c>
      <c r="AP477" s="207" t="str">
        <f>IFERROR(IF(ISBLANK($D477),"",VLOOKUP($N477,'TABLE CHARGE RATE'!$A$30:$K$106,8,0)),"Check")</f>
        <v/>
      </c>
      <c r="AQ477" s="207" t="str">
        <f>IFERROR(IF(ISBLANK($D477),"",VLOOKUP($N477,'TABLE CHARGE RATE'!$A$30:$K$106,9,0)),"Check")</f>
        <v/>
      </c>
      <c r="AR477" s="207" t="str">
        <f>IFERROR(IF(ISBLANK($D477),"",VLOOKUP($N477,'TABLE CHARGE RATE'!$A$30:$K$106,10,0)),"Check")</f>
        <v/>
      </c>
      <c r="AS477" s="207" t="str">
        <f>IFERROR(IF(ISBLANK($D477),"",VLOOKUP($N477,'TABLE CHARGE RATE'!$A$30:$K$106,11,0)),"Check")</f>
        <v/>
      </c>
      <c r="AT477" s="207"/>
    </row>
    <row r="478" spans="1:46" x14ac:dyDescent="0.2">
      <c r="A478" s="207" t="str">
        <f t="shared" si="74"/>
        <v/>
      </c>
      <c r="B478" s="208" t="str">
        <f>IF(ISBLANK(D478),"",VLOOKUP(WEEKDAY($C478,1),INDEX!$J$2:$K$8,2,0))</f>
        <v/>
      </c>
      <c r="C478" s="209"/>
      <c r="D478" s="207"/>
      <c r="E478" s="207"/>
      <c r="F478" s="207"/>
      <c r="G478" s="207"/>
      <c r="H478" s="207"/>
      <c r="I478" s="207"/>
      <c r="J478" s="207"/>
      <c r="K478" s="207"/>
      <c r="L478" s="207"/>
      <c r="M478" s="207"/>
      <c r="N478" s="207"/>
      <c r="O478" s="207"/>
      <c r="P478" s="207"/>
      <c r="Q478" s="207"/>
      <c r="R478" s="207"/>
      <c r="S478" s="207"/>
      <c r="T478" s="207"/>
      <c r="U478" s="209"/>
      <c r="V478" s="207"/>
      <c r="W478" s="207"/>
      <c r="X478" s="209"/>
      <c r="Y478" s="209"/>
      <c r="Z478" s="207" t="str">
        <f t="shared" ca="1" si="76"/>
        <v/>
      </c>
      <c r="AA478" s="209" t="str">
        <f t="shared" si="73"/>
        <v/>
      </c>
      <c r="AB478" s="209"/>
      <c r="AC478" s="207" t="str">
        <f t="shared" ca="1" si="77"/>
        <v/>
      </c>
      <c r="AD478" s="207"/>
      <c r="AE478" s="207"/>
      <c r="AF478" s="208" t="str">
        <f>IF(ISBLANK(D478),"",VLOOKUP(F478,'SIZE CALCULATION'!$F:$G,2,0))</f>
        <v/>
      </c>
      <c r="AG478" s="207" t="str">
        <f t="shared" si="75"/>
        <v/>
      </c>
      <c r="AH478" s="207" t="str">
        <f t="shared" si="78"/>
        <v/>
      </c>
      <c r="AI478" s="210" t="str">
        <f>IF(ISBLANK(D478),"",VLOOKUP($A478,INDEX!$D$2:$F$13,3,0))</f>
        <v/>
      </c>
      <c r="AJ478" s="207" t="str">
        <f t="shared" si="79"/>
        <v/>
      </c>
      <c r="AK478" s="207"/>
      <c r="AL478" s="207"/>
      <c r="AM478" s="207" t="str">
        <f>IFERROR(IF(ISBLANK($D478),"",VLOOKUP($N478,'TABLE CHARGE RATE'!$A$30:$K$106,5,0)),"Check")</f>
        <v/>
      </c>
      <c r="AN478" s="207" t="str">
        <f>IFERROR(IF(ISBLANK($D478),"",VLOOKUP($N478,'TABLE CHARGE RATE'!$A$30:$K$106,6,0)),"Check")</f>
        <v/>
      </c>
      <c r="AO478" s="207" t="str">
        <f>IFERROR(IF(ISBLANK($D478),"",VLOOKUP($N478,'TABLE CHARGE RATE'!$A$30:$K$106,7,0)),"Check")</f>
        <v/>
      </c>
      <c r="AP478" s="207" t="str">
        <f>IFERROR(IF(ISBLANK($D478),"",VLOOKUP($N478,'TABLE CHARGE RATE'!$A$30:$K$106,8,0)),"Check")</f>
        <v/>
      </c>
      <c r="AQ478" s="207" t="str">
        <f>IFERROR(IF(ISBLANK($D478),"",VLOOKUP($N478,'TABLE CHARGE RATE'!$A$30:$K$106,9,0)),"Check")</f>
        <v/>
      </c>
      <c r="AR478" s="207" t="str">
        <f>IFERROR(IF(ISBLANK($D478),"",VLOOKUP($N478,'TABLE CHARGE RATE'!$A$30:$K$106,10,0)),"Check")</f>
        <v/>
      </c>
      <c r="AS478" s="207" t="str">
        <f>IFERROR(IF(ISBLANK($D478),"",VLOOKUP($N478,'TABLE CHARGE RATE'!$A$30:$K$106,11,0)),"Check")</f>
        <v/>
      </c>
      <c r="AT478" s="207"/>
    </row>
    <row r="479" spans="1:46" x14ac:dyDescent="0.2">
      <c r="A479" s="207" t="str">
        <f t="shared" si="74"/>
        <v/>
      </c>
      <c r="B479" s="208" t="str">
        <f>IF(ISBLANK(D479),"",VLOOKUP(WEEKDAY($C479,1),INDEX!$J$2:$K$8,2,0))</f>
        <v/>
      </c>
      <c r="C479" s="209"/>
      <c r="D479" s="207"/>
      <c r="E479" s="207"/>
      <c r="F479" s="207"/>
      <c r="G479" s="207"/>
      <c r="H479" s="207"/>
      <c r="I479" s="207"/>
      <c r="J479" s="207"/>
      <c r="K479" s="207"/>
      <c r="L479" s="207"/>
      <c r="M479" s="207"/>
      <c r="N479" s="207"/>
      <c r="O479" s="207"/>
      <c r="P479" s="207"/>
      <c r="Q479" s="207"/>
      <c r="R479" s="207"/>
      <c r="S479" s="207"/>
      <c r="T479" s="207"/>
      <c r="U479" s="209"/>
      <c r="V479" s="207"/>
      <c r="W479" s="207"/>
      <c r="X479" s="209"/>
      <c r="Y479" s="209"/>
      <c r="Z479" s="207" t="str">
        <f t="shared" ca="1" si="76"/>
        <v/>
      </c>
      <c r="AA479" s="209" t="str">
        <f t="shared" si="73"/>
        <v/>
      </c>
      <c r="AB479" s="209"/>
      <c r="AC479" s="207" t="str">
        <f t="shared" ca="1" si="77"/>
        <v/>
      </c>
      <c r="AD479" s="207"/>
      <c r="AE479" s="207"/>
      <c r="AF479" s="208" t="str">
        <f>IF(ISBLANK(D479),"",VLOOKUP(F479,'SIZE CALCULATION'!$F:$G,2,0))</f>
        <v/>
      </c>
      <c r="AG479" s="207" t="str">
        <f t="shared" si="75"/>
        <v/>
      </c>
      <c r="AH479" s="207" t="str">
        <f t="shared" si="78"/>
        <v/>
      </c>
      <c r="AI479" s="210" t="str">
        <f>IF(ISBLANK(D479),"",VLOOKUP($A479,INDEX!$D$2:$F$13,3,0))</f>
        <v/>
      </c>
      <c r="AJ479" s="207" t="str">
        <f t="shared" si="79"/>
        <v/>
      </c>
      <c r="AK479" s="207"/>
      <c r="AL479" s="207"/>
      <c r="AM479" s="207" t="str">
        <f>IFERROR(IF(ISBLANK($D479),"",VLOOKUP($N479,'TABLE CHARGE RATE'!$A$30:$K$106,5,0)),"Check")</f>
        <v/>
      </c>
      <c r="AN479" s="207" t="str">
        <f>IFERROR(IF(ISBLANK($D479),"",VLOOKUP($N479,'TABLE CHARGE RATE'!$A$30:$K$106,6,0)),"Check")</f>
        <v/>
      </c>
      <c r="AO479" s="207" t="str">
        <f>IFERROR(IF(ISBLANK($D479),"",VLOOKUP($N479,'TABLE CHARGE RATE'!$A$30:$K$106,7,0)),"Check")</f>
        <v/>
      </c>
      <c r="AP479" s="207" t="str">
        <f>IFERROR(IF(ISBLANK($D479),"",VLOOKUP($N479,'TABLE CHARGE RATE'!$A$30:$K$106,8,0)),"Check")</f>
        <v/>
      </c>
      <c r="AQ479" s="207" t="str">
        <f>IFERROR(IF(ISBLANK($D479),"",VLOOKUP($N479,'TABLE CHARGE RATE'!$A$30:$K$106,9,0)),"Check")</f>
        <v/>
      </c>
      <c r="AR479" s="207" t="str">
        <f>IFERROR(IF(ISBLANK($D479),"",VLOOKUP($N479,'TABLE CHARGE RATE'!$A$30:$K$106,10,0)),"Check")</f>
        <v/>
      </c>
      <c r="AS479" s="207" t="str">
        <f>IFERROR(IF(ISBLANK($D479),"",VLOOKUP($N479,'TABLE CHARGE RATE'!$A$30:$K$106,11,0)),"Check")</f>
        <v/>
      </c>
      <c r="AT479" s="207"/>
    </row>
    <row r="480" spans="1:46" x14ac:dyDescent="0.2">
      <c r="A480" s="207" t="str">
        <f t="shared" si="74"/>
        <v/>
      </c>
      <c r="B480" s="208" t="str">
        <f>IF(ISBLANK(D480),"",VLOOKUP(WEEKDAY($C480,1),INDEX!$J$2:$K$8,2,0))</f>
        <v/>
      </c>
      <c r="C480" s="209"/>
      <c r="D480" s="207"/>
      <c r="E480" s="207"/>
      <c r="F480" s="207"/>
      <c r="G480" s="207"/>
      <c r="H480" s="207"/>
      <c r="I480" s="207"/>
      <c r="J480" s="207"/>
      <c r="K480" s="207"/>
      <c r="L480" s="207"/>
      <c r="M480" s="207"/>
      <c r="N480" s="207"/>
      <c r="O480" s="207"/>
      <c r="P480" s="207"/>
      <c r="Q480" s="207"/>
      <c r="R480" s="207"/>
      <c r="S480" s="207"/>
      <c r="T480" s="207"/>
      <c r="U480" s="209"/>
      <c r="V480" s="207"/>
      <c r="W480" s="207"/>
      <c r="X480" s="209"/>
      <c r="Y480" s="209"/>
      <c r="Z480" s="207" t="str">
        <f t="shared" ca="1" si="76"/>
        <v/>
      </c>
      <c r="AA480" s="209" t="str">
        <f t="shared" si="73"/>
        <v/>
      </c>
      <c r="AB480" s="209"/>
      <c r="AC480" s="207" t="str">
        <f t="shared" ca="1" si="77"/>
        <v/>
      </c>
      <c r="AD480" s="207"/>
      <c r="AE480" s="207"/>
      <c r="AF480" s="208" t="str">
        <f>IF(ISBLANK(D480),"",VLOOKUP(F480,'SIZE CALCULATION'!$F:$G,2,0))</f>
        <v/>
      </c>
      <c r="AG480" s="207" t="str">
        <f t="shared" si="75"/>
        <v/>
      </c>
      <c r="AH480" s="207" t="str">
        <f t="shared" si="78"/>
        <v/>
      </c>
      <c r="AI480" s="210" t="str">
        <f>IF(ISBLANK(D480),"",VLOOKUP($A480,INDEX!$D$2:$F$13,3,0))</f>
        <v/>
      </c>
      <c r="AJ480" s="207" t="str">
        <f t="shared" si="79"/>
        <v/>
      </c>
      <c r="AK480" s="207"/>
      <c r="AL480" s="207"/>
      <c r="AM480" s="207" t="str">
        <f>IFERROR(IF(ISBLANK($D480),"",VLOOKUP($N480,'TABLE CHARGE RATE'!$A$30:$K$106,5,0)),"Check")</f>
        <v/>
      </c>
      <c r="AN480" s="207" t="str">
        <f>IFERROR(IF(ISBLANK($D480),"",VLOOKUP($N480,'TABLE CHARGE RATE'!$A$30:$K$106,6,0)),"Check")</f>
        <v/>
      </c>
      <c r="AO480" s="207" t="str">
        <f>IFERROR(IF(ISBLANK($D480),"",VLOOKUP($N480,'TABLE CHARGE RATE'!$A$30:$K$106,7,0)),"Check")</f>
        <v/>
      </c>
      <c r="AP480" s="207" t="str">
        <f>IFERROR(IF(ISBLANK($D480),"",VLOOKUP($N480,'TABLE CHARGE RATE'!$A$30:$K$106,8,0)),"Check")</f>
        <v/>
      </c>
      <c r="AQ480" s="207" t="str">
        <f>IFERROR(IF(ISBLANK($D480),"",VLOOKUP($N480,'TABLE CHARGE RATE'!$A$30:$K$106,9,0)),"Check")</f>
        <v/>
      </c>
      <c r="AR480" s="207" t="str">
        <f>IFERROR(IF(ISBLANK($D480),"",VLOOKUP($N480,'TABLE CHARGE RATE'!$A$30:$K$106,10,0)),"Check")</f>
        <v/>
      </c>
      <c r="AS480" s="207" t="str">
        <f>IFERROR(IF(ISBLANK($D480),"",VLOOKUP($N480,'TABLE CHARGE RATE'!$A$30:$K$106,11,0)),"Check")</f>
        <v/>
      </c>
      <c r="AT480" s="207"/>
    </row>
    <row r="481" spans="1:46" x14ac:dyDescent="0.2">
      <c r="A481" s="207" t="str">
        <f t="shared" si="74"/>
        <v/>
      </c>
      <c r="B481" s="208" t="str">
        <f>IF(ISBLANK(D481),"",VLOOKUP(WEEKDAY($C481,1),INDEX!$J$2:$K$8,2,0))</f>
        <v/>
      </c>
      <c r="C481" s="209"/>
      <c r="D481" s="207"/>
      <c r="E481" s="207"/>
      <c r="F481" s="207"/>
      <c r="G481" s="207"/>
      <c r="H481" s="207"/>
      <c r="I481" s="207"/>
      <c r="J481" s="207"/>
      <c r="K481" s="207"/>
      <c r="L481" s="207"/>
      <c r="M481" s="207"/>
      <c r="N481" s="207"/>
      <c r="O481" s="207"/>
      <c r="P481" s="207"/>
      <c r="Q481" s="207"/>
      <c r="R481" s="207"/>
      <c r="S481" s="207"/>
      <c r="T481" s="207"/>
      <c r="U481" s="209"/>
      <c r="V481" s="207"/>
      <c r="W481" s="207"/>
      <c r="X481" s="209"/>
      <c r="Y481" s="209"/>
      <c r="Z481" s="207" t="str">
        <f t="shared" ca="1" si="76"/>
        <v/>
      </c>
      <c r="AA481" s="209" t="str">
        <f t="shared" ref="AA481:AA544" si="80">IF(ISBLANK(D481),"",Y481+10)</f>
        <v/>
      </c>
      <c r="AB481" s="209"/>
      <c r="AC481" s="207" t="str">
        <f t="shared" ca="1" si="77"/>
        <v/>
      </c>
      <c r="AD481" s="207"/>
      <c r="AE481" s="207"/>
      <c r="AF481" s="208" t="str">
        <f>IF(ISBLANK(D481),"",VLOOKUP(F481,'SIZE CALCULATION'!$F:$G,2,0))</f>
        <v/>
      </c>
      <c r="AG481" s="207" t="str">
        <f t="shared" si="75"/>
        <v/>
      </c>
      <c r="AH481" s="207" t="str">
        <f t="shared" si="78"/>
        <v/>
      </c>
      <c r="AI481" s="210" t="str">
        <f>IF(ISBLANK(D481),"",VLOOKUP($A481,INDEX!$D$2:$F$13,3,0))</f>
        <v/>
      </c>
      <c r="AJ481" s="207" t="str">
        <f t="shared" si="79"/>
        <v/>
      </c>
      <c r="AK481" s="207"/>
      <c r="AL481" s="207"/>
      <c r="AM481" s="207" t="str">
        <f>IFERROR(IF(ISBLANK($D481),"",VLOOKUP($N481,'TABLE CHARGE RATE'!$A$30:$K$106,5,0)),"Check")</f>
        <v/>
      </c>
      <c r="AN481" s="207" t="str">
        <f>IFERROR(IF(ISBLANK($D481),"",VLOOKUP($N481,'TABLE CHARGE RATE'!$A$30:$K$106,6,0)),"Check")</f>
        <v/>
      </c>
      <c r="AO481" s="207" t="str">
        <f>IFERROR(IF(ISBLANK($D481),"",VLOOKUP($N481,'TABLE CHARGE RATE'!$A$30:$K$106,7,0)),"Check")</f>
        <v/>
      </c>
      <c r="AP481" s="207" t="str">
        <f>IFERROR(IF(ISBLANK($D481),"",VLOOKUP($N481,'TABLE CHARGE RATE'!$A$30:$K$106,8,0)),"Check")</f>
        <v/>
      </c>
      <c r="AQ481" s="207" t="str">
        <f>IFERROR(IF(ISBLANK($D481),"",VLOOKUP($N481,'TABLE CHARGE RATE'!$A$30:$K$106,9,0)),"Check")</f>
        <v/>
      </c>
      <c r="AR481" s="207" t="str">
        <f>IFERROR(IF(ISBLANK($D481),"",VLOOKUP($N481,'TABLE CHARGE RATE'!$A$30:$K$106,10,0)),"Check")</f>
        <v/>
      </c>
      <c r="AS481" s="207" t="str">
        <f>IFERROR(IF(ISBLANK($D481),"",VLOOKUP($N481,'TABLE CHARGE RATE'!$A$30:$K$106,11,0)),"Check")</f>
        <v/>
      </c>
      <c r="AT481" s="207"/>
    </row>
    <row r="482" spans="1:46" x14ac:dyDescent="0.2">
      <c r="A482" s="207" t="str">
        <f t="shared" si="74"/>
        <v/>
      </c>
      <c r="B482" s="208" t="str">
        <f>IF(ISBLANK(D482),"",VLOOKUP(WEEKDAY($C482,1),INDEX!$J$2:$K$8,2,0))</f>
        <v/>
      </c>
      <c r="C482" s="209"/>
      <c r="D482" s="207"/>
      <c r="E482" s="207"/>
      <c r="F482" s="207"/>
      <c r="G482" s="207"/>
      <c r="H482" s="207"/>
      <c r="I482" s="207"/>
      <c r="J482" s="207"/>
      <c r="K482" s="207"/>
      <c r="L482" s="207"/>
      <c r="M482" s="207"/>
      <c r="N482" s="207"/>
      <c r="O482" s="207"/>
      <c r="P482" s="207"/>
      <c r="Q482" s="207"/>
      <c r="R482" s="207"/>
      <c r="S482" s="207"/>
      <c r="T482" s="207"/>
      <c r="U482" s="209"/>
      <c r="V482" s="207"/>
      <c r="W482" s="207"/>
      <c r="X482" s="209"/>
      <c r="Y482" s="209"/>
      <c r="Z482" s="207" t="str">
        <f t="shared" ca="1" si="76"/>
        <v/>
      </c>
      <c r="AA482" s="209" t="str">
        <f t="shared" si="80"/>
        <v/>
      </c>
      <c r="AB482" s="209"/>
      <c r="AC482" s="207" t="str">
        <f t="shared" ca="1" si="77"/>
        <v/>
      </c>
      <c r="AD482" s="207"/>
      <c r="AE482" s="207"/>
      <c r="AF482" s="208" t="str">
        <f>IF(ISBLANK(D482),"",VLOOKUP(F482,'SIZE CALCULATION'!$F:$G,2,0))</f>
        <v/>
      </c>
      <c r="AG482" s="207" t="str">
        <f t="shared" si="75"/>
        <v/>
      </c>
      <c r="AH482" s="207" t="str">
        <f t="shared" si="78"/>
        <v/>
      </c>
      <c r="AI482" s="210" t="str">
        <f>IF(ISBLANK(D482),"",VLOOKUP($A482,INDEX!$D$2:$F$13,3,0))</f>
        <v/>
      </c>
      <c r="AJ482" s="207" t="str">
        <f t="shared" si="79"/>
        <v/>
      </c>
      <c r="AK482" s="207"/>
      <c r="AL482" s="207"/>
      <c r="AM482" s="207" t="str">
        <f>IFERROR(IF(ISBLANK($D482),"",VLOOKUP($N482,'TABLE CHARGE RATE'!$A$30:$K$106,5,0)),"Check")</f>
        <v/>
      </c>
      <c r="AN482" s="207" t="str">
        <f>IFERROR(IF(ISBLANK($D482),"",VLOOKUP($N482,'TABLE CHARGE RATE'!$A$30:$K$106,6,0)),"Check")</f>
        <v/>
      </c>
      <c r="AO482" s="207" t="str">
        <f>IFERROR(IF(ISBLANK($D482),"",VLOOKUP($N482,'TABLE CHARGE RATE'!$A$30:$K$106,7,0)),"Check")</f>
        <v/>
      </c>
      <c r="AP482" s="207" t="str">
        <f>IFERROR(IF(ISBLANK($D482),"",VLOOKUP($N482,'TABLE CHARGE RATE'!$A$30:$K$106,8,0)),"Check")</f>
        <v/>
      </c>
      <c r="AQ482" s="207" t="str">
        <f>IFERROR(IF(ISBLANK($D482),"",VLOOKUP($N482,'TABLE CHARGE RATE'!$A$30:$K$106,9,0)),"Check")</f>
        <v/>
      </c>
      <c r="AR482" s="207" t="str">
        <f>IFERROR(IF(ISBLANK($D482),"",VLOOKUP($N482,'TABLE CHARGE RATE'!$A$30:$K$106,10,0)),"Check")</f>
        <v/>
      </c>
      <c r="AS482" s="207" t="str">
        <f>IFERROR(IF(ISBLANK($D482),"",VLOOKUP($N482,'TABLE CHARGE RATE'!$A$30:$K$106,11,0)),"Check")</f>
        <v/>
      </c>
      <c r="AT482" s="207"/>
    </row>
    <row r="483" spans="1:46" x14ac:dyDescent="0.2">
      <c r="A483" s="207" t="str">
        <f t="shared" si="74"/>
        <v/>
      </c>
      <c r="B483" s="208" t="str">
        <f>IF(ISBLANK(D483),"",VLOOKUP(WEEKDAY($C483,1),INDEX!$J$2:$K$8,2,0))</f>
        <v/>
      </c>
      <c r="C483" s="209"/>
      <c r="D483" s="207"/>
      <c r="E483" s="207"/>
      <c r="F483" s="207"/>
      <c r="G483" s="207"/>
      <c r="H483" s="207"/>
      <c r="I483" s="207"/>
      <c r="J483" s="207"/>
      <c r="K483" s="207"/>
      <c r="L483" s="207"/>
      <c r="M483" s="207"/>
      <c r="N483" s="207"/>
      <c r="O483" s="207"/>
      <c r="P483" s="207"/>
      <c r="Q483" s="207"/>
      <c r="R483" s="207"/>
      <c r="S483" s="207"/>
      <c r="T483" s="207"/>
      <c r="U483" s="209"/>
      <c r="V483" s="207"/>
      <c r="W483" s="207"/>
      <c r="X483" s="209"/>
      <c r="Y483" s="209"/>
      <c r="Z483" s="207" t="str">
        <f t="shared" ca="1" si="76"/>
        <v/>
      </c>
      <c r="AA483" s="209" t="str">
        <f t="shared" si="80"/>
        <v/>
      </c>
      <c r="AB483" s="209"/>
      <c r="AC483" s="207" t="str">
        <f t="shared" ca="1" si="77"/>
        <v/>
      </c>
      <c r="AD483" s="207"/>
      <c r="AE483" s="207"/>
      <c r="AF483" s="208" t="str">
        <f>IF(ISBLANK(D483),"",VLOOKUP(F483,'SIZE CALCULATION'!$F:$G,2,0))</f>
        <v/>
      </c>
      <c r="AG483" s="207" t="str">
        <f t="shared" si="75"/>
        <v/>
      </c>
      <c r="AH483" s="207" t="str">
        <f t="shared" si="78"/>
        <v/>
      </c>
      <c r="AI483" s="210" t="str">
        <f>IF(ISBLANK(D483),"",VLOOKUP($A483,INDEX!$D$2:$F$13,3,0))</f>
        <v/>
      </c>
      <c r="AJ483" s="207" t="str">
        <f t="shared" si="79"/>
        <v/>
      </c>
      <c r="AK483" s="207"/>
      <c r="AL483" s="207"/>
      <c r="AM483" s="207" t="str">
        <f>IFERROR(IF(ISBLANK($D483),"",VLOOKUP($N483,'TABLE CHARGE RATE'!$A$30:$K$106,5,0)),"Check")</f>
        <v/>
      </c>
      <c r="AN483" s="207" t="str">
        <f>IFERROR(IF(ISBLANK($D483),"",VLOOKUP($N483,'TABLE CHARGE RATE'!$A$30:$K$106,6,0)),"Check")</f>
        <v/>
      </c>
      <c r="AO483" s="207" t="str">
        <f>IFERROR(IF(ISBLANK($D483),"",VLOOKUP($N483,'TABLE CHARGE RATE'!$A$30:$K$106,7,0)),"Check")</f>
        <v/>
      </c>
      <c r="AP483" s="207" t="str">
        <f>IFERROR(IF(ISBLANK($D483),"",VLOOKUP($N483,'TABLE CHARGE RATE'!$A$30:$K$106,8,0)),"Check")</f>
        <v/>
      </c>
      <c r="AQ483" s="207" t="str">
        <f>IFERROR(IF(ISBLANK($D483),"",VLOOKUP($N483,'TABLE CHARGE RATE'!$A$30:$K$106,9,0)),"Check")</f>
        <v/>
      </c>
      <c r="AR483" s="207" t="str">
        <f>IFERROR(IF(ISBLANK($D483),"",VLOOKUP($N483,'TABLE CHARGE RATE'!$A$30:$K$106,10,0)),"Check")</f>
        <v/>
      </c>
      <c r="AS483" s="207" t="str">
        <f>IFERROR(IF(ISBLANK($D483),"",VLOOKUP($N483,'TABLE CHARGE RATE'!$A$30:$K$106,11,0)),"Check")</f>
        <v/>
      </c>
      <c r="AT483" s="207"/>
    </row>
    <row r="484" spans="1:46" x14ac:dyDescent="0.2">
      <c r="A484" s="207" t="str">
        <f t="shared" si="74"/>
        <v/>
      </c>
      <c r="B484" s="208" t="str">
        <f>IF(ISBLANK(D484),"",VLOOKUP(WEEKDAY($C484,1),INDEX!$J$2:$K$8,2,0))</f>
        <v/>
      </c>
      <c r="C484" s="209"/>
      <c r="D484" s="207"/>
      <c r="E484" s="207"/>
      <c r="F484" s="207"/>
      <c r="G484" s="207"/>
      <c r="H484" s="207"/>
      <c r="I484" s="207"/>
      <c r="J484" s="207"/>
      <c r="K484" s="207"/>
      <c r="L484" s="207"/>
      <c r="M484" s="207"/>
      <c r="N484" s="207"/>
      <c r="O484" s="207"/>
      <c r="P484" s="207"/>
      <c r="Q484" s="207"/>
      <c r="R484" s="207"/>
      <c r="S484" s="207"/>
      <c r="T484" s="207"/>
      <c r="U484" s="209"/>
      <c r="V484" s="207"/>
      <c r="W484" s="207"/>
      <c r="X484" s="209"/>
      <c r="Y484" s="209"/>
      <c r="Z484" s="207" t="str">
        <f t="shared" ca="1" si="76"/>
        <v/>
      </c>
      <c r="AA484" s="209" t="str">
        <f t="shared" si="80"/>
        <v/>
      </c>
      <c r="AB484" s="209"/>
      <c r="AC484" s="207" t="str">
        <f t="shared" ca="1" si="77"/>
        <v/>
      </c>
      <c r="AD484" s="207"/>
      <c r="AE484" s="207"/>
      <c r="AF484" s="208" t="str">
        <f>IF(ISBLANK(D484),"",VLOOKUP(F484,'SIZE CALCULATION'!$F:$G,2,0))</f>
        <v/>
      </c>
      <c r="AG484" s="207" t="str">
        <f t="shared" si="75"/>
        <v/>
      </c>
      <c r="AH484" s="207" t="str">
        <f t="shared" si="78"/>
        <v/>
      </c>
      <c r="AI484" s="210" t="str">
        <f>IF(ISBLANK(D484),"",VLOOKUP($A484,INDEX!$D$2:$F$13,3,0))</f>
        <v/>
      </c>
      <c r="AJ484" s="207" t="str">
        <f t="shared" si="79"/>
        <v/>
      </c>
      <c r="AK484" s="207"/>
      <c r="AL484" s="207"/>
      <c r="AM484" s="207" t="str">
        <f>IFERROR(IF(ISBLANK($D484),"",VLOOKUP($N484,'TABLE CHARGE RATE'!$A$30:$K$106,5,0)),"Check")</f>
        <v/>
      </c>
      <c r="AN484" s="207" t="str">
        <f>IFERROR(IF(ISBLANK($D484),"",VLOOKUP($N484,'TABLE CHARGE RATE'!$A$30:$K$106,6,0)),"Check")</f>
        <v/>
      </c>
      <c r="AO484" s="207" t="str">
        <f>IFERROR(IF(ISBLANK($D484),"",VLOOKUP($N484,'TABLE CHARGE RATE'!$A$30:$K$106,7,0)),"Check")</f>
        <v/>
      </c>
      <c r="AP484" s="207" t="str">
        <f>IFERROR(IF(ISBLANK($D484),"",VLOOKUP($N484,'TABLE CHARGE RATE'!$A$30:$K$106,8,0)),"Check")</f>
        <v/>
      </c>
      <c r="AQ484" s="207" t="str">
        <f>IFERROR(IF(ISBLANK($D484),"",VLOOKUP($N484,'TABLE CHARGE RATE'!$A$30:$K$106,9,0)),"Check")</f>
        <v/>
      </c>
      <c r="AR484" s="207" t="str">
        <f>IFERROR(IF(ISBLANK($D484),"",VLOOKUP($N484,'TABLE CHARGE RATE'!$A$30:$K$106,10,0)),"Check")</f>
        <v/>
      </c>
      <c r="AS484" s="207" t="str">
        <f>IFERROR(IF(ISBLANK($D484),"",VLOOKUP($N484,'TABLE CHARGE RATE'!$A$30:$K$106,11,0)),"Check")</f>
        <v/>
      </c>
      <c r="AT484" s="207"/>
    </row>
    <row r="485" spans="1:46" x14ac:dyDescent="0.2">
      <c r="A485" s="207" t="str">
        <f t="shared" si="74"/>
        <v/>
      </c>
      <c r="B485" s="208" t="str">
        <f>IF(ISBLANK(D485),"",VLOOKUP(WEEKDAY($C485,1),INDEX!$J$2:$K$8,2,0))</f>
        <v/>
      </c>
      <c r="C485" s="209"/>
      <c r="D485" s="207"/>
      <c r="E485" s="207"/>
      <c r="F485" s="207"/>
      <c r="G485" s="207"/>
      <c r="H485" s="207"/>
      <c r="I485" s="207"/>
      <c r="J485" s="207"/>
      <c r="K485" s="207"/>
      <c r="L485" s="207"/>
      <c r="M485" s="207"/>
      <c r="N485" s="207"/>
      <c r="O485" s="207"/>
      <c r="P485" s="207"/>
      <c r="Q485" s="207"/>
      <c r="R485" s="207"/>
      <c r="S485" s="207"/>
      <c r="T485" s="207"/>
      <c r="U485" s="209"/>
      <c r="V485" s="207"/>
      <c r="W485" s="207"/>
      <c r="X485" s="209"/>
      <c r="Y485" s="209"/>
      <c r="Z485" s="207" t="str">
        <f t="shared" ca="1" si="76"/>
        <v/>
      </c>
      <c r="AA485" s="209" t="str">
        <f t="shared" si="80"/>
        <v/>
      </c>
      <c r="AB485" s="209"/>
      <c r="AC485" s="207" t="str">
        <f t="shared" ca="1" si="77"/>
        <v/>
      </c>
      <c r="AD485" s="207"/>
      <c r="AE485" s="207"/>
      <c r="AF485" s="208" t="str">
        <f>IF(ISBLANK(D485),"",VLOOKUP(F485,'SIZE CALCULATION'!$F:$G,2,0))</f>
        <v/>
      </c>
      <c r="AG485" s="207" t="str">
        <f t="shared" si="75"/>
        <v/>
      </c>
      <c r="AH485" s="207" t="str">
        <f t="shared" si="78"/>
        <v/>
      </c>
      <c r="AI485" s="210" t="str">
        <f>IF(ISBLANK(D485),"",VLOOKUP($A485,INDEX!$D$2:$F$13,3,0))</f>
        <v/>
      </c>
      <c r="AJ485" s="207" t="str">
        <f t="shared" si="79"/>
        <v/>
      </c>
      <c r="AK485" s="207"/>
      <c r="AL485" s="207"/>
      <c r="AM485" s="207" t="str">
        <f>IFERROR(IF(ISBLANK($D485),"",VLOOKUP($N485,'TABLE CHARGE RATE'!$A$30:$K$106,5,0)),"Check")</f>
        <v/>
      </c>
      <c r="AN485" s="207" t="str">
        <f>IFERROR(IF(ISBLANK($D485),"",VLOOKUP($N485,'TABLE CHARGE RATE'!$A$30:$K$106,6,0)),"Check")</f>
        <v/>
      </c>
      <c r="AO485" s="207" t="str">
        <f>IFERROR(IF(ISBLANK($D485),"",VLOOKUP($N485,'TABLE CHARGE RATE'!$A$30:$K$106,7,0)),"Check")</f>
        <v/>
      </c>
      <c r="AP485" s="207" t="str">
        <f>IFERROR(IF(ISBLANK($D485),"",VLOOKUP($N485,'TABLE CHARGE RATE'!$A$30:$K$106,8,0)),"Check")</f>
        <v/>
      </c>
      <c r="AQ485" s="207" t="str">
        <f>IFERROR(IF(ISBLANK($D485),"",VLOOKUP($N485,'TABLE CHARGE RATE'!$A$30:$K$106,9,0)),"Check")</f>
        <v/>
      </c>
      <c r="AR485" s="207" t="str">
        <f>IFERROR(IF(ISBLANK($D485),"",VLOOKUP($N485,'TABLE CHARGE RATE'!$A$30:$K$106,10,0)),"Check")</f>
        <v/>
      </c>
      <c r="AS485" s="207" t="str">
        <f>IFERROR(IF(ISBLANK($D485),"",VLOOKUP($N485,'TABLE CHARGE RATE'!$A$30:$K$106,11,0)),"Check")</f>
        <v/>
      </c>
      <c r="AT485" s="207"/>
    </row>
    <row r="486" spans="1:46" x14ac:dyDescent="0.2">
      <c r="A486" s="207" t="str">
        <f t="shared" si="74"/>
        <v/>
      </c>
      <c r="B486" s="208" t="str">
        <f>IF(ISBLANK(D486),"",VLOOKUP(WEEKDAY($C486,1),INDEX!$J$2:$K$8,2,0))</f>
        <v/>
      </c>
      <c r="C486" s="209"/>
      <c r="D486" s="207"/>
      <c r="E486" s="207"/>
      <c r="F486" s="207"/>
      <c r="G486" s="207"/>
      <c r="H486" s="207"/>
      <c r="I486" s="207"/>
      <c r="J486" s="207"/>
      <c r="K486" s="207"/>
      <c r="L486" s="207"/>
      <c r="M486" s="207"/>
      <c r="N486" s="207"/>
      <c r="O486" s="207"/>
      <c r="P486" s="207"/>
      <c r="Q486" s="207"/>
      <c r="R486" s="207"/>
      <c r="S486" s="207"/>
      <c r="T486" s="207"/>
      <c r="U486" s="209"/>
      <c r="V486" s="207"/>
      <c r="W486" s="207"/>
      <c r="X486" s="209"/>
      <c r="Y486" s="209"/>
      <c r="Z486" s="207" t="str">
        <f t="shared" ca="1" si="76"/>
        <v/>
      </c>
      <c r="AA486" s="209" t="str">
        <f t="shared" si="80"/>
        <v/>
      </c>
      <c r="AB486" s="209"/>
      <c r="AC486" s="207" t="str">
        <f t="shared" ca="1" si="77"/>
        <v/>
      </c>
      <c r="AD486" s="207"/>
      <c r="AE486" s="207"/>
      <c r="AF486" s="208" t="str">
        <f>IF(ISBLANK(D486),"",VLOOKUP(F486,'SIZE CALCULATION'!$F:$G,2,0))</f>
        <v/>
      </c>
      <c r="AG486" s="207" t="str">
        <f t="shared" si="75"/>
        <v/>
      </c>
      <c r="AH486" s="207" t="str">
        <f t="shared" si="78"/>
        <v/>
      </c>
      <c r="AI486" s="210" t="str">
        <f>IF(ISBLANK(D486),"",VLOOKUP($A486,INDEX!$D$2:$F$13,3,0))</f>
        <v/>
      </c>
      <c r="AJ486" s="207" t="str">
        <f t="shared" si="79"/>
        <v/>
      </c>
      <c r="AK486" s="207"/>
      <c r="AL486" s="207"/>
      <c r="AM486" s="207" t="str">
        <f>IFERROR(IF(ISBLANK($D486),"",VLOOKUP($N486,'TABLE CHARGE RATE'!$A$30:$K$106,5,0)),"Check")</f>
        <v/>
      </c>
      <c r="AN486" s="207" t="str">
        <f>IFERROR(IF(ISBLANK($D486),"",VLOOKUP($N486,'TABLE CHARGE RATE'!$A$30:$K$106,6,0)),"Check")</f>
        <v/>
      </c>
      <c r="AO486" s="207" t="str">
        <f>IFERROR(IF(ISBLANK($D486),"",VLOOKUP($N486,'TABLE CHARGE RATE'!$A$30:$K$106,7,0)),"Check")</f>
        <v/>
      </c>
      <c r="AP486" s="207" t="str">
        <f>IFERROR(IF(ISBLANK($D486),"",VLOOKUP($N486,'TABLE CHARGE RATE'!$A$30:$K$106,8,0)),"Check")</f>
        <v/>
      </c>
      <c r="AQ486" s="207" t="str">
        <f>IFERROR(IF(ISBLANK($D486),"",VLOOKUP($N486,'TABLE CHARGE RATE'!$A$30:$K$106,9,0)),"Check")</f>
        <v/>
      </c>
      <c r="AR486" s="207" t="str">
        <f>IFERROR(IF(ISBLANK($D486),"",VLOOKUP($N486,'TABLE CHARGE RATE'!$A$30:$K$106,10,0)),"Check")</f>
        <v/>
      </c>
      <c r="AS486" s="207" t="str">
        <f>IFERROR(IF(ISBLANK($D486),"",VLOOKUP($N486,'TABLE CHARGE RATE'!$A$30:$K$106,11,0)),"Check")</f>
        <v/>
      </c>
      <c r="AT486" s="207"/>
    </row>
    <row r="487" spans="1:46" x14ac:dyDescent="0.2">
      <c r="A487" s="207" t="str">
        <f t="shared" si="74"/>
        <v/>
      </c>
      <c r="B487" s="208" t="str">
        <f>IF(ISBLANK(D487),"",VLOOKUP(WEEKDAY($C487,1),INDEX!$J$2:$K$8,2,0))</f>
        <v/>
      </c>
      <c r="C487" s="209"/>
      <c r="D487" s="207"/>
      <c r="E487" s="207"/>
      <c r="F487" s="207"/>
      <c r="G487" s="207"/>
      <c r="H487" s="207"/>
      <c r="I487" s="207"/>
      <c r="J487" s="207"/>
      <c r="K487" s="207"/>
      <c r="L487" s="207"/>
      <c r="M487" s="207"/>
      <c r="N487" s="207"/>
      <c r="O487" s="207"/>
      <c r="P487" s="207"/>
      <c r="Q487" s="207"/>
      <c r="R487" s="207"/>
      <c r="S487" s="207"/>
      <c r="T487" s="207"/>
      <c r="U487" s="209"/>
      <c r="V487" s="207"/>
      <c r="W487" s="207"/>
      <c r="X487" s="209"/>
      <c r="Y487" s="209"/>
      <c r="Z487" s="207" t="str">
        <f t="shared" ca="1" si="76"/>
        <v/>
      </c>
      <c r="AA487" s="209" t="str">
        <f t="shared" si="80"/>
        <v/>
      </c>
      <c r="AB487" s="209"/>
      <c r="AC487" s="207" t="str">
        <f t="shared" ca="1" si="77"/>
        <v/>
      </c>
      <c r="AD487" s="207"/>
      <c r="AE487" s="207"/>
      <c r="AF487" s="208" t="str">
        <f>IF(ISBLANK(D487),"",VLOOKUP(F487,'SIZE CALCULATION'!$F:$G,2,0))</f>
        <v/>
      </c>
      <c r="AG487" s="207" t="str">
        <f t="shared" si="75"/>
        <v/>
      </c>
      <c r="AH487" s="207" t="str">
        <f t="shared" si="78"/>
        <v/>
      </c>
      <c r="AI487" s="210" t="str">
        <f>IF(ISBLANK(D487),"",VLOOKUP($A487,INDEX!$D$2:$F$13,3,0))</f>
        <v/>
      </c>
      <c r="AJ487" s="207" t="str">
        <f t="shared" si="79"/>
        <v/>
      </c>
      <c r="AK487" s="207"/>
      <c r="AL487" s="207"/>
      <c r="AM487" s="207" t="str">
        <f>IFERROR(IF(ISBLANK($D487),"",VLOOKUP($N487,'TABLE CHARGE RATE'!$A$30:$K$106,5,0)),"Check")</f>
        <v/>
      </c>
      <c r="AN487" s="207" t="str">
        <f>IFERROR(IF(ISBLANK($D487),"",VLOOKUP($N487,'TABLE CHARGE RATE'!$A$30:$K$106,6,0)),"Check")</f>
        <v/>
      </c>
      <c r="AO487" s="207" t="str">
        <f>IFERROR(IF(ISBLANK($D487),"",VLOOKUP($N487,'TABLE CHARGE RATE'!$A$30:$K$106,7,0)),"Check")</f>
        <v/>
      </c>
      <c r="AP487" s="207" t="str">
        <f>IFERROR(IF(ISBLANK($D487),"",VLOOKUP($N487,'TABLE CHARGE RATE'!$A$30:$K$106,8,0)),"Check")</f>
        <v/>
      </c>
      <c r="AQ487" s="207" t="str">
        <f>IFERROR(IF(ISBLANK($D487),"",VLOOKUP($N487,'TABLE CHARGE RATE'!$A$30:$K$106,9,0)),"Check")</f>
        <v/>
      </c>
      <c r="AR487" s="207" t="str">
        <f>IFERROR(IF(ISBLANK($D487),"",VLOOKUP($N487,'TABLE CHARGE RATE'!$A$30:$K$106,10,0)),"Check")</f>
        <v/>
      </c>
      <c r="AS487" s="207" t="str">
        <f>IFERROR(IF(ISBLANK($D487),"",VLOOKUP($N487,'TABLE CHARGE RATE'!$A$30:$K$106,11,0)),"Check")</f>
        <v/>
      </c>
      <c r="AT487" s="207"/>
    </row>
    <row r="488" spans="1:46" x14ac:dyDescent="0.2">
      <c r="A488" s="207" t="str">
        <f t="shared" si="74"/>
        <v/>
      </c>
      <c r="B488" s="208" t="str">
        <f>IF(ISBLANK(D488),"",VLOOKUP(WEEKDAY($C488,1),INDEX!$J$2:$K$8,2,0))</f>
        <v/>
      </c>
      <c r="C488" s="209"/>
      <c r="D488" s="207"/>
      <c r="E488" s="207"/>
      <c r="F488" s="207"/>
      <c r="G488" s="207"/>
      <c r="H488" s="207"/>
      <c r="I488" s="207"/>
      <c r="J488" s="207"/>
      <c r="K488" s="207"/>
      <c r="L488" s="207"/>
      <c r="M488" s="207"/>
      <c r="N488" s="207"/>
      <c r="O488" s="207"/>
      <c r="P488" s="207"/>
      <c r="Q488" s="207"/>
      <c r="R488" s="207"/>
      <c r="S488" s="207"/>
      <c r="T488" s="207"/>
      <c r="U488" s="209"/>
      <c r="V488" s="207"/>
      <c r="W488" s="207"/>
      <c r="X488" s="209"/>
      <c r="Y488" s="209"/>
      <c r="Z488" s="207" t="str">
        <f t="shared" ca="1" si="76"/>
        <v/>
      </c>
      <c r="AA488" s="209" t="str">
        <f t="shared" si="80"/>
        <v/>
      </c>
      <c r="AB488" s="209"/>
      <c r="AC488" s="207" t="str">
        <f t="shared" ca="1" si="77"/>
        <v/>
      </c>
      <c r="AD488" s="207"/>
      <c r="AE488" s="207"/>
      <c r="AF488" s="208" t="str">
        <f>IF(ISBLANK(D488),"",VLOOKUP(F488,'SIZE CALCULATION'!$F:$G,2,0))</f>
        <v/>
      </c>
      <c r="AG488" s="207" t="str">
        <f t="shared" si="75"/>
        <v/>
      </c>
      <c r="AH488" s="207" t="str">
        <f t="shared" si="78"/>
        <v/>
      </c>
      <c r="AI488" s="210" t="str">
        <f>IF(ISBLANK(D488),"",VLOOKUP($A488,INDEX!$D$2:$F$13,3,0))</f>
        <v/>
      </c>
      <c r="AJ488" s="207" t="str">
        <f t="shared" si="79"/>
        <v/>
      </c>
      <c r="AK488" s="207"/>
      <c r="AL488" s="207"/>
      <c r="AM488" s="207" t="str">
        <f>IFERROR(IF(ISBLANK($D488),"",VLOOKUP($N488,'TABLE CHARGE RATE'!$A$30:$K$106,5,0)),"Check")</f>
        <v/>
      </c>
      <c r="AN488" s="207" t="str">
        <f>IFERROR(IF(ISBLANK($D488),"",VLOOKUP($N488,'TABLE CHARGE RATE'!$A$30:$K$106,6,0)),"Check")</f>
        <v/>
      </c>
      <c r="AO488" s="207" t="str">
        <f>IFERROR(IF(ISBLANK($D488),"",VLOOKUP($N488,'TABLE CHARGE RATE'!$A$30:$K$106,7,0)),"Check")</f>
        <v/>
      </c>
      <c r="AP488" s="207" t="str">
        <f>IFERROR(IF(ISBLANK($D488),"",VLOOKUP($N488,'TABLE CHARGE RATE'!$A$30:$K$106,8,0)),"Check")</f>
        <v/>
      </c>
      <c r="AQ488" s="207" t="str">
        <f>IFERROR(IF(ISBLANK($D488),"",VLOOKUP($N488,'TABLE CHARGE RATE'!$A$30:$K$106,9,0)),"Check")</f>
        <v/>
      </c>
      <c r="AR488" s="207" t="str">
        <f>IFERROR(IF(ISBLANK($D488),"",VLOOKUP($N488,'TABLE CHARGE RATE'!$A$30:$K$106,10,0)),"Check")</f>
        <v/>
      </c>
      <c r="AS488" s="207" t="str">
        <f>IFERROR(IF(ISBLANK($D488),"",VLOOKUP($N488,'TABLE CHARGE RATE'!$A$30:$K$106,11,0)),"Check")</f>
        <v/>
      </c>
      <c r="AT488" s="207"/>
    </row>
    <row r="489" spans="1:46" x14ac:dyDescent="0.2">
      <c r="A489" s="207" t="str">
        <f t="shared" si="74"/>
        <v/>
      </c>
      <c r="B489" s="208" t="str">
        <f>IF(ISBLANK(D489),"",VLOOKUP(WEEKDAY($C489,1),INDEX!$J$2:$K$8,2,0))</f>
        <v/>
      </c>
      <c r="C489" s="209"/>
      <c r="D489" s="207"/>
      <c r="E489" s="207"/>
      <c r="F489" s="207"/>
      <c r="G489" s="207"/>
      <c r="H489" s="207"/>
      <c r="I489" s="207"/>
      <c r="J489" s="207"/>
      <c r="K489" s="207"/>
      <c r="L489" s="207"/>
      <c r="M489" s="207"/>
      <c r="N489" s="207"/>
      <c r="O489" s="207"/>
      <c r="P489" s="207"/>
      <c r="Q489" s="207"/>
      <c r="R489" s="207"/>
      <c r="S489" s="207"/>
      <c r="T489" s="207"/>
      <c r="U489" s="209"/>
      <c r="V489" s="207"/>
      <c r="W489" s="207"/>
      <c r="X489" s="209"/>
      <c r="Y489" s="209"/>
      <c r="Z489" s="207" t="str">
        <f t="shared" ca="1" si="76"/>
        <v/>
      </c>
      <c r="AA489" s="209" t="str">
        <f t="shared" si="80"/>
        <v/>
      </c>
      <c r="AB489" s="209"/>
      <c r="AC489" s="207" t="str">
        <f t="shared" ca="1" si="77"/>
        <v/>
      </c>
      <c r="AD489" s="207"/>
      <c r="AE489" s="207"/>
      <c r="AF489" s="208" t="str">
        <f>IF(ISBLANK(D489),"",VLOOKUP(F489,'SIZE CALCULATION'!$F:$G,2,0))</f>
        <v/>
      </c>
      <c r="AG489" s="207" t="str">
        <f t="shared" si="75"/>
        <v/>
      </c>
      <c r="AH489" s="207" t="str">
        <f t="shared" si="78"/>
        <v/>
      </c>
      <c r="AI489" s="210" t="str">
        <f>IF(ISBLANK(D489),"",VLOOKUP($A489,INDEX!$D$2:$F$13,3,0))</f>
        <v/>
      </c>
      <c r="AJ489" s="207" t="str">
        <f t="shared" si="79"/>
        <v/>
      </c>
      <c r="AK489" s="207"/>
      <c r="AL489" s="207"/>
      <c r="AM489" s="207" t="str">
        <f>IFERROR(IF(ISBLANK($D489),"",VLOOKUP($N489,'TABLE CHARGE RATE'!$A$30:$K$106,5,0)),"Check")</f>
        <v/>
      </c>
      <c r="AN489" s="207" t="str">
        <f>IFERROR(IF(ISBLANK($D489),"",VLOOKUP($N489,'TABLE CHARGE RATE'!$A$30:$K$106,6,0)),"Check")</f>
        <v/>
      </c>
      <c r="AO489" s="207" t="str">
        <f>IFERROR(IF(ISBLANK($D489),"",VLOOKUP($N489,'TABLE CHARGE RATE'!$A$30:$K$106,7,0)),"Check")</f>
        <v/>
      </c>
      <c r="AP489" s="207" t="str">
        <f>IFERROR(IF(ISBLANK($D489),"",VLOOKUP($N489,'TABLE CHARGE RATE'!$A$30:$K$106,8,0)),"Check")</f>
        <v/>
      </c>
      <c r="AQ489" s="207" t="str">
        <f>IFERROR(IF(ISBLANK($D489),"",VLOOKUP($N489,'TABLE CHARGE RATE'!$A$30:$K$106,9,0)),"Check")</f>
        <v/>
      </c>
      <c r="AR489" s="207" t="str">
        <f>IFERROR(IF(ISBLANK($D489),"",VLOOKUP($N489,'TABLE CHARGE RATE'!$A$30:$K$106,10,0)),"Check")</f>
        <v/>
      </c>
      <c r="AS489" s="207" t="str">
        <f>IFERROR(IF(ISBLANK($D489),"",VLOOKUP($N489,'TABLE CHARGE RATE'!$A$30:$K$106,11,0)),"Check")</f>
        <v/>
      </c>
      <c r="AT489" s="207"/>
    </row>
    <row r="490" spans="1:46" x14ac:dyDescent="0.2">
      <c r="A490" s="207" t="str">
        <f t="shared" ref="A490:A553" si="81">IF(ISBLANK(D490),"",MONTH(C490))</f>
        <v/>
      </c>
      <c r="B490" s="208" t="str">
        <f>IF(ISBLANK(D490),"",VLOOKUP(WEEKDAY($C490,1),INDEX!$J$2:$K$8,2,0))</f>
        <v/>
      </c>
      <c r="C490" s="209"/>
      <c r="D490" s="207"/>
      <c r="E490" s="207"/>
      <c r="F490" s="207"/>
      <c r="G490" s="207"/>
      <c r="H490" s="207"/>
      <c r="I490" s="207"/>
      <c r="J490" s="207"/>
      <c r="K490" s="207"/>
      <c r="L490" s="207"/>
      <c r="M490" s="207"/>
      <c r="N490" s="207"/>
      <c r="O490" s="207"/>
      <c r="P490" s="207"/>
      <c r="Q490" s="207"/>
      <c r="R490" s="207"/>
      <c r="S490" s="207"/>
      <c r="T490" s="207"/>
      <c r="U490" s="209"/>
      <c r="V490" s="207"/>
      <c r="W490" s="207"/>
      <c r="X490" s="209"/>
      <c r="Y490" s="209"/>
      <c r="Z490" s="207" t="str">
        <f t="shared" ca="1" si="76"/>
        <v/>
      </c>
      <c r="AA490" s="209" t="str">
        <f t="shared" si="80"/>
        <v/>
      </c>
      <c r="AB490" s="209"/>
      <c r="AC490" s="207" t="str">
        <f t="shared" ca="1" si="77"/>
        <v/>
      </c>
      <c r="AD490" s="207"/>
      <c r="AE490" s="207"/>
      <c r="AF490" s="208" t="str">
        <f>IF(ISBLANK(D490),"",VLOOKUP(F490,'SIZE CALCULATION'!$F:$G,2,0))</f>
        <v/>
      </c>
      <c r="AG490" s="207" t="str">
        <f t="shared" si="75"/>
        <v/>
      </c>
      <c r="AH490" s="207" t="str">
        <f t="shared" si="78"/>
        <v/>
      </c>
      <c r="AI490" s="210" t="str">
        <f>IF(ISBLANK(D490),"",VLOOKUP($A490,INDEX!$D$2:$F$13,3,0))</f>
        <v/>
      </c>
      <c r="AJ490" s="207" t="str">
        <f t="shared" si="79"/>
        <v/>
      </c>
      <c r="AK490" s="207"/>
      <c r="AL490" s="207"/>
      <c r="AM490" s="207" t="str">
        <f>IFERROR(IF(ISBLANK($D490),"",VLOOKUP($N490,'TABLE CHARGE RATE'!$A$30:$K$106,5,0)),"Check")</f>
        <v/>
      </c>
      <c r="AN490" s="207" t="str">
        <f>IFERROR(IF(ISBLANK($D490),"",VLOOKUP($N490,'TABLE CHARGE RATE'!$A$30:$K$106,6,0)),"Check")</f>
        <v/>
      </c>
      <c r="AO490" s="207" t="str">
        <f>IFERROR(IF(ISBLANK($D490),"",VLOOKUP($N490,'TABLE CHARGE RATE'!$A$30:$K$106,7,0)),"Check")</f>
        <v/>
      </c>
      <c r="AP490" s="207" t="str">
        <f>IFERROR(IF(ISBLANK($D490),"",VLOOKUP($N490,'TABLE CHARGE RATE'!$A$30:$K$106,8,0)),"Check")</f>
        <v/>
      </c>
      <c r="AQ490" s="207" t="str">
        <f>IFERROR(IF(ISBLANK($D490),"",VLOOKUP($N490,'TABLE CHARGE RATE'!$A$30:$K$106,9,0)),"Check")</f>
        <v/>
      </c>
      <c r="AR490" s="207" t="str">
        <f>IFERROR(IF(ISBLANK($D490),"",VLOOKUP($N490,'TABLE CHARGE RATE'!$A$30:$K$106,10,0)),"Check")</f>
        <v/>
      </c>
      <c r="AS490" s="207" t="str">
        <f>IFERROR(IF(ISBLANK($D490),"",VLOOKUP($N490,'TABLE CHARGE RATE'!$A$30:$K$106,11,0)),"Check")</f>
        <v/>
      </c>
      <c r="AT490" s="207"/>
    </row>
    <row r="491" spans="1:46" x14ac:dyDescent="0.2">
      <c r="A491" s="207" t="str">
        <f t="shared" si="81"/>
        <v/>
      </c>
      <c r="B491" s="208" t="str">
        <f>IF(ISBLANK(D491),"",VLOOKUP(WEEKDAY($C491,1),INDEX!$J$2:$K$8,2,0))</f>
        <v/>
      </c>
      <c r="C491" s="209"/>
      <c r="D491" s="207"/>
      <c r="E491" s="207"/>
      <c r="F491" s="207"/>
      <c r="G491" s="207"/>
      <c r="H491" s="207"/>
      <c r="I491" s="207"/>
      <c r="J491" s="207"/>
      <c r="K491" s="207"/>
      <c r="L491" s="207"/>
      <c r="M491" s="207"/>
      <c r="N491" s="207"/>
      <c r="O491" s="207"/>
      <c r="P491" s="207"/>
      <c r="Q491" s="207"/>
      <c r="R491" s="207"/>
      <c r="S491" s="207"/>
      <c r="T491" s="207"/>
      <c r="U491" s="209"/>
      <c r="V491" s="207"/>
      <c r="W491" s="207"/>
      <c r="X491" s="209"/>
      <c r="Y491" s="209"/>
      <c r="Z491" s="207" t="str">
        <f t="shared" ca="1" si="76"/>
        <v/>
      </c>
      <c r="AA491" s="209" t="str">
        <f t="shared" si="80"/>
        <v/>
      </c>
      <c r="AB491" s="209"/>
      <c r="AC491" s="207" t="str">
        <f t="shared" ca="1" si="77"/>
        <v/>
      </c>
      <c r="AD491" s="207"/>
      <c r="AE491" s="207"/>
      <c r="AF491" s="208" t="str">
        <f>IF(ISBLANK(D491),"",VLOOKUP(F491,'SIZE CALCULATION'!$F:$G,2,0))</f>
        <v/>
      </c>
      <c r="AG491" s="207" t="str">
        <f t="shared" si="75"/>
        <v/>
      </c>
      <c r="AH491" s="207" t="str">
        <f t="shared" si="78"/>
        <v/>
      </c>
      <c r="AI491" s="210" t="str">
        <f>IF(ISBLANK(D491),"",VLOOKUP($A491,INDEX!$D$2:$F$13,3,0))</f>
        <v/>
      </c>
      <c r="AJ491" s="207" t="str">
        <f t="shared" si="79"/>
        <v/>
      </c>
      <c r="AK491" s="207"/>
      <c r="AL491" s="207"/>
      <c r="AM491" s="207" t="str">
        <f>IFERROR(IF(ISBLANK($D491),"",VLOOKUP($N491,'TABLE CHARGE RATE'!$A$30:$K$106,5,0)),"Check")</f>
        <v/>
      </c>
      <c r="AN491" s="207" t="str">
        <f>IFERROR(IF(ISBLANK($D491),"",VLOOKUP($N491,'TABLE CHARGE RATE'!$A$30:$K$106,6,0)),"Check")</f>
        <v/>
      </c>
      <c r="AO491" s="207" t="str">
        <f>IFERROR(IF(ISBLANK($D491),"",VLOOKUP($N491,'TABLE CHARGE RATE'!$A$30:$K$106,7,0)),"Check")</f>
        <v/>
      </c>
      <c r="AP491" s="207" t="str">
        <f>IFERROR(IF(ISBLANK($D491),"",VLOOKUP($N491,'TABLE CHARGE RATE'!$A$30:$K$106,8,0)),"Check")</f>
        <v/>
      </c>
      <c r="AQ491" s="207" t="str">
        <f>IFERROR(IF(ISBLANK($D491),"",VLOOKUP($N491,'TABLE CHARGE RATE'!$A$30:$K$106,9,0)),"Check")</f>
        <v/>
      </c>
      <c r="AR491" s="207" t="str">
        <f>IFERROR(IF(ISBLANK($D491),"",VLOOKUP($N491,'TABLE CHARGE RATE'!$A$30:$K$106,10,0)),"Check")</f>
        <v/>
      </c>
      <c r="AS491" s="207" t="str">
        <f>IFERROR(IF(ISBLANK($D491),"",VLOOKUP($N491,'TABLE CHARGE RATE'!$A$30:$K$106,11,0)),"Check")</f>
        <v/>
      </c>
      <c r="AT491" s="207"/>
    </row>
    <row r="492" spans="1:46" x14ac:dyDescent="0.2">
      <c r="A492" s="207" t="str">
        <f t="shared" si="81"/>
        <v/>
      </c>
      <c r="B492" s="208" t="str">
        <f>IF(ISBLANK(D492),"",VLOOKUP(WEEKDAY($C492,1),INDEX!$J$2:$K$8,2,0))</f>
        <v/>
      </c>
      <c r="C492" s="209"/>
      <c r="D492" s="207"/>
      <c r="E492" s="207"/>
      <c r="F492" s="207"/>
      <c r="G492" s="207"/>
      <c r="H492" s="207"/>
      <c r="I492" s="207"/>
      <c r="J492" s="207"/>
      <c r="K492" s="207"/>
      <c r="L492" s="207"/>
      <c r="M492" s="207"/>
      <c r="N492" s="207"/>
      <c r="O492" s="207"/>
      <c r="P492" s="207"/>
      <c r="Q492" s="207"/>
      <c r="R492" s="207"/>
      <c r="S492" s="207"/>
      <c r="T492" s="207"/>
      <c r="U492" s="209"/>
      <c r="V492" s="207"/>
      <c r="W492" s="207"/>
      <c r="X492" s="209"/>
      <c r="Y492" s="209"/>
      <c r="Z492" s="207" t="str">
        <f t="shared" ca="1" si="76"/>
        <v/>
      </c>
      <c r="AA492" s="209" t="str">
        <f t="shared" si="80"/>
        <v/>
      </c>
      <c r="AB492" s="209"/>
      <c r="AC492" s="207" t="str">
        <f t="shared" ca="1" si="77"/>
        <v/>
      </c>
      <c r="AD492" s="207"/>
      <c r="AE492" s="207"/>
      <c r="AF492" s="208" t="str">
        <f>IF(ISBLANK(D492),"",VLOOKUP(F492,'SIZE CALCULATION'!$F:$G,2,0))</f>
        <v/>
      </c>
      <c r="AG492" s="207" t="str">
        <f t="shared" si="75"/>
        <v/>
      </c>
      <c r="AH492" s="207" t="str">
        <f t="shared" si="78"/>
        <v/>
      </c>
      <c r="AI492" s="210" t="str">
        <f>IF(ISBLANK(D492),"",VLOOKUP($A492,INDEX!$D$2:$F$13,3,0))</f>
        <v/>
      </c>
      <c r="AJ492" s="207" t="str">
        <f t="shared" si="79"/>
        <v/>
      </c>
      <c r="AK492" s="207"/>
      <c r="AL492" s="207"/>
      <c r="AM492" s="207" t="str">
        <f>IFERROR(IF(ISBLANK($D492),"",VLOOKUP($N492,'TABLE CHARGE RATE'!$A$30:$K$106,5,0)),"Check")</f>
        <v/>
      </c>
      <c r="AN492" s="207" t="str">
        <f>IFERROR(IF(ISBLANK($D492),"",VLOOKUP($N492,'TABLE CHARGE RATE'!$A$30:$K$106,6,0)),"Check")</f>
        <v/>
      </c>
      <c r="AO492" s="207" t="str">
        <f>IFERROR(IF(ISBLANK($D492),"",VLOOKUP($N492,'TABLE CHARGE RATE'!$A$30:$K$106,7,0)),"Check")</f>
        <v/>
      </c>
      <c r="AP492" s="207" t="str">
        <f>IFERROR(IF(ISBLANK($D492),"",VLOOKUP($N492,'TABLE CHARGE RATE'!$A$30:$K$106,8,0)),"Check")</f>
        <v/>
      </c>
      <c r="AQ492" s="207" t="str">
        <f>IFERROR(IF(ISBLANK($D492),"",VLOOKUP($N492,'TABLE CHARGE RATE'!$A$30:$K$106,9,0)),"Check")</f>
        <v/>
      </c>
      <c r="AR492" s="207" t="str">
        <f>IFERROR(IF(ISBLANK($D492),"",VLOOKUP($N492,'TABLE CHARGE RATE'!$A$30:$K$106,10,0)),"Check")</f>
        <v/>
      </c>
      <c r="AS492" s="207" t="str">
        <f>IFERROR(IF(ISBLANK($D492),"",VLOOKUP($N492,'TABLE CHARGE RATE'!$A$30:$K$106,11,0)),"Check")</f>
        <v/>
      </c>
      <c r="AT492" s="207"/>
    </row>
    <row r="493" spans="1:46" x14ac:dyDescent="0.2">
      <c r="A493" s="207" t="str">
        <f t="shared" si="81"/>
        <v/>
      </c>
      <c r="B493" s="208" t="str">
        <f>IF(ISBLANK(D493),"",VLOOKUP(WEEKDAY($C493,1),INDEX!$J$2:$K$8,2,0))</f>
        <v/>
      </c>
      <c r="C493" s="209"/>
      <c r="D493" s="207"/>
      <c r="E493" s="207"/>
      <c r="F493" s="207"/>
      <c r="G493" s="207"/>
      <c r="H493" s="207"/>
      <c r="I493" s="207"/>
      <c r="J493" s="207"/>
      <c r="K493" s="207"/>
      <c r="L493" s="207"/>
      <c r="M493" s="207"/>
      <c r="N493" s="207"/>
      <c r="O493" s="207"/>
      <c r="P493" s="207"/>
      <c r="Q493" s="207"/>
      <c r="R493" s="207"/>
      <c r="S493" s="207"/>
      <c r="T493" s="207"/>
      <c r="U493" s="209"/>
      <c r="V493" s="207"/>
      <c r="W493" s="207"/>
      <c r="X493" s="209"/>
      <c r="Y493" s="209"/>
      <c r="Z493" s="207" t="str">
        <f t="shared" ca="1" si="76"/>
        <v/>
      </c>
      <c r="AA493" s="209" t="str">
        <f t="shared" si="80"/>
        <v/>
      </c>
      <c r="AB493" s="209"/>
      <c r="AC493" s="207" t="str">
        <f t="shared" ca="1" si="77"/>
        <v/>
      </c>
      <c r="AD493" s="207"/>
      <c r="AE493" s="207"/>
      <c r="AF493" s="208" t="str">
        <f>IF(ISBLANK(D493),"",VLOOKUP(F493,'SIZE CALCULATION'!$F:$G,2,0))</f>
        <v/>
      </c>
      <c r="AG493" s="207" t="str">
        <f t="shared" si="75"/>
        <v/>
      </c>
      <c r="AH493" s="207" t="str">
        <f t="shared" si="78"/>
        <v/>
      </c>
      <c r="AI493" s="210" t="str">
        <f>IF(ISBLANK(D493),"",VLOOKUP($A493,INDEX!$D$2:$F$13,3,0))</f>
        <v/>
      </c>
      <c r="AJ493" s="207" t="str">
        <f t="shared" si="79"/>
        <v/>
      </c>
      <c r="AK493" s="207"/>
      <c r="AL493" s="207"/>
      <c r="AM493" s="207" t="str">
        <f>IFERROR(IF(ISBLANK($D493),"",VLOOKUP($N493,'TABLE CHARGE RATE'!$A$30:$K$106,5,0)),"Check")</f>
        <v/>
      </c>
      <c r="AN493" s="207" t="str">
        <f>IFERROR(IF(ISBLANK($D493),"",VLOOKUP($N493,'TABLE CHARGE RATE'!$A$30:$K$106,6,0)),"Check")</f>
        <v/>
      </c>
      <c r="AO493" s="207" t="str">
        <f>IFERROR(IF(ISBLANK($D493),"",VLOOKUP($N493,'TABLE CHARGE RATE'!$A$30:$K$106,7,0)),"Check")</f>
        <v/>
      </c>
      <c r="AP493" s="207" t="str">
        <f>IFERROR(IF(ISBLANK($D493),"",VLOOKUP($N493,'TABLE CHARGE RATE'!$A$30:$K$106,8,0)),"Check")</f>
        <v/>
      </c>
      <c r="AQ493" s="207" t="str">
        <f>IFERROR(IF(ISBLANK($D493),"",VLOOKUP($N493,'TABLE CHARGE RATE'!$A$30:$K$106,9,0)),"Check")</f>
        <v/>
      </c>
      <c r="AR493" s="207" t="str">
        <f>IFERROR(IF(ISBLANK($D493),"",VLOOKUP($N493,'TABLE CHARGE RATE'!$A$30:$K$106,10,0)),"Check")</f>
        <v/>
      </c>
      <c r="AS493" s="207" t="str">
        <f>IFERROR(IF(ISBLANK($D493),"",VLOOKUP($N493,'TABLE CHARGE RATE'!$A$30:$K$106,11,0)),"Check")</f>
        <v/>
      </c>
      <c r="AT493" s="207"/>
    </row>
    <row r="494" spans="1:46" x14ac:dyDescent="0.2">
      <c r="A494" s="207" t="str">
        <f t="shared" si="81"/>
        <v/>
      </c>
      <c r="B494" s="208" t="str">
        <f>IF(ISBLANK(D494),"",VLOOKUP(WEEKDAY($C494,1),INDEX!$J$2:$K$8,2,0))</f>
        <v/>
      </c>
      <c r="C494" s="209"/>
      <c r="D494" s="207"/>
      <c r="E494" s="207"/>
      <c r="F494" s="207"/>
      <c r="G494" s="207"/>
      <c r="H494" s="207"/>
      <c r="I494" s="207"/>
      <c r="J494" s="207"/>
      <c r="K494" s="207"/>
      <c r="L494" s="207"/>
      <c r="M494" s="207"/>
      <c r="N494" s="207"/>
      <c r="O494" s="207"/>
      <c r="P494" s="207"/>
      <c r="Q494" s="207"/>
      <c r="R494" s="207"/>
      <c r="S494" s="207"/>
      <c r="T494" s="207"/>
      <c r="U494" s="209"/>
      <c r="V494" s="207"/>
      <c r="W494" s="207"/>
      <c r="X494" s="209"/>
      <c r="Y494" s="209"/>
      <c r="Z494" s="207" t="str">
        <f t="shared" ca="1" si="76"/>
        <v/>
      </c>
      <c r="AA494" s="209" t="str">
        <f t="shared" si="80"/>
        <v/>
      </c>
      <c r="AB494" s="209"/>
      <c r="AC494" s="207" t="str">
        <f t="shared" ca="1" si="77"/>
        <v/>
      </c>
      <c r="AD494" s="207"/>
      <c r="AE494" s="207"/>
      <c r="AF494" s="208" t="str">
        <f>IF(ISBLANK(D494),"",VLOOKUP(F494,'SIZE CALCULATION'!$F:$G,2,0))</f>
        <v/>
      </c>
      <c r="AG494" s="207" t="str">
        <f t="shared" si="75"/>
        <v/>
      </c>
      <c r="AH494" s="207" t="str">
        <f t="shared" si="78"/>
        <v/>
      </c>
      <c r="AI494" s="210" t="str">
        <f>IF(ISBLANK(D494),"",VLOOKUP($A494,INDEX!$D$2:$F$13,3,0))</f>
        <v/>
      </c>
      <c r="AJ494" s="207" t="str">
        <f t="shared" si="79"/>
        <v/>
      </c>
      <c r="AK494" s="207"/>
      <c r="AL494" s="207"/>
      <c r="AM494" s="207" t="str">
        <f>IFERROR(IF(ISBLANK($D494),"",VLOOKUP($N494,'TABLE CHARGE RATE'!$A$30:$K$106,5,0)),"Check")</f>
        <v/>
      </c>
      <c r="AN494" s="207" t="str">
        <f>IFERROR(IF(ISBLANK($D494),"",VLOOKUP($N494,'TABLE CHARGE RATE'!$A$30:$K$106,6,0)),"Check")</f>
        <v/>
      </c>
      <c r="AO494" s="207" t="str">
        <f>IFERROR(IF(ISBLANK($D494),"",VLOOKUP($N494,'TABLE CHARGE RATE'!$A$30:$K$106,7,0)),"Check")</f>
        <v/>
      </c>
      <c r="AP494" s="207" t="str">
        <f>IFERROR(IF(ISBLANK($D494),"",VLOOKUP($N494,'TABLE CHARGE RATE'!$A$30:$K$106,8,0)),"Check")</f>
        <v/>
      </c>
      <c r="AQ494" s="207" t="str">
        <f>IFERROR(IF(ISBLANK($D494),"",VLOOKUP($N494,'TABLE CHARGE RATE'!$A$30:$K$106,9,0)),"Check")</f>
        <v/>
      </c>
      <c r="AR494" s="207" t="str">
        <f>IFERROR(IF(ISBLANK($D494),"",VLOOKUP($N494,'TABLE CHARGE RATE'!$A$30:$K$106,10,0)),"Check")</f>
        <v/>
      </c>
      <c r="AS494" s="207" t="str">
        <f>IFERROR(IF(ISBLANK($D494),"",VLOOKUP($N494,'TABLE CHARGE RATE'!$A$30:$K$106,11,0)),"Check")</f>
        <v/>
      </c>
      <c r="AT494" s="207"/>
    </row>
    <row r="495" spans="1:46" x14ac:dyDescent="0.2">
      <c r="A495" s="207" t="str">
        <f t="shared" si="81"/>
        <v/>
      </c>
      <c r="B495" s="208" t="str">
        <f>IF(ISBLANK(D495),"",VLOOKUP(WEEKDAY($C495,1),INDEX!$J$2:$K$8,2,0))</f>
        <v/>
      </c>
      <c r="C495" s="209"/>
      <c r="D495" s="207"/>
      <c r="E495" s="207"/>
      <c r="F495" s="207"/>
      <c r="G495" s="207"/>
      <c r="H495" s="207"/>
      <c r="I495" s="207"/>
      <c r="J495" s="207"/>
      <c r="K495" s="207"/>
      <c r="L495" s="207"/>
      <c r="M495" s="207"/>
      <c r="N495" s="207"/>
      <c r="O495" s="207"/>
      <c r="P495" s="207"/>
      <c r="Q495" s="207"/>
      <c r="R495" s="207"/>
      <c r="S495" s="207"/>
      <c r="T495" s="207"/>
      <c r="U495" s="209"/>
      <c r="V495" s="207"/>
      <c r="W495" s="207"/>
      <c r="X495" s="209"/>
      <c r="Y495" s="209"/>
      <c r="Z495" s="207" t="str">
        <f t="shared" ca="1" si="76"/>
        <v/>
      </c>
      <c r="AA495" s="209" t="str">
        <f t="shared" si="80"/>
        <v/>
      </c>
      <c r="AB495" s="209"/>
      <c r="AC495" s="207" t="str">
        <f t="shared" ca="1" si="77"/>
        <v/>
      </c>
      <c r="AD495" s="207"/>
      <c r="AE495" s="207"/>
      <c r="AF495" s="208" t="str">
        <f>IF(ISBLANK(D495),"",VLOOKUP(F495,'SIZE CALCULATION'!$F:$G,2,0))</f>
        <v/>
      </c>
      <c r="AG495" s="207" t="str">
        <f t="shared" si="75"/>
        <v/>
      </c>
      <c r="AH495" s="207" t="str">
        <f t="shared" si="78"/>
        <v/>
      </c>
      <c r="AI495" s="210" t="str">
        <f>IF(ISBLANK(D495),"",VLOOKUP($A495,INDEX!$D$2:$F$13,3,0))</f>
        <v/>
      </c>
      <c r="AJ495" s="207" t="str">
        <f t="shared" si="79"/>
        <v/>
      </c>
      <c r="AK495" s="207"/>
      <c r="AL495" s="207"/>
      <c r="AM495" s="207" t="str">
        <f>IFERROR(IF(ISBLANK($D495),"",VLOOKUP($N495,'TABLE CHARGE RATE'!$A$30:$K$106,5,0)),"Check")</f>
        <v/>
      </c>
      <c r="AN495" s="207" t="str">
        <f>IFERROR(IF(ISBLANK($D495),"",VLOOKUP($N495,'TABLE CHARGE RATE'!$A$30:$K$106,6,0)),"Check")</f>
        <v/>
      </c>
      <c r="AO495" s="207" t="str">
        <f>IFERROR(IF(ISBLANK($D495),"",VLOOKUP($N495,'TABLE CHARGE RATE'!$A$30:$K$106,7,0)),"Check")</f>
        <v/>
      </c>
      <c r="AP495" s="207" t="str">
        <f>IFERROR(IF(ISBLANK($D495),"",VLOOKUP($N495,'TABLE CHARGE RATE'!$A$30:$K$106,8,0)),"Check")</f>
        <v/>
      </c>
      <c r="AQ495" s="207" t="str">
        <f>IFERROR(IF(ISBLANK($D495),"",VLOOKUP($N495,'TABLE CHARGE RATE'!$A$30:$K$106,9,0)),"Check")</f>
        <v/>
      </c>
      <c r="AR495" s="207" t="str">
        <f>IFERROR(IF(ISBLANK($D495),"",VLOOKUP($N495,'TABLE CHARGE RATE'!$A$30:$K$106,10,0)),"Check")</f>
        <v/>
      </c>
      <c r="AS495" s="207" t="str">
        <f>IFERROR(IF(ISBLANK($D495),"",VLOOKUP($N495,'TABLE CHARGE RATE'!$A$30:$K$106,11,0)),"Check")</f>
        <v/>
      </c>
      <c r="AT495" s="207"/>
    </row>
    <row r="496" spans="1:46" x14ac:dyDescent="0.2">
      <c r="A496" s="207" t="str">
        <f t="shared" si="81"/>
        <v/>
      </c>
      <c r="B496" s="208" t="str">
        <f>IF(ISBLANK(D496),"",VLOOKUP(WEEKDAY($C496,1),INDEX!$J$2:$K$8,2,0))</f>
        <v/>
      </c>
      <c r="C496" s="209"/>
      <c r="D496" s="207"/>
      <c r="E496" s="207"/>
      <c r="F496" s="207"/>
      <c r="G496" s="207"/>
      <c r="H496" s="207"/>
      <c r="I496" s="207"/>
      <c r="J496" s="207"/>
      <c r="K496" s="207"/>
      <c r="L496" s="207"/>
      <c r="M496" s="207"/>
      <c r="N496" s="207"/>
      <c r="O496" s="207"/>
      <c r="P496" s="207"/>
      <c r="Q496" s="207"/>
      <c r="R496" s="207"/>
      <c r="S496" s="207"/>
      <c r="T496" s="207"/>
      <c r="U496" s="209"/>
      <c r="V496" s="207"/>
      <c r="W496" s="207"/>
      <c r="X496" s="209"/>
      <c r="Y496" s="209"/>
      <c r="Z496" s="207" t="str">
        <f t="shared" ca="1" si="76"/>
        <v/>
      </c>
      <c r="AA496" s="209" t="str">
        <f t="shared" si="80"/>
        <v/>
      </c>
      <c r="AB496" s="209"/>
      <c r="AC496" s="207" t="str">
        <f t="shared" ca="1" si="77"/>
        <v/>
      </c>
      <c r="AD496" s="207"/>
      <c r="AE496" s="207"/>
      <c r="AF496" s="208" t="str">
        <f>IF(ISBLANK(D496),"",VLOOKUP(F496,'SIZE CALCULATION'!$F:$G,2,0))</f>
        <v/>
      </c>
      <c r="AG496" s="207" t="str">
        <f t="shared" si="75"/>
        <v/>
      </c>
      <c r="AH496" s="207" t="str">
        <f t="shared" si="78"/>
        <v/>
      </c>
      <c r="AI496" s="210" t="str">
        <f>IF(ISBLANK(D496),"",VLOOKUP($A496,INDEX!$D$2:$F$13,3,0))</f>
        <v/>
      </c>
      <c r="AJ496" s="207" t="str">
        <f t="shared" si="79"/>
        <v/>
      </c>
      <c r="AK496" s="207"/>
      <c r="AL496" s="207"/>
      <c r="AM496" s="207" t="str">
        <f>IFERROR(IF(ISBLANK($D496),"",VLOOKUP($N496,'TABLE CHARGE RATE'!$A$30:$K$106,5,0)),"Check")</f>
        <v/>
      </c>
      <c r="AN496" s="207" t="str">
        <f>IFERROR(IF(ISBLANK($D496),"",VLOOKUP($N496,'TABLE CHARGE RATE'!$A$30:$K$106,6,0)),"Check")</f>
        <v/>
      </c>
      <c r="AO496" s="207" t="str">
        <f>IFERROR(IF(ISBLANK($D496),"",VLOOKUP($N496,'TABLE CHARGE RATE'!$A$30:$K$106,7,0)),"Check")</f>
        <v/>
      </c>
      <c r="AP496" s="207" t="str">
        <f>IFERROR(IF(ISBLANK($D496),"",VLOOKUP($N496,'TABLE CHARGE RATE'!$A$30:$K$106,8,0)),"Check")</f>
        <v/>
      </c>
      <c r="AQ496" s="207" t="str">
        <f>IFERROR(IF(ISBLANK($D496),"",VLOOKUP($N496,'TABLE CHARGE RATE'!$A$30:$K$106,9,0)),"Check")</f>
        <v/>
      </c>
      <c r="AR496" s="207" t="str">
        <f>IFERROR(IF(ISBLANK($D496),"",VLOOKUP($N496,'TABLE CHARGE RATE'!$A$30:$K$106,10,0)),"Check")</f>
        <v/>
      </c>
      <c r="AS496" s="207" t="str">
        <f>IFERROR(IF(ISBLANK($D496),"",VLOOKUP($N496,'TABLE CHARGE RATE'!$A$30:$K$106,11,0)),"Check")</f>
        <v/>
      </c>
      <c r="AT496" s="207"/>
    </row>
    <row r="497" spans="1:46" x14ac:dyDescent="0.2">
      <c r="A497" s="207" t="str">
        <f t="shared" si="81"/>
        <v/>
      </c>
      <c r="B497" s="208" t="str">
        <f>IF(ISBLANK(D497),"",VLOOKUP(WEEKDAY($C497,1),INDEX!$J$2:$K$8,2,0))</f>
        <v/>
      </c>
      <c r="C497" s="209"/>
      <c r="D497" s="207"/>
      <c r="E497" s="207"/>
      <c r="F497" s="207"/>
      <c r="G497" s="207"/>
      <c r="H497" s="207"/>
      <c r="I497" s="207"/>
      <c r="J497" s="207"/>
      <c r="K497" s="207"/>
      <c r="L497" s="207"/>
      <c r="M497" s="207"/>
      <c r="N497" s="207"/>
      <c r="O497" s="207"/>
      <c r="P497" s="207"/>
      <c r="Q497" s="207"/>
      <c r="R497" s="207"/>
      <c r="S497" s="207"/>
      <c r="T497" s="207"/>
      <c r="U497" s="209"/>
      <c r="V497" s="207"/>
      <c r="W497" s="207"/>
      <c r="X497" s="209"/>
      <c r="Y497" s="209"/>
      <c r="Z497" s="207" t="str">
        <f t="shared" ca="1" si="76"/>
        <v/>
      </c>
      <c r="AA497" s="209" t="str">
        <f t="shared" si="80"/>
        <v/>
      </c>
      <c r="AB497" s="209"/>
      <c r="AC497" s="207" t="str">
        <f t="shared" ca="1" si="77"/>
        <v/>
      </c>
      <c r="AD497" s="207"/>
      <c r="AE497" s="207"/>
      <c r="AF497" s="208" t="str">
        <f>IF(ISBLANK(D497),"",VLOOKUP(F497,'SIZE CALCULATION'!$F:$G,2,0))</f>
        <v/>
      </c>
      <c r="AG497" s="207" t="str">
        <f t="shared" si="75"/>
        <v/>
      </c>
      <c r="AH497" s="207" t="str">
        <f t="shared" si="78"/>
        <v/>
      </c>
      <c r="AI497" s="210" t="str">
        <f>IF(ISBLANK(D497),"",VLOOKUP($A497,INDEX!$D$2:$F$13,3,0))</f>
        <v/>
      </c>
      <c r="AJ497" s="207" t="str">
        <f t="shared" si="79"/>
        <v/>
      </c>
      <c r="AK497" s="207"/>
      <c r="AL497" s="207"/>
      <c r="AM497" s="207" t="str">
        <f>IFERROR(IF(ISBLANK($D497),"",VLOOKUP($N497,'TABLE CHARGE RATE'!$A$30:$K$106,5,0)),"Check")</f>
        <v/>
      </c>
      <c r="AN497" s="207" t="str">
        <f>IFERROR(IF(ISBLANK($D497),"",VLOOKUP($N497,'TABLE CHARGE RATE'!$A$30:$K$106,6,0)),"Check")</f>
        <v/>
      </c>
      <c r="AO497" s="207" t="str">
        <f>IFERROR(IF(ISBLANK($D497),"",VLOOKUP($N497,'TABLE CHARGE RATE'!$A$30:$K$106,7,0)),"Check")</f>
        <v/>
      </c>
      <c r="AP497" s="207" t="str">
        <f>IFERROR(IF(ISBLANK($D497),"",VLOOKUP($N497,'TABLE CHARGE RATE'!$A$30:$K$106,8,0)),"Check")</f>
        <v/>
      </c>
      <c r="AQ497" s="207" t="str">
        <f>IFERROR(IF(ISBLANK($D497),"",VLOOKUP($N497,'TABLE CHARGE RATE'!$A$30:$K$106,9,0)),"Check")</f>
        <v/>
      </c>
      <c r="AR497" s="207" t="str">
        <f>IFERROR(IF(ISBLANK($D497),"",VLOOKUP($N497,'TABLE CHARGE RATE'!$A$30:$K$106,10,0)),"Check")</f>
        <v/>
      </c>
      <c r="AS497" s="207" t="str">
        <f>IFERROR(IF(ISBLANK($D497),"",VLOOKUP($N497,'TABLE CHARGE RATE'!$A$30:$K$106,11,0)),"Check")</f>
        <v/>
      </c>
      <c r="AT497" s="207"/>
    </row>
    <row r="498" spans="1:46" x14ac:dyDescent="0.2">
      <c r="A498" s="207" t="str">
        <f t="shared" si="81"/>
        <v/>
      </c>
      <c r="B498" s="208" t="str">
        <f>IF(ISBLANK(D498),"",VLOOKUP(WEEKDAY($C498,1),INDEX!$J$2:$K$8,2,0))</f>
        <v/>
      </c>
      <c r="C498" s="209"/>
      <c r="D498" s="207"/>
      <c r="E498" s="207"/>
      <c r="F498" s="207"/>
      <c r="G498" s="207"/>
      <c r="H498" s="207"/>
      <c r="I498" s="207"/>
      <c r="J498" s="207"/>
      <c r="K498" s="207"/>
      <c r="L498" s="207"/>
      <c r="M498" s="207"/>
      <c r="N498" s="207"/>
      <c r="O498" s="207"/>
      <c r="P498" s="207"/>
      <c r="Q498" s="207"/>
      <c r="R498" s="207"/>
      <c r="S498" s="207"/>
      <c r="T498" s="207"/>
      <c r="U498" s="209"/>
      <c r="V498" s="207"/>
      <c r="W498" s="207"/>
      <c r="X498" s="209"/>
      <c r="Y498" s="209"/>
      <c r="Z498" s="207" t="str">
        <f t="shared" ca="1" si="76"/>
        <v/>
      </c>
      <c r="AA498" s="209" t="str">
        <f t="shared" si="80"/>
        <v/>
      </c>
      <c r="AB498" s="209"/>
      <c r="AC498" s="207" t="str">
        <f t="shared" ca="1" si="77"/>
        <v/>
      </c>
      <c r="AD498" s="207"/>
      <c r="AE498" s="207"/>
      <c r="AF498" s="208" t="str">
        <f>IF(ISBLANK(D498),"",VLOOKUP(F498,'SIZE CALCULATION'!$F:$G,2,0))</f>
        <v/>
      </c>
      <c r="AG498" s="207" t="str">
        <f t="shared" si="75"/>
        <v/>
      </c>
      <c r="AH498" s="207" t="str">
        <f t="shared" si="78"/>
        <v/>
      </c>
      <c r="AI498" s="210" t="str">
        <f>IF(ISBLANK(D498),"",VLOOKUP($A498,INDEX!$D$2:$F$13,3,0))</f>
        <v/>
      </c>
      <c r="AJ498" s="207" t="str">
        <f t="shared" si="79"/>
        <v/>
      </c>
      <c r="AK498" s="207"/>
      <c r="AL498" s="207"/>
      <c r="AM498" s="207" t="str">
        <f>IFERROR(IF(ISBLANK($D498),"",VLOOKUP($N498,'TABLE CHARGE RATE'!$A$30:$K$106,5,0)),"Check")</f>
        <v/>
      </c>
      <c r="AN498" s="207" t="str">
        <f>IFERROR(IF(ISBLANK($D498),"",VLOOKUP($N498,'TABLE CHARGE RATE'!$A$30:$K$106,6,0)),"Check")</f>
        <v/>
      </c>
      <c r="AO498" s="207" t="str">
        <f>IFERROR(IF(ISBLANK($D498),"",VLOOKUP($N498,'TABLE CHARGE RATE'!$A$30:$K$106,7,0)),"Check")</f>
        <v/>
      </c>
      <c r="AP498" s="207" t="str">
        <f>IFERROR(IF(ISBLANK($D498),"",VLOOKUP($N498,'TABLE CHARGE RATE'!$A$30:$K$106,8,0)),"Check")</f>
        <v/>
      </c>
      <c r="AQ498" s="207" t="str">
        <f>IFERROR(IF(ISBLANK($D498),"",VLOOKUP($N498,'TABLE CHARGE RATE'!$A$30:$K$106,9,0)),"Check")</f>
        <v/>
      </c>
      <c r="AR498" s="207" t="str">
        <f>IFERROR(IF(ISBLANK($D498),"",VLOOKUP($N498,'TABLE CHARGE RATE'!$A$30:$K$106,10,0)),"Check")</f>
        <v/>
      </c>
      <c r="AS498" s="207" t="str">
        <f>IFERROR(IF(ISBLANK($D498),"",VLOOKUP($N498,'TABLE CHARGE RATE'!$A$30:$K$106,11,0)),"Check")</f>
        <v/>
      </c>
      <c r="AT498" s="207"/>
    </row>
    <row r="499" spans="1:46" x14ac:dyDescent="0.2">
      <c r="A499" s="207" t="str">
        <f t="shared" si="81"/>
        <v/>
      </c>
      <c r="B499" s="208" t="str">
        <f>IF(ISBLANK(D499),"",VLOOKUP(WEEKDAY($C499,1),INDEX!$J$2:$K$8,2,0))</f>
        <v/>
      </c>
      <c r="C499" s="209"/>
      <c r="D499" s="207"/>
      <c r="E499" s="207"/>
      <c r="F499" s="207"/>
      <c r="G499" s="207"/>
      <c r="H499" s="207"/>
      <c r="I499" s="207"/>
      <c r="J499" s="207"/>
      <c r="K499" s="207"/>
      <c r="L499" s="207"/>
      <c r="M499" s="207"/>
      <c r="N499" s="207"/>
      <c r="O499" s="207"/>
      <c r="P499" s="207"/>
      <c r="Q499" s="207"/>
      <c r="R499" s="207"/>
      <c r="S499" s="207"/>
      <c r="T499" s="207"/>
      <c r="U499" s="209"/>
      <c r="V499" s="207"/>
      <c r="W499" s="207"/>
      <c r="X499" s="209"/>
      <c r="Y499" s="209"/>
      <c r="Z499" s="207" t="str">
        <f t="shared" ca="1" si="76"/>
        <v/>
      </c>
      <c r="AA499" s="209" t="str">
        <f t="shared" si="80"/>
        <v/>
      </c>
      <c r="AB499" s="209"/>
      <c r="AC499" s="207" t="str">
        <f t="shared" ca="1" si="77"/>
        <v/>
      </c>
      <c r="AD499" s="207"/>
      <c r="AE499" s="207"/>
      <c r="AF499" s="208" t="str">
        <f>IF(ISBLANK(D499),"",VLOOKUP(F499,'SIZE CALCULATION'!$F:$G,2,0))</f>
        <v/>
      </c>
      <c r="AG499" s="207" t="str">
        <f t="shared" ref="AG499:AG562" si="82">IF(ISBLANK(D499),"",HLOOKUP($AF499,$AM$1:$AR$966,$AT499,0))</f>
        <v/>
      </c>
      <c r="AH499" s="207" t="str">
        <f t="shared" si="78"/>
        <v/>
      </c>
      <c r="AI499" s="210" t="str">
        <f>IF(ISBLANK(D499),"",VLOOKUP($A499,INDEX!$D$2:$F$13,3,0))</f>
        <v/>
      </c>
      <c r="AJ499" s="207" t="str">
        <f t="shared" si="79"/>
        <v/>
      </c>
      <c r="AK499" s="207"/>
      <c r="AL499" s="207"/>
      <c r="AM499" s="207" t="str">
        <f>IFERROR(IF(ISBLANK($D499),"",VLOOKUP($N499,'TABLE CHARGE RATE'!$A$30:$K$106,5,0)),"Check")</f>
        <v/>
      </c>
      <c r="AN499" s="207" t="str">
        <f>IFERROR(IF(ISBLANK($D499),"",VLOOKUP($N499,'TABLE CHARGE RATE'!$A$30:$K$106,6,0)),"Check")</f>
        <v/>
      </c>
      <c r="AO499" s="207" t="str">
        <f>IFERROR(IF(ISBLANK($D499),"",VLOOKUP($N499,'TABLE CHARGE RATE'!$A$30:$K$106,7,0)),"Check")</f>
        <v/>
      </c>
      <c r="AP499" s="207" t="str">
        <f>IFERROR(IF(ISBLANK($D499),"",VLOOKUP($N499,'TABLE CHARGE RATE'!$A$30:$K$106,8,0)),"Check")</f>
        <v/>
      </c>
      <c r="AQ499" s="207" t="str">
        <f>IFERROR(IF(ISBLANK($D499),"",VLOOKUP($N499,'TABLE CHARGE RATE'!$A$30:$K$106,9,0)),"Check")</f>
        <v/>
      </c>
      <c r="AR499" s="207" t="str">
        <f>IFERROR(IF(ISBLANK($D499),"",VLOOKUP($N499,'TABLE CHARGE RATE'!$A$30:$K$106,10,0)),"Check")</f>
        <v/>
      </c>
      <c r="AS499" s="207" t="str">
        <f>IFERROR(IF(ISBLANK($D499),"",VLOOKUP($N499,'TABLE CHARGE RATE'!$A$30:$K$106,11,0)),"Check")</f>
        <v/>
      </c>
      <c r="AT499" s="207"/>
    </row>
    <row r="500" spans="1:46" x14ac:dyDescent="0.2">
      <c r="A500" s="207" t="str">
        <f t="shared" si="81"/>
        <v/>
      </c>
      <c r="B500" s="208" t="str">
        <f>IF(ISBLANK(D500),"",VLOOKUP(WEEKDAY($C500,1),INDEX!$J$2:$K$8,2,0))</f>
        <v/>
      </c>
      <c r="C500" s="209"/>
      <c r="D500" s="207"/>
      <c r="E500" s="207"/>
      <c r="F500" s="207"/>
      <c r="G500" s="207"/>
      <c r="H500" s="207"/>
      <c r="I500" s="207"/>
      <c r="J500" s="207"/>
      <c r="K500" s="207"/>
      <c r="L500" s="207"/>
      <c r="M500" s="207"/>
      <c r="N500" s="207"/>
      <c r="O500" s="207"/>
      <c r="P500" s="207"/>
      <c r="Q500" s="207"/>
      <c r="R500" s="207"/>
      <c r="S500" s="207"/>
      <c r="T500" s="207"/>
      <c r="U500" s="209"/>
      <c r="V500" s="207"/>
      <c r="W500" s="207"/>
      <c r="X500" s="209"/>
      <c r="Y500" s="209"/>
      <c r="Z500" s="207" t="str">
        <f t="shared" ca="1" si="76"/>
        <v/>
      </c>
      <c r="AA500" s="209" t="str">
        <f t="shared" si="80"/>
        <v/>
      </c>
      <c r="AB500" s="209"/>
      <c r="AC500" s="207" t="str">
        <f t="shared" ca="1" si="77"/>
        <v/>
      </c>
      <c r="AD500" s="207"/>
      <c r="AE500" s="207"/>
      <c r="AF500" s="208" t="str">
        <f>IF(ISBLANK(D500),"",VLOOKUP(F500,'SIZE CALCULATION'!$F:$G,2,0))</f>
        <v/>
      </c>
      <c r="AG500" s="207" t="str">
        <f t="shared" si="82"/>
        <v/>
      </c>
      <c r="AH500" s="207" t="str">
        <f t="shared" si="78"/>
        <v/>
      </c>
      <c r="AI500" s="210" t="str">
        <f>IF(ISBLANK(D500),"",VLOOKUP($A500,INDEX!$D$2:$F$13,3,0))</f>
        <v/>
      </c>
      <c r="AJ500" s="207" t="str">
        <f t="shared" si="79"/>
        <v/>
      </c>
      <c r="AK500" s="207"/>
      <c r="AL500" s="207"/>
      <c r="AM500" s="207" t="str">
        <f>IFERROR(IF(ISBLANK($D500),"",VLOOKUP($N500,'TABLE CHARGE RATE'!$A$30:$K$106,5,0)),"Check")</f>
        <v/>
      </c>
      <c r="AN500" s="207" t="str">
        <f>IFERROR(IF(ISBLANK($D500),"",VLOOKUP($N500,'TABLE CHARGE RATE'!$A$30:$K$106,6,0)),"Check")</f>
        <v/>
      </c>
      <c r="AO500" s="207" t="str">
        <f>IFERROR(IF(ISBLANK($D500),"",VLOOKUP($N500,'TABLE CHARGE RATE'!$A$30:$K$106,7,0)),"Check")</f>
        <v/>
      </c>
      <c r="AP500" s="207" t="str">
        <f>IFERROR(IF(ISBLANK($D500),"",VLOOKUP($N500,'TABLE CHARGE RATE'!$A$30:$K$106,8,0)),"Check")</f>
        <v/>
      </c>
      <c r="AQ500" s="207" t="str">
        <f>IFERROR(IF(ISBLANK($D500),"",VLOOKUP($N500,'TABLE CHARGE RATE'!$A$30:$K$106,9,0)),"Check")</f>
        <v/>
      </c>
      <c r="AR500" s="207" t="str">
        <f>IFERROR(IF(ISBLANK($D500),"",VLOOKUP($N500,'TABLE CHARGE RATE'!$A$30:$K$106,10,0)),"Check")</f>
        <v/>
      </c>
      <c r="AS500" s="207" t="str">
        <f>IFERROR(IF(ISBLANK($D500),"",VLOOKUP($N500,'TABLE CHARGE RATE'!$A$30:$K$106,11,0)),"Check")</f>
        <v/>
      </c>
      <c r="AT500" s="207"/>
    </row>
    <row r="501" spans="1:46" x14ac:dyDescent="0.2">
      <c r="A501" s="207" t="str">
        <f t="shared" si="81"/>
        <v/>
      </c>
      <c r="B501" s="208" t="str">
        <f>IF(ISBLANK(D501),"",VLOOKUP(WEEKDAY($C501,1),INDEX!$J$2:$K$8,2,0))</f>
        <v/>
      </c>
      <c r="C501" s="209"/>
      <c r="D501" s="207"/>
      <c r="E501" s="207"/>
      <c r="F501" s="207"/>
      <c r="G501" s="207"/>
      <c r="H501" s="207"/>
      <c r="I501" s="207"/>
      <c r="J501" s="207"/>
      <c r="K501" s="207"/>
      <c r="L501" s="207"/>
      <c r="M501" s="207"/>
      <c r="N501" s="207"/>
      <c r="O501" s="207"/>
      <c r="P501" s="207"/>
      <c r="Q501" s="207"/>
      <c r="R501" s="207"/>
      <c r="S501" s="207"/>
      <c r="T501" s="207"/>
      <c r="U501" s="209"/>
      <c r="V501" s="207"/>
      <c r="W501" s="207"/>
      <c r="X501" s="209"/>
      <c r="Y501" s="209"/>
      <c r="Z501" s="207" t="str">
        <f t="shared" ca="1" si="76"/>
        <v/>
      </c>
      <c r="AA501" s="209" t="str">
        <f t="shared" si="80"/>
        <v/>
      </c>
      <c r="AB501" s="209"/>
      <c r="AC501" s="207" t="str">
        <f t="shared" ca="1" si="77"/>
        <v/>
      </c>
      <c r="AD501" s="207"/>
      <c r="AE501" s="207"/>
      <c r="AF501" s="208" t="str">
        <f>IF(ISBLANK(D501),"",VLOOKUP(F501,'SIZE CALCULATION'!$F:$G,2,0))</f>
        <v/>
      </c>
      <c r="AG501" s="207" t="str">
        <f t="shared" si="82"/>
        <v/>
      </c>
      <c r="AH501" s="207" t="str">
        <f t="shared" si="78"/>
        <v/>
      </c>
      <c r="AI501" s="210" t="str">
        <f>IF(ISBLANK(D501),"",VLOOKUP($A501,INDEX!$D$2:$F$13,3,0))</f>
        <v/>
      </c>
      <c r="AJ501" s="207" t="str">
        <f t="shared" si="79"/>
        <v/>
      </c>
      <c r="AK501" s="207"/>
      <c r="AL501" s="207"/>
      <c r="AM501" s="207" t="str">
        <f>IFERROR(IF(ISBLANK($D501),"",VLOOKUP($N501,'TABLE CHARGE RATE'!$A$30:$K$106,5,0)),"Check")</f>
        <v/>
      </c>
      <c r="AN501" s="207" t="str">
        <f>IFERROR(IF(ISBLANK($D501),"",VLOOKUP($N501,'TABLE CHARGE RATE'!$A$30:$K$106,6,0)),"Check")</f>
        <v/>
      </c>
      <c r="AO501" s="207" t="str">
        <f>IFERROR(IF(ISBLANK($D501),"",VLOOKUP($N501,'TABLE CHARGE RATE'!$A$30:$K$106,7,0)),"Check")</f>
        <v/>
      </c>
      <c r="AP501" s="207" t="str">
        <f>IFERROR(IF(ISBLANK($D501),"",VLOOKUP($N501,'TABLE CHARGE RATE'!$A$30:$K$106,8,0)),"Check")</f>
        <v/>
      </c>
      <c r="AQ501" s="207" t="str">
        <f>IFERROR(IF(ISBLANK($D501),"",VLOOKUP($N501,'TABLE CHARGE RATE'!$A$30:$K$106,9,0)),"Check")</f>
        <v/>
      </c>
      <c r="AR501" s="207" t="str">
        <f>IFERROR(IF(ISBLANK($D501),"",VLOOKUP($N501,'TABLE CHARGE RATE'!$A$30:$K$106,10,0)),"Check")</f>
        <v/>
      </c>
      <c r="AS501" s="207" t="str">
        <f>IFERROR(IF(ISBLANK($D501),"",VLOOKUP($N501,'TABLE CHARGE RATE'!$A$30:$K$106,11,0)),"Check")</f>
        <v/>
      </c>
      <c r="AT501" s="207"/>
    </row>
    <row r="502" spans="1:46" x14ac:dyDescent="0.2">
      <c r="A502" s="207" t="str">
        <f t="shared" si="81"/>
        <v/>
      </c>
      <c r="B502" s="208" t="str">
        <f>IF(ISBLANK(D502),"",VLOOKUP(WEEKDAY($C502,1),INDEX!$J$2:$K$8,2,0))</f>
        <v/>
      </c>
      <c r="C502" s="209"/>
      <c r="D502" s="207"/>
      <c r="E502" s="207"/>
      <c r="F502" s="207"/>
      <c r="G502" s="207"/>
      <c r="H502" s="207"/>
      <c r="I502" s="207"/>
      <c r="J502" s="207"/>
      <c r="K502" s="207"/>
      <c r="L502" s="207"/>
      <c r="M502" s="207"/>
      <c r="N502" s="207"/>
      <c r="O502" s="207"/>
      <c r="P502" s="207"/>
      <c r="Q502" s="207"/>
      <c r="R502" s="207"/>
      <c r="S502" s="207"/>
      <c r="T502" s="207"/>
      <c r="U502" s="209"/>
      <c r="V502" s="207"/>
      <c r="W502" s="207"/>
      <c r="X502" s="209"/>
      <c r="Y502" s="209"/>
      <c r="Z502" s="207" t="str">
        <f t="shared" ca="1" si="76"/>
        <v/>
      </c>
      <c r="AA502" s="209" t="str">
        <f t="shared" si="80"/>
        <v/>
      </c>
      <c r="AB502" s="209"/>
      <c r="AC502" s="207" t="str">
        <f t="shared" ca="1" si="77"/>
        <v/>
      </c>
      <c r="AD502" s="207"/>
      <c r="AE502" s="207"/>
      <c r="AF502" s="208" t="str">
        <f>IF(ISBLANK(D502),"",VLOOKUP(F502,'SIZE CALCULATION'!$F:$G,2,0))</f>
        <v/>
      </c>
      <c r="AG502" s="207" t="str">
        <f t="shared" si="82"/>
        <v/>
      </c>
      <c r="AH502" s="207" t="str">
        <f t="shared" si="78"/>
        <v/>
      </c>
      <c r="AI502" s="210" t="str">
        <f>IF(ISBLANK(D502),"",VLOOKUP($A502,INDEX!$D$2:$F$13,3,0))</f>
        <v/>
      </c>
      <c r="AJ502" s="207" t="str">
        <f t="shared" si="79"/>
        <v/>
      </c>
      <c r="AK502" s="207"/>
      <c r="AL502" s="207"/>
      <c r="AM502" s="207" t="str">
        <f>IFERROR(IF(ISBLANK($D502),"",VLOOKUP($N502,'TABLE CHARGE RATE'!$A$30:$K$106,5,0)),"Check")</f>
        <v/>
      </c>
      <c r="AN502" s="207" t="str">
        <f>IFERROR(IF(ISBLANK($D502),"",VLOOKUP($N502,'TABLE CHARGE RATE'!$A$30:$K$106,6,0)),"Check")</f>
        <v/>
      </c>
      <c r="AO502" s="207" t="str">
        <f>IFERROR(IF(ISBLANK($D502),"",VLOOKUP($N502,'TABLE CHARGE RATE'!$A$30:$K$106,7,0)),"Check")</f>
        <v/>
      </c>
      <c r="AP502" s="207" t="str">
        <f>IFERROR(IF(ISBLANK($D502),"",VLOOKUP($N502,'TABLE CHARGE RATE'!$A$30:$K$106,8,0)),"Check")</f>
        <v/>
      </c>
      <c r="AQ502" s="207" t="str">
        <f>IFERROR(IF(ISBLANK($D502),"",VLOOKUP($N502,'TABLE CHARGE RATE'!$A$30:$K$106,9,0)),"Check")</f>
        <v/>
      </c>
      <c r="AR502" s="207" t="str">
        <f>IFERROR(IF(ISBLANK($D502),"",VLOOKUP($N502,'TABLE CHARGE RATE'!$A$30:$K$106,10,0)),"Check")</f>
        <v/>
      </c>
      <c r="AS502" s="207" t="str">
        <f>IFERROR(IF(ISBLANK($D502),"",VLOOKUP($N502,'TABLE CHARGE RATE'!$A$30:$K$106,11,0)),"Check")</f>
        <v/>
      </c>
      <c r="AT502" s="207"/>
    </row>
    <row r="503" spans="1:46" x14ac:dyDescent="0.2">
      <c r="A503" s="207" t="str">
        <f t="shared" si="81"/>
        <v/>
      </c>
      <c r="B503" s="208" t="str">
        <f>IF(ISBLANK(D503),"",VLOOKUP(WEEKDAY($C503,1),INDEX!$J$2:$K$8,2,0))</f>
        <v/>
      </c>
      <c r="C503" s="209"/>
      <c r="D503" s="207"/>
      <c r="E503" s="207"/>
      <c r="F503" s="207"/>
      <c r="G503" s="207"/>
      <c r="H503" s="207"/>
      <c r="I503" s="207"/>
      <c r="J503" s="207"/>
      <c r="K503" s="207"/>
      <c r="L503" s="207"/>
      <c r="M503" s="207"/>
      <c r="N503" s="207"/>
      <c r="O503" s="207"/>
      <c r="P503" s="207"/>
      <c r="Q503" s="207"/>
      <c r="R503" s="207"/>
      <c r="S503" s="207"/>
      <c r="T503" s="207"/>
      <c r="U503" s="209"/>
      <c r="V503" s="207"/>
      <c r="W503" s="207"/>
      <c r="X503" s="209"/>
      <c r="Y503" s="209"/>
      <c r="Z503" s="207" t="str">
        <f t="shared" ca="1" si="76"/>
        <v/>
      </c>
      <c r="AA503" s="209" t="str">
        <f t="shared" si="80"/>
        <v/>
      </c>
      <c r="AB503" s="209"/>
      <c r="AC503" s="207" t="str">
        <f t="shared" ca="1" si="77"/>
        <v/>
      </c>
      <c r="AD503" s="207"/>
      <c r="AE503" s="207"/>
      <c r="AF503" s="208" t="str">
        <f>IF(ISBLANK(D503),"",VLOOKUP(F503,'SIZE CALCULATION'!$F:$G,2,0))</f>
        <v/>
      </c>
      <c r="AG503" s="207" t="str">
        <f t="shared" si="82"/>
        <v/>
      </c>
      <c r="AH503" s="207" t="str">
        <f t="shared" si="78"/>
        <v/>
      </c>
      <c r="AI503" s="210" t="str">
        <f>IF(ISBLANK(D503),"",VLOOKUP($A503,INDEX!$D$2:$F$13,3,0))</f>
        <v/>
      </c>
      <c r="AJ503" s="207" t="str">
        <f t="shared" si="79"/>
        <v/>
      </c>
      <c r="AK503" s="207"/>
      <c r="AL503" s="207"/>
      <c r="AM503" s="207" t="str">
        <f>IFERROR(IF(ISBLANK($D503),"",VLOOKUP($N503,'TABLE CHARGE RATE'!$A$30:$K$106,5,0)),"Check")</f>
        <v/>
      </c>
      <c r="AN503" s="207" t="str">
        <f>IFERROR(IF(ISBLANK($D503),"",VLOOKUP($N503,'TABLE CHARGE RATE'!$A$30:$K$106,6,0)),"Check")</f>
        <v/>
      </c>
      <c r="AO503" s="207" t="str">
        <f>IFERROR(IF(ISBLANK($D503),"",VLOOKUP($N503,'TABLE CHARGE RATE'!$A$30:$K$106,7,0)),"Check")</f>
        <v/>
      </c>
      <c r="AP503" s="207" t="str">
        <f>IFERROR(IF(ISBLANK($D503),"",VLOOKUP($N503,'TABLE CHARGE RATE'!$A$30:$K$106,8,0)),"Check")</f>
        <v/>
      </c>
      <c r="AQ503" s="207" t="str">
        <f>IFERROR(IF(ISBLANK($D503),"",VLOOKUP($N503,'TABLE CHARGE RATE'!$A$30:$K$106,9,0)),"Check")</f>
        <v/>
      </c>
      <c r="AR503" s="207" t="str">
        <f>IFERROR(IF(ISBLANK($D503),"",VLOOKUP($N503,'TABLE CHARGE RATE'!$A$30:$K$106,10,0)),"Check")</f>
        <v/>
      </c>
      <c r="AS503" s="207" t="str">
        <f>IFERROR(IF(ISBLANK($D503),"",VLOOKUP($N503,'TABLE CHARGE RATE'!$A$30:$K$106,11,0)),"Check")</f>
        <v/>
      </c>
      <c r="AT503" s="207"/>
    </row>
    <row r="504" spans="1:46" x14ac:dyDescent="0.2">
      <c r="A504" s="207" t="str">
        <f t="shared" si="81"/>
        <v/>
      </c>
      <c r="B504" s="208" t="str">
        <f>IF(ISBLANK(D504),"",VLOOKUP(WEEKDAY($C504,1),INDEX!$J$2:$K$8,2,0))</f>
        <v/>
      </c>
      <c r="C504" s="209"/>
      <c r="D504" s="207"/>
      <c r="E504" s="207"/>
      <c r="F504" s="207"/>
      <c r="G504" s="207"/>
      <c r="H504" s="207"/>
      <c r="I504" s="207"/>
      <c r="J504" s="207"/>
      <c r="K504" s="207"/>
      <c r="L504" s="207"/>
      <c r="M504" s="207"/>
      <c r="N504" s="207"/>
      <c r="O504" s="207"/>
      <c r="P504" s="207"/>
      <c r="Q504" s="207"/>
      <c r="R504" s="207"/>
      <c r="S504" s="207"/>
      <c r="T504" s="207"/>
      <c r="U504" s="209"/>
      <c r="V504" s="207"/>
      <c r="W504" s="207"/>
      <c r="X504" s="209"/>
      <c r="Y504" s="209"/>
      <c r="Z504" s="207" t="str">
        <f t="shared" ca="1" si="76"/>
        <v/>
      </c>
      <c r="AA504" s="209" t="str">
        <f t="shared" si="80"/>
        <v/>
      </c>
      <c r="AB504" s="209"/>
      <c r="AC504" s="207" t="str">
        <f t="shared" ca="1" si="77"/>
        <v/>
      </c>
      <c r="AD504" s="207"/>
      <c r="AE504" s="207"/>
      <c r="AF504" s="208" t="str">
        <f>IF(ISBLANK(D504),"",VLOOKUP(F504,'SIZE CALCULATION'!$F:$G,2,0))</f>
        <v/>
      </c>
      <c r="AG504" s="207" t="str">
        <f t="shared" si="82"/>
        <v/>
      </c>
      <c r="AH504" s="207" t="str">
        <f t="shared" si="78"/>
        <v/>
      </c>
      <c r="AI504" s="210" t="str">
        <f>IF(ISBLANK(D504),"",VLOOKUP($A504,INDEX!$D$2:$F$13,3,0))</f>
        <v/>
      </c>
      <c r="AJ504" s="207" t="str">
        <f t="shared" si="79"/>
        <v/>
      </c>
      <c r="AK504" s="207"/>
      <c r="AL504" s="207"/>
      <c r="AM504" s="207" t="str">
        <f>IFERROR(IF(ISBLANK($D504),"",VLOOKUP($N504,'TABLE CHARGE RATE'!$A$30:$K$106,5,0)),"Check")</f>
        <v/>
      </c>
      <c r="AN504" s="207" t="str">
        <f>IFERROR(IF(ISBLANK($D504),"",VLOOKUP($N504,'TABLE CHARGE RATE'!$A$30:$K$106,6,0)),"Check")</f>
        <v/>
      </c>
      <c r="AO504" s="207" t="str">
        <f>IFERROR(IF(ISBLANK($D504),"",VLOOKUP($N504,'TABLE CHARGE RATE'!$A$30:$K$106,7,0)),"Check")</f>
        <v/>
      </c>
      <c r="AP504" s="207" t="str">
        <f>IFERROR(IF(ISBLANK($D504),"",VLOOKUP($N504,'TABLE CHARGE RATE'!$A$30:$K$106,8,0)),"Check")</f>
        <v/>
      </c>
      <c r="AQ504" s="207" t="str">
        <f>IFERROR(IF(ISBLANK($D504),"",VLOOKUP($N504,'TABLE CHARGE RATE'!$A$30:$K$106,9,0)),"Check")</f>
        <v/>
      </c>
      <c r="AR504" s="207" t="str">
        <f>IFERROR(IF(ISBLANK($D504),"",VLOOKUP($N504,'TABLE CHARGE RATE'!$A$30:$K$106,10,0)),"Check")</f>
        <v/>
      </c>
      <c r="AS504" s="207" t="str">
        <f>IFERROR(IF(ISBLANK($D504),"",VLOOKUP($N504,'TABLE CHARGE RATE'!$A$30:$K$106,11,0)),"Check")</f>
        <v/>
      </c>
      <c r="AT504" s="207"/>
    </row>
    <row r="505" spans="1:46" x14ac:dyDescent="0.2">
      <c r="A505" s="207" t="str">
        <f t="shared" si="81"/>
        <v/>
      </c>
      <c r="B505" s="208" t="str">
        <f>IF(ISBLANK(D505),"",VLOOKUP(WEEKDAY($C505,1),INDEX!$J$2:$K$8,2,0))</f>
        <v/>
      </c>
      <c r="C505" s="209"/>
      <c r="D505" s="207"/>
      <c r="E505" s="207"/>
      <c r="F505" s="207"/>
      <c r="G505" s="207"/>
      <c r="H505" s="207"/>
      <c r="I505" s="207"/>
      <c r="J505" s="207"/>
      <c r="K505" s="207"/>
      <c r="L505" s="207"/>
      <c r="M505" s="207"/>
      <c r="N505" s="207"/>
      <c r="O505" s="207"/>
      <c r="P505" s="207"/>
      <c r="Q505" s="207"/>
      <c r="R505" s="207"/>
      <c r="S505" s="207"/>
      <c r="T505" s="207"/>
      <c r="U505" s="209"/>
      <c r="V505" s="207"/>
      <c r="W505" s="207"/>
      <c r="X505" s="209"/>
      <c r="Y505" s="209"/>
      <c r="Z505" s="207" t="str">
        <f t="shared" ca="1" si="76"/>
        <v/>
      </c>
      <c r="AA505" s="209" t="str">
        <f t="shared" si="80"/>
        <v/>
      </c>
      <c r="AB505" s="209"/>
      <c r="AC505" s="207" t="str">
        <f t="shared" ca="1" si="77"/>
        <v/>
      </c>
      <c r="AD505" s="207"/>
      <c r="AE505" s="207"/>
      <c r="AF505" s="208" t="str">
        <f>IF(ISBLANK(D505),"",VLOOKUP(F505,'SIZE CALCULATION'!$F:$G,2,0))</f>
        <v/>
      </c>
      <c r="AG505" s="207" t="str">
        <f t="shared" si="82"/>
        <v/>
      </c>
      <c r="AH505" s="207" t="str">
        <f t="shared" si="78"/>
        <v/>
      </c>
      <c r="AI505" s="210" t="str">
        <f>IF(ISBLANK(D505),"",VLOOKUP($A505,INDEX!$D$2:$F$13,3,0))</f>
        <v/>
      </c>
      <c r="AJ505" s="207" t="str">
        <f t="shared" si="79"/>
        <v/>
      </c>
      <c r="AK505" s="207"/>
      <c r="AL505" s="207"/>
      <c r="AM505" s="207" t="str">
        <f>IFERROR(IF(ISBLANK($D505),"",VLOOKUP($N505,'TABLE CHARGE RATE'!$A$30:$K$106,5,0)),"Check")</f>
        <v/>
      </c>
      <c r="AN505" s="207" t="str">
        <f>IFERROR(IF(ISBLANK($D505),"",VLOOKUP($N505,'TABLE CHARGE RATE'!$A$30:$K$106,6,0)),"Check")</f>
        <v/>
      </c>
      <c r="AO505" s="207" t="str">
        <f>IFERROR(IF(ISBLANK($D505),"",VLOOKUP($N505,'TABLE CHARGE RATE'!$A$30:$K$106,7,0)),"Check")</f>
        <v/>
      </c>
      <c r="AP505" s="207" t="str">
        <f>IFERROR(IF(ISBLANK($D505),"",VLOOKUP($N505,'TABLE CHARGE RATE'!$A$30:$K$106,8,0)),"Check")</f>
        <v/>
      </c>
      <c r="AQ505" s="207" t="str">
        <f>IFERROR(IF(ISBLANK($D505),"",VLOOKUP($N505,'TABLE CHARGE RATE'!$A$30:$K$106,9,0)),"Check")</f>
        <v/>
      </c>
      <c r="AR505" s="207" t="str">
        <f>IFERROR(IF(ISBLANK($D505),"",VLOOKUP($N505,'TABLE CHARGE RATE'!$A$30:$K$106,10,0)),"Check")</f>
        <v/>
      </c>
      <c r="AS505" s="207" t="str">
        <f>IFERROR(IF(ISBLANK($D505),"",VLOOKUP($N505,'TABLE CHARGE RATE'!$A$30:$K$106,11,0)),"Check")</f>
        <v/>
      </c>
      <c r="AT505" s="207"/>
    </row>
    <row r="506" spans="1:46" x14ac:dyDescent="0.2">
      <c r="A506" s="207" t="str">
        <f t="shared" si="81"/>
        <v/>
      </c>
      <c r="B506" s="208" t="str">
        <f>IF(ISBLANK(D506),"",VLOOKUP(WEEKDAY($C506,1),INDEX!$J$2:$K$8,2,0))</f>
        <v/>
      </c>
      <c r="C506" s="209"/>
      <c r="D506" s="207"/>
      <c r="E506" s="207"/>
      <c r="F506" s="207"/>
      <c r="G506" s="207"/>
      <c r="H506" s="207"/>
      <c r="I506" s="207"/>
      <c r="J506" s="207"/>
      <c r="K506" s="207"/>
      <c r="L506" s="207"/>
      <c r="M506" s="207"/>
      <c r="N506" s="207"/>
      <c r="O506" s="207"/>
      <c r="P506" s="207"/>
      <c r="Q506" s="207"/>
      <c r="R506" s="207"/>
      <c r="S506" s="207"/>
      <c r="T506" s="207"/>
      <c r="U506" s="209"/>
      <c r="V506" s="207"/>
      <c r="W506" s="207"/>
      <c r="X506" s="209"/>
      <c r="Y506" s="209"/>
      <c r="Z506" s="207" t="str">
        <f t="shared" ca="1" si="76"/>
        <v/>
      </c>
      <c r="AA506" s="209" t="str">
        <f t="shared" si="80"/>
        <v/>
      </c>
      <c r="AB506" s="209"/>
      <c r="AC506" s="207" t="str">
        <f t="shared" ca="1" si="77"/>
        <v/>
      </c>
      <c r="AD506" s="207"/>
      <c r="AE506" s="207"/>
      <c r="AF506" s="208" t="str">
        <f>IF(ISBLANK(D506),"",VLOOKUP(F506,'SIZE CALCULATION'!$F:$G,2,0))</f>
        <v/>
      </c>
      <c r="AG506" s="207" t="str">
        <f t="shared" si="82"/>
        <v/>
      </c>
      <c r="AH506" s="207" t="str">
        <f t="shared" si="78"/>
        <v/>
      </c>
      <c r="AI506" s="210" t="str">
        <f>IF(ISBLANK(D506),"",VLOOKUP($A506,INDEX!$D$2:$F$13,3,0))</f>
        <v/>
      </c>
      <c r="AJ506" s="207" t="str">
        <f t="shared" si="79"/>
        <v/>
      </c>
      <c r="AK506" s="207"/>
      <c r="AL506" s="207"/>
      <c r="AM506" s="207" t="str">
        <f>IFERROR(IF(ISBLANK($D506),"",VLOOKUP($N506,'TABLE CHARGE RATE'!$A$30:$K$106,5,0)),"Check")</f>
        <v/>
      </c>
      <c r="AN506" s="207" t="str">
        <f>IFERROR(IF(ISBLANK($D506),"",VLOOKUP($N506,'TABLE CHARGE RATE'!$A$30:$K$106,6,0)),"Check")</f>
        <v/>
      </c>
      <c r="AO506" s="207" t="str">
        <f>IFERROR(IF(ISBLANK($D506),"",VLOOKUP($N506,'TABLE CHARGE RATE'!$A$30:$K$106,7,0)),"Check")</f>
        <v/>
      </c>
      <c r="AP506" s="207" t="str">
        <f>IFERROR(IF(ISBLANK($D506),"",VLOOKUP($N506,'TABLE CHARGE RATE'!$A$30:$K$106,8,0)),"Check")</f>
        <v/>
      </c>
      <c r="AQ506" s="207" t="str">
        <f>IFERROR(IF(ISBLANK($D506),"",VLOOKUP($N506,'TABLE CHARGE RATE'!$A$30:$K$106,9,0)),"Check")</f>
        <v/>
      </c>
      <c r="AR506" s="207" t="str">
        <f>IFERROR(IF(ISBLANK($D506),"",VLOOKUP($N506,'TABLE CHARGE RATE'!$A$30:$K$106,10,0)),"Check")</f>
        <v/>
      </c>
      <c r="AS506" s="207" t="str">
        <f>IFERROR(IF(ISBLANK($D506),"",VLOOKUP($N506,'TABLE CHARGE RATE'!$A$30:$K$106,11,0)),"Check")</f>
        <v/>
      </c>
      <c r="AT506" s="207"/>
    </row>
    <row r="507" spans="1:46" x14ac:dyDescent="0.2">
      <c r="A507" s="207" t="str">
        <f t="shared" si="81"/>
        <v/>
      </c>
      <c r="B507" s="208" t="str">
        <f>IF(ISBLANK(D507),"",VLOOKUP(WEEKDAY($C507,1),INDEX!$J$2:$K$8,2,0))</f>
        <v/>
      </c>
      <c r="C507" s="209"/>
      <c r="D507" s="207"/>
      <c r="E507" s="207"/>
      <c r="F507" s="207"/>
      <c r="G507" s="207"/>
      <c r="H507" s="207"/>
      <c r="I507" s="207"/>
      <c r="J507" s="207"/>
      <c r="K507" s="207"/>
      <c r="L507" s="207"/>
      <c r="M507" s="207"/>
      <c r="N507" s="207"/>
      <c r="O507" s="207"/>
      <c r="P507" s="207"/>
      <c r="Q507" s="207"/>
      <c r="R507" s="207"/>
      <c r="S507" s="207"/>
      <c r="T507" s="207"/>
      <c r="U507" s="209"/>
      <c r="V507" s="207"/>
      <c r="W507" s="207"/>
      <c r="X507" s="209"/>
      <c r="Y507" s="209"/>
      <c r="Z507" s="207" t="str">
        <f t="shared" ca="1" si="76"/>
        <v/>
      </c>
      <c r="AA507" s="209" t="str">
        <f t="shared" si="80"/>
        <v/>
      </c>
      <c r="AB507" s="209"/>
      <c r="AC507" s="207" t="str">
        <f t="shared" ca="1" si="77"/>
        <v/>
      </c>
      <c r="AD507" s="207"/>
      <c r="AE507" s="207"/>
      <c r="AF507" s="208" t="str">
        <f>IF(ISBLANK(D507),"",VLOOKUP(F507,'SIZE CALCULATION'!$F:$G,2,0))</f>
        <v/>
      </c>
      <c r="AG507" s="207" t="str">
        <f t="shared" si="82"/>
        <v/>
      </c>
      <c r="AH507" s="207" t="str">
        <f t="shared" si="78"/>
        <v/>
      </c>
      <c r="AI507" s="210" t="str">
        <f>IF(ISBLANK(D507),"",VLOOKUP($A507,INDEX!$D$2:$F$13,3,0))</f>
        <v/>
      </c>
      <c r="AJ507" s="207" t="str">
        <f t="shared" si="79"/>
        <v/>
      </c>
      <c r="AK507" s="207"/>
      <c r="AL507" s="207"/>
      <c r="AM507" s="207" t="str">
        <f>IFERROR(IF(ISBLANK($D507),"",VLOOKUP($N507,'TABLE CHARGE RATE'!$A$30:$K$106,5,0)),"Check")</f>
        <v/>
      </c>
      <c r="AN507" s="207" t="str">
        <f>IFERROR(IF(ISBLANK($D507),"",VLOOKUP($N507,'TABLE CHARGE RATE'!$A$30:$K$106,6,0)),"Check")</f>
        <v/>
      </c>
      <c r="AO507" s="207" t="str">
        <f>IFERROR(IF(ISBLANK($D507),"",VLOOKUP($N507,'TABLE CHARGE RATE'!$A$30:$K$106,7,0)),"Check")</f>
        <v/>
      </c>
      <c r="AP507" s="207" t="str">
        <f>IFERROR(IF(ISBLANK($D507),"",VLOOKUP($N507,'TABLE CHARGE RATE'!$A$30:$K$106,8,0)),"Check")</f>
        <v/>
      </c>
      <c r="AQ507" s="207" t="str">
        <f>IFERROR(IF(ISBLANK($D507),"",VLOOKUP($N507,'TABLE CHARGE RATE'!$A$30:$K$106,9,0)),"Check")</f>
        <v/>
      </c>
      <c r="AR507" s="207" t="str">
        <f>IFERROR(IF(ISBLANK($D507),"",VLOOKUP($N507,'TABLE CHARGE RATE'!$A$30:$K$106,10,0)),"Check")</f>
        <v/>
      </c>
      <c r="AS507" s="207" t="str">
        <f>IFERROR(IF(ISBLANK($D507),"",VLOOKUP($N507,'TABLE CHARGE RATE'!$A$30:$K$106,11,0)),"Check")</f>
        <v/>
      </c>
      <c r="AT507" s="207"/>
    </row>
    <row r="508" spans="1:46" x14ac:dyDescent="0.2">
      <c r="A508" s="207" t="str">
        <f t="shared" si="81"/>
        <v/>
      </c>
      <c r="B508" s="208" t="str">
        <f>IF(ISBLANK(D508),"",VLOOKUP(WEEKDAY($C508,1),INDEX!$J$2:$K$8,2,0))</f>
        <v/>
      </c>
      <c r="C508" s="209"/>
      <c r="D508" s="207"/>
      <c r="E508" s="207"/>
      <c r="F508" s="207"/>
      <c r="G508" s="207"/>
      <c r="H508" s="207"/>
      <c r="I508" s="207"/>
      <c r="J508" s="207"/>
      <c r="K508" s="207"/>
      <c r="L508" s="207"/>
      <c r="M508" s="207"/>
      <c r="N508" s="207"/>
      <c r="O508" s="207"/>
      <c r="P508" s="207"/>
      <c r="Q508" s="207"/>
      <c r="R508" s="207"/>
      <c r="S508" s="207"/>
      <c r="T508" s="207"/>
      <c r="U508" s="209"/>
      <c r="V508" s="207"/>
      <c r="W508" s="207"/>
      <c r="X508" s="209"/>
      <c r="Y508" s="209"/>
      <c r="Z508" s="207" t="str">
        <f t="shared" ca="1" si="76"/>
        <v/>
      </c>
      <c r="AA508" s="209" t="str">
        <f t="shared" si="80"/>
        <v/>
      </c>
      <c r="AB508" s="209"/>
      <c r="AC508" s="207" t="str">
        <f t="shared" ca="1" si="77"/>
        <v/>
      </c>
      <c r="AD508" s="207"/>
      <c r="AE508" s="207"/>
      <c r="AF508" s="208" t="str">
        <f>IF(ISBLANK(D508),"",VLOOKUP(F508,'SIZE CALCULATION'!$F:$G,2,0))</f>
        <v/>
      </c>
      <c r="AG508" s="207" t="str">
        <f t="shared" si="82"/>
        <v/>
      </c>
      <c r="AH508" s="207" t="str">
        <f t="shared" si="78"/>
        <v/>
      </c>
      <c r="AI508" s="210" t="str">
        <f>IF(ISBLANK(D508),"",VLOOKUP($A508,INDEX!$D$2:$F$13,3,0))</f>
        <v/>
      </c>
      <c r="AJ508" s="207" t="str">
        <f t="shared" si="79"/>
        <v/>
      </c>
      <c r="AK508" s="207"/>
      <c r="AL508" s="207"/>
      <c r="AM508" s="207" t="str">
        <f>IFERROR(IF(ISBLANK($D508),"",VLOOKUP($N508,'TABLE CHARGE RATE'!$A$30:$K$106,5,0)),"Check")</f>
        <v/>
      </c>
      <c r="AN508" s="207" t="str">
        <f>IFERROR(IF(ISBLANK($D508),"",VLOOKUP($N508,'TABLE CHARGE RATE'!$A$30:$K$106,6,0)),"Check")</f>
        <v/>
      </c>
      <c r="AO508" s="207" t="str">
        <f>IFERROR(IF(ISBLANK($D508),"",VLOOKUP($N508,'TABLE CHARGE RATE'!$A$30:$K$106,7,0)),"Check")</f>
        <v/>
      </c>
      <c r="AP508" s="207" t="str">
        <f>IFERROR(IF(ISBLANK($D508),"",VLOOKUP($N508,'TABLE CHARGE RATE'!$A$30:$K$106,8,0)),"Check")</f>
        <v/>
      </c>
      <c r="AQ508" s="207" t="str">
        <f>IFERROR(IF(ISBLANK($D508),"",VLOOKUP($N508,'TABLE CHARGE RATE'!$A$30:$K$106,9,0)),"Check")</f>
        <v/>
      </c>
      <c r="AR508" s="207" t="str">
        <f>IFERROR(IF(ISBLANK($D508),"",VLOOKUP($N508,'TABLE CHARGE RATE'!$A$30:$K$106,10,0)),"Check")</f>
        <v/>
      </c>
      <c r="AS508" s="207" t="str">
        <f>IFERROR(IF(ISBLANK($D508),"",VLOOKUP($N508,'TABLE CHARGE RATE'!$A$30:$K$106,11,0)),"Check")</f>
        <v/>
      </c>
      <c r="AT508" s="207"/>
    </row>
    <row r="509" spans="1:46" x14ac:dyDescent="0.2">
      <c r="A509" s="207" t="str">
        <f t="shared" si="81"/>
        <v/>
      </c>
      <c r="B509" s="208" t="str">
        <f>IF(ISBLANK(D509),"",VLOOKUP(WEEKDAY($C509,1),INDEX!$J$2:$K$8,2,0))</f>
        <v/>
      </c>
      <c r="C509" s="209"/>
      <c r="D509" s="207"/>
      <c r="E509" s="207"/>
      <c r="F509" s="207"/>
      <c r="G509" s="207"/>
      <c r="H509" s="207"/>
      <c r="I509" s="207"/>
      <c r="J509" s="207"/>
      <c r="K509" s="207"/>
      <c r="L509" s="207"/>
      <c r="M509" s="207"/>
      <c r="N509" s="207"/>
      <c r="O509" s="207"/>
      <c r="P509" s="207"/>
      <c r="Q509" s="207"/>
      <c r="R509" s="207"/>
      <c r="S509" s="207"/>
      <c r="T509" s="207"/>
      <c r="U509" s="209"/>
      <c r="V509" s="207"/>
      <c r="W509" s="207"/>
      <c r="X509" s="209"/>
      <c r="Y509" s="209"/>
      <c r="Z509" s="207" t="str">
        <f t="shared" ca="1" si="76"/>
        <v/>
      </c>
      <c r="AA509" s="209" t="str">
        <f t="shared" si="80"/>
        <v/>
      </c>
      <c r="AB509" s="209"/>
      <c r="AC509" s="207" t="str">
        <f t="shared" ca="1" si="77"/>
        <v/>
      </c>
      <c r="AD509" s="207"/>
      <c r="AE509" s="207"/>
      <c r="AF509" s="208" t="str">
        <f>IF(ISBLANK(D509),"",VLOOKUP(F509,'SIZE CALCULATION'!$F:$G,2,0))</f>
        <v/>
      </c>
      <c r="AG509" s="207" t="str">
        <f t="shared" si="82"/>
        <v/>
      </c>
      <c r="AH509" s="207" t="str">
        <f t="shared" si="78"/>
        <v/>
      </c>
      <c r="AI509" s="210" t="str">
        <f>IF(ISBLANK(D509),"",VLOOKUP($A509,INDEX!$D$2:$F$13,3,0))</f>
        <v/>
      </c>
      <c r="AJ509" s="207" t="str">
        <f t="shared" si="79"/>
        <v/>
      </c>
      <c r="AK509" s="207"/>
      <c r="AL509" s="207"/>
      <c r="AM509" s="207" t="str">
        <f>IFERROR(IF(ISBLANK($D509),"",VLOOKUP($N509,'TABLE CHARGE RATE'!$A$30:$K$106,5,0)),"Check")</f>
        <v/>
      </c>
      <c r="AN509" s="207" t="str">
        <f>IFERROR(IF(ISBLANK($D509),"",VLOOKUP($N509,'TABLE CHARGE RATE'!$A$30:$K$106,6,0)),"Check")</f>
        <v/>
      </c>
      <c r="AO509" s="207" t="str">
        <f>IFERROR(IF(ISBLANK($D509),"",VLOOKUP($N509,'TABLE CHARGE RATE'!$A$30:$K$106,7,0)),"Check")</f>
        <v/>
      </c>
      <c r="AP509" s="207" t="str">
        <f>IFERROR(IF(ISBLANK($D509),"",VLOOKUP($N509,'TABLE CHARGE RATE'!$A$30:$K$106,8,0)),"Check")</f>
        <v/>
      </c>
      <c r="AQ509" s="207" t="str">
        <f>IFERROR(IF(ISBLANK($D509),"",VLOOKUP($N509,'TABLE CHARGE RATE'!$A$30:$K$106,9,0)),"Check")</f>
        <v/>
      </c>
      <c r="AR509" s="207" t="str">
        <f>IFERROR(IF(ISBLANK($D509),"",VLOOKUP($N509,'TABLE CHARGE RATE'!$A$30:$K$106,10,0)),"Check")</f>
        <v/>
      </c>
      <c r="AS509" s="207" t="str">
        <f>IFERROR(IF(ISBLANK($D509),"",VLOOKUP($N509,'TABLE CHARGE RATE'!$A$30:$K$106,11,0)),"Check")</f>
        <v/>
      </c>
      <c r="AT509" s="207"/>
    </row>
    <row r="510" spans="1:46" x14ac:dyDescent="0.2">
      <c r="A510" s="207" t="str">
        <f t="shared" si="81"/>
        <v/>
      </c>
      <c r="B510" s="208" t="str">
        <f>IF(ISBLANK(D510),"",VLOOKUP(WEEKDAY($C510,1),INDEX!$J$2:$K$8,2,0))</f>
        <v/>
      </c>
      <c r="C510" s="209"/>
      <c r="D510" s="207"/>
      <c r="E510" s="207"/>
      <c r="F510" s="207"/>
      <c r="G510" s="207"/>
      <c r="H510" s="207"/>
      <c r="I510" s="207"/>
      <c r="J510" s="207"/>
      <c r="K510" s="207"/>
      <c r="L510" s="207"/>
      <c r="M510" s="207"/>
      <c r="N510" s="207"/>
      <c r="O510" s="207"/>
      <c r="P510" s="207"/>
      <c r="Q510" s="207"/>
      <c r="R510" s="207"/>
      <c r="S510" s="207"/>
      <c r="T510" s="207"/>
      <c r="U510" s="209"/>
      <c r="V510" s="207"/>
      <c r="W510" s="207"/>
      <c r="X510" s="209"/>
      <c r="Y510" s="209"/>
      <c r="Z510" s="207" t="str">
        <f t="shared" ca="1" si="76"/>
        <v/>
      </c>
      <c r="AA510" s="209" t="str">
        <f t="shared" si="80"/>
        <v/>
      </c>
      <c r="AB510" s="209"/>
      <c r="AC510" s="207" t="str">
        <f t="shared" ca="1" si="77"/>
        <v/>
      </c>
      <c r="AD510" s="207"/>
      <c r="AE510" s="207"/>
      <c r="AF510" s="208" t="str">
        <f>IF(ISBLANK(D510),"",VLOOKUP(F510,'SIZE CALCULATION'!$F:$G,2,0))</f>
        <v/>
      </c>
      <c r="AG510" s="207" t="str">
        <f t="shared" si="82"/>
        <v/>
      </c>
      <c r="AH510" s="207" t="str">
        <f t="shared" si="78"/>
        <v/>
      </c>
      <c r="AI510" s="210" t="str">
        <f>IF(ISBLANK(D510),"",VLOOKUP($A510,INDEX!$D$2:$F$13,3,0))</f>
        <v/>
      </c>
      <c r="AJ510" s="207" t="str">
        <f t="shared" si="79"/>
        <v/>
      </c>
      <c r="AK510" s="207"/>
      <c r="AL510" s="207"/>
      <c r="AM510" s="207" t="str">
        <f>IFERROR(IF(ISBLANK($D510),"",VLOOKUP($N510,'TABLE CHARGE RATE'!$A$30:$K$106,5,0)),"Check")</f>
        <v/>
      </c>
      <c r="AN510" s="207" t="str">
        <f>IFERROR(IF(ISBLANK($D510),"",VLOOKUP($N510,'TABLE CHARGE RATE'!$A$30:$K$106,6,0)),"Check")</f>
        <v/>
      </c>
      <c r="AO510" s="207" t="str">
        <f>IFERROR(IF(ISBLANK($D510),"",VLOOKUP($N510,'TABLE CHARGE RATE'!$A$30:$K$106,7,0)),"Check")</f>
        <v/>
      </c>
      <c r="AP510" s="207" t="str">
        <f>IFERROR(IF(ISBLANK($D510),"",VLOOKUP($N510,'TABLE CHARGE RATE'!$A$30:$K$106,8,0)),"Check")</f>
        <v/>
      </c>
      <c r="AQ510" s="207" t="str">
        <f>IFERROR(IF(ISBLANK($D510),"",VLOOKUP($N510,'TABLE CHARGE RATE'!$A$30:$K$106,9,0)),"Check")</f>
        <v/>
      </c>
      <c r="AR510" s="207" t="str">
        <f>IFERROR(IF(ISBLANK($D510),"",VLOOKUP($N510,'TABLE CHARGE RATE'!$A$30:$K$106,10,0)),"Check")</f>
        <v/>
      </c>
      <c r="AS510" s="207" t="str">
        <f>IFERROR(IF(ISBLANK($D510),"",VLOOKUP($N510,'TABLE CHARGE RATE'!$A$30:$K$106,11,0)),"Check")</f>
        <v/>
      </c>
      <c r="AT510" s="207"/>
    </row>
    <row r="511" spans="1:46" x14ac:dyDescent="0.2">
      <c r="A511" s="207" t="str">
        <f t="shared" si="81"/>
        <v/>
      </c>
      <c r="B511" s="208" t="str">
        <f>IF(ISBLANK(D511),"",VLOOKUP(WEEKDAY($C511,1),INDEX!$J$2:$K$8,2,0))</f>
        <v/>
      </c>
      <c r="C511" s="209"/>
      <c r="D511" s="207"/>
      <c r="E511" s="207"/>
      <c r="F511" s="207"/>
      <c r="G511" s="207"/>
      <c r="H511" s="207"/>
      <c r="I511" s="207"/>
      <c r="J511" s="207"/>
      <c r="K511" s="207"/>
      <c r="L511" s="207"/>
      <c r="M511" s="207"/>
      <c r="N511" s="207"/>
      <c r="O511" s="207"/>
      <c r="P511" s="207"/>
      <c r="Q511" s="207"/>
      <c r="R511" s="207"/>
      <c r="S511" s="207"/>
      <c r="T511" s="207"/>
      <c r="U511" s="209"/>
      <c r="V511" s="207"/>
      <c r="W511" s="207"/>
      <c r="X511" s="209"/>
      <c r="Y511" s="209"/>
      <c r="Z511" s="207" t="str">
        <f t="shared" ca="1" si="76"/>
        <v/>
      </c>
      <c r="AA511" s="209" t="str">
        <f t="shared" si="80"/>
        <v/>
      </c>
      <c r="AB511" s="209"/>
      <c r="AC511" s="207" t="str">
        <f t="shared" ca="1" si="77"/>
        <v/>
      </c>
      <c r="AD511" s="207"/>
      <c r="AE511" s="207"/>
      <c r="AF511" s="208" t="str">
        <f>IF(ISBLANK(D511),"",VLOOKUP(F511,'SIZE CALCULATION'!$F:$G,2,0))</f>
        <v/>
      </c>
      <c r="AG511" s="207" t="str">
        <f t="shared" si="82"/>
        <v/>
      </c>
      <c r="AH511" s="207" t="str">
        <f t="shared" si="78"/>
        <v/>
      </c>
      <c r="AI511" s="210" t="str">
        <f>IF(ISBLANK(D511),"",VLOOKUP($A511,INDEX!$D$2:$F$13,3,0))</f>
        <v/>
      </c>
      <c r="AJ511" s="207" t="str">
        <f t="shared" si="79"/>
        <v/>
      </c>
      <c r="AK511" s="207"/>
      <c r="AL511" s="207"/>
      <c r="AM511" s="207" t="str">
        <f>IFERROR(IF(ISBLANK($D511),"",VLOOKUP($N511,'TABLE CHARGE RATE'!$A$30:$K$106,5,0)),"Check")</f>
        <v/>
      </c>
      <c r="AN511" s="207" t="str">
        <f>IFERROR(IF(ISBLANK($D511),"",VLOOKUP($N511,'TABLE CHARGE RATE'!$A$30:$K$106,6,0)),"Check")</f>
        <v/>
      </c>
      <c r="AO511" s="207" t="str">
        <f>IFERROR(IF(ISBLANK($D511),"",VLOOKUP($N511,'TABLE CHARGE RATE'!$A$30:$K$106,7,0)),"Check")</f>
        <v/>
      </c>
      <c r="AP511" s="207" t="str">
        <f>IFERROR(IF(ISBLANK($D511),"",VLOOKUP($N511,'TABLE CHARGE RATE'!$A$30:$K$106,8,0)),"Check")</f>
        <v/>
      </c>
      <c r="AQ511" s="207" t="str">
        <f>IFERROR(IF(ISBLANK($D511),"",VLOOKUP($N511,'TABLE CHARGE RATE'!$A$30:$K$106,9,0)),"Check")</f>
        <v/>
      </c>
      <c r="AR511" s="207" t="str">
        <f>IFERROR(IF(ISBLANK($D511),"",VLOOKUP($N511,'TABLE CHARGE RATE'!$A$30:$K$106,10,0)),"Check")</f>
        <v/>
      </c>
      <c r="AS511" s="207" t="str">
        <f>IFERROR(IF(ISBLANK($D511),"",VLOOKUP($N511,'TABLE CHARGE RATE'!$A$30:$K$106,11,0)),"Check")</f>
        <v/>
      </c>
      <c r="AT511" s="207"/>
    </row>
    <row r="512" spans="1:46" x14ac:dyDescent="0.2">
      <c r="A512" s="207" t="str">
        <f t="shared" si="81"/>
        <v/>
      </c>
      <c r="B512" s="208" t="str">
        <f>IF(ISBLANK(D512),"",VLOOKUP(WEEKDAY($C512,1),INDEX!$J$2:$K$8,2,0))</f>
        <v/>
      </c>
      <c r="C512" s="209"/>
      <c r="D512" s="207"/>
      <c r="E512" s="207"/>
      <c r="F512" s="207"/>
      <c r="G512" s="207"/>
      <c r="H512" s="207"/>
      <c r="I512" s="207"/>
      <c r="J512" s="207"/>
      <c r="K512" s="207"/>
      <c r="L512" s="207"/>
      <c r="M512" s="207"/>
      <c r="N512" s="207"/>
      <c r="O512" s="207"/>
      <c r="P512" s="207"/>
      <c r="Q512" s="207"/>
      <c r="R512" s="207"/>
      <c r="S512" s="207"/>
      <c r="T512" s="207"/>
      <c r="U512" s="209"/>
      <c r="V512" s="207"/>
      <c r="W512" s="207"/>
      <c r="X512" s="209"/>
      <c r="Y512" s="209"/>
      <c r="Z512" s="207" t="str">
        <f t="shared" ca="1" si="76"/>
        <v/>
      </c>
      <c r="AA512" s="209" t="str">
        <f t="shared" si="80"/>
        <v/>
      </c>
      <c r="AB512" s="209"/>
      <c r="AC512" s="207" t="str">
        <f t="shared" ca="1" si="77"/>
        <v/>
      </c>
      <c r="AD512" s="207"/>
      <c r="AE512" s="207"/>
      <c r="AF512" s="208" t="str">
        <f>IF(ISBLANK(D512),"",VLOOKUP(F512,'SIZE CALCULATION'!$F:$G,2,0))</f>
        <v/>
      </c>
      <c r="AG512" s="207" t="str">
        <f t="shared" si="82"/>
        <v/>
      </c>
      <c r="AH512" s="207" t="str">
        <f t="shared" si="78"/>
        <v/>
      </c>
      <c r="AI512" s="210" t="str">
        <f>IF(ISBLANK(D512),"",VLOOKUP($A512,INDEX!$D$2:$F$13,3,0))</f>
        <v/>
      </c>
      <c r="AJ512" s="207" t="str">
        <f t="shared" si="79"/>
        <v/>
      </c>
      <c r="AK512" s="207"/>
      <c r="AL512" s="207"/>
      <c r="AM512" s="207" t="str">
        <f>IFERROR(IF(ISBLANK($D512),"",VLOOKUP($N512,'TABLE CHARGE RATE'!$A$30:$K$106,5,0)),"Check")</f>
        <v/>
      </c>
      <c r="AN512" s="207" t="str">
        <f>IFERROR(IF(ISBLANK($D512),"",VLOOKUP($N512,'TABLE CHARGE RATE'!$A$30:$K$106,6,0)),"Check")</f>
        <v/>
      </c>
      <c r="AO512" s="207" t="str">
        <f>IFERROR(IF(ISBLANK($D512),"",VLOOKUP($N512,'TABLE CHARGE RATE'!$A$30:$K$106,7,0)),"Check")</f>
        <v/>
      </c>
      <c r="AP512" s="207" t="str">
        <f>IFERROR(IF(ISBLANK($D512),"",VLOOKUP($N512,'TABLE CHARGE RATE'!$A$30:$K$106,8,0)),"Check")</f>
        <v/>
      </c>
      <c r="AQ512" s="207" t="str">
        <f>IFERROR(IF(ISBLANK($D512),"",VLOOKUP($N512,'TABLE CHARGE RATE'!$A$30:$K$106,9,0)),"Check")</f>
        <v/>
      </c>
      <c r="AR512" s="207" t="str">
        <f>IFERROR(IF(ISBLANK($D512),"",VLOOKUP($N512,'TABLE CHARGE RATE'!$A$30:$K$106,10,0)),"Check")</f>
        <v/>
      </c>
      <c r="AS512" s="207" t="str">
        <f>IFERROR(IF(ISBLANK($D512),"",VLOOKUP($N512,'TABLE CHARGE RATE'!$A$30:$K$106,11,0)),"Check")</f>
        <v/>
      </c>
      <c r="AT512" s="207"/>
    </row>
    <row r="513" spans="1:46" x14ac:dyDescent="0.2">
      <c r="A513" s="207" t="str">
        <f t="shared" si="81"/>
        <v/>
      </c>
      <c r="B513" s="208" t="str">
        <f>IF(ISBLANK(D513),"",VLOOKUP(WEEKDAY($C513,1),INDEX!$J$2:$K$8,2,0))</f>
        <v/>
      </c>
      <c r="C513" s="209"/>
      <c r="D513" s="207"/>
      <c r="E513" s="207"/>
      <c r="F513" s="207"/>
      <c r="G513" s="207"/>
      <c r="H513" s="207"/>
      <c r="I513" s="207"/>
      <c r="J513" s="207"/>
      <c r="K513" s="207"/>
      <c r="L513" s="207"/>
      <c r="M513" s="207"/>
      <c r="N513" s="207"/>
      <c r="O513" s="207"/>
      <c r="P513" s="207"/>
      <c r="Q513" s="207"/>
      <c r="R513" s="207"/>
      <c r="S513" s="207"/>
      <c r="T513" s="207"/>
      <c r="U513" s="209"/>
      <c r="V513" s="207"/>
      <c r="W513" s="207"/>
      <c r="X513" s="209"/>
      <c r="Y513" s="209"/>
      <c r="Z513" s="207" t="str">
        <f t="shared" ca="1" si="76"/>
        <v/>
      </c>
      <c r="AA513" s="209" t="str">
        <f t="shared" si="80"/>
        <v/>
      </c>
      <c r="AB513" s="209"/>
      <c r="AC513" s="207" t="str">
        <f t="shared" ca="1" si="77"/>
        <v/>
      </c>
      <c r="AD513" s="207"/>
      <c r="AE513" s="207"/>
      <c r="AF513" s="208" t="str">
        <f>IF(ISBLANK(D513),"",VLOOKUP(F513,'SIZE CALCULATION'!$F:$G,2,0))</f>
        <v/>
      </c>
      <c r="AG513" s="207" t="str">
        <f t="shared" si="82"/>
        <v/>
      </c>
      <c r="AH513" s="207" t="str">
        <f t="shared" si="78"/>
        <v/>
      </c>
      <c r="AI513" s="210" t="str">
        <f>IF(ISBLANK(D513),"",VLOOKUP($A513,INDEX!$D$2:$F$13,3,0))</f>
        <v/>
      </c>
      <c r="AJ513" s="207" t="str">
        <f t="shared" si="79"/>
        <v/>
      </c>
      <c r="AK513" s="207"/>
      <c r="AL513" s="207"/>
      <c r="AM513" s="207" t="str">
        <f>IFERROR(IF(ISBLANK($D513),"",VLOOKUP($N513,'TABLE CHARGE RATE'!$A$30:$K$106,5,0)),"Check")</f>
        <v/>
      </c>
      <c r="AN513" s="207" t="str">
        <f>IFERROR(IF(ISBLANK($D513),"",VLOOKUP($N513,'TABLE CHARGE RATE'!$A$30:$K$106,6,0)),"Check")</f>
        <v/>
      </c>
      <c r="AO513" s="207" t="str">
        <f>IFERROR(IF(ISBLANK($D513),"",VLOOKUP($N513,'TABLE CHARGE RATE'!$A$30:$K$106,7,0)),"Check")</f>
        <v/>
      </c>
      <c r="AP513" s="207" t="str">
        <f>IFERROR(IF(ISBLANK($D513),"",VLOOKUP($N513,'TABLE CHARGE RATE'!$A$30:$K$106,8,0)),"Check")</f>
        <v/>
      </c>
      <c r="AQ513" s="207" t="str">
        <f>IFERROR(IF(ISBLANK($D513),"",VLOOKUP($N513,'TABLE CHARGE RATE'!$A$30:$K$106,9,0)),"Check")</f>
        <v/>
      </c>
      <c r="AR513" s="207" t="str">
        <f>IFERROR(IF(ISBLANK($D513),"",VLOOKUP($N513,'TABLE CHARGE RATE'!$A$30:$K$106,10,0)),"Check")</f>
        <v/>
      </c>
      <c r="AS513" s="207" t="str">
        <f>IFERROR(IF(ISBLANK($D513),"",VLOOKUP($N513,'TABLE CHARGE RATE'!$A$30:$K$106,11,0)),"Check")</f>
        <v/>
      </c>
      <c r="AT513" s="207"/>
    </row>
    <row r="514" spans="1:46" x14ac:dyDescent="0.2">
      <c r="A514" s="207" t="str">
        <f t="shared" si="81"/>
        <v/>
      </c>
      <c r="B514" s="208" t="str">
        <f>IF(ISBLANK(D514),"",VLOOKUP(WEEKDAY($C514,1),INDEX!$J$2:$K$8,2,0))</f>
        <v/>
      </c>
      <c r="C514" s="209"/>
      <c r="D514" s="207"/>
      <c r="E514" s="207"/>
      <c r="F514" s="207"/>
      <c r="G514" s="207"/>
      <c r="H514" s="207"/>
      <c r="I514" s="207"/>
      <c r="J514" s="207"/>
      <c r="K514" s="207"/>
      <c r="L514" s="207"/>
      <c r="M514" s="207"/>
      <c r="N514" s="207"/>
      <c r="O514" s="207"/>
      <c r="P514" s="207"/>
      <c r="Q514" s="207"/>
      <c r="R514" s="207"/>
      <c r="S514" s="207"/>
      <c r="T514" s="207"/>
      <c r="U514" s="209"/>
      <c r="V514" s="207"/>
      <c r="W514" s="207"/>
      <c r="X514" s="209"/>
      <c r="Y514" s="209"/>
      <c r="Z514" s="207" t="str">
        <f t="shared" ca="1" si="76"/>
        <v/>
      </c>
      <c r="AA514" s="209" t="str">
        <f t="shared" si="80"/>
        <v/>
      </c>
      <c r="AB514" s="209"/>
      <c r="AC514" s="207" t="str">
        <f t="shared" ca="1" si="77"/>
        <v/>
      </c>
      <c r="AD514" s="207"/>
      <c r="AE514" s="207"/>
      <c r="AF514" s="208" t="str">
        <f>IF(ISBLANK(D514),"",VLOOKUP(F514,'SIZE CALCULATION'!$F:$G,2,0))</f>
        <v/>
      </c>
      <c r="AG514" s="207" t="str">
        <f t="shared" si="82"/>
        <v/>
      </c>
      <c r="AH514" s="207" t="str">
        <f t="shared" si="78"/>
        <v/>
      </c>
      <c r="AI514" s="210" t="str">
        <f>IF(ISBLANK(D514),"",VLOOKUP($A514,INDEX!$D$2:$F$13,3,0))</f>
        <v/>
      </c>
      <c r="AJ514" s="207" t="str">
        <f t="shared" si="79"/>
        <v/>
      </c>
      <c r="AK514" s="207"/>
      <c r="AL514" s="207"/>
      <c r="AM514" s="207" t="str">
        <f>IFERROR(IF(ISBLANK($D514),"",VLOOKUP($N514,'TABLE CHARGE RATE'!$A$30:$K$106,5,0)),"Check")</f>
        <v/>
      </c>
      <c r="AN514" s="207" t="str">
        <f>IFERROR(IF(ISBLANK($D514),"",VLOOKUP($N514,'TABLE CHARGE RATE'!$A$30:$K$106,6,0)),"Check")</f>
        <v/>
      </c>
      <c r="AO514" s="207" t="str">
        <f>IFERROR(IF(ISBLANK($D514),"",VLOOKUP($N514,'TABLE CHARGE RATE'!$A$30:$K$106,7,0)),"Check")</f>
        <v/>
      </c>
      <c r="AP514" s="207" t="str">
        <f>IFERROR(IF(ISBLANK($D514),"",VLOOKUP($N514,'TABLE CHARGE RATE'!$A$30:$K$106,8,0)),"Check")</f>
        <v/>
      </c>
      <c r="AQ514" s="207" t="str">
        <f>IFERROR(IF(ISBLANK($D514),"",VLOOKUP($N514,'TABLE CHARGE RATE'!$A$30:$K$106,9,0)),"Check")</f>
        <v/>
      </c>
      <c r="AR514" s="207" t="str">
        <f>IFERROR(IF(ISBLANK($D514),"",VLOOKUP($N514,'TABLE CHARGE RATE'!$A$30:$K$106,10,0)),"Check")</f>
        <v/>
      </c>
      <c r="AS514" s="207" t="str">
        <f>IFERROR(IF(ISBLANK($D514),"",VLOOKUP($N514,'TABLE CHARGE RATE'!$A$30:$K$106,11,0)),"Check")</f>
        <v/>
      </c>
      <c r="AT514" s="207"/>
    </row>
    <row r="515" spans="1:46" x14ac:dyDescent="0.2">
      <c r="A515" s="207" t="str">
        <f t="shared" si="81"/>
        <v/>
      </c>
      <c r="B515" s="208" t="str">
        <f>IF(ISBLANK(D515),"",VLOOKUP(WEEKDAY($C515,1),INDEX!$J$2:$K$8,2,0))</f>
        <v/>
      </c>
      <c r="C515" s="209"/>
      <c r="D515" s="207"/>
      <c r="E515" s="207"/>
      <c r="F515" s="207"/>
      <c r="G515" s="207"/>
      <c r="H515" s="207"/>
      <c r="I515" s="207"/>
      <c r="J515" s="207"/>
      <c r="K515" s="207"/>
      <c r="L515" s="207"/>
      <c r="M515" s="207"/>
      <c r="N515" s="207"/>
      <c r="O515" s="207"/>
      <c r="P515" s="207"/>
      <c r="Q515" s="207"/>
      <c r="R515" s="207"/>
      <c r="S515" s="207"/>
      <c r="T515" s="207"/>
      <c r="U515" s="209"/>
      <c r="V515" s="207"/>
      <c r="W515" s="207"/>
      <c r="X515" s="209"/>
      <c r="Y515" s="209"/>
      <c r="Z515" s="207" t="str">
        <f t="shared" ca="1" si="76"/>
        <v/>
      </c>
      <c r="AA515" s="209" t="str">
        <f t="shared" si="80"/>
        <v/>
      </c>
      <c r="AB515" s="209"/>
      <c r="AC515" s="207" t="str">
        <f t="shared" ca="1" si="77"/>
        <v/>
      </c>
      <c r="AD515" s="207"/>
      <c r="AE515" s="207"/>
      <c r="AF515" s="208" t="str">
        <f>IF(ISBLANK(D515),"",VLOOKUP(F515,'SIZE CALCULATION'!$F:$G,2,0))</f>
        <v/>
      </c>
      <c r="AG515" s="207" t="str">
        <f t="shared" si="82"/>
        <v/>
      </c>
      <c r="AH515" s="207" t="str">
        <f t="shared" si="78"/>
        <v/>
      </c>
      <c r="AI515" s="210" t="str">
        <f>IF(ISBLANK(D515),"",VLOOKUP($A515,INDEX!$D$2:$F$13,3,0))</f>
        <v/>
      </c>
      <c r="AJ515" s="207" t="str">
        <f t="shared" si="79"/>
        <v/>
      </c>
      <c r="AK515" s="207"/>
      <c r="AL515" s="207"/>
      <c r="AM515" s="207" t="str">
        <f>IFERROR(IF(ISBLANK($D515),"",VLOOKUP($N515,'TABLE CHARGE RATE'!$A$30:$K$106,5,0)),"Check")</f>
        <v/>
      </c>
      <c r="AN515" s="207" t="str">
        <f>IFERROR(IF(ISBLANK($D515),"",VLOOKUP($N515,'TABLE CHARGE RATE'!$A$30:$K$106,6,0)),"Check")</f>
        <v/>
      </c>
      <c r="AO515" s="207" t="str">
        <f>IFERROR(IF(ISBLANK($D515),"",VLOOKUP($N515,'TABLE CHARGE RATE'!$A$30:$K$106,7,0)),"Check")</f>
        <v/>
      </c>
      <c r="AP515" s="207" t="str">
        <f>IFERROR(IF(ISBLANK($D515),"",VLOOKUP($N515,'TABLE CHARGE RATE'!$A$30:$K$106,8,0)),"Check")</f>
        <v/>
      </c>
      <c r="AQ515" s="207" t="str">
        <f>IFERROR(IF(ISBLANK($D515),"",VLOOKUP($N515,'TABLE CHARGE RATE'!$A$30:$K$106,9,0)),"Check")</f>
        <v/>
      </c>
      <c r="AR515" s="207" t="str">
        <f>IFERROR(IF(ISBLANK($D515),"",VLOOKUP($N515,'TABLE CHARGE RATE'!$A$30:$K$106,10,0)),"Check")</f>
        <v/>
      </c>
      <c r="AS515" s="207" t="str">
        <f>IFERROR(IF(ISBLANK($D515),"",VLOOKUP($N515,'TABLE CHARGE RATE'!$A$30:$K$106,11,0)),"Check")</f>
        <v/>
      </c>
      <c r="AT515" s="207"/>
    </row>
    <row r="516" spans="1:46" x14ac:dyDescent="0.2">
      <c r="A516" s="207" t="str">
        <f t="shared" si="81"/>
        <v/>
      </c>
      <c r="B516" s="208" t="str">
        <f>IF(ISBLANK(D516),"",VLOOKUP(WEEKDAY($C516,1),INDEX!$J$2:$K$8,2,0))</f>
        <v/>
      </c>
      <c r="C516" s="209"/>
      <c r="D516" s="207"/>
      <c r="E516" s="207"/>
      <c r="F516" s="207"/>
      <c r="G516" s="207"/>
      <c r="H516" s="207"/>
      <c r="I516" s="207"/>
      <c r="J516" s="207"/>
      <c r="K516" s="207"/>
      <c r="L516" s="207"/>
      <c r="M516" s="207"/>
      <c r="N516" s="207"/>
      <c r="O516" s="207"/>
      <c r="P516" s="207"/>
      <c r="Q516" s="207"/>
      <c r="R516" s="207"/>
      <c r="S516" s="207"/>
      <c r="T516" s="207"/>
      <c r="U516" s="209"/>
      <c r="V516" s="207"/>
      <c r="W516" s="207"/>
      <c r="X516" s="209"/>
      <c r="Y516" s="209"/>
      <c r="Z516" s="207" t="str">
        <f t="shared" ca="1" si="76"/>
        <v/>
      </c>
      <c r="AA516" s="209" t="str">
        <f t="shared" si="80"/>
        <v/>
      </c>
      <c r="AB516" s="209"/>
      <c r="AC516" s="207" t="str">
        <f t="shared" ca="1" si="77"/>
        <v/>
      </c>
      <c r="AD516" s="207"/>
      <c r="AE516" s="207"/>
      <c r="AF516" s="208" t="str">
        <f>IF(ISBLANK(D516),"",VLOOKUP(F516,'SIZE CALCULATION'!$F:$G,2,0))</f>
        <v/>
      </c>
      <c r="AG516" s="207" t="str">
        <f t="shared" si="82"/>
        <v/>
      </c>
      <c r="AH516" s="207" t="str">
        <f t="shared" si="78"/>
        <v/>
      </c>
      <c r="AI516" s="210" t="str">
        <f>IF(ISBLANK(D516),"",VLOOKUP($A516,INDEX!$D$2:$F$13,3,0))</f>
        <v/>
      </c>
      <c r="AJ516" s="207" t="str">
        <f t="shared" si="79"/>
        <v/>
      </c>
      <c r="AK516" s="207"/>
      <c r="AL516" s="207"/>
      <c r="AM516" s="207" t="str">
        <f>IFERROR(IF(ISBLANK($D516),"",VLOOKUP($N516,'TABLE CHARGE RATE'!$A$30:$K$106,5,0)),"Check")</f>
        <v/>
      </c>
      <c r="AN516" s="207" t="str">
        <f>IFERROR(IF(ISBLANK($D516),"",VLOOKUP($N516,'TABLE CHARGE RATE'!$A$30:$K$106,6,0)),"Check")</f>
        <v/>
      </c>
      <c r="AO516" s="207" t="str">
        <f>IFERROR(IF(ISBLANK($D516),"",VLOOKUP($N516,'TABLE CHARGE RATE'!$A$30:$K$106,7,0)),"Check")</f>
        <v/>
      </c>
      <c r="AP516" s="207" t="str">
        <f>IFERROR(IF(ISBLANK($D516),"",VLOOKUP($N516,'TABLE CHARGE RATE'!$A$30:$K$106,8,0)),"Check")</f>
        <v/>
      </c>
      <c r="AQ516" s="207" t="str">
        <f>IFERROR(IF(ISBLANK($D516),"",VLOOKUP($N516,'TABLE CHARGE RATE'!$A$30:$K$106,9,0)),"Check")</f>
        <v/>
      </c>
      <c r="AR516" s="207" t="str">
        <f>IFERROR(IF(ISBLANK($D516),"",VLOOKUP($N516,'TABLE CHARGE RATE'!$A$30:$K$106,10,0)),"Check")</f>
        <v/>
      </c>
      <c r="AS516" s="207" t="str">
        <f>IFERROR(IF(ISBLANK($D516),"",VLOOKUP($N516,'TABLE CHARGE RATE'!$A$30:$K$106,11,0)),"Check")</f>
        <v/>
      </c>
      <c r="AT516" s="207"/>
    </row>
    <row r="517" spans="1:46" x14ac:dyDescent="0.2">
      <c r="A517" s="207" t="str">
        <f t="shared" si="81"/>
        <v/>
      </c>
      <c r="B517" s="208" t="str">
        <f>IF(ISBLANK(D517),"",VLOOKUP(WEEKDAY($C517,1),INDEX!$J$2:$K$8,2,0))</f>
        <v/>
      </c>
      <c r="C517" s="209"/>
      <c r="D517" s="207"/>
      <c r="E517" s="207"/>
      <c r="F517" s="207"/>
      <c r="G517" s="207"/>
      <c r="H517" s="207"/>
      <c r="I517" s="207"/>
      <c r="J517" s="207"/>
      <c r="K517" s="207"/>
      <c r="L517" s="207"/>
      <c r="M517" s="207"/>
      <c r="N517" s="207"/>
      <c r="O517" s="207"/>
      <c r="P517" s="207"/>
      <c r="Q517" s="207"/>
      <c r="R517" s="207"/>
      <c r="S517" s="207"/>
      <c r="T517" s="207"/>
      <c r="U517" s="209"/>
      <c r="V517" s="207"/>
      <c r="W517" s="207"/>
      <c r="X517" s="209"/>
      <c r="Y517" s="209"/>
      <c r="Z517" s="207" t="str">
        <f t="shared" ref="Z517:Z580" ca="1" si="83">IF(ISBLANK(D517),"",IFERROR(IF(ISBLANK($AK517),IF(X517&gt;=TODAY(),"Delivery",IF(Y517-X517=0,1,0)),$AK517),""))</f>
        <v/>
      </c>
      <c r="AA517" s="209" t="str">
        <f t="shared" si="80"/>
        <v/>
      </c>
      <c r="AB517" s="209"/>
      <c r="AC517" s="207" t="str">
        <f t="shared" ref="AC517:AC580" ca="1" si="84">IF(ISBLANK(D517),"",IFERROR(IF(ISBLANK($AL517),IF(AA517&gt;=TODAY(),"Collecting",IF(AB517-AA517=0,1,0)),$AL517),""))</f>
        <v/>
      </c>
      <c r="AD517" s="207"/>
      <c r="AE517" s="207"/>
      <c r="AF517" s="208" t="str">
        <f>IF(ISBLANK(D517),"",VLOOKUP(F517,'SIZE CALCULATION'!$F:$G,2,0))</f>
        <v/>
      </c>
      <c r="AG517" s="207" t="str">
        <f t="shared" si="82"/>
        <v/>
      </c>
      <c r="AH517" s="207" t="str">
        <f t="shared" ref="AH517:AH580" si="85">IF(ISBLANK(D517),"",IFERROR(AG517*G517,0))</f>
        <v/>
      </c>
      <c r="AI517" s="210" t="str">
        <f>IF(ISBLANK(D517),"",VLOOKUP($A517,INDEX!$D$2:$F$13,3,0))</f>
        <v/>
      </c>
      <c r="AJ517" s="207" t="str">
        <f t="shared" ref="AJ517:AJ580" si="86">IF(ISBLANK(D517),"",AH517+(AH517*AI517))</f>
        <v/>
      </c>
      <c r="AK517" s="207"/>
      <c r="AL517" s="207"/>
      <c r="AM517" s="207" t="str">
        <f>IFERROR(IF(ISBLANK($D517),"",VLOOKUP($N517,'TABLE CHARGE RATE'!$A$30:$K$106,5,0)),"Check")</f>
        <v/>
      </c>
      <c r="AN517" s="207" t="str">
        <f>IFERROR(IF(ISBLANK($D517),"",VLOOKUP($N517,'TABLE CHARGE RATE'!$A$30:$K$106,6,0)),"Check")</f>
        <v/>
      </c>
      <c r="AO517" s="207" t="str">
        <f>IFERROR(IF(ISBLANK($D517),"",VLOOKUP($N517,'TABLE CHARGE RATE'!$A$30:$K$106,7,0)),"Check")</f>
        <v/>
      </c>
      <c r="AP517" s="207" t="str">
        <f>IFERROR(IF(ISBLANK($D517),"",VLOOKUP($N517,'TABLE CHARGE RATE'!$A$30:$K$106,8,0)),"Check")</f>
        <v/>
      </c>
      <c r="AQ517" s="207" t="str">
        <f>IFERROR(IF(ISBLANK($D517),"",VLOOKUP($N517,'TABLE CHARGE RATE'!$A$30:$K$106,9,0)),"Check")</f>
        <v/>
      </c>
      <c r="AR517" s="207" t="str">
        <f>IFERROR(IF(ISBLANK($D517),"",VLOOKUP($N517,'TABLE CHARGE RATE'!$A$30:$K$106,10,0)),"Check")</f>
        <v/>
      </c>
      <c r="AS517" s="207" t="str">
        <f>IFERROR(IF(ISBLANK($D517),"",VLOOKUP($N517,'TABLE CHARGE RATE'!$A$30:$K$106,11,0)),"Check")</f>
        <v/>
      </c>
      <c r="AT517" s="207"/>
    </row>
    <row r="518" spans="1:46" x14ac:dyDescent="0.2">
      <c r="A518" s="207" t="str">
        <f t="shared" si="81"/>
        <v/>
      </c>
      <c r="B518" s="208" t="str">
        <f>IF(ISBLANK(D518),"",VLOOKUP(WEEKDAY($C518,1),INDEX!$J$2:$K$8,2,0))</f>
        <v/>
      </c>
      <c r="C518" s="209"/>
      <c r="D518" s="207"/>
      <c r="E518" s="207"/>
      <c r="F518" s="207"/>
      <c r="G518" s="207"/>
      <c r="H518" s="207"/>
      <c r="I518" s="207"/>
      <c r="J518" s="207"/>
      <c r="K518" s="207"/>
      <c r="L518" s="207"/>
      <c r="M518" s="207"/>
      <c r="N518" s="207"/>
      <c r="O518" s="207"/>
      <c r="P518" s="207"/>
      <c r="Q518" s="207"/>
      <c r="R518" s="207"/>
      <c r="S518" s="207"/>
      <c r="T518" s="207"/>
      <c r="U518" s="209"/>
      <c r="V518" s="207"/>
      <c r="W518" s="207"/>
      <c r="X518" s="209"/>
      <c r="Y518" s="209"/>
      <c r="Z518" s="207" t="str">
        <f t="shared" ca="1" si="83"/>
        <v/>
      </c>
      <c r="AA518" s="209" t="str">
        <f t="shared" si="80"/>
        <v/>
      </c>
      <c r="AB518" s="209"/>
      <c r="AC518" s="207" t="str">
        <f t="shared" ca="1" si="84"/>
        <v/>
      </c>
      <c r="AD518" s="207"/>
      <c r="AE518" s="207"/>
      <c r="AF518" s="208" t="str">
        <f>IF(ISBLANK(D518),"",VLOOKUP(F518,'SIZE CALCULATION'!$F:$G,2,0))</f>
        <v/>
      </c>
      <c r="AG518" s="207" t="str">
        <f t="shared" si="82"/>
        <v/>
      </c>
      <c r="AH518" s="207" t="str">
        <f t="shared" si="85"/>
        <v/>
      </c>
      <c r="AI518" s="210" t="str">
        <f>IF(ISBLANK(D518),"",VLOOKUP($A518,INDEX!$D$2:$F$13,3,0))</f>
        <v/>
      </c>
      <c r="AJ518" s="207" t="str">
        <f t="shared" si="86"/>
        <v/>
      </c>
      <c r="AK518" s="207"/>
      <c r="AL518" s="207"/>
      <c r="AM518" s="207" t="str">
        <f>IFERROR(IF(ISBLANK($D518),"",VLOOKUP($N518,'TABLE CHARGE RATE'!$A$30:$K$106,5,0)),"Check")</f>
        <v/>
      </c>
      <c r="AN518" s="207" t="str">
        <f>IFERROR(IF(ISBLANK($D518),"",VLOOKUP($N518,'TABLE CHARGE RATE'!$A$30:$K$106,6,0)),"Check")</f>
        <v/>
      </c>
      <c r="AO518" s="207" t="str">
        <f>IFERROR(IF(ISBLANK($D518),"",VLOOKUP($N518,'TABLE CHARGE RATE'!$A$30:$K$106,7,0)),"Check")</f>
        <v/>
      </c>
      <c r="AP518" s="207" t="str">
        <f>IFERROR(IF(ISBLANK($D518),"",VLOOKUP($N518,'TABLE CHARGE RATE'!$A$30:$K$106,8,0)),"Check")</f>
        <v/>
      </c>
      <c r="AQ518" s="207" t="str">
        <f>IFERROR(IF(ISBLANK($D518),"",VLOOKUP($N518,'TABLE CHARGE RATE'!$A$30:$K$106,9,0)),"Check")</f>
        <v/>
      </c>
      <c r="AR518" s="207" t="str">
        <f>IFERROR(IF(ISBLANK($D518),"",VLOOKUP($N518,'TABLE CHARGE RATE'!$A$30:$K$106,10,0)),"Check")</f>
        <v/>
      </c>
      <c r="AS518" s="207" t="str">
        <f>IFERROR(IF(ISBLANK($D518),"",VLOOKUP($N518,'TABLE CHARGE RATE'!$A$30:$K$106,11,0)),"Check")</f>
        <v/>
      </c>
      <c r="AT518" s="207"/>
    </row>
    <row r="519" spans="1:46" x14ac:dyDescent="0.2">
      <c r="A519" s="207" t="str">
        <f t="shared" si="81"/>
        <v/>
      </c>
      <c r="B519" s="208" t="str">
        <f>IF(ISBLANK(D519),"",VLOOKUP(WEEKDAY($C519,1),INDEX!$J$2:$K$8,2,0))</f>
        <v/>
      </c>
      <c r="C519" s="209"/>
      <c r="D519" s="207"/>
      <c r="E519" s="207"/>
      <c r="F519" s="207"/>
      <c r="G519" s="207"/>
      <c r="H519" s="207"/>
      <c r="I519" s="207"/>
      <c r="J519" s="207"/>
      <c r="K519" s="207"/>
      <c r="L519" s="207"/>
      <c r="M519" s="207"/>
      <c r="N519" s="207"/>
      <c r="O519" s="207"/>
      <c r="P519" s="207"/>
      <c r="Q519" s="207"/>
      <c r="R519" s="207"/>
      <c r="S519" s="207"/>
      <c r="T519" s="207"/>
      <c r="U519" s="209"/>
      <c r="V519" s="207"/>
      <c r="W519" s="207"/>
      <c r="X519" s="209"/>
      <c r="Y519" s="209"/>
      <c r="Z519" s="207" t="str">
        <f t="shared" ca="1" si="83"/>
        <v/>
      </c>
      <c r="AA519" s="209" t="str">
        <f t="shared" si="80"/>
        <v/>
      </c>
      <c r="AB519" s="209"/>
      <c r="AC519" s="207" t="str">
        <f t="shared" ca="1" si="84"/>
        <v/>
      </c>
      <c r="AD519" s="207"/>
      <c r="AE519" s="207"/>
      <c r="AF519" s="208" t="str">
        <f>IF(ISBLANK(D519),"",VLOOKUP(F519,'SIZE CALCULATION'!$F:$G,2,0))</f>
        <v/>
      </c>
      <c r="AG519" s="207" t="str">
        <f t="shared" si="82"/>
        <v/>
      </c>
      <c r="AH519" s="207" t="str">
        <f t="shared" si="85"/>
        <v/>
      </c>
      <c r="AI519" s="210" t="str">
        <f>IF(ISBLANK(D519),"",VLOOKUP($A519,INDEX!$D$2:$F$13,3,0))</f>
        <v/>
      </c>
      <c r="AJ519" s="207" t="str">
        <f t="shared" si="86"/>
        <v/>
      </c>
      <c r="AK519" s="207"/>
      <c r="AL519" s="207"/>
      <c r="AM519" s="207" t="str">
        <f>IFERROR(IF(ISBLANK($D519),"",VLOOKUP($N519,'TABLE CHARGE RATE'!$A$30:$K$106,5,0)),"Check")</f>
        <v/>
      </c>
      <c r="AN519" s="207" t="str">
        <f>IFERROR(IF(ISBLANK($D519),"",VLOOKUP($N519,'TABLE CHARGE RATE'!$A$30:$K$106,6,0)),"Check")</f>
        <v/>
      </c>
      <c r="AO519" s="207" t="str">
        <f>IFERROR(IF(ISBLANK($D519),"",VLOOKUP($N519,'TABLE CHARGE RATE'!$A$30:$K$106,7,0)),"Check")</f>
        <v/>
      </c>
      <c r="AP519" s="207" t="str">
        <f>IFERROR(IF(ISBLANK($D519),"",VLOOKUP($N519,'TABLE CHARGE RATE'!$A$30:$K$106,8,0)),"Check")</f>
        <v/>
      </c>
      <c r="AQ519" s="207" t="str">
        <f>IFERROR(IF(ISBLANK($D519),"",VLOOKUP($N519,'TABLE CHARGE RATE'!$A$30:$K$106,9,0)),"Check")</f>
        <v/>
      </c>
      <c r="AR519" s="207" t="str">
        <f>IFERROR(IF(ISBLANK($D519),"",VLOOKUP($N519,'TABLE CHARGE RATE'!$A$30:$K$106,10,0)),"Check")</f>
        <v/>
      </c>
      <c r="AS519" s="207" t="str">
        <f>IFERROR(IF(ISBLANK($D519),"",VLOOKUP($N519,'TABLE CHARGE RATE'!$A$30:$K$106,11,0)),"Check")</f>
        <v/>
      </c>
      <c r="AT519" s="207"/>
    </row>
    <row r="520" spans="1:46" x14ac:dyDescent="0.2">
      <c r="A520" s="207" t="str">
        <f t="shared" si="81"/>
        <v/>
      </c>
      <c r="B520" s="208" t="str">
        <f>IF(ISBLANK(D520),"",VLOOKUP(WEEKDAY($C520,1),INDEX!$J$2:$K$8,2,0))</f>
        <v/>
      </c>
      <c r="C520" s="209"/>
      <c r="D520" s="207"/>
      <c r="E520" s="207"/>
      <c r="F520" s="207"/>
      <c r="G520" s="207"/>
      <c r="H520" s="207"/>
      <c r="I520" s="207"/>
      <c r="J520" s="207"/>
      <c r="K520" s="207"/>
      <c r="L520" s="207"/>
      <c r="M520" s="207"/>
      <c r="N520" s="207"/>
      <c r="O520" s="207"/>
      <c r="P520" s="207"/>
      <c r="Q520" s="207"/>
      <c r="R520" s="207"/>
      <c r="S520" s="207"/>
      <c r="T520" s="207"/>
      <c r="U520" s="209"/>
      <c r="V520" s="207"/>
      <c r="W520" s="207"/>
      <c r="X520" s="209"/>
      <c r="Y520" s="209"/>
      <c r="Z520" s="207" t="str">
        <f t="shared" ca="1" si="83"/>
        <v/>
      </c>
      <c r="AA520" s="209" t="str">
        <f t="shared" si="80"/>
        <v/>
      </c>
      <c r="AB520" s="209"/>
      <c r="AC520" s="207" t="str">
        <f t="shared" ca="1" si="84"/>
        <v/>
      </c>
      <c r="AD520" s="207"/>
      <c r="AE520" s="207"/>
      <c r="AF520" s="208" t="str">
        <f>IF(ISBLANK(D520),"",VLOOKUP(F520,'SIZE CALCULATION'!$F:$G,2,0))</f>
        <v/>
      </c>
      <c r="AG520" s="207" t="str">
        <f t="shared" si="82"/>
        <v/>
      </c>
      <c r="AH520" s="207" t="str">
        <f t="shared" si="85"/>
        <v/>
      </c>
      <c r="AI520" s="210" t="str">
        <f>IF(ISBLANK(D520),"",VLOOKUP($A520,INDEX!$D$2:$F$13,3,0))</f>
        <v/>
      </c>
      <c r="AJ520" s="207" t="str">
        <f t="shared" si="86"/>
        <v/>
      </c>
      <c r="AK520" s="207"/>
      <c r="AL520" s="207"/>
      <c r="AM520" s="207" t="str">
        <f>IFERROR(IF(ISBLANK($D520),"",VLOOKUP($N520,'TABLE CHARGE RATE'!$A$30:$K$106,5,0)),"Check")</f>
        <v/>
      </c>
      <c r="AN520" s="207" t="str">
        <f>IFERROR(IF(ISBLANK($D520),"",VLOOKUP($N520,'TABLE CHARGE RATE'!$A$30:$K$106,6,0)),"Check")</f>
        <v/>
      </c>
      <c r="AO520" s="207" t="str">
        <f>IFERROR(IF(ISBLANK($D520),"",VLOOKUP($N520,'TABLE CHARGE RATE'!$A$30:$K$106,7,0)),"Check")</f>
        <v/>
      </c>
      <c r="AP520" s="207" t="str">
        <f>IFERROR(IF(ISBLANK($D520),"",VLOOKUP($N520,'TABLE CHARGE RATE'!$A$30:$K$106,8,0)),"Check")</f>
        <v/>
      </c>
      <c r="AQ520" s="207" t="str">
        <f>IFERROR(IF(ISBLANK($D520),"",VLOOKUP($N520,'TABLE CHARGE RATE'!$A$30:$K$106,9,0)),"Check")</f>
        <v/>
      </c>
      <c r="AR520" s="207" t="str">
        <f>IFERROR(IF(ISBLANK($D520),"",VLOOKUP($N520,'TABLE CHARGE RATE'!$A$30:$K$106,10,0)),"Check")</f>
        <v/>
      </c>
      <c r="AS520" s="207" t="str">
        <f>IFERROR(IF(ISBLANK($D520),"",VLOOKUP($N520,'TABLE CHARGE RATE'!$A$30:$K$106,11,0)),"Check")</f>
        <v/>
      </c>
      <c r="AT520" s="207"/>
    </row>
    <row r="521" spans="1:46" x14ac:dyDescent="0.2">
      <c r="A521" s="207" t="str">
        <f t="shared" si="81"/>
        <v/>
      </c>
      <c r="B521" s="208" t="str">
        <f>IF(ISBLANK(D521),"",VLOOKUP(WEEKDAY($C521,1),INDEX!$J$2:$K$8,2,0))</f>
        <v/>
      </c>
      <c r="C521" s="209"/>
      <c r="D521" s="207"/>
      <c r="E521" s="207"/>
      <c r="F521" s="207"/>
      <c r="G521" s="207"/>
      <c r="H521" s="207"/>
      <c r="I521" s="207"/>
      <c r="J521" s="207"/>
      <c r="K521" s="207"/>
      <c r="L521" s="207"/>
      <c r="M521" s="207"/>
      <c r="N521" s="207"/>
      <c r="O521" s="207"/>
      <c r="P521" s="207"/>
      <c r="Q521" s="207"/>
      <c r="R521" s="207"/>
      <c r="S521" s="207"/>
      <c r="T521" s="207"/>
      <c r="U521" s="209"/>
      <c r="V521" s="207"/>
      <c r="W521" s="207"/>
      <c r="X521" s="209"/>
      <c r="Y521" s="209"/>
      <c r="Z521" s="207" t="str">
        <f t="shared" ca="1" si="83"/>
        <v/>
      </c>
      <c r="AA521" s="209" t="str">
        <f t="shared" si="80"/>
        <v/>
      </c>
      <c r="AB521" s="209"/>
      <c r="AC521" s="207" t="str">
        <f t="shared" ca="1" si="84"/>
        <v/>
      </c>
      <c r="AD521" s="207"/>
      <c r="AE521" s="207"/>
      <c r="AF521" s="208" t="str">
        <f>IF(ISBLANK(D521),"",VLOOKUP(F521,'SIZE CALCULATION'!$F:$G,2,0))</f>
        <v/>
      </c>
      <c r="AG521" s="207" t="str">
        <f t="shared" si="82"/>
        <v/>
      </c>
      <c r="AH521" s="207" t="str">
        <f t="shared" si="85"/>
        <v/>
      </c>
      <c r="AI521" s="210" t="str">
        <f>IF(ISBLANK(D521),"",VLOOKUP($A521,INDEX!$D$2:$F$13,3,0))</f>
        <v/>
      </c>
      <c r="AJ521" s="207" t="str">
        <f t="shared" si="86"/>
        <v/>
      </c>
      <c r="AK521" s="207"/>
      <c r="AL521" s="207"/>
      <c r="AM521" s="207" t="str">
        <f>IFERROR(IF(ISBLANK($D521),"",VLOOKUP($N521,'TABLE CHARGE RATE'!$A$30:$K$106,5,0)),"Check")</f>
        <v/>
      </c>
      <c r="AN521" s="207" t="str">
        <f>IFERROR(IF(ISBLANK($D521),"",VLOOKUP($N521,'TABLE CHARGE RATE'!$A$30:$K$106,6,0)),"Check")</f>
        <v/>
      </c>
      <c r="AO521" s="207" t="str">
        <f>IFERROR(IF(ISBLANK($D521),"",VLOOKUP($N521,'TABLE CHARGE RATE'!$A$30:$K$106,7,0)),"Check")</f>
        <v/>
      </c>
      <c r="AP521" s="207" t="str">
        <f>IFERROR(IF(ISBLANK($D521),"",VLOOKUP($N521,'TABLE CHARGE RATE'!$A$30:$K$106,8,0)),"Check")</f>
        <v/>
      </c>
      <c r="AQ521" s="207" t="str">
        <f>IFERROR(IF(ISBLANK($D521),"",VLOOKUP($N521,'TABLE CHARGE RATE'!$A$30:$K$106,9,0)),"Check")</f>
        <v/>
      </c>
      <c r="AR521" s="207" t="str">
        <f>IFERROR(IF(ISBLANK($D521),"",VLOOKUP($N521,'TABLE CHARGE RATE'!$A$30:$K$106,10,0)),"Check")</f>
        <v/>
      </c>
      <c r="AS521" s="207" t="str">
        <f>IFERROR(IF(ISBLANK($D521),"",VLOOKUP($N521,'TABLE CHARGE RATE'!$A$30:$K$106,11,0)),"Check")</f>
        <v/>
      </c>
      <c r="AT521" s="207"/>
    </row>
    <row r="522" spans="1:46" x14ac:dyDescent="0.2">
      <c r="A522" s="207" t="str">
        <f t="shared" si="81"/>
        <v/>
      </c>
      <c r="B522" s="208" t="str">
        <f>IF(ISBLANK(D522),"",VLOOKUP(WEEKDAY($C522,1),INDEX!$J$2:$K$8,2,0))</f>
        <v/>
      </c>
      <c r="C522" s="209"/>
      <c r="D522" s="207"/>
      <c r="E522" s="207"/>
      <c r="F522" s="207"/>
      <c r="G522" s="207"/>
      <c r="H522" s="207"/>
      <c r="I522" s="207"/>
      <c r="J522" s="207"/>
      <c r="K522" s="207"/>
      <c r="L522" s="207"/>
      <c r="M522" s="207"/>
      <c r="N522" s="207"/>
      <c r="O522" s="207"/>
      <c r="P522" s="207"/>
      <c r="Q522" s="207"/>
      <c r="R522" s="207"/>
      <c r="S522" s="207"/>
      <c r="T522" s="207"/>
      <c r="U522" s="209"/>
      <c r="V522" s="207"/>
      <c r="W522" s="207"/>
      <c r="X522" s="209"/>
      <c r="Y522" s="209"/>
      <c r="Z522" s="207" t="str">
        <f t="shared" ca="1" si="83"/>
        <v/>
      </c>
      <c r="AA522" s="209" t="str">
        <f t="shared" si="80"/>
        <v/>
      </c>
      <c r="AB522" s="209"/>
      <c r="AC522" s="207" t="str">
        <f t="shared" ca="1" si="84"/>
        <v/>
      </c>
      <c r="AD522" s="207"/>
      <c r="AE522" s="207"/>
      <c r="AF522" s="208" t="str">
        <f>IF(ISBLANK(D522),"",VLOOKUP(F522,'SIZE CALCULATION'!$F:$G,2,0))</f>
        <v/>
      </c>
      <c r="AG522" s="207" t="str">
        <f t="shared" si="82"/>
        <v/>
      </c>
      <c r="AH522" s="207" t="str">
        <f t="shared" si="85"/>
        <v/>
      </c>
      <c r="AI522" s="210" t="str">
        <f>IF(ISBLANK(D522),"",VLOOKUP($A522,INDEX!$D$2:$F$13,3,0))</f>
        <v/>
      </c>
      <c r="AJ522" s="207" t="str">
        <f t="shared" si="86"/>
        <v/>
      </c>
      <c r="AK522" s="207"/>
      <c r="AL522" s="207"/>
      <c r="AM522" s="207" t="str">
        <f>IFERROR(IF(ISBLANK($D522),"",VLOOKUP($N522,'TABLE CHARGE RATE'!$A$30:$K$106,5,0)),"Check")</f>
        <v/>
      </c>
      <c r="AN522" s="207" t="str">
        <f>IFERROR(IF(ISBLANK($D522),"",VLOOKUP($N522,'TABLE CHARGE RATE'!$A$30:$K$106,6,0)),"Check")</f>
        <v/>
      </c>
      <c r="AO522" s="207" t="str">
        <f>IFERROR(IF(ISBLANK($D522),"",VLOOKUP($N522,'TABLE CHARGE RATE'!$A$30:$K$106,7,0)),"Check")</f>
        <v/>
      </c>
      <c r="AP522" s="207" t="str">
        <f>IFERROR(IF(ISBLANK($D522),"",VLOOKUP($N522,'TABLE CHARGE RATE'!$A$30:$K$106,8,0)),"Check")</f>
        <v/>
      </c>
      <c r="AQ522" s="207" t="str">
        <f>IFERROR(IF(ISBLANK($D522),"",VLOOKUP($N522,'TABLE CHARGE RATE'!$A$30:$K$106,9,0)),"Check")</f>
        <v/>
      </c>
      <c r="AR522" s="207" t="str">
        <f>IFERROR(IF(ISBLANK($D522),"",VLOOKUP($N522,'TABLE CHARGE RATE'!$A$30:$K$106,10,0)),"Check")</f>
        <v/>
      </c>
      <c r="AS522" s="207" t="str">
        <f>IFERROR(IF(ISBLANK($D522),"",VLOOKUP($N522,'TABLE CHARGE RATE'!$A$30:$K$106,11,0)),"Check")</f>
        <v/>
      </c>
      <c r="AT522" s="207"/>
    </row>
    <row r="523" spans="1:46" x14ac:dyDescent="0.2">
      <c r="A523" s="207" t="str">
        <f t="shared" si="81"/>
        <v/>
      </c>
      <c r="B523" s="208" t="str">
        <f>IF(ISBLANK(D523),"",VLOOKUP(WEEKDAY($C523,1),INDEX!$J$2:$K$8,2,0))</f>
        <v/>
      </c>
      <c r="C523" s="209"/>
      <c r="D523" s="207"/>
      <c r="E523" s="207"/>
      <c r="F523" s="207"/>
      <c r="G523" s="207"/>
      <c r="H523" s="207"/>
      <c r="I523" s="207"/>
      <c r="J523" s="207"/>
      <c r="K523" s="207"/>
      <c r="L523" s="207"/>
      <c r="M523" s="207"/>
      <c r="N523" s="207"/>
      <c r="O523" s="207"/>
      <c r="P523" s="207"/>
      <c r="Q523" s="207"/>
      <c r="R523" s="207"/>
      <c r="S523" s="207"/>
      <c r="T523" s="207"/>
      <c r="U523" s="209"/>
      <c r="V523" s="207"/>
      <c r="W523" s="207"/>
      <c r="X523" s="209"/>
      <c r="Y523" s="209"/>
      <c r="Z523" s="207" t="str">
        <f t="shared" ca="1" si="83"/>
        <v/>
      </c>
      <c r="AA523" s="209" t="str">
        <f t="shared" si="80"/>
        <v/>
      </c>
      <c r="AB523" s="209"/>
      <c r="AC523" s="207" t="str">
        <f t="shared" ca="1" si="84"/>
        <v/>
      </c>
      <c r="AD523" s="207"/>
      <c r="AE523" s="207"/>
      <c r="AF523" s="208" t="str">
        <f>IF(ISBLANK(D523),"",VLOOKUP(F523,'SIZE CALCULATION'!$F:$G,2,0))</f>
        <v/>
      </c>
      <c r="AG523" s="207" t="str">
        <f t="shared" si="82"/>
        <v/>
      </c>
      <c r="AH523" s="207" t="str">
        <f t="shared" si="85"/>
        <v/>
      </c>
      <c r="AI523" s="210" t="str">
        <f>IF(ISBLANK(D523),"",VLOOKUP($A523,INDEX!$D$2:$F$13,3,0))</f>
        <v/>
      </c>
      <c r="AJ523" s="207" t="str">
        <f t="shared" si="86"/>
        <v/>
      </c>
      <c r="AK523" s="207"/>
      <c r="AL523" s="207"/>
      <c r="AM523" s="207" t="str">
        <f>IFERROR(IF(ISBLANK($D523),"",VLOOKUP($N523,'TABLE CHARGE RATE'!$A$30:$K$106,5,0)),"Check")</f>
        <v/>
      </c>
      <c r="AN523" s="207" t="str">
        <f>IFERROR(IF(ISBLANK($D523),"",VLOOKUP($N523,'TABLE CHARGE RATE'!$A$30:$K$106,6,0)),"Check")</f>
        <v/>
      </c>
      <c r="AO523" s="207" t="str">
        <f>IFERROR(IF(ISBLANK($D523),"",VLOOKUP($N523,'TABLE CHARGE RATE'!$A$30:$K$106,7,0)),"Check")</f>
        <v/>
      </c>
      <c r="AP523" s="207" t="str">
        <f>IFERROR(IF(ISBLANK($D523),"",VLOOKUP($N523,'TABLE CHARGE RATE'!$A$30:$K$106,8,0)),"Check")</f>
        <v/>
      </c>
      <c r="AQ523" s="207" t="str">
        <f>IFERROR(IF(ISBLANK($D523),"",VLOOKUP($N523,'TABLE CHARGE RATE'!$A$30:$K$106,9,0)),"Check")</f>
        <v/>
      </c>
      <c r="AR523" s="207" t="str">
        <f>IFERROR(IF(ISBLANK($D523),"",VLOOKUP($N523,'TABLE CHARGE RATE'!$A$30:$K$106,10,0)),"Check")</f>
        <v/>
      </c>
      <c r="AS523" s="207" t="str">
        <f>IFERROR(IF(ISBLANK($D523),"",VLOOKUP($N523,'TABLE CHARGE RATE'!$A$30:$K$106,11,0)),"Check")</f>
        <v/>
      </c>
      <c r="AT523" s="207"/>
    </row>
    <row r="524" spans="1:46" x14ac:dyDescent="0.2">
      <c r="A524" s="207" t="str">
        <f t="shared" si="81"/>
        <v/>
      </c>
      <c r="B524" s="208" t="str">
        <f>IF(ISBLANK(D524),"",VLOOKUP(WEEKDAY($C524,1),INDEX!$J$2:$K$8,2,0))</f>
        <v/>
      </c>
      <c r="C524" s="209"/>
      <c r="D524" s="207"/>
      <c r="E524" s="207"/>
      <c r="F524" s="207"/>
      <c r="G524" s="207"/>
      <c r="H524" s="207"/>
      <c r="I524" s="207"/>
      <c r="J524" s="207"/>
      <c r="K524" s="207"/>
      <c r="L524" s="207"/>
      <c r="M524" s="207"/>
      <c r="N524" s="207"/>
      <c r="O524" s="207"/>
      <c r="P524" s="207"/>
      <c r="Q524" s="207"/>
      <c r="R524" s="207"/>
      <c r="S524" s="207"/>
      <c r="T524" s="207"/>
      <c r="U524" s="209"/>
      <c r="V524" s="207"/>
      <c r="W524" s="207"/>
      <c r="X524" s="209"/>
      <c r="Y524" s="209"/>
      <c r="Z524" s="207" t="str">
        <f t="shared" ca="1" si="83"/>
        <v/>
      </c>
      <c r="AA524" s="209" t="str">
        <f t="shared" si="80"/>
        <v/>
      </c>
      <c r="AB524" s="209"/>
      <c r="AC524" s="207" t="str">
        <f t="shared" ca="1" si="84"/>
        <v/>
      </c>
      <c r="AD524" s="207"/>
      <c r="AE524" s="207"/>
      <c r="AF524" s="208" t="str">
        <f>IF(ISBLANK(D524),"",VLOOKUP(F524,'SIZE CALCULATION'!$F:$G,2,0))</f>
        <v/>
      </c>
      <c r="AG524" s="207" t="str">
        <f t="shared" si="82"/>
        <v/>
      </c>
      <c r="AH524" s="207" t="str">
        <f t="shared" si="85"/>
        <v/>
      </c>
      <c r="AI524" s="210" t="str">
        <f>IF(ISBLANK(D524),"",VLOOKUP($A524,INDEX!$D$2:$F$13,3,0))</f>
        <v/>
      </c>
      <c r="AJ524" s="207" t="str">
        <f t="shared" si="86"/>
        <v/>
      </c>
      <c r="AK524" s="207"/>
      <c r="AL524" s="207"/>
      <c r="AM524" s="207" t="str">
        <f>IFERROR(IF(ISBLANK($D524),"",VLOOKUP($N524,'TABLE CHARGE RATE'!$A$30:$K$106,5,0)),"Check")</f>
        <v/>
      </c>
      <c r="AN524" s="207" t="str">
        <f>IFERROR(IF(ISBLANK($D524),"",VLOOKUP($N524,'TABLE CHARGE RATE'!$A$30:$K$106,6,0)),"Check")</f>
        <v/>
      </c>
      <c r="AO524" s="207" t="str">
        <f>IFERROR(IF(ISBLANK($D524),"",VLOOKUP($N524,'TABLE CHARGE RATE'!$A$30:$K$106,7,0)),"Check")</f>
        <v/>
      </c>
      <c r="AP524" s="207" t="str">
        <f>IFERROR(IF(ISBLANK($D524),"",VLOOKUP($N524,'TABLE CHARGE RATE'!$A$30:$K$106,8,0)),"Check")</f>
        <v/>
      </c>
      <c r="AQ524" s="207" t="str">
        <f>IFERROR(IF(ISBLANK($D524),"",VLOOKUP($N524,'TABLE CHARGE RATE'!$A$30:$K$106,9,0)),"Check")</f>
        <v/>
      </c>
      <c r="AR524" s="207" t="str">
        <f>IFERROR(IF(ISBLANK($D524),"",VLOOKUP($N524,'TABLE CHARGE RATE'!$A$30:$K$106,10,0)),"Check")</f>
        <v/>
      </c>
      <c r="AS524" s="207" t="str">
        <f>IFERROR(IF(ISBLANK($D524),"",VLOOKUP($N524,'TABLE CHARGE RATE'!$A$30:$K$106,11,0)),"Check")</f>
        <v/>
      </c>
      <c r="AT524" s="207"/>
    </row>
    <row r="525" spans="1:46" x14ac:dyDescent="0.2">
      <c r="A525" s="207" t="str">
        <f t="shared" si="81"/>
        <v/>
      </c>
      <c r="B525" s="208" t="str">
        <f>IF(ISBLANK(D525),"",VLOOKUP(WEEKDAY($C525,1),INDEX!$J$2:$K$8,2,0))</f>
        <v/>
      </c>
      <c r="C525" s="209"/>
      <c r="D525" s="207"/>
      <c r="E525" s="207"/>
      <c r="F525" s="207"/>
      <c r="G525" s="207"/>
      <c r="H525" s="207"/>
      <c r="I525" s="207"/>
      <c r="J525" s="207"/>
      <c r="K525" s="207"/>
      <c r="L525" s="207"/>
      <c r="M525" s="207"/>
      <c r="N525" s="207"/>
      <c r="O525" s="207"/>
      <c r="P525" s="207"/>
      <c r="Q525" s="207"/>
      <c r="R525" s="207"/>
      <c r="S525" s="207"/>
      <c r="T525" s="207"/>
      <c r="U525" s="209"/>
      <c r="V525" s="207"/>
      <c r="W525" s="207"/>
      <c r="X525" s="209"/>
      <c r="Y525" s="209"/>
      <c r="Z525" s="207" t="str">
        <f t="shared" ca="1" si="83"/>
        <v/>
      </c>
      <c r="AA525" s="209" t="str">
        <f t="shared" si="80"/>
        <v/>
      </c>
      <c r="AB525" s="209"/>
      <c r="AC525" s="207" t="str">
        <f t="shared" ca="1" si="84"/>
        <v/>
      </c>
      <c r="AD525" s="207"/>
      <c r="AE525" s="207"/>
      <c r="AF525" s="208" t="str">
        <f>IF(ISBLANK(D525),"",VLOOKUP(F525,'SIZE CALCULATION'!$F:$G,2,0))</f>
        <v/>
      </c>
      <c r="AG525" s="207" t="str">
        <f t="shared" si="82"/>
        <v/>
      </c>
      <c r="AH525" s="207" t="str">
        <f t="shared" si="85"/>
        <v/>
      </c>
      <c r="AI525" s="210" t="str">
        <f>IF(ISBLANK(D525),"",VLOOKUP($A525,INDEX!$D$2:$F$13,3,0))</f>
        <v/>
      </c>
      <c r="AJ525" s="207" t="str">
        <f t="shared" si="86"/>
        <v/>
      </c>
      <c r="AK525" s="207"/>
      <c r="AL525" s="207"/>
      <c r="AM525" s="207" t="str">
        <f>IFERROR(IF(ISBLANK($D525),"",VLOOKUP($N525,'TABLE CHARGE RATE'!$A$30:$K$106,5,0)),"Check")</f>
        <v/>
      </c>
      <c r="AN525" s="207" t="str">
        <f>IFERROR(IF(ISBLANK($D525),"",VLOOKUP($N525,'TABLE CHARGE RATE'!$A$30:$K$106,6,0)),"Check")</f>
        <v/>
      </c>
      <c r="AO525" s="207" t="str">
        <f>IFERROR(IF(ISBLANK($D525),"",VLOOKUP($N525,'TABLE CHARGE RATE'!$A$30:$K$106,7,0)),"Check")</f>
        <v/>
      </c>
      <c r="AP525" s="207" t="str">
        <f>IFERROR(IF(ISBLANK($D525),"",VLOOKUP($N525,'TABLE CHARGE RATE'!$A$30:$K$106,8,0)),"Check")</f>
        <v/>
      </c>
      <c r="AQ525" s="207" t="str">
        <f>IFERROR(IF(ISBLANK($D525),"",VLOOKUP($N525,'TABLE CHARGE RATE'!$A$30:$K$106,9,0)),"Check")</f>
        <v/>
      </c>
      <c r="AR525" s="207" t="str">
        <f>IFERROR(IF(ISBLANK($D525),"",VLOOKUP($N525,'TABLE CHARGE RATE'!$A$30:$K$106,10,0)),"Check")</f>
        <v/>
      </c>
      <c r="AS525" s="207" t="str">
        <f>IFERROR(IF(ISBLANK($D525),"",VLOOKUP($N525,'TABLE CHARGE RATE'!$A$30:$K$106,11,0)),"Check")</f>
        <v/>
      </c>
      <c r="AT525" s="207"/>
    </row>
    <row r="526" spans="1:46" x14ac:dyDescent="0.2">
      <c r="A526" s="207" t="str">
        <f t="shared" si="81"/>
        <v/>
      </c>
      <c r="B526" s="208" t="str">
        <f>IF(ISBLANK(D526),"",VLOOKUP(WEEKDAY($C526,1),INDEX!$J$2:$K$8,2,0))</f>
        <v/>
      </c>
      <c r="C526" s="209"/>
      <c r="D526" s="207"/>
      <c r="E526" s="207"/>
      <c r="F526" s="207"/>
      <c r="G526" s="207"/>
      <c r="H526" s="207"/>
      <c r="I526" s="207"/>
      <c r="J526" s="207"/>
      <c r="K526" s="207"/>
      <c r="L526" s="207"/>
      <c r="M526" s="207"/>
      <c r="N526" s="207"/>
      <c r="O526" s="207"/>
      <c r="P526" s="207"/>
      <c r="Q526" s="207"/>
      <c r="R526" s="207"/>
      <c r="S526" s="207"/>
      <c r="T526" s="207"/>
      <c r="U526" s="209"/>
      <c r="V526" s="207"/>
      <c r="W526" s="207"/>
      <c r="X526" s="209"/>
      <c r="Y526" s="209"/>
      <c r="Z526" s="207" t="str">
        <f t="shared" ca="1" si="83"/>
        <v/>
      </c>
      <c r="AA526" s="209" t="str">
        <f t="shared" si="80"/>
        <v/>
      </c>
      <c r="AB526" s="209"/>
      <c r="AC526" s="207" t="str">
        <f t="shared" ca="1" si="84"/>
        <v/>
      </c>
      <c r="AD526" s="207"/>
      <c r="AE526" s="207"/>
      <c r="AF526" s="208" t="str">
        <f>IF(ISBLANK(D526),"",VLOOKUP(F526,'SIZE CALCULATION'!$F:$G,2,0))</f>
        <v/>
      </c>
      <c r="AG526" s="207" t="str">
        <f t="shared" si="82"/>
        <v/>
      </c>
      <c r="AH526" s="207" t="str">
        <f t="shared" si="85"/>
        <v/>
      </c>
      <c r="AI526" s="210" t="str">
        <f>IF(ISBLANK(D526),"",VLOOKUP($A526,INDEX!$D$2:$F$13,3,0))</f>
        <v/>
      </c>
      <c r="AJ526" s="207" t="str">
        <f t="shared" si="86"/>
        <v/>
      </c>
      <c r="AK526" s="207"/>
      <c r="AL526" s="207"/>
      <c r="AM526" s="207" t="str">
        <f>IFERROR(IF(ISBLANK($D526),"",VLOOKUP($N526,'TABLE CHARGE RATE'!$A$30:$K$106,5,0)),"Check")</f>
        <v/>
      </c>
      <c r="AN526" s="207" t="str">
        <f>IFERROR(IF(ISBLANK($D526),"",VLOOKUP($N526,'TABLE CHARGE RATE'!$A$30:$K$106,6,0)),"Check")</f>
        <v/>
      </c>
      <c r="AO526" s="207" t="str">
        <f>IFERROR(IF(ISBLANK($D526),"",VLOOKUP($N526,'TABLE CHARGE RATE'!$A$30:$K$106,7,0)),"Check")</f>
        <v/>
      </c>
      <c r="AP526" s="207" t="str">
        <f>IFERROR(IF(ISBLANK($D526),"",VLOOKUP($N526,'TABLE CHARGE RATE'!$A$30:$K$106,8,0)),"Check")</f>
        <v/>
      </c>
      <c r="AQ526" s="207" t="str">
        <f>IFERROR(IF(ISBLANK($D526),"",VLOOKUP($N526,'TABLE CHARGE RATE'!$A$30:$K$106,9,0)),"Check")</f>
        <v/>
      </c>
      <c r="AR526" s="207" t="str">
        <f>IFERROR(IF(ISBLANK($D526),"",VLOOKUP($N526,'TABLE CHARGE RATE'!$A$30:$K$106,10,0)),"Check")</f>
        <v/>
      </c>
      <c r="AS526" s="207" t="str">
        <f>IFERROR(IF(ISBLANK($D526),"",VLOOKUP($N526,'TABLE CHARGE RATE'!$A$30:$K$106,11,0)),"Check")</f>
        <v/>
      </c>
      <c r="AT526" s="207"/>
    </row>
    <row r="527" spans="1:46" x14ac:dyDescent="0.2">
      <c r="A527" s="207" t="str">
        <f t="shared" si="81"/>
        <v/>
      </c>
      <c r="B527" s="208" t="str">
        <f>IF(ISBLANK(D527),"",VLOOKUP(WEEKDAY($C527,1),INDEX!$J$2:$K$8,2,0))</f>
        <v/>
      </c>
      <c r="C527" s="209"/>
      <c r="D527" s="207"/>
      <c r="E527" s="207"/>
      <c r="F527" s="207"/>
      <c r="G527" s="207"/>
      <c r="H527" s="207"/>
      <c r="I527" s="207"/>
      <c r="J527" s="207"/>
      <c r="K527" s="207"/>
      <c r="L527" s="207"/>
      <c r="M527" s="207"/>
      <c r="N527" s="207"/>
      <c r="O527" s="207"/>
      <c r="P527" s="207"/>
      <c r="Q527" s="207"/>
      <c r="R527" s="207"/>
      <c r="S527" s="207"/>
      <c r="T527" s="207"/>
      <c r="U527" s="209"/>
      <c r="V527" s="207"/>
      <c r="W527" s="207"/>
      <c r="X527" s="209"/>
      <c r="Y527" s="209"/>
      <c r="Z527" s="207" t="str">
        <f t="shared" ca="1" si="83"/>
        <v/>
      </c>
      <c r="AA527" s="209" t="str">
        <f t="shared" si="80"/>
        <v/>
      </c>
      <c r="AB527" s="209"/>
      <c r="AC527" s="207" t="str">
        <f t="shared" ca="1" si="84"/>
        <v/>
      </c>
      <c r="AD527" s="207"/>
      <c r="AE527" s="207"/>
      <c r="AF527" s="208" t="str">
        <f>IF(ISBLANK(D527),"",VLOOKUP(F527,'SIZE CALCULATION'!$F:$G,2,0))</f>
        <v/>
      </c>
      <c r="AG527" s="207" t="str">
        <f t="shared" si="82"/>
        <v/>
      </c>
      <c r="AH527" s="207" t="str">
        <f t="shared" si="85"/>
        <v/>
      </c>
      <c r="AI527" s="210" t="str">
        <f>IF(ISBLANK(D527),"",VLOOKUP($A527,INDEX!$D$2:$F$13,3,0))</f>
        <v/>
      </c>
      <c r="AJ527" s="207" t="str">
        <f t="shared" si="86"/>
        <v/>
      </c>
      <c r="AK527" s="207"/>
      <c r="AL527" s="207"/>
      <c r="AM527" s="207" t="str">
        <f>IFERROR(IF(ISBLANK($D527),"",VLOOKUP($N527,'TABLE CHARGE RATE'!$A$30:$K$106,5,0)),"Check")</f>
        <v/>
      </c>
      <c r="AN527" s="207" t="str">
        <f>IFERROR(IF(ISBLANK($D527),"",VLOOKUP($N527,'TABLE CHARGE RATE'!$A$30:$K$106,6,0)),"Check")</f>
        <v/>
      </c>
      <c r="AO527" s="207" t="str">
        <f>IFERROR(IF(ISBLANK($D527),"",VLOOKUP($N527,'TABLE CHARGE RATE'!$A$30:$K$106,7,0)),"Check")</f>
        <v/>
      </c>
      <c r="AP527" s="207" t="str">
        <f>IFERROR(IF(ISBLANK($D527),"",VLOOKUP($N527,'TABLE CHARGE RATE'!$A$30:$K$106,8,0)),"Check")</f>
        <v/>
      </c>
      <c r="AQ527" s="207" t="str">
        <f>IFERROR(IF(ISBLANK($D527),"",VLOOKUP($N527,'TABLE CHARGE RATE'!$A$30:$K$106,9,0)),"Check")</f>
        <v/>
      </c>
      <c r="AR527" s="207" t="str">
        <f>IFERROR(IF(ISBLANK($D527),"",VLOOKUP($N527,'TABLE CHARGE RATE'!$A$30:$K$106,10,0)),"Check")</f>
        <v/>
      </c>
      <c r="AS527" s="207" t="str">
        <f>IFERROR(IF(ISBLANK($D527),"",VLOOKUP($N527,'TABLE CHARGE RATE'!$A$30:$K$106,11,0)),"Check")</f>
        <v/>
      </c>
      <c r="AT527" s="207"/>
    </row>
    <row r="528" spans="1:46" x14ac:dyDescent="0.2">
      <c r="A528" s="207" t="str">
        <f t="shared" si="81"/>
        <v/>
      </c>
      <c r="B528" s="208" t="str">
        <f>IF(ISBLANK(D528),"",VLOOKUP(WEEKDAY($C528,1),INDEX!$J$2:$K$8,2,0))</f>
        <v/>
      </c>
      <c r="C528" s="209"/>
      <c r="D528" s="207"/>
      <c r="E528" s="207"/>
      <c r="F528" s="207"/>
      <c r="G528" s="207"/>
      <c r="H528" s="207"/>
      <c r="I528" s="207"/>
      <c r="J528" s="207"/>
      <c r="K528" s="207"/>
      <c r="L528" s="207"/>
      <c r="M528" s="207"/>
      <c r="N528" s="207"/>
      <c r="O528" s="207"/>
      <c r="P528" s="207"/>
      <c r="Q528" s="207"/>
      <c r="R528" s="207"/>
      <c r="S528" s="207"/>
      <c r="T528" s="207"/>
      <c r="U528" s="209"/>
      <c r="V528" s="207"/>
      <c r="W528" s="207"/>
      <c r="X528" s="209"/>
      <c r="Y528" s="209"/>
      <c r="Z528" s="207" t="str">
        <f t="shared" ca="1" si="83"/>
        <v/>
      </c>
      <c r="AA528" s="209" t="str">
        <f t="shared" si="80"/>
        <v/>
      </c>
      <c r="AB528" s="209"/>
      <c r="AC528" s="207" t="str">
        <f t="shared" ca="1" si="84"/>
        <v/>
      </c>
      <c r="AD528" s="207"/>
      <c r="AE528" s="207"/>
      <c r="AF528" s="208" t="str">
        <f>IF(ISBLANK(D528),"",VLOOKUP(F528,'SIZE CALCULATION'!$F:$G,2,0))</f>
        <v/>
      </c>
      <c r="AG528" s="207" t="str">
        <f t="shared" si="82"/>
        <v/>
      </c>
      <c r="AH528" s="207" t="str">
        <f t="shared" si="85"/>
        <v/>
      </c>
      <c r="AI528" s="210" t="str">
        <f>IF(ISBLANK(D528),"",VLOOKUP($A528,INDEX!$D$2:$F$13,3,0))</f>
        <v/>
      </c>
      <c r="AJ528" s="207" t="str">
        <f t="shared" si="86"/>
        <v/>
      </c>
      <c r="AK528" s="207"/>
      <c r="AL528" s="207"/>
      <c r="AM528" s="207" t="str">
        <f>IFERROR(IF(ISBLANK($D528),"",VLOOKUP($N528,'TABLE CHARGE RATE'!$A$30:$K$106,5,0)),"Check")</f>
        <v/>
      </c>
      <c r="AN528" s="207" t="str">
        <f>IFERROR(IF(ISBLANK($D528),"",VLOOKUP($N528,'TABLE CHARGE RATE'!$A$30:$K$106,6,0)),"Check")</f>
        <v/>
      </c>
      <c r="AO528" s="207" t="str">
        <f>IFERROR(IF(ISBLANK($D528),"",VLOOKUP($N528,'TABLE CHARGE RATE'!$A$30:$K$106,7,0)),"Check")</f>
        <v/>
      </c>
      <c r="AP528" s="207" t="str">
        <f>IFERROR(IF(ISBLANK($D528),"",VLOOKUP($N528,'TABLE CHARGE RATE'!$A$30:$K$106,8,0)),"Check")</f>
        <v/>
      </c>
      <c r="AQ528" s="207" t="str">
        <f>IFERROR(IF(ISBLANK($D528),"",VLOOKUP($N528,'TABLE CHARGE RATE'!$A$30:$K$106,9,0)),"Check")</f>
        <v/>
      </c>
      <c r="AR528" s="207" t="str">
        <f>IFERROR(IF(ISBLANK($D528),"",VLOOKUP($N528,'TABLE CHARGE RATE'!$A$30:$K$106,10,0)),"Check")</f>
        <v/>
      </c>
      <c r="AS528" s="207" t="str">
        <f>IFERROR(IF(ISBLANK($D528),"",VLOOKUP($N528,'TABLE CHARGE RATE'!$A$30:$K$106,11,0)),"Check")</f>
        <v/>
      </c>
      <c r="AT528" s="207"/>
    </row>
    <row r="529" spans="1:46" x14ac:dyDescent="0.2">
      <c r="A529" s="207" t="str">
        <f t="shared" si="81"/>
        <v/>
      </c>
      <c r="B529" s="208" t="str">
        <f>IF(ISBLANK(D529),"",VLOOKUP(WEEKDAY($C529,1),INDEX!$J$2:$K$8,2,0))</f>
        <v/>
      </c>
      <c r="C529" s="209"/>
      <c r="D529" s="207"/>
      <c r="E529" s="207"/>
      <c r="F529" s="207"/>
      <c r="G529" s="207"/>
      <c r="H529" s="207"/>
      <c r="I529" s="207"/>
      <c r="J529" s="207"/>
      <c r="K529" s="207"/>
      <c r="L529" s="207"/>
      <c r="M529" s="207"/>
      <c r="N529" s="207"/>
      <c r="O529" s="207"/>
      <c r="P529" s="207"/>
      <c r="Q529" s="207"/>
      <c r="R529" s="207"/>
      <c r="S529" s="207"/>
      <c r="T529" s="207"/>
      <c r="U529" s="209"/>
      <c r="V529" s="207"/>
      <c r="W529" s="207"/>
      <c r="X529" s="209"/>
      <c r="Y529" s="209"/>
      <c r="Z529" s="207" t="str">
        <f t="shared" ca="1" si="83"/>
        <v/>
      </c>
      <c r="AA529" s="209" t="str">
        <f t="shared" si="80"/>
        <v/>
      </c>
      <c r="AB529" s="209"/>
      <c r="AC529" s="207" t="str">
        <f t="shared" ca="1" si="84"/>
        <v/>
      </c>
      <c r="AD529" s="207"/>
      <c r="AE529" s="207"/>
      <c r="AF529" s="208" t="str">
        <f>IF(ISBLANK(D529),"",VLOOKUP(F529,'SIZE CALCULATION'!$F:$G,2,0))</f>
        <v/>
      </c>
      <c r="AG529" s="207" t="str">
        <f t="shared" si="82"/>
        <v/>
      </c>
      <c r="AH529" s="207" t="str">
        <f t="shared" si="85"/>
        <v/>
      </c>
      <c r="AI529" s="210" t="str">
        <f>IF(ISBLANK(D529),"",VLOOKUP($A529,INDEX!$D$2:$F$13,3,0))</f>
        <v/>
      </c>
      <c r="AJ529" s="207" t="str">
        <f t="shared" si="86"/>
        <v/>
      </c>
      <c r="AK529" s="207"/>
      <c r="AL529" s="207"/>
      <c r="AM529" s="207" t="str">
        <f>IFERROR(IF(ISBLANK($D529),"",VLOOKUP($N529,'TABLE CHARGE RATE'!$A$30:$K$106,5,0)),"Check")</f>
        <v/>
      </c>
      <c r="AN529" s="207" t="str">
        <f>IFERROR(IF(ISBLANK($D529),"",VLOOKUP($N529,'TABLE CHARGE RATE'!$A$30:$K$106,6,0)),"Check")</f>
        <v/>
      </c>
      <c r="AO529" s="207" t="str">
        <f>IFERROR(IF(ISBLANK($D529),"",VLOOKUP($N529,'TABLE CHARGE RATE'!$A$30:$K$106,7,0)),"Check")</f>
        <v/>
      </c>
      <c r="AP529" s="207" t="str">
        <f>IFERROR(IF(ISBLANK($D529),"",VLOOKUP($N529,'TABLE CHARGE RATE'!$A$30:$K$106,8,0)),"Check")</f>
        <v/>
      </c>
      <c r="AQ529" s="207" t="str">
        <f>IFERROR(IF(ISBLANK($D529),"",VLOOKUP($N529,'TABLE CHARGE RATE'!$A$30:$K$106,9,0)),"Check")</f>
        <v/>
      </c>
      <c r="AR529" s="207" t="str">
        <f>IFERROR(IF(ISBLANK($D529),"",VLOOKUP($N529,'TABLE CHARGE RATE'!$A$30:$K$106,10,0)),"Check")</f>
        <v/>
      </c>
      <c r="AS529" s="207" t="str">
        <f>IFERROR(IF(ISBLANK($D529),"",VLOOKUP($N529,'TABLE CHARGE RATE'!$A$30:$K$106,11,0)),"Check")</f>
        <v/>
      </c>
      <c r="AT529" s="207"/>
    </row>
    <row r="530" spans="1:46" x14ac:dyDescent="0.2">
      <c r="A530" s="207" t="str">
        <f t="shared" si="81"/>
        <v/>
      </c>
      <c r="B530" s="208" t="str">
        <f>IF(ISBLANK(D530),"",VLOOKUP(WEEKDAY($C530,1),INDEX!$J$2:$K$8,2,0))</f>
        <v/>
      </c>
      <c r="C530" s="209"/>
      <c r="D530" s="207"/>
      <c r="E530" s="207"/>
      <c r="F530" s="207"/>
      <c r="G530" s="207"/>
      <c r="H530" s="207"/>
      <c r="I530" s="207"/>
      <c r="J530" s="207"/>
      <c r="K530" s="207"/>
      <c r="L530" s="207"/>
      <c r="M530" s="207"/>
      <c r="N530" s="207"/>
      <c r="O530" s="207"/>
      <c r="P530" s="207"/>
      <c r="Q530" s="207"/>
      <c r="R530" s="207"/>
      <c r="S530" s="207"/>
      <c r="T530" s="207"/>
      <c r="U530" s="209"/>
      <c r="V530" s="207"/>
      <c r="W530" s="207"/>
      <c r="X530" s="209"/>
      <c r="Y530" s="209"/>
      <c r="Z530" s="207" t="str">
        <f t="shared" ca="1" si="83"/>
        <v/>
      </c>
      <c r="AA530" s="209" t="str">
        <f t="shared" si="80"/>
        <v/>
      </c>
      <c r="AB530" s="209"/>
      <c r="AC530" s="207" t="str">
        <f t="shared" ca="1" si="84"/>
        <v/>
      </c>
      <c r="AD530" s="207"/>
      <c r="AE530" s="207"/>
      <c r="AF530" s="208" t="str">
        <f>IF(ISBLANK(D530),"",VLOOKUP(F530,'SIZE CALCULATION'!$F:$G,2,0))</f>
        <v/>
      </c>
      <c r="AG530" s="207" t="str">
        <f t="shared" si="82"/>
        <v/>
      </c>
      <c r="AH530" s="207" t="str">
        <f t="shared" si="85"/>
        <v/>
      </c>
      <c r="AI530" s="210" t="str">
        <f>IF(ISBLANK(D530),"",VLOOKUP($A530,INDEX!$D$2:$F$13,3,0))</f>
        <v/>
      </c>
      <c r="AJ530" s="207" t="str">
        <f t="shared" si="86"/>
        <v/>
      </c>
      <c r="AK530" s="207"/>
      <c r="AL530" s="207"/>
      <c r="AM530" s="207" t="str">
        <f>IFERROR(IF(ISBLANK($D530),"",VLOOKUP($N530,'TABLE CHARGE RATE'!$A$30:$K$106,5,0)),"Check")</f>
        <v/>
      </c>
      <c r="AN530" s="207" t="str">
        <f>IFERROR(IF(ISBLANK($D530),"",VLOOKUP($N530,'TABLE CHARGE RATE'!$A$30:$K$106,6,0)),"Check")</f>
        <v/>
      </c>
      <c r="AO530" s="207" t="str">
        <f>IFERROR(IF(ISBLANK($D530),"",VLOOKUP($N530,'TABLE CHARGE RATE'!$A$30:$K$106,7,0)),"Check")</f>
        <v/>
      </c>
      <c r="AP530" s="207" t="str">
        <f>IFERROR(IF(ISBLANK($D530),"",VLOOKUP($N530,'TABLE CHARGE RATE'!$A$30:$K$106,8,0)),"Check")</f>
        <v/>
      </c>
      <c r="AQ530" s="207" t="str">
        <f>IFERROR(IF(ISBLANK($D530),"",VLOOKUP($N530,'TABLE CHARGE RATE'!$A$30:$K$106,9,0)),"Check")</f>
        <v/>
      </c>
      <c r="AR530" s="207" t="str">
        <f>IFERROR(IF(ISBLANK($D530),"",VLOOKUP($N530,'TABLE CHARGE RATE'!$A$30:$K$106,10,0)),"Check")</f>
        <v/>
      </c>
      <c r="AS530" s="207" t="str">
        <f>IFERROR(IF(ISBLANK($D530),"",VLOOKUP($N530,'TABLE CHARGE RATE'!$A$30:$K$106,11,0)),"Check")</f>
        <v/>
      </c>
      <c r="AT530" s="207"/>
    </row>
    <row r="531" spans="1:46" x14ac:dyDescent="0.2">
      <c r="A531" s="207" t="str">
        <f t="shared" si="81"/>
        <v/>
      </c>
      <c r="B531" s="208" t="str">
        <f>IF(ISBLANK(D531),"",VLOOKUP(WEEKDAY($C531,1),INDEX!$J$2:$K$8,2,0))</f>
        <v/>
      </c>
      <c r="C531" s="209"/>
      <c r="D531" s="207"/>
      <c r="E531" s="207"/>
      <c r="F531" s="207"/>
      <c r="G531" s="207"/>
      <c r="H531" s="207"/>
      <c r="I531" s="207"/>
      <c r="J531" s="207"/>
      <c r="K531" s="207"/>
      <c r="L531" s="207"/>
      <c r="M531" s="207"/>
      <c r="N531" s="207"/>
      <c r="O531" s="207"/>
      <c r="P531" s="207"/>
      <c r="Q531" s="207"/>
      <c r="R531" s="207"/>
      <c r="S531" s="207"/>
      <c r="T531" s="207"/>
      <c r="U531" s="209"/>
      <c r="V531" s="207"/>
      <c r="W531" s="207"/>
      <c r="X531" s="209"/>
      <c r="Y531" s="209"/>
      <c r="Z531" s="207" t="str">
        <f t="shared" ca="1" si="83"/>
        <v/>
      </c>
      <c r="AA531" s="209" t="str">
        <f t="shared" si="80"/>
        <v/>
      </c>
      <c r="AB531" s="209"/>
      <c r="AC531" s="207" t="str">
        <f t="shared" ca="1" si="84"/>
        <v/>
      </c>
      <c r="AD531" s="207"/>
      <c r="AE531" s="207"/>
      <c r="AF531" s="208" t="str">
        <f>IF(ISBLANK(D531),"",VLOOKUP(F531,'SIZE CALCULATION'!$F:$G,2,0))</f>
        <v/>
      </c>
      <c r="AG531" s="207" t="str">
        <f t="shared" si="82"/>
        <v/>
      </c>
      <c r="AH531" s="207" t="str">
        <f t="shared" si="85"/>
        <v/>
      </c>
      <c r="AI531" s="210" t="str">
        <f>IF(ISBLANK(D531),"",VLOOKUP($A531,INDEX!$D$2:$F$13,3,0))</f>
        <v/>
      </c>
      <c r="AJ531" s="207" t="str">
        <f t="shared" si="86"/>
        <v/>
      </c>
      <c r="AK531" s="207"/>
      <c r="AL531" s="207"/>
      <c r="AM531" s="207" t="str">
        <f>IFERROR(IF(ISBLANK($D531),"",VLOOKUP($N531,'TABLE CHARGE RATE'!$A$30:$K$106,5,0)),"Check")</f>
        <v/>
      </c>
      <c r="AN531" s="207" t="str">
        <f>IFERROR(IF(ISBLANK($D531),"",VLOOKUP($N531,'TABLE CHARGE RATE'!$A$30:$K$106,6,0)),"Check")</f>
        <v/>
      </c>
      <c r="AO531" s="207" t="str">
        <f>IFERROR(IF(ISBLANK($D531),"",VLOOKUP($N531,'TABLE CHARGE RATE'!$A$30:$K$106,7,0)),"Check")</f>
        <v/>
      </c>
      <c r="AP531" s="207" t="str">
        <f>IFERROR(IF(ISBLANK($D531),"",VLOOKUP($N531,'TABLE CHARGE RATE'!$A$30:$K$106,8,0)),"Check")</f>
        <v/>
      </c>
      <c r="AQ531" s="207" t="str">
        <f>IFERROR(IF(ISBLANK($D531),"",VLOOKUP($N531,'TABLE CHARGE RATE'!$A$30:$K$106,9,0)),"Check")</f>
        <v/>
      </c>
      <c r="AR531" s="207" t="str">
        <f>IFERROR(IF(ISBLANK($D531),"",VLOOKUP($N531,'TABLE CHARGE RATE'!$A$30:$K$106,10,0)),"Check")</f>
        <v/>
      </c>
      <c r="AS531" s="207" t="str">
        <f>IFERROR(IF(ISBLANK($D531),"",VLOOKUP($N531,'TABLE CHARGE RATE'!$A$30:$K$106,11,0)),"Check")</f>
        <v/>
      </c>
      <c r="AT531" s="207"/>
    </row>
    <row r="532" spans="1:46" x14ac:dyDescent="0.2">
      <c r="A532" s="207" t="str">
        <f t="shared" si="81"/>
        <v/>
      </c>
      <c r="B532" s="208" t="str">
        <f>IF(ISBLANK(D532),"",VLOOKUP(WEEKDAY($C532,1),INDEX!$J$2:$K$8,2,0))</f>
        <v/>
      </c>
      <c r="C532" s="209"/>
      <c r="D532" s="207"/>
      <c r="E532" s="207"/>
      <c r="F532" s="207"/>
      <c r="G532" s="207"/>
      <c r="H532" s="207"/>
      <c r="I532" s="207"/>
      <c r="J532" s="207"/>
      <c r="K532" s="207"/>
      <c r="L532" s="207"/>
      <c r="M532" s="207"/>
      <c r="N532" s="207"/>
      <c r="O532" s="207"/>
      <c r="P532" s="207"/>
      <c r="Q532" s="207"/>
      <c r="R532" s="207"/>
      <c r="S532" s="207"/>
      <c r="T532" s="207"/>
      <c r="U532" s="209"/>
      <c r="V532" s="207"/>
      <c r="W532" s="207"/>
      <c r="X532" s="209"/>
      <c r="Y532" s="209"/>
      <c r="Z532" s="207" t="str">
        <f t="shared" ca="1" si="83"/>
        <v/>
      </c>
      <c r="AA532" s="209" t="str">
        <f t="shared" si="80"/>
        <v/>
      </c>
      <c r="AB532" s="209"/>
      <c r="AC532" s="207" t="str">
        <f t="shared" ca="1" si="84"/>
        <v/>
      </c>
      <c r="AD532" s="207"/>
      <c r="AE532" s="207"/>
      <c r="AF532" s="208" t="str">
        <f>IF(ISBLANK(D532),"",VLOOKUP(F532,'SIZE CALCULATION'!$F:$G,2,0))</f>
        <v/>
      </c>
      <c r="AG532" s="207" t="str">
        <f t="shared" si="82"/>
        <v/>
      </c>
      <c r="AH532" s="207" t="str">
        <f t="shared" si="85"/>
        <v/>
      </c>
      <c r="AI532" s="210" t="str">
        <f>IF(ISBLANK(D532),"",VLOOKUP($A532,INDEX!$D$2:$F$13,3,0))</f>
        <v/>
      </c>
      <c r="AJ532" s="207" t="str">
        <f t="shared" si="86"/>
        <v/>
      </c>
      <c r="AK532" s="207"/>
      <c r="AL532" s="207"/>
      <c r="AM532" s="207" t="str">
        <f>IFERROR(IF(ISBLANK($D532),"",VLOOKUP($N532,'TABLE CHARGE RATE'!$A$30:$K$106,5,0)),"Check")</f>
        <v/>
      </c>
      <c r="AN532" s="207" t="str">
        <f>IFERROR(IF(ISBLANK($D532),"",VLOOKUP($N532,'TABLE CHARGE RATE'!$A$30:$K$106,6,0)),"Check")</f>
        <v/>
      </c>
      <c r="AO532" s="207" t="str">
        <f>IFERROR(IF(ISBLANK($D532),"",VLOOKUP($N532,'TABLE CHARGE RATE'!$A$30:$K$106,7,0)),"Check")</f>
        <v/>
      </c>
      <c r="AP532" s="207" t="str">
        <f>IFERROR(IF(ISBLANK($D532),"",VLOOKUP($N532,'TABLE CHARGE RATE'!$A$30:$K$106,8,0)),"Check")</f>
        <v/>
      </c>
      <c r="AQ532" s="207" t="str">
        <f>IFERROR(IF(ISBLANK($D532),"",VLOOKUP($N532,'TABLE CHARGE RATE'!$A$30:$K$106,9,0)),"Check")</f>
        <v/>
      </c>
      <c r="AR532" s="207" t="str">
        <f>IFERROR(IF(ISBLANK($D532),"",VLOOKUP($N532,'TABLE CHARGE RATE'!$A$30:$K$106,10,0)),"Check")</f>
        <v/>
      </c>
      <c r="AS532" s="207" t="str">
        <f>IFERROR(IF(ISBLANK($D532),"",VLOOKUP($N532,'TABLE CHARGE RATE'!$A$30:$K$106,11,0)),"Check")</f>
        <v/>
      </c>
      <c r="AT532" s="207"/>
    </row>
    <row r="533" spans="1:46" x14ac:dyDescent="0.2">
      <c r="A533" s="207" t="str">
        <f t="shared" si="81"/>
        <v/>
      </c>
      <c r="B533" s="208" t="str">
        <f>IF(ISBLANK(D533),"",VLOOKUP(WEEKDAY($C533,1),INDEX!$J$2:$K$8,2,0))</f>
        <v/>
      </c>
      <c r="C533" s="209"/>
      <c r="D533" s="207"/>
      <c r="E533" s="207"/>
      <c r="F533" s="207"/>
      <c r="G533" s="207"/>
      <c r="H533" s="207"/>
      <c r="I533" s="207"/>
      <c r="J533" s="207"/>
      <c r="K533" s="207"/>
      <c r="L533" s="207"/>
      <c r="M533" s="207"/>
      <c r="N533" s="207"/>
      <c r="O533" s="207"/>
      <c r="P533" s="207"/>
      <c r="Q533" s="207"/>
      <c r="R533" s="207"/>
      <c r="S533" s="207"/>
      <c r="T533" s="207"/>
      <c r="U533" s="209"/>
      <c r="V533" s="207"/>
      <c r="W533" s="207"/>
      <c r="X533" s="209"/>
      <c r="Y533" s="209"/>
      <c r="Z533" s="207" t="str">
        <f t="shared" ca="1" si="83"/>
        <v/>
      </c>
      <c r="AA533" s="209" t="str">
        <f t="shared" si="80"/>
        <v/>
      </c>
      <c r="AB533" s="209"/>
      <c r="AC533" s="207" t="str">
        <f t="shared" ca="1" si="84"/>
        <v/>
      </c>
      <c r="AD533" s="207"/>
      <c r="AE533" s="207"/>
      <c r="AF533" s="208" t="str">
        <f>IF(ISBLANK(D533),"",VLOOKUP(F533,'SIZE CALCULATION'!$F:$G,2,0))</f>
        <v/>
      </c>
      <c r="AG533" s="207" t="str">
        <f t="shared" si="82"/>
        <v/>
      </c>
      <c r="AH533" s="207" t="str">
        <f t="shared" si="85"/>
        <v/>
      </c>
      <c r="AI533" s="210" t="str">
        <f>IF(ISBLANK(D533),"",VLOOKUP($A533,INDEX!$D$2:$F$13,3,0))</f>
        <v/>
      </c>
      <c r="AJ533" s="207" t="str">
        <f t="shared" si="86"/>
        <v/>
      </c>
      <c r="AK533" s="207"/>
      <c r="AL533" s="207"/>
      <c r="AM533" s="207" t="str">
        <f>IFERROR(IF(ISBLANK($D533),"",VLOOKUP($N533,'TABLE CHARGE RATE'!$A$30:$K$106,5,0)),"Check")</f>
        <v/>
      </c>
      <c r="AN533" s="207" t="str">
        <f>IFERROR(IF(ISBLANK($D533),"",VLOOKUP($N533,'TABLE CHARGE RATE'!$A$30:$K$106,6,0)),"Check")</f>
        <v/>
      </c>
      <c r="AO533" s="207" t="str">
        <f>IFERROR(IF(ISBLANK($D533),"",VLOOKUP($N533,'TABLE CHARGE RATE'!$A$30:$K$106,7,0)),"Check")</f>
        <v/>
      </c>
      <c r="AP533" s="207" t="str">
        <f>IFERROR(IF(ISBLANK($D533),"",VLOOKUP($N533,'TABLE CHARGE RATE'!$A$30:$K$106,8,0)),"Check")</f>
        <v/>
      </c>
      <c r="AQ533" s="207" t="str">
        <f>IFERROR(IF(ISBLANK($D533),"",VLOOKUP($N533,'TABLE CHARGE RATE'!$A$30:$K$106,9,0)),"Check")</f>
        <v/>
      </c>
      <c r="AR533" s="207" t="str">
        <f>IFERROR(IF(ISBLANK($D533),"",VLOOKUP($N533,'TABLE CHARGE RATE'!$A$30:$K$106,10,0)),"Check")</f>
        <v/>
      </c>
      <c r="AS533" s="207" t="str">
        <f>IFERROR(IF(ISBLANK($D533),"",VLOOKUP($N533,'TABLE CHARGE RATE'!$A$30:$K$106,11,0)),"Check")</f>
        <v/>
      </c>
      <c r="AT533" s="207"/>
    </row>
    <row r="534" spans="1:46" x14ac:dyDescent="0.2">
      <c r="A534" s="207" t="str">
        <f t="shared" si="81"/>
        <v/>
      </c>
      <c r="B534" s="208" t="str">
        <f>IF(ISBLANK(D534),"",VLOOKUP(WEEKDAY($C534,1),INDEX!$J$2:$K$8,2,0))</f>
        <v/>
      </c>
      <c r="C534" s="209"/>
      <c r="D534" s="207"/>
      <c r="E534" s="207"/>
      <c r="F534" s="207"/>
      <c r="G534" s="207"/>
      <c r="H534" s="207"/>
      <c r="I534" s="207"/>
      <c r="J534" s="207"/>
      <c r="K534" s="207"/>
      <c r="L534" s="207"/>
      <c r="M534" s="207"/>
      <c r="N534" s="207"/>
      <c r="O534" s="207"/>
      <c r="P534" s="207"/>
      <c r="Q534" s="207"/>
      <c r="R534" s="207"/>
      <c r="S534" s="207"/>
      <c r="T534" s="207"/>
      <c r="U534" s="209"/>
      <c r="V534" s="207"/>
      <c r="W534" s="207"/>
      <c r="X534" s="209"/>
      <c r="Y534" s="209"/>
      <c r="Z534" s="207" t="str">
        <f t="shared" ca="1" si="83"/>
        <v/>
      </c>
      <c r="AA534" s="209" t="str">
        <f t="shared" si="80"/>
        <v/>
      </c>
      <c r="AB534" s="209"/>
      <c r="AC534" s="207" t="str">
        <f t="shared" ca="1" si="84"/>
        <v/>
      </c>
      <c r="AD534" s="207"/>
      <c r="AE534" s="207"/>
      <c r="AF534" s="208" t="str">
        <f>IF(ISBLANK(D534),"",VLOOKUP(F534,'SIZE CALCULATION'!$F:$G,2,0))</f>
        <v/>
      </c>
      <c r="AG534" s="207" t="str">
        <f t="shared" si="82"/>
        <v/>
      </c>
      <c r="AH534" s="207" t="str">
        <f t="shared" si="85"/>
        <v/>
      </c>
      <c r="AI534" s="210" t="str">
        <f>IF(ISBLANK(D534),"",VLOOKUP($A534,INDEX!$D$2:$F$13,3,0))</f>
        <v/>
      </c>
      <c r="AJ534" s="207" t="str">
        <f t="shared" si="86"/>
        <v/>
      </c>
      <c r="AK534" s="207"/>
      <c r="AL534" s="207"/>
      <c r="AM534" s="207" t="str">
        <f>IFERROR(IF(ISBLANK($D534),"",VLOOKUP($N534,'TABLE CHARGE RATE'!$A$30:$K$106,5,0)),"Check")</f>
        <v/>
      </c>
      <c r="AN534" s="207" t="str">
        <f>IFERROR(IF(ISBLANK($D534),"",VLOOKUP($N534,'TABLE CHARGE RATE'!$A$30:$K$106,6,0)),"Check")</f>
        <v/>
      </c>
      <c r="AO534" s="207" t="str">
        <f>IFERROR(IF(ISBLANK($D534),"",VLOOKUP($N534,'TABLE CHARGE RATE'!$A$30:$K$106,7,0)),"Check")</f>
        <v/>
      </c>
      <c r="AP534" s="207" t="str">
        <f>IFERROR(IF(ISBLANK($D534),"",VLOOKUP($N534,'TABLE CHARGE RATE'!$A$30:$K$106,8,0)),"Check")</f>
        <v/>
      </c>
      <c r="AQ534" s="207" t="str">
        <f>IFERROR(IF(ISBLANK($D534),"",VLOOKUP($N534,'TABLE CHARGE RATE'!$A$30:$K$106,9,0)),"Check")</f>
        <v/>
      </c>
      <c r="AR534" s="207" t="str">
        <f>IFERROR(IF(ISBLANK($D534),"",VLOOKUP($N534,'TABLE CHARGE RATE'!$A$30:$K$106,10,0)),"Check")</f>
        <v/>
      </c>
      <c r="AS534" s="207" t="str">
        <f>IFERROR(IF(ISBLANK($D534),"",VLOOKUP($N534,'TABLE CHARGE RATE'!$A$30:$K$106,11,0)),"Check")</f>
        <v/>
      </c>
      <c r="AT534" s="207"/>
    </row>
    <row r="535" spans="1:46" x14ac:dyDescent="0.2">
      <c r="A535" s="207" t="str">
        <f t="shared" si="81"/>
        <v/>
      </c>
      <c r="B535" s="208" t="str">
        <f>IF(ISBLANK(D535),"",VLOOKUP(WEEKDAY($C535,1),INDEX!$J$2:$K$8,2,0))</f>
        <v/>
      </c>
      <c r="C535" s="209"/>
      <c r="D535" s="207"/>
      <c r="E535" s="207"/>
      <c r="F535" s="207"/>
      <c r="G535" s="207"/>
      <c r="H535" s="207"/>
      <c r="I535" s="207"/>
      <c r="J535" s="207"/>
      <c r="K535" s="207"/>
      <c r="L535" s="207"/>
      <c r="M535" s="207"/>
      <c r="N535" s="207"/>
      <c r="O535" s="207"/>
      <c r="P535" s="207"/>
      <c r="Q535" s="207"/>
      <c r="R535" s="207"/>
      <c r="S535" s="207"/>
      <c r="T535" s="207"/>
      <c r="U535" s="209"/>
      <c r="V535" s="207"/>
      <c r="W535" s="207"/>
      <c r="X535" s="209"/>
      <c r="Y535" s="209"/>
      <c r="Z535" s="207" t="str">
        <f t="shared" ca="1" si="83"/>
        <v/>
      </c>
      <c r="AA535" s="209" t="str">
        <f t="shared" si="80"/>
        <v/>
      </c>
      <c r="AB535" s="209"/>
      <c r="AC535" s="207" t="str">
        <f t="shared" ca="1" si="84"/>
        <v/>
      </c>
      <c r="AD535" s="207"/>
      <c r="AE535" s="207"/>
      <c r="AF535" s="208" t="str">
        <f>IF(ISBLANK(D535),"",VLOOKUP(F535,'SIZE CALCULATION'!$F:$G,2,0))</f>
        <v/>
      </c>
      <c r="AG535" s="207" t="str">
        <f t="shared" si="82"/>
        <v/>
      </c>
      <c r="AH535" s="207" t="str">
        <f t="shared" si="85"/>
        <v/>
      </c>
      <c r="AI535" s="210" t="str">
        <f>IF(ISBLANK(D535),"",VLOOKUP($A535,INDEX!$D$2:$F$13,3,0))</f>
        <v/>
      </c>
      <c r="AJ535" s="207" t="str">
        <f t="shared" si="86"/>
        <v/>
      </c>
      <c r="AK535" s="207"/>
      <c r="AL535" s="207"/>
      <c r="AM535" s="207" t="str">
        <f>IFERROR(IF(ISBLANK($D535),"",VLOOKUP($N535,'TABLE CHARGE RATE'!$A$30:$K$106,5,0)),"Check")</f>
        <v/>
      </c>
      <c r="AN535" s="207" t="str">
        <f>IFERROR(IF(ISBLANK($D535),"",VLOOKUP($N535,'TABLE CHARGE RATE'!$A$30:$K$106,6,0)),"Check")</f>
        <v/>
      </c>
      <c r="AO535" s="207" t="str">
        <f>IFERROR(IF(ISBLANK($D535),"",VLOOKUP($N535,'TABLE CHARGE RATE'!$A$30:$K$106,7,0)),"Check")</f>
        <v/>
      </c>
      <c r="AP535" s="207" t="str">
        <f>IFERROR(IF(ISBLANK($D535),"",VLOOKUP($N535,'TABLE CHARGE RATE'!$A$30:$K$106,8,0)),"Check")</f>
        <v/>
      </c>
      <c r="AQ535" s="207" t="str">
        <f>IFERROR(IF(ISBLANK($D535),"",VLOOKUP($N535,'TABLE CHARGE RATE'!$A$30:$K$106,9,0)),"Check")</f>
        <v/>
      </c>
      <c r="AR535" s="207" t="str">
        <f>IFERROR(IF(ISBLANK($D535),"",VLOOKUP($N535,'TABLE CHARGE RATE'!$A$30:$K$106,10,0)),"Check")</f>
        <v/>
      </c>
      <c r="AS535" s="207" t="str">
        <f>IFERROR(IF(ISBLANK($D535),"",VLOOKUP($N535,'TABLE CHARGE RATE'!$A$30:$K$106,11,0)),"Check")</f>
        <v/>
      </c>
      <c r="AT535" s="207"/>
    </row>
    <row r="536" spans="1:46" x14ac:dyDescent="0.2">
      <c r="A536" s="207" t="str">
        <f t="shared" si="81"/>
        <v/>
      </c>
      <c r="B536" s="208" t="str">
        <f>IF(ISBLANK(D536),"",VLOOKUP(WEEKDAY($C536,1),INDEX!$J$2:$K$8,2,0))</f>
        <v/>
      </c>
      <c r="C536" s="209"/>
      <c r="D536" s="207"/>
      <c r="E536" s="207"/>
      <c r="F536" s="207"/>
      <c r="G536" s="207"/>
      <c r="H536" s="207"/>
      <c r="I536" s="207"/>
      <c r="J536" s="207"/>
      <c r="K536" s="207"/>
      <c r="L536" s="207"/>
      <c r="M536" s="207"/>
      <c r="N536" s="207"/>
      <c r="O536" s="207"/>
      <c r="P536" s="207"/>
      <c r="Q536" s="207"/>
      <c r="R536" s="207"/>
      <c r="S536" s="207"/>
      <c r="T536" s="207"/>
      <c r="U536" s="209"/>
      <c r="V536" s="207"/>
      <c r="W536" s="207"/>
      <c r="X536" s="209"/>
      <c r="Y536" s="209"/>
      <c r="Z536" s="207" t="str">
        <f t="shared" ca="1" si="83"/>
        <v/>
      </c>
      <c r="AA536" s="209" t="str">
        <f t="shared" si="80"/>
        <v/>
      </c>
      <c r="AB536" s="209"/>
      <c r="AC536" s="207" t="str">
        <f t="shared" ca="1" si="84"/>
        <v/>
      </c>
      <c r="AD536" s="207"/>
      <c r="AE536" s="207"/>
      <c r="AF536" s="208" t="str">
        <f>IF(ISBLANK(D536),"",VLOOKUP(F536,'SIZE CALCULATION'!$F:$G,2,0))</f>
        <v/>
      </c>
      <c r="AG536" s="207" t="str">
        <f t="shared" si="82"/>
        <v/>
      </c>
      <c r="AH536" s="207" t="str">
        <f t="shared" si="85"/>
        <v/>
      </c>
      <c r="AI536" s="210" t="str">
        <f>IF(ISBLANK(D536),"",VLOOKUP($A536,INDEX!$D$2:$F$13,3,0))</f>
        <v/>
      </c>
      <c r="AJ536" s="207" t="str">
        <f t="shared" si="86"/>
        <v/>
      </c>
      <c r="AK536" s="207"/>
      <c r="AL536" s="207"/>
      <c r="AM536" s="207" t="str">
        <f>IFERROR(IF(ISBLANK($D536),"",VLOOKUP($N536,'TABLE CHARGE RATE'!$A$30:$K$106,5,0)),"Check")</f>
        <v/>
      </c>
      <c r="AN536" s="207" t="str">
        <f>IFERROR(IF(ISBLANK($D536),"",VLOOKUP($N536,'TABLE CHARGE RATE'!$A$30:$K$106,6,0)),"Check")</f>
        <v/>
      </c>
      <c r="AO536" s="207" t="str">
        <f>IFERROR(IF(ISBLANK($D536),"",VLOOKUP($N536,'TABLE CHARGE RATE'!$A$30:$K$106,7,0)),"Check")</f>
        <v/>
      </c>
      <c r="AP536" s="207" t="str">
        <f>IFERROR(IF(ISBLANK($D536),"",VLOOKUP($N536,'TABLE CHARGE RATE'!$A$30:$K$106,8,0)),"Check")</f>
        <v/>
      </c>
      <c r="AQ536" s="207" t="str">
        <f>IFERROR(IF(ISBLANK($D536),"",VLOOKUP($N536,'TABLE CHARGE RATE'!$A$30:$K$106,9,0)),"Check")</f>
        <v/>
      </c>
      <c r="AR536" s="207" t="str">
        <f>IFERROR(IF(ISBLANK($D536),"",VLOOKUP($N536,'TABLE CHARGE RATE'!$A$30:$K$106,10,0)),"Check")</f>
        <v/>
      </c>
      <c r="AS536" s="207" t="str">
        <f>IFERROR(IF(ISBLANK($D536),"",VLOOKUP($N536,'TABLE CHARGE RATE'!$A$30:$K$106,11,0)),"Check")</f>
        <v/>
      </c>
      <c r="AT536" s="207"/>
    </row>
    <row r="537" spans="1:46" x14ac:dyDescent="0.2">
      <c r="A537" s="207" t="str">
        <f t="shared" si="81"/>
        <v/>
      </c>
      <c r="B537" s="208" t="str">
        <f>IF(ISBLANK(D537),"",VLOOKUP(WEEKDAY($C537,1),INDEX!$J$2:$K$8,2,0))</f>
        <v/>
      </c>
      <c r="C537" s="209"/>
      <c r="D537" s="207"/>
      <c r="E537" s="207"/>
      <c r="F537" s="207"/>
      <c r="G537" s="207"/>
      <c r="H537" s="207"/>
      <c r="I537" s="207"/>
      <c r="J537" s="207"/>
      <c r="K537" s="207"/>
      <c r="L537" s="207"/>
      <c r="M537" s="207"/>
      <c r="N537" s="207"/>
      <c r="O537" s="207"/>
      <c r="P537" s="207"/>
      <c r="Q537" s="207"/>
      <c r="R537" s="207"/>
      <c r="S537" s="207"/>
      <c r="T537" s="207"/>
      <c r="U537" s="209"/>
      <c r="V537" s="207"/>
      <c r="W537" s="207"/>
      <c r="X537" s="209"/>
      <c r="Y537" s="209"/>
      <c r="Z537" s="207" t="str">
        <f t="shared" ca="1" si="83"/>
        <v/>
      </c>
      <c r="AA537" s="209" t="str">
        <f t="shared" si="80"/>
        <v/>
      </c>
      <c r="AB537" s="209"/>
      <c r="AC537" s="207" t="str">
        <f t="shared" ca="1" si="84"/>
        <v/>
      </c>
      <c r="AD537" s="207"/>
      <c r="AE537" s="207"/>
      <c r="AF537" s="208" t="str">
        <f>IF(ISBLANK(D537),"",VLOOKUP(F537,'SIZE CALCULATION'!$F:$G,2,0))</f>
        <v/>
      </c>
      <c r="AG537" s="207" t="str">
        <f t="shared" si="82"/>
        <v/>
      </c>
      <c r="AH537" s="207" t="str">
        <f t="shared" si="85"/>
        <v/>
      </c>
      <c r="AI537" s="210" t="str">
        <f>IF(ISBLANK(D537),"",VLOOKUP($A537,INDEX!$D$2:$F$13,3,0))</f>
        <v/>
      </c>
      <c r="AJ537" s="207" t="str">
        <f t="shared" si="86"/>
        <v/>
      </c>
      <c r="AK537" s="207"/>
      <c r="AL537" s="207"/>
      <c r="AM537" s="207" t="str">
        <f>IFERROR(IF(ISBLANK($D537),"",VLOOKUP($N537,'TABLE CHARGE RATE'!$A$30:$K$106,5,0)),"Check")</f>
        <v/>
      </c>
      <c r="AN537" s="207" t="str">
        <f>IFERROR(IF(ISBLANK($D537),"",VLOOKUP($N537,'TABLE CHARGE RATE'!$A$30:$K$106,6,0)),"Check")</f>
        <v/>
      </c>
      <c r="AO537" s="207" t="str">
        <f>IFERROR(IF(ISBLANK($D537),"",VLOOKUP($N537,'TABLE CHARGE RATE'!$A$30:$K$106,7,0)),"Check")</f>
        <v/>
      </c>
      <c r="AP537" s="207" t="str">
        <f>IFERROR(IF(ISBLANK($D537),"",VLOOKUP($N537,'TABLE CHARGE RATE'!$A$30:$K$106,8,0)),"Check")</f>
        <v/>
      </c>
      <c r="AQ537" s="207" t="str">
        <f>IFERROR(IF(ISBLANK($D537),"",VLOOKUP($N537,'TABLE CHARGE RATE'!$A$30:$K$106,9,0)),"Check")</f>
        <v/>
      </c>
      <c r="AR537" s="207" t="str">
        <f>IFERROR(IF(ISBLANK($D537),"",VLOOKUP($N537,'TABLE CHARGE RATE'!$A$30:$K$106,10,0)),"Check")</f>
        <v/>
      </c>
      <c r="AS537" s="207" t="str">
        <f>IFERROR(IF(ISBLANK($D537),"",VLOOKUP($N537,'TABLE CHARGE RATE'!$A$30:$K$106,11,0)),"Check")</f>
        <v/>
      </c>
      <c r="AT537" s="207"/>
    </row>
    <row r="538" spans="1:46" x14ac:dyDescent="0.2">
      <c r="A538" s="207" t="str">
        <f t="shared" si="81"/>
        <v/>
      </c>
      <c r="B538" s="208" t="str">
        <f>IF(ISBLANK(D538),"",VLOOKUP(WEEKDAY($C538,1),INDEX!$J$2:$K$8,2,0))</f>
        <v/>
      </c>
      <c r="C538" s="209"/>
      <c r="D538" s="207"/>
      <c r="E538" s="207"/>
      <c r="F538" s="207"/>
      <c r="G538" s="207"/>
      <c r="H538" s="207"/>
      <c r="I538" s="207"/>
      <c r="J538" s="207"/>
      <c r="K538" s="207"/>
      <c r="L538" s="207"/>
      <c r="M538" s="207"/>
      <c r="N538" s="207"/>
      <c r="O538" s="207"/>
      <c r="P538" s="207"/>
      <c r="Q538" s="207"/>
      <c r="R538" s="207"/>
      <c r="S538" s="207"/>
      <c r="T538" s="207"/>
      <c r="U538" s="209"/>
      <c r="V538" s="207"/>
      <c r="W538" s="207"/>
      <c r="X538" s="209"/>
      <c r="Y538" s="209"/>
      <c r="Z538" s="207" t="str">
        <f t="shared" ca="1" si="83"/>
        <v/>
      </c>
      <c r="AA538" s="209" t="str">
        <f t="shared" si="80"/>
        <v/>
      </c>
      <c r="AB538" s="209"/>
      <c r="AC538" s="207" t="str">
        <f t="shared" ca="1" si="84"/>
        <v/>
      </c>
      <c r="AD538" s="207"/>
      <c r="AE538" s="207"/>
      <c r="AF538" s="208" t="str">
        <f>IF(ISBLANK(D538),"",VLOOKUP(F538,'SIZE CALCULATION'!$F:$G,2,0))</f>
        <v/>
      </c>
      <c r="AG538" s="207" t="str">
        <f t="shared" si="82"/>
        <v/>
      </c>
      <c r="AH538" s="207" t="str">
        <f t="shared" si="85"/>
        <v/>
      </c>
      <c r="AI538" s="210" t="str">
        <f>IF(ISBLANK(D538),"",VLOOKUP($A538,INDEX!$D$2:$F$13,3,0))</f>
        <v/>
      </c>
      <c r="AJ538" s="207" t="str">
        <f t="shared" si="86"/>
        <v/>
      </c>
      <c r="AK538" s="207"/>
      <c r="AL538" s="207"/>
      <c r="AM538" s="207" t="str">
        <f>IFERROR(IF(ISBLANK($D538),"",VLOOKUP($N538,'TABLE CHARGE RATE'!$A$30:$K$106,5,0)),"Check")</f>
        <v/>
      </c>
      <c r="AN538" s="207" t="str">
        <f>IFERROR(IF(ISBLANK($D538),"",VLOOKUP($N538,'TABLE CHARGE RATE'!$A$30:$K$106,6,0)),"Check")</f>
        <v/>
      </c>
      <c r="AO538" s="207" t="str">
        <f>IFERROR(IF(ISBLANK($D538),"",VLOOKUP($N538,'TABLE CHARGE RATE'!$A$30:$K$106,7,0)),"Check")</f>
        <v/>
      </c>
      <c r="AP538" s="207" t="str">
        <f>IFERROR(IF(ISBLANK($D538),"",VLOOKUP($N538,'TABLE CHARGE RATE'!$A$30:$K$106,8,0)),"Check")</f>
        <v/>
      </c>
      <c r="AQ538" s="207" t="str">
        <f>IFERROR(IF(ISBLANK($D538),"",VLOOKUP($N538,'TABLE CHARGE RATE'!$A$30:$K$106,9,0)),"Check")</f>
        <v/>
      </c>
      <c r="AR538" s="207" t="str">
        <f>IFERROR(IF(ISBLANK($D538),"",VLOOKUP($N538,'TABLE CHARGE RATE'!$A$30:$K$106,10,0)),"Check")</f>
        <v/>
      </c>
      <c r="AS538" s="207" t="str">
        <f>IFERROR(IF(ISBLANK($D538),"",VLOOKUP($N538,'TABLE CHARGE RATE'!$A$30:$K$106,11,0)),"Check")</f>
        <v/>
      </c>
      <c r="AT538" s="207"/>
    </row>
    <row r="539" spans="1:46" x14ac:dyDescent="0.2">
      <c r="A539" s="207" t="str">
        <f t="shared" si="81"/>
        <v/>
      </c>
      <c r="B539" s="208" t="str">
        <f>IF(ISBLANK(D539),"",VLOOKUP(WEEKDAY($C539,1),INDEX!$J$2:$K$8,2,0))</f>
        <v/>
      </c>
      <c r="C539" s="209"/>
      <c r="D539" s="207"/>
      <c r="E539" s="207"/>
      <c r="F539" s="207"/>
      <c r="G539" s="207"/>
      <c r="H539" s="207"/>
      <c r="I539" s="207"/>
      <c r="J539" s="207"/>
      <c r="K539" s="207"/>
      <c r="L539" s="207"/>
      <c r="M539" s="207"/>
      <c r="N539" s="207"/>
      <c r="O539" s="207"/>
      <c r="P539" s="207"/>
      <c r="Q539" s="207"/>
      <c r="R539" s="207"/>
      <c r="S539" s="207"/>
      <c r="T539" s="207"/>
      <c r="U539" s="209"/>
      <c r="V539" s="207"/>
      <c r="W539" s="207"/>
      <c r="X539" s="209"/>
      <c r="Y539" s="209"/>
      <c r="Z539" s="207" t="str">
        <f t="shared" ca="1" si="83"/>
        <v/>
      </c>
      <c r="AA539" s="209" t="str">
        <f t="shared" si="80"/>
        <v/>
      </c>
      <c r="AB539" s="209"/>
      <c r="AC539" s="207" t="str">
        <f t="shared" ca="1" si="84"/>
        <v/>
      </c>
      <c r="AD539" s="207"/>
      <c r="AE539" s="207"/>
      <c r="AF539" s="208" t="str">
        <f>IF(ISBLANK(D539),"",VLOOKUP(F539,'SIZE CALCULATION'!$F:$G,2,0))</f>
        <v/>
      </c>
      <c r="AG539" s="207" t="str">
        <f t="shared" si="82"/>
        <v/>
      </c>
      <c r="AH539" s="207" t="str">
        <f t="shared" si="85"/>
        <v/>
      </c>
      <c r="AI539" s="210" t="str">
        <f>IF(ISBLANK(D539),"",VLOOKUP($A539,INDEX!$D$2:$F$13,3,0))</f>
        <v/>
      </c>
      <c r="AJ539" s="207" t="str">
        <f t="shared" si="86"/>
        <v/>
      </c>
      <c r="AK539" s="207"/>
      <c r="AL539" s="207"/>
      <c r="AM539" s="207" t="str">
        <f>IFERROR(IF(ISBLANK($D539),"",VLOOKUP($N539,'TABLE CHARGE RATE'!$A$30:$K$106,5,0)),"Check")</f>
        <v/>
      </c>
      <c r="AN539" s="207" t="str">
        <f>IFERROR(IF(ISBLANK($D539),"",VLOOKUP($N539,'TABLE CHARGE RATE'!$A$30:$K$106,6,0)),"Check")</f>
        <v/>
      </c>
      <c r="AO539" s="207" t="str">
        <f>IFERROR(IF(ISBLANK($D539),"",VLOOKUP($N539,'TABLE CHARGE RATE'!$A$30:$K$106,7,0)),"Check")</f>
        <v/>
      </c>
      <c r="AP539" s="207" t="str">
        <f>IFERROR(IF(ISBLANK($D539),"",VLOOKUP($N539,'TABLE CHARGE RATE'!$A$30:$K$106,8,0)),"Check")</f>
        <v/>
      </c>
      <c r="AQ539" s="207" t="str">
        <f>IFERROR(IF(ISBLANK($D539),"",VLOOKUP($N539,'TABLE CHARGE RATE'!$A$30:$K$106,9,0)),"Check")</f>
        <v/>
      </c>
      <c r="AR539" s="207" t="str">
        <f>IFERROR(IF(ISBLANK($D539),"",VLOOKUP($N539,'TABLE CHARGE RATE'!$A$30:$K$106,10,0)),"Check")</f>
        <v/>
      </c>
      <c r="AS539" s="207" t="str">
        <f>IFERROR(IF(ISBLANK($D539),"",VLOOKUP($N539,'TABLE CHARGE RATE'!$A$30:$K$106,11,0)),"Check")</f>
        <v/>
      </c>
      <c r="AT539" s="207"/>
    </row>
    <row r="540" spans="1:46" x14ac:dyDescent="0.2">
      <c r="A540" s="207" t="str">
        <f t="shared" si="81"/>
        <v/>
      </c>
      <c r="B540" s="208" t="str">
        <f>IF(ISBLANK(D540),"",VLOOKUP(WEEKDAY($C540,1),INDEX!$J$2:$K$8,2,0))</f>
        <v/>
      </c>
      <c r="C540" s="209"/>
      <c r="D540" s="207"/>
      <c r="E540" s="207"/>
      <c r="F540" s="207"/>
      <c r="G540" s="207"/>
      <c r="H540" s="207"/>
      <c r="I540" s="207"/>
      <c r="J540" s="207"/>
      <c r="K540" s="207"/>
      <c r="L540" s="207"/>
      <c r="M540" s="207"/>
      <c r="N540" s="207"/>
      <c r="O540" s="207"/>
      <c r="P540" s="207"/>
      <c r="Q540" s="207"/>
      <c r="R540" s="207"/>
      <c r="S540" s="207"/>
      <c r="T540" s="207"/>
      <c r="U540" s="209"/>
      <c r="V540" s="207"/>
      <c r="W540" s="207"/>
      <c r="X540" s="209"/>
      <c r="Y540" s="209"/>
      <c r="Z540" s="207" t="str">
        <f t="shared" ca="1" si="83"/>
        <v/>
      </c>
      <c r="AA540" s="209" t="str">
        <f t="shared" si="80"/>
        <v/>
      </c>
      <c r="AB540" s="209"/>
      <c r="AC540" s="207" t="str">
        <f t="shared" ca="1" si="84"/>
        <v/>
      </c>
      <c r="AD540" s="207"/>
      <c r="AE540" s="207"/>
      <c r="AF540" s="208" t="str">
        <f>IF(ISBLANK(D540),"",VLOOKUP(F540,'SIZE CALCULATION'!$F:$G,2,0))</f>
        <v/>
      </c>
      <c r="AG540" s="207" t="str">
        <f t="shared" si="82"/>
        <v/>
      </c>
      <c r="AH540" s="207" t="str">
        <f t="shared" si="85"/>
        <v/>
      </c>
      <c r="AI540" s="210" t="str">
        <f>IF(ISBLANK(D540),"",VLOOKUP($A540,INDEX!$D$2:$F$13,3,0))</f>
        <v/>
      </c>
      <c r="AJ540" s="207" t="str">
        <f t="shared" si="86"/>
        <v/>
      </c>
      <c r="AK540" s="207"/>
      <c r="AL540" s="207"/>
      <c r="AM540" s="207" t="str">
        <f>IFERROR(IF(ISBLANK($D540),"",VLOOKUP($N540,'TABLE CHARGE RATE'!$A$30:$K$106,5,0)),"Check")</f>
        <v/>
      </c>
      <c r="AN540" s="207" t="str">
        <f>IFERROR(IF(ISBLANK($D540),"",VLOOKUP($N540,'TABLE CHARGE RATE'!$A$30:$K$106,6,0)),"Check")</f>
        <v/>
      </c>
      <c r="AO540" s="207" t="str">
        <f>IFERROR(IF(ISBLANK($D540),"",VLOOKUP($N540,'TABLE CHARGE RATE'!$A$30:$K$106,7,0)),"Check")</f>
        <v/>
      </c>
      <c r="AP540" s="207" t="str">
        <f>IFERROR(IF(ISBLANK($D540),"",VLOOKUP($N540,'TABLE CHARGE RATE'!$A$30:$K$106,8,0)),"Check")</f>
        <v/>
      </c>
      <c r="AQ540" s="207" t="str">
        <f>IFERROR(IF(ISBLANK($D540),"",VLOOKUP($N540,'TABLE CHARGE RATE'!$A$30:$K$106,9,0)),"Check")</f>
        <v/>
      </c>
      <c r="AR540" s="207" t="str">
        <f>IFERROR(IF(ISBLANK($D540),"",VLOOKUP($N540,'TABLE CHARGE RATE'!$A$30:$K$106,10,0)),"Check")</f>
        <v/>
      </c>
      <c r="AS540" s="207" t="str">
        <f>IFERROR(IF(ISBLANK($D540),"",VLOOKUP($N540,'TABLE CHARGE RATE'!$A$30:$K$106,11,0)),"Check")</f>
        <v/>
      </c>
      <c r="AT540" s="207"/>
    </row>
    <row r="541" spans="1:46" x14ac:dyDescent="0.2">
      <c r="A541" s="207" t="str">
        <f t="shared" si="81"/>
        <v/>
      </c>
      <c r="B541" s="208" t="str">
        <f>IF(ISBLANK(D541),"",VLOOKUP(WEEKDAY($C541,1),INDEX!$J$2:$K$8,2,0))</f>
        <v/>
      </c>
      <c r="C541" s="209"/>
      <c r="D541" s="207"/>
      <c r="E541" s="207"/>
      <c r="F541" s="207"/>
      <c r="G541" s="207"/>
      <c r="H541" s="207"/>
      <c r="I541" s="207"/>
      <c r="J541" s="207"/>
      <c r="K541" s="207"/>
      <c r="L541" s="207"/>
      <c r="M541" s="207"/>
      <c r="N541" s="207"/>
      <c r="O541" s="207"/>
      <c r="P541" s="207"/>
      <c r="Q541" s="207"/>
      <c r="R541" s="207"/>
      <c r="S541" s="207"/>
      <c r="T541" s="207"/>
      <c r="U541" s="209"/>
      <c r="V541" s="207"/>
      <c r="W541" s="207"/>
      <c r="X541" s="209"/>
      <c r="Y541" s="209"/>
      <c r="Z541" s="207" t="str">
        <f t="shared" ca="1" si="83"/>
        <v/>
      </c>
      <c r="AA541" s="209" t="str">
        <f t="shared" si="80"/>
        <v/>
      </c>
      <c r="AB541" s="209"/>
      <c r="AC541" s="207" t="str">
        <f t="shared" ca="1" si="84"/>
        <v/>
      </c>
      <c r="AD541" s="207"/>
      <c r="AE541" s="207"/>
      <c r="AF541" s="208" t="str">
        <f>IF(ISBLANK(D541),"",VLOOKUP(F541,'SIZE CALCULATION'!$F:$G,2,0))</f>
        <v/>
      </c>
      <c r="AG541" s="207" t="str">
        <f t="shared" si="82"/>
        <v/>
      </c>
      <c r="AH541" s="207" t="str">
        <f t="shared" si="85"/>
        <v/>
      </c>
      <c r="AI541" s="210" t="str">
        <f>IF(ISBLANK(D541),"",VLOOKUP($A541,INDEX!$D$2:$F$13,3,0))</f>
        <v/>
      </c>
      <c r="AJ541" s="207" t="str">
        <f t="shared" si="86"/>
        <v/>
      </c>
      <c r="AK541" s="207"/>
      <c r="AL541" s="207"/>
      <c r="AM541" s="207" t="str">
        <f>IFERROR(IF(ISBLANK($D541),"",VLOOKUP($N541,'TABLE CHARGE RATE'!$A$30:$K$106,5,0)),"Check")</f>
        <v/>
      </c>
      <c r="AN541" s="207" t="str">
        <f>IFERROR(IF(ISBLANK($D541),"",VLOOKUP($N541,'TABLE CHARGE RATE'!$A$30:$K$106,6,0)),"Check")</f>
        <v/>
      </c>
      <c r="AO541" s="207" t="str">
        <f>IFERROR(IF(ISBLANK($D541),"",VLOOKUP($N541,'TABLE CHARGE RATE'!$A$30:$K$106,7,0)),"Check")</f>
        <v/>
      </c>
      <c r="AP541" s="207" t="str">
        <f>IFERROR(IF(ISBLANK($D541),"",VLOOKUP($N541,'TABLE CHARGE RATE'!$A$30:$K$106,8,0)),"Check")</f>
        <v/>
      </c>
      <c r="AQ541" s="207" t="str">
        <f>IFERROR(IF(ISBLANK($D541),"",VLOOKUP($N541,'TABLE CHARGE RATE'!$A$30:$K$106,9,0)),"Check")</f>
        <v/>
      </c>
      <c r="AR541" s="207" t="str">
        <f>IFERROR(IF(ISBLANK($D541),"",VLOOKUP($N541,'TABLE CHARGE RATE'!$A$30:$K$106,10,0)),"Check")</f>
        <v/>
      </c>
      <c r="AS541" s="207" t="str">
        <f>IFERROR(IF(ISBLANK($D541),"",VLOOKUP($N541,'TABLE CHARGE RATE'!$A$30:$K$106,11,0)),"Check")</f>
        <v/>
      </c>
      <c r="AT541" s="207"/>
    </row>
    <row r="542" spans="1:46" x14ac:dyDescent="0.2">
      <c r="A542" s="207" t="str">
        <f t="shared" si="81"/>
        <v/>
      </c>
      <c r="B542" s="208" t="str">
        <f>IF(ISBLANK(D542),"",VLOOKUP(WEEKDAY($C542,1),INDEX!$J$2:$K$8,2,0))</f>
        <v/>
      </c>
      <c r="C542" s="209"/>
      <c r="D542" s="207"/>
      <c r="E542" s="207"/>
      <c r="F542" s="207"/>
      <c r="G542" s="207"/>
      <c r="H542" s="207"/>
      <c r="I542" s="207"/>
      <c r="J542" s="207"/>
      <c r="K542" s="207"/>
      <c r="L542" s="207"/>
      <c r="M542" s="207"/>
      <c r="N542" s="207"/>
      <c r="O542" s="207"/>
      <c r="P542" s="207"/>
      <c r="Q542" s="207"/>
      <c r="R542" s="207"/>
      <c r="S542" s="207"/>
      <c r="T542" s="207"/>
      <c r="U542" s="209"/>
      <c r="V542" s="207"/>
      <c r="W542" s="207"/>
      <c r="X542" s="209"/>
      <c r="Y542" s="209"/>
      <c r="Z542" s="207" t="str">
        <f t="shared" ca="1" si="83"/>
        <v/>
      </c>
      <c r="AA542" s="209" t="str">
        <f t="shared" si="80"/>
        <v/>
      </c>
      <c r="AB542" s="209"/>
      <c r="AC542" s="207" t="str">
        <f t="shared" ca="1" si="84"/>
        <v/>
      </c>
      <c r="AD542" s="207"/>
      <c r="AE542" s="207"/>
      <c r="AF542" s="208" t="str">
        <f>IF(ISBLANK(D542),"",VLOOKUP(F542,'SIZE CALCULATION'!$F:$G,2,0))</f>
        <v/>
      </c>
      <c r="AG542" s="207" t="str">
        <f t="shared" si="82"/>
        <v/>
      </c>
      <c r="AH542" s="207" t="str">
        <f t="shared" si="85"/>
        <v/>
      </c>
      <c r="AI542" s="210" t="str">
        <f>IF(ISBLANK(D542),"",VLOOKUP($A542,INDEX!$D$2:$F$13,3,0))</f>
        <v/>
      </c>
      <c r="AJ542" s="207" t="str">
        <f t="shared" si="86"/>
        <v/>
      </c>
      <c r="AK542" s="207"/>
      <c r="AL542" s="207"/>
      <c r="AM542" s="207" t="str">
        <f>IFERROR(IF(ISBLANK($D542),"",VLOOKUP($N542,'TABLE CHARGE RATE'!$A$30:$K$106,5,0)),"Check")</f>
        <v/>
      </c>
      <c r="AN542" s="207" t="str">
        <f>IFERROR(IF(ISBLANK($D542),"",VLOOKUP($N542,'TABLE CHARGE RATE'!$A$30:$K$106,6,0)),"Check")</f>
        <v/>
      </c>
      <c r="AO542" s="207" t="str">
        <f>IFERROR(IF(ISBLANK($D542),"",VLOOKUP($N542,'TABLE CHARGE RATE'!$A$30:$K$106,7,0)),"Check")</f>
        <v/>
      </c>
      <c r="AP542" s="207" t="str">
        <f>IFERROR(IF(ISBLANK($D542),"",VLOOKUP($N542,'TABLE CHARGE RATE'!$A$30:$K$106,8,0)),"Check")</f>
        <v/>
      </c>
      <c r="AQ542" s="207" t="str">
        <f>IFERROR(IF(ISBLANK($D542),"",VLOOKUP($N542,'TABLE CHARGE RATE'!$A$30:$K$106,9,0)),"Check")</f>
        <v/>
      </c>
      <c r="AR542" s="207" t="str">
        <f>IFERROR(IF(ISBLANK($D542),"",VLOOKUP($N542,'TABLE CHARGE RATE'!$A$30:$K$106,10,0)),"Check")</f>
        <v/>
      </c>
      <c r="AS542" s="207" t="str">
        <f>IFERROR(IF(ISBLANK($D542),"",VLOOKUP($N542,'TABLE CHARGE RATE'!$A$30:$K$106,11,0)),"Check")</f>
        <v/>
      </c>
      <c r="AT542" s="207"/>
    </row>
    <row r="543" spans="1:46" x14ac:dyDescent="0.2">
      <c r="A543" s="207" t="str">
        <f t="shared" si="81"/>
        <v/>
      </c>
      <c r="B543" s="208" t="str">
        <f>IF(ISBLANK(D543),"",VLOOKUP(WEEKDAY($C543,1),INDEX!$J$2:$K$8,2,0))</f>
        <v/>
      </c>
      <c r="C543" s="209"/>
      <c r="D543" s="207"/>
      <c r="E543" s="207"/>
      <c r="F543" s="207"/>
      <c r="G543" s="207"/>
      <c r="H543" s="207"/>
      <c r="I543" s="207"/>
      <c r="J543" s="207"/>
      <c r="K543" s="207"/>
      <c r="L543" s="207"/>
      <c r="M543" s="207"/>
      <c r="N543" s="207"/>
      <c r="O543" s="207"/>
      <c r="P543" s="207"/>
      <c r="Q543" s="207"/>
      <c r="R543" s="207"/>
      <c r="S543" s="207"/>
      <c r="T543" s="207"/>
      <c r="U543" s="209"/>
      <c r="V543" s="207"/>
      <c r="W543" s="207"/>
      <c r="X543" s="209"/>
      <c r="Y543" s="209"/>
      <c r="Z543" s="207" t="str">
        <f t="shared" ca="1" si="83"/>
        <v/>
      </c>
      <c r="AA543" s="209" t="str">
        <f t="shared" si="80"/>
        <v/>
      </c>
      <c r="AB543" s="209"/>
      <c r="AC543" s="207" t="str">
        <f t="shared" ca="1" si="84"/>
        <v/>
      </c>
      <c r="AD543" s="207"/>
      <c r="AE543" s="207"/>
      <c r="AF543" s="208" t="str">
        <f>IF(ISBLANK(D543),"",VLOOKUP(F543,'SIZE CALCULATION'!$F:$G,2,0))</f>
        <v/>
      </c>
      <c r="AG543" s="207" t="str">
        <f t="shared" si="82"/>
        <v/>
      </c>
      <c r="AH543" s="207" t="str">
        <f t="shared" si="85"/>
        <v/>
      </c>
      <c r="AI543" s="210" t="str">
        <f>IF(ISBLANK(D543),"",VLOOKUP($A543,INDEX!$D$2:$F$13,3,0))</f>
        <v/>
      </c>
      <c r="AJ543" s="207" t="str">
        <f t="shared" si="86"/>
        <v/>
      </c>
      <c r="AK543" s="207"/>
      <c r="AL543" s="207"/>
      <c r="AM543" s="207" t="str">
        <f>IFERROR(IF(ISBLANK($D543),"",VLOOKUP($N543,'TABLE CHARGE RATE'!$A$30:$K$106,5,0)),"Check")</f>
        <v/>
      </c>
      <c r="AN543" s="207" t="str">
        <f>IFERROR(IF(ISBLANK($D543),"",VLOOKUP($N543,'TABLE CHARGE RATE'!$A$30:$K$106,6,0)),"Check")</f>
        <v/>
      </c>
      <c r="AO543" s="207" t="str">
        <f>IFERROR(IF(ISBLANK($D543),"",VLOOKUP($N543,'TABLE CHARGE RATE'!$A$30:$K$106,7,0)),"Check")</f>
        <v/>
      </c>
      <c r="AP543" s="207" t="str">
        <f>IFERROR(IF(ISBLANK($D543),"",VLOOKUP($N543,'TABLE CHARGE RATE'!$A$30:$K$106,8,0)),"Check")</f>
        <v/>
      </c>
      <c r="AQ543" s="207" t="str">
        <f>IFERROR(IF(ISBLANK($D543),"",VLOOKUP($N543,'TABLE CHARGE RATE'!$A$30:$K$106,9,0)),"Check")</f>
        <v/>
      </c>
      <c r="AR543" s="207" t="str">
        <f>IFERROR(IF(ISBLANK($D543),"",VLOOKUP($N543,'TABLE CHARGE RATE'!$A$30:$K$106,10,0)),"Check")</f>
        <v/>
      </c>
      <c r="AS543" s="207" t="str">
        <f>IFERROR(IF(ISBLANK($D543),"",VLOOKUP($N543,'TABLE CHARGE RATE'!$A$30:$K$106,11,0)),"Check")</f>
        <v/>
      </c>
      <c r="AT543" s="207"/>
    </row>
    <row r="544" spans="1:46" x14ac:dyDescent="0.2">
      <c r="A544" s="207" t="str">
        <f t="shared" si="81"/>
        <v/>
      </c>
      <c r="B544" s="208" t="str">
        <f>IF(ISBLANK(D544),"",VLOOKUP(WEEKDAY($C544,1),INDEX!$J$2:$K$8,2,0))</f>
        <v/>
      </c>
      <c r="C544" s="209"/>
      <c r="D544" s="207"/>
      <c r="E544" s="207"/>
      <c r="F544" s="207"/>
      <c r="G544" s="207"/>
      <c r="H544" s="207"/>
      <c r="I544" s="207"/>
      <c r="J544" s="207"/>
      <c r="K544" s="207"/>
      <c r="L544" s="207"/>
      <c r="M544" s="207"/>
      <c r="N544" s="207"/>
      <c r="O544" s="207"/>
      <c r="P544" s="207"/>
      <c r="Q544" s="207"/>
      <c r="R544" s="207"/>
      <c r="S544" s="207"/>
      <c r="T544" s="207"/>
      <c r="U544" s="209"/>
      <c r="V544" s="207"/>
      <c r="W544" s="207"/>
      <c r="X544" s="209"/>
      <c r="Y544" s="209"/>
      <c r="Z544" s="207" t="str">
        <f t="shared" ca="1" si="83"/>
        <v/>
      </c>
      <c r="AA544" s="209" t="str">
        <f t="shared" si="80"/>
        <v/>
      </c>
      <c r="AB544" s="209"/>
      <c r="AC544" s="207" t="str">
        <f t="shared" ca="1" si="84"/>
        <v/>
      </c>
      <c r="AD544" s="207"/>
      <c r="AE544" s="207"/>
      <c r="AF544" s="208" t="str">
        <f>IF(ISBLANK(D544),"",VLOOKUP(F544,'SIZE CALCULATION'!$F:$G,2,0))</f>
        <v/>
      </c>
      <c r="AG544" s="207" t="str">
        <f t="shared" si="82"/>
        <v/>
      </c>
      <c r="AH544" s="207" t="str">
        <f t="shared" si="85"/>
        <v/>
      </c>
      <c r="AI544" s="210" t="str">
        <f>IF(ISBLANK(D544),"",VLOOKUP($A544,INDEX!$D$2:$F$13,3,0))</f>
        <v/>
      </c>
      <c r="AJ544" s="207" t="str">
        <f t="shared" si="86"/>
        <v/>
      </c>
      <c r="AK544" s="207"/>
      <c r="AL544" s="207"/>
      <c r="AM544" s="207" t="str">
        <f>IFERROR(IF(ISBLANK($D544),"",VLOOKUP($N544,'TABLE CHARGE RATE'!$A$30:$K$106,5,0)),"Check")</f>
        <v/>
      </c>
      <c r="AN544" s="207" t="str">
        <f>IFERROR(IF(ISBLANK($D544),"",VLOOKUP($N544,'TABLE CHARGE RATE'!$A$30:$K$106,6,0)),"Check")</f>
        <v/>
      </c>
      <c r="AO544" s="207" t="str">
        <f>IFERROR(IF(ISBLANK($D544),"",VLOOKUP($N544,'TABLE CHARGE RATE'!$A$30:$K$106,7,0)),"Check")</f>
        <v/>
      </c>
      <c r="AP544" s="207" t="str">
        <f>IFERROR(IF(ISBLANK($D544),"",VLOOKUP($N544,'TABLE CHARGE RATE'!$A$30:$K$106,8,0)),"Check")</f>
        <v/>
      </c>
      <c r="AQ544" s="207" t="str">
        <f>IFERROR(IF(ISBLANK($D544),"",VLOOKUP($N544,'TABLE CHARGE RATE'!$A$30:$K$106,9,0)),"Check")</f>
        <v/>
      </c>
      <c r="AR544" s="207" t="str">
        <f>IFERROR(IF(ISBLANK($D544),"",VLOOKUP($N544,'TABLE CHARGE RATE'!$A$30:$K$106,10,0)),"Check")</f>
        <v/>
      </c>
      <c r="AS544" s="207" t="str">
        <f>IFERROR(IF(ISBLANK($D544),"",VLOOKUP($N544,'TABLE CHARGE RATE'!$A$30:$K$106,11,0)),"Check")</f>
        <v/>
      </c>
      <c r="AT544" s="207"/>
    </row>
    <row r="545" spans="1:46" x14ac:dyDescent="0.2">
      <c r="A545" s="207" t="str">
        <f t="shared" si="81"/>
        <v/>
      </c>
      <c r="B545" s="208" t="str">
        <f>IF(ISBLANK(D545),"",VLOOKUP(WEEKDAY($C545,1),INDEX!$J$2:$K$8,2,0))</f>
        <v/>
      </c>
      <c r="C545" s="209"/>
      <c r="D545" s="207"/>
      <c r="E545" s="207"/>
      <c r="F545" s="207"/>
      <c r="G545" s="207"/>
      <c r="H545" s="207"/>
      <c r="I545" s="207"/>
      <c r="J545" s="207"/>
      <c r="K545" s="207"/>
      <c r="L545" s="207"/>
      <c r="M545" s="207"/>
      <c r="N545" s="207"/>
      <c r="O545" s="207"/>
      <c r="P545" s="207"/>
      <c r="Q545" s="207"/>
      <c r="R545" s="207"/>
      <c r="S545" s="207"/>
      <c r="T545" s="207"/>
      <c r="U545" s="209"/>
      <c r="V545" s="207"/>
      <c r="W545" s="207"/>
      <c r="X545" s="209"/>
      <c r="Y545" s="209"/>
      <c r="Z545" s="207" t="str">
        <f t="shared" ca="1" si="83"/>
        <v/>
      </c>
      <c r="AA545" s="209" t="str">
        <f t="shared" ref="AA545:AA608" si="87">IF(ISBLANK(D545),"",Y545+10)</f>
        <v/>
      </c>
      <c r="AB545" s="209"/>
      <c r="AC545" s="207" t="str">
        <f t="shared" ca="1" si="84"/>
        <v/>
      </c>
      <c r="AD545" s="207"/>
      <c r="AE545" s="207"/>
      <c r="AF545" s="208" t="str">
        <f>IF(ISBLANK(D545),"",VLOOKUP(F545,'SIZE CALCULATION'!$F:$G,2,0))</f>
        <v/>
      </c>
      <c r="AG545" s="207" t="str">
        <f t="shared" si="82"/>
        <v/>
      </c>
      <c r="AH545" s="207" t="str">
        <f t="shared" si="85"/>
        <v/>
      </c>
      <c r="AI545" s="210" t="str">
        <f>IF(ISBLANK(D545),"",VLOOKUP($A545,INDEX!$D$2:$F$13,3,0))</f>
        <v/>
      </c>
      <c r="AJ545" s="207" t="str">
        <f t="shared" si="86"/>
        <v/>
      </c>
      <c r="AK545" s="207"/>
      <c r="AL545" s="207"/>
      <c r="AM545" s="207" t="str">
        <f>IFERROR(IF(ISBLANK($D545),"",VLOOKUP($N545,'TABLE CHARGE RATE'!$A$30:$K$106,5,0)),"Check")</f>
        <v/>
      </c>
      <c r="AN545" s="207" t="str">
        <f>IFERROR(IF(ISBLANK($D545),"",VLOOKUP($N545,'TABLE CHARGE RATE'!$A$30:$K$106,6,0)),"Check")</f>
        <v/>
      </c>
      <c r="AO545" s="207" t="str">
        <f>IFERROR(IF(ISBLANK($D545),"",VLOOKUP($N545,'TABLE CHARGE RATE'!$A$30:$K$106,7,0)),"Check")</f>
        <v/>
      </c>
      <c r="AP545" s="207" t="str">
        <f>IFERROR(IF(ISBLANK($D545),"",VLOOKUP($N545,'TABLE CHARGE RATE'!$A$30:$K$106,8,0)),"Check")</f>
        <v/>
      </c>
      <c r="AQ545" s="207" t="str">
        <f>IFERROR(IF(ISBLANK($D545),"",VLOOKUP($N545,'TABLE CHARGE RATE'!$A$30:$K$106,9,0)),"Check")</f>
        <v/>
      </c>
      <c r="AR545" s="207" t="str">
        <f>IFERROR(IF(ISBLANK($D545),"",VLOOKUP($N545,'TABLE CHARGE RATE'!$A$30:$K$106,10,0)),"Check")</f>
        <v/>
      </c>
      <c r="AS545" s="207" t="str">
        <f>IFERROR(IF(ISBLANK($D545),"",VLOOKUP($N545,'TABLE CHARGE RATE'!$A$30:$K$106,11,0)),"Check")</f>
        <v/>
      </c>
      <c r="AT545" s="207"/>
    </row>
    <row r="546" spans="1:46" x14ac:dyDescent="0.2">
      <c r="A546" s="207" t="str">
        <f t="shared" si="81"/>
        <v/>
      </c>
      <c r="B546" s="208" t="str">
        <f>IF(ISBLANK(D546),"",VLOOKUP(WEEKDAY($C546,1),INDEX!$J$2:$K$8,2,0))</f>
        <v/>
      </c>
      <c r="C546" s="209"/>
      <c r="D546" s="207"/>
      <c r="E546" s="207"/>
      <c r="F546" s="207"/>
      <c r="G546" s="207"/>
      <c r="H546" s="207"/>
      <c r="I546" s="207"/>
      <c r="J546" s="207"/>
      <c r="K546" s="207"/>
      <c r="L546" s="207"/>
      <c r="M546" s="207"/>
      <c r="N546" s="207"/>
      <c r="O546" s="207"/>
      <c r="P546" s="207"/>
      <c r="Q546" s="207"/>
      <c r="R546" s="207"/>
      <c r="S546" s="207"/>
      <c r="T546" s="207"/>
      <c r="U546" s="209"/>
      <c r="V546" s="207"/>
      <c r="W546" s="207"/>
      <c r="X546" s="209"/>
      <c r="Y546" s="209"/>
      <c r="Z546" s="207" t="str">
        <f t="shared" ca="1" si="83"/>
        <v/>
      </c>
      <c r="AA546" s="209" t="str">
        <f t="shared" si="87"/>
        <v/>
      </c>
      <c r="AB546" s="209"/>
      <c r="AC546" s="207" t="str">
        <f t="shared" ca="1" si="84"/>
        <v/>
      </c>
      <c r="AD546" s="207"/>
      <c r="AE546" s="207"/>
      <c r="AF546" s="208" t="str">
        <f>IF(ISBLANK(D546),"",VLOOKUP(F546,'SIZE CALCULATION'!$F:$G,2,0))</f>
        <v/>
      </c>
      <c r="AG546" s="207" t="str">
        <f t="shared" si="82"/>
        <v/>
      </c>
      <c r="AH546" s="207" t="str">
        <f t="shared" si="85"/>
        <v/>
      </c>
      <c r="AI546" s="210" t="str">
        <f>IF(ISBLANK(D546),"",VLOOKUP($A546,INDEX!$D$2:$F$13,3,0))</f>
        <v/>
      </c>
      <c r="AJ546" s="207" t="str">
        <f t="shared" si="86"/>
        <v/>
      </c>
      <c r="AK546" s="207"/>
      <c r="AL546" s="207"/>
      <c r="AM546" s="207" t="str">
        <f>IFERROR(IF(ISBLANK($D546),"",VLOOKUP($N546,'TABLE CHARGE RATE'!$A$30:$K$106,5,0)),"Check")</f>
        <v/>
      </c>
      <c r="AN546" s="207" t="str">
        <f>IFERROR(IF(ISBLANK($D546),"",VLOOKUP($N546,'TABLE CHARGE RATE'!$A$30:$K$106,6,0)),"Check")</f>
        <v/>
      </c>
      <c r="AO546" s="207" t="str">
        <f>IFERROR(IF(ISBLANK($D546),"",VLOOKUP($N546,'TABLE CHARGE RATE'!$A$30:$K$106,7,0)),"Check")</f>
        <v/>
      </c>
      <c r="AP546" s="207" t="str">
        <f>IFERROR(IF(ISBLANK($D546),"",VLOOKUP($N546,'TABLE CHARGE RATE'!$A$30:$K$106,8,0)),"Check")</f>
        <v/>
      </c>
      <c r="AQ546" s="207" t="str">
        <f>IFERROR(IF(ISBLANK($D546),"",VLOOKUP($N546,'TABLE CHARGE RATE'!$A$30:$K$106,9,0)),"Check")</f>
        <v/>
      </c>
      <c r="AR546" s="207" t="str">
        <f>IFERROR(IF(ISBLANK($D546),"",VLOOKUP($N546,'TABLE CHARGE RATE'!$A$30:$K$106,10,0)),"Check")</f>
        <v/>
      </c>
      <c r="AS546" s="207" t="str">
        <f>IFERROR(IF(ISBLANK($D546),"",VLOOKUP($N546,'TABLE CHARGE RATE'!$A$30:$K$106,11,0)),"Check")</f>
        <v/>
      </c>
      <c r="AT546" s="207"/>
    </row>
    <row r="547" spans="1:46" x14ac:dyDescent="0.2">
      <c r="A547" s="207" t="str">
        <f t="shared" si="81"/>
        <v/>
      </c>
      <c r="B547" s="208" t="str">
        <f>IF(ISBLANK(D547),"",VLOOKUP(WEEKDAY($C547,1),INDEX!$J$2:$K$8,2,0))</f>
        <v/>
      </c>
      <c r="C547" s="209"/>
      <c r="D547" s="207"/>
      <c r="E547" s="207"/>
      <c r="F547" s="207"/>
      <c r="G547" s="207"/>
      <c r="H547" s="207"/>
      <c r="I547" s="207"/>
      <c r="J547" s="207"/>
      <c r="K547" s="207"/>
      <c r="L547" s="207"/>
      <c r="M547" s="207"/>
      <c r="N547" s="207"/>
      <c r="O547" s="207"/>
      <c r="P547" s="207"/>
      <c r="Q547" s="207"/>
      <c r="R547" s="207"/>
      <c r="S547" s="207"/>
      <c r="T547" s="207"/>
      <c r="U547" s="209"/>
      <c r="V547" s="207"/>
      <c r="W547" s="207"/>
      <c r="X547" s="209"/>
      <c r="Y547" s="209"/>
      <c r="Z547" s="207" t="str">
        <f t="shared" ca="1" si="83"/>
        <v/>
      </c>
      <c r="AA547" s="209" t="str">
        <f t="shared" si="87"/>
        <v/>
      </c>
      <c r="AB547" s="209"/>
      <c r="AC547" s="207" t="str">
        <f t="shared" ca="1" si="84"/>
        <v/>
      </c>
      <c r="AD547" s="207"/>
      <c r="AE547" s="207"/>
      <c r="AF547" s="208" t="str">
        <f>IF(ISBLANK(D547),"",VLOOKUP(F547,'SIZE CALCULATION'!$F:$G,2,0))</f>
        <v/>
      </c>
      <c r="AG547" s="207" t="str">
        <f t="shared" si="82"/>
        <v/>
      </c>
      <c r="AH547" s="207" t="str">
        <f t="shared" si="85"/>
        <v/>
      </c>
      <c r="AI547" s="210" t="str">
        <f>IF(ISBLANK(D547),"",VLOOKUP($A547,INDEX!$D$2:$F$13,3,0))</f>
        <v/>
      </c>
      <c r="AJ547" s="207" t="str">
        <f t="shared" si="86"/>
        <v/>
      </c>
      <c r="AK547" s="207"/>
      <c r="AL547" s="207"/>
      <c r="AM547" s="207" t="str">
        <f>IFERROR(IF(ISBLANK($D547),"",VLOOKUP($N547,'TABLE CHARGE RATE'!$A$30:$K$106,5,0)),"Check")</f>
        <v/>
      </c>
      <c r="AN547" s="207" t="str">
        <f>IFERROR(IF(ISBLANK($D547),"",VLOOKUP($N547,'TABLE CHARGE RATE'!$A$30:$K$106,6,0)),"Check")</f>
        <v/>
      </c>
      <c r="AO547" s="207" t="str">
        <f>IFERROR(IF(ISBLANK($D547),"",VLOOKUP($N547,'TABLE CHARGE RATE'!$A$30:$K$106,7,0)),"Check")</f>
        <v/>
      </c>
      <c r="AP547" s="207" t="str">
        <f>IFERROR(IF(ISBLANK($D547),"",VLOOKUP($N547,'TABLE CHARGE RATE'!$A$30:$K$106,8,0)),"Check")</f>
        <v/>
      </c>
      <c r="AQ547" s="207" t="str">
        <f>IFERROR(IF(ISBLANK($D547),"",VLOOKUP($N547,'TABLE CHARGE RATE'!$A$30:$K$106,9,0)),"Check")</f>
        <v/>
      </c>
      <c r="AR547" s="207" t="str">
        <f>IFERROR(IF(ISBLANK($D547),"",VLOOKUP($N547,'TABLE CHARGE RATE'!$A$30:$K$106,10,0)),"Check")</f>
        <v/>
      </c>
      <c r="AS547" s="207" t="str">
        <f>IFERROR(IF(ISBLANK($D547),"",VLOOKUP($N547,'TABLE CHARGE RATE'!$A$30:$K$106,11,0)),"Check")</f>
        <v/>
      </c>
      <c r="AT547" s="207"/>
    </row>
    <row r="548" spans="1:46" x14ac:dyDescent="0.2">
      <c r="A548" s="207" t="str">
        <f t="shared" si="81"/>
        <v/>
      </c>
      <c r="B548" s="208" t="str">
        <f>IF(ISBLANK(D548),"",VLOOKUP(WEEKDAY($C548,1),INDEX!$J$2:$K$8,2,0))</f>
        <v/>
      </c>
      <c r="C548" s="209"/>
      <c r="D548" s="207"/>
      <c r="E548" s="207"/>
      <c r="F548" s="207"/>
      <c r="G548" s="207"/>
      <c r="H548" s="207"/>
      <c r="I548" s="207"/>
      <c r="J548" s="207"/>
      <c r="K548" s="207"/>
      <c r="L548" s="207"/>
      <c r="M548" s="207"/>
      <c r="N548" s="207"/>
      <c r="O548" s="207"/>
      <c r="P548" s="207"/>
      <c r="Q548" s="207"/>
      <c r="R548" s="207"/>
      <c r="S548" s="207"/>
      <c r="T548" s="207"/>
      <c r="U548" s="209"/>
      <c r="V548" s="207"/>
      <c r="W548" s="207"/>
      <c r="X548" s="209"/>
      <c r="Y548" s="209"/>
      <c r="Z548" s="207" t="str">
        <f t="shared" ca="1" si="83"/>
        <v/>
      </c>
      <c r="AA548" s="209" t="str">
        <f t="shared" si="87"/>
        <v/>
      </c>
      <c r="AB548" s="209"/>
      <c r="AC548" s="207" t="str">
        <f t="shared" ca="1" si="84"/>
        <v/>
      </c>
      <c r="AD548" s="207"/>
      <c r="AE548" s="207"/>
      <c r="AF548" s="208" t="str">
        <f>IF(ISBLANK(D548),"",VLOOKUP(F548,'SIZE CALCULATION'!$F:$G,2,0))</f>
        <v/>
      </c>
      <c r="AG548" s="207" t="str">
        <f t="shared" si="82"/>
        <v/>
      </c>
      <c r="AH548" s="207" t="str">
        <f t="shared" si="85"/>
        <v/>
      </c>
      <c r="AI548" s="210" t="str">
        <f>IF(ISBLANK(D548),"",VLOOKUP($A548,INDEX!$D$2:$F$13,3,0))</f>
        <v/>
      </c>
      <c r="AJ548" s="207" t="str">
        <f t="shared" si="86"/>
        <v/>
      </c>
      <c r="AK548" s="207"/>
      <c r="AL548" s="207"/>
      <c r="AM548" s="207" t="str">
        <f>IFERROR(IF(ISBLANK($D548),"",VLOOKUP($N548,'TABLE CHARGE RATE'!$A$30:$K$106,5,0)),"Check")</f>
        <v/>
      </c>
      <c r="AN548" s="207" t="str">
        <f>IFERROR(IF(ISBLANK($D548),"",VLOOKUP($N548,'TABLE CHARGE RATE'!$A$30:$K$106,6,0)),"Check")</f>
        <v/>
      </c>
      <c r="AO548" s="207" t="str">
        <f>IFERROR(IF(ISBLANK($D548),"",VLOOKUP($N548,'TABLE CHARGE RATE'!$A$30:$K$106,7,0)),"Check")</f>
        <v/>
      </c>
      <c r="AP548" s="207" t="str">
        <f>IFERROR(IF(ISBLANK($D548),"",VLOOKUP($N548,'TABLE CHARGE RATE'!$A$30:$K$106,8,0)),"Check")</f>
        <v/>
      </c>
      <c r="AQ548" s="207" t="str">
        <f>IFERROR(IF(ISBLANK($D548),"",VLOOKUP($N548,'TABLE CHARGE RATE'!$A$30:$K$106,9,0)),"Check")</f>
        <v/>
      </c>
      <c r="AR548" s="207" t="str">
        <f>IFERROR(IF(ISBLANK($D548),"",VLOOKUP($N548,'TABLE CHARGE RATE'!$A$30:$K$106,10,0)),"Check")</f>
        <v/>
      </c>
      <c r="AS548" s="207" t="str">
        <f>IFERROR(IF(ISBLANK($D548),"",VLOOKUP($N548,'TABLE CHARGE RATE'!$A$30:$K$106,11,0)),"Check")</f>
        <v/>
      </c>
      <c r="AT548" s="207"/>
    </row>
    <row r="549" spans="1:46" x14ac:dyDescent="0.2">
      <c r="A549" s="207" t="str">
        <f t="shared" si="81"/>
        <v/>
      </c>
      <c r="B549" s="208" t="str">
        <f>IF(ISBLANK(D549),"",VLOOKUP(WEEKDAY($C549,1),INDEX!$J$2:$K$8,2,0))</f>
        <v/>
      </c>
      <c r="C549" s="209"/>
      <c r="D549" s="207"/>
      <c r="E549" s="207"/>
      <c r="F549" s="207"/>
      <c r="G549" s="207"/>
      <c r="H549" s="207"/>
      <c r="I549" s="207"/>
      <c r="J549" s="207"/>
      <c r="K549" s="207"/>
      <c r="L549" s="207"/>
      <c r="M549" s="207"/>
      <c r="N549" s="207"/>
      <c r="O549" s="207"/>
      <c r="P549" s="207"/>
      <c r="Q549" s="207"/>
      <c r="R549" s="207"/>
      <c r="S549" s="207"/>
      <c r="T549" s="207"/>
      <c r="U549" s="209"/>
      <c r="V549" s="207"/>
      <c r="W549" s="207"/>
      <c r="X549" s="209"/>
      <c r="Y549" s="209"/>
      <c r="Z549" s="207" t="str">
        <f t="shared" ca="1" si="83"/>
        <v/>
      </c>
      <c r="AA549" s="209" t="str">
        <f t="shared" si="87"/>
        <v/>
      </c>
      <c r="AB549" s="209"/>
      <c r="AC549" s="207" t="str">
        <f t="shared" ca="1" si="84"/>
        <v/>
      </c>
      <c r="AD549" s="207"/>
      <c r="AE549" s="207"/>
      <c r="AF549" s="208" t="str">
        <f>IF(ISBLANK(D549),"",VLOOKUP(F549,'SIZE CALCULATION'!$F:$G,2,0))</f>
        <v/>
      </c>
      <c r="AG549" s="207" t="str">
        <f t="shared" si="82"/>
        <v/>
      </c>
      <c r="AH549" s="207" t="str">
        <f t="shared" si="85"/>
        <v/>
      </c>
      <c r="AI549" s="210" t="str">
        <f>IF(ISBLANK(D549),"",VLOOKUP($A549,INDEX!$D$2:$F$13,3,0))</f>
        <v/>
      </c>
      <c r="AJ549" s="207" t="str">
        <f t="shared" si="86"/>
        <v/>
      </c>
      <c r="AK549" s="207"/>
      <c r="AL549" s="207"/>
      <c r="AM549" s="207" t="str">
        <f>IFERROR(IF(ISBLANK($D549),"",VLOOKUP($N549,'TABLE CHARGE RATE'!$A$30:$K$106,5,0)),"Check")</f>
        <v/>
      </c>
      <c r="AN549" s="207" t="str">
        <f>IFERROR(IF(ISBLANK($D549),"",VLOOKUP($N549,'TABLE CHARGE RATE'!$A$30:$K$106,6,0)),"Check")</f>
        <v/>
      </c>
      <c r="AO549" s="207" t="str">
        <f>IFERROR(IF(ISBLANK($D549),"",VLOOKUP($N549,'TABLE CHARGE RATE'!$A$30:$K$106,7,0)),"Check")</f>
        <v/>
      </c>
      <c r="AP549" s="207" t="str">
        <f>IFERROR(IF(ISBLANK($D549),"",VLOOKUP($N549,'TABLE CHARGE RATE'!$A$30:$K$106,8,0)),"Check")</f>
        <v/>
      </c>
      <c r="AQ549" s="207" t="str">
        <f>IFERROR(IF(ISBLANK($D549),"",VLOOKUP($N549,'TABLE CHARGE RATE'!$A$30:$K$106,9,0)),"Check")</f>
        <v/>
      </c>
      <c r="AR549" s="207" t="str">
        <f>IFERROR(IF(ISBLANK($D549),"",VLOOKUP($N549,'TABLE CHARGE RATE'!$A$30:$K$106,10,0)),"Check")</f>
        <v/>
      </c>
      <c r="AS549" s="207" t="str">
        <f>IFERROR(IF(ISBLANK($D549),"",VLOOKUP($N549,'TABLE CHARGE RATE'!$A$30:$K$106,11,0)),"Check")</f>
        <v/>
      </c>
      <c r="AT549" s="207"/>
    </row>
    <row r="550" spans="1:46" x14ac:dyDescent="0.2">
      <c r="A550" s="207" t="str">
        <f t="shared" si="81"/>
        <v/>
      </c>
      <c r="B550" s="208" t="str">
        <f>IF(ISBLANK(D550),"",VLOOKUP(WEEKDAY($C550,1),INDEX!$J$2:$K$8,2,0))</f>
        <v/>
      </c>
      <c r="C550" s="209"/>
      <c r="D550" s="207"/>
      <c r="E550" s="207"/>
      <c r="F550" s="207"/>
      <c r="G550" s="207"/>
      <c r="H550" s="207"/>
      <c r="I550" s="207"/>
      <c r="J550" s="207"/>
      <c r="K550" s="207"/>
      <c r="L550" s="207"/>
      <c r="M550" s="207"/>
      <c r="N550" s="207"/>
      <c r="O550" s="207"/>
      <c r="P550" s="207"/>
      <c r="Q550" s="207"/>
      <c r="R550" s="207"/>
      <c r="S550" s="207"/>
      <c r="T550" s="207"/>
      <c r="U550" s="209"/>
      <c r="V550" s="207"/>
      <c r="W550" s="207"/>
      <c r="X550" s="209"/>
      <c r="Y550" s="209"/>
      <c r="Z550" s="207" t="str">
        <f t="shared" ca="1" si="83"/>
        <v/>
      </c>
      <c r="AA550" s="209" t="str">
        <f t="shared" si="87"/>
        <v/>
      </c>
      <c r="AB550" s="209"/>
      <c r="AC550" s="207" t="str">
        <f t="shared" ca="1" si="84"/>
        <v/>
      </c>
      <c r="AD550" s="207"/>
      <c r="AE550" s="207"/>
      <c r="AF550" s="208" t="str">
        <f>IF(ISBLANK(D550),"",VLOOKUP(F550,'SIZE CALCULATION'!$F:$G,2,0))</f>
        <v/>
      </c>
      <c r="AG550" s="207" t="str">
        <f t="shared" si="82"/>
        <v/>
      </c>
      <c r="AH550" s="207" t="str">
        <f t="shared" si="85"/>
        <v/>
      </c>
      <c r="AI550" s="210" t="str">
        <f>IF(ISBLANK(D550),"",VLOOKUP($A550,INDEX!$D$2:$F$13,3,0))</f>
        <v/>
      </c>
      <c r="AJ550" s="207" t="str">
        <f t="shared" si="86"/>
        <v/>
      </c>
      <c r="AK550" s="207"/>
      <c r="AL550" s="207"/>
      <c r="AM550" s="207" t="str">
        <f>IFERROR(IF(ISBLANK($D550),"",VLOOKUP($N550,'TABLE CHARGE RATE'!$A$30:$K$106,5,0)),"Check")</f>
        <v/>
      </c>
      <c r="AN550" s="207" t="str">
        <f>IFERROR(IF(ISBLANK($D550),"",VLOOKUP($N550,'TABLE CHARGE RATE'!$A$30:$K$106,6,0)),"Check")</f>
        <v/>
      </c>
      <c r="AO550" s="207" t="str">
        <f>IFERROR(IF(ISBLANK($D550),"",VLOOKUP($N550,'TABLE CHARGE RATE'!$A$30:$K$106,7,0)),"Check")</f>
        <v/>
      </c>
      <c r="AP550" s="207" t="str">
        <f>IFERROR(IF(ISBLANK($D550),"",VLOOKUP($N550,'TABLE CHARGE RATE'!$A$30:$K$106,8,0)),"Check")</f>
        <v/>
      </c>
      <c r="AQ550" s="207" t="str">
        <f>IFERROR(IF(ISBLANK($D550),"",VLOOKUP($N550,'TABLE CHARGE RATE'!$A$30:$K$106,9,0)),"Check")</f>
        <v/>
      </c>
      <c r="AR550" s="207" t="str">
        <f>IFERROR(IF(ISBLANK($D550),"",VLOOKUP($N550,'TABLE CHARGE RATE'!$A$30:$K$106,10,0)),"Check")</f>
        <v/>
      </c>
      <c r="AS550" s="207" t="str">
        <f>IFERROR(IF(ISBLANK($D550),"",VLOOKUP($N550,'TABLE CHARGE RATE'!$A$30:$K$106,11,0)),"Check")</f>
        <v/>
      </c>
      <c r="AT550" s="207"/>
    </row>
    <row r="551" spans="1:46" x14ac:dyDescent="0.2">
      <c r="A551" s="207" t="str">
        <f t="shared" si="81"/>
        <v/>
      </c>
      <c r="B551" s="208" t="str">
        <f>IF(ISBLANK(D551),"",VLOOKUP(WEEKDAY($C551,1),INDEX!$J$2:$K$8,2,0))</f>
        <v/>
      </c>
      <c r="C551" s="209"/>
      <c r="D551" s="207"/>
      <c r="E551" s="207"/>
      <c r="F551" s="207"/>
      <c r="G551" s="207"/>
      <c r="H551" s="207"/>
      <c r="I551" s="207"/>
      <c r="J551" s="207"/>
      <c r="K551" s="207"/>
      <c r="L551" s="207"/>
      <c r="M551" s="207"/>
      <c r="N551" s="207"/>
      <c r="O551" s="207"/>
      <c r="P551" s="207"/>
      <c r="Q551" s="207"/>
      <c r="R551" s="207"/>
      <c r="S551" s="207"/>
      <c r="T551" s="207"/>
      <c r="U551" s="209"/>
      <c r="V551" s="207"/>
      <c r="W551" s="207"/>
      <c r="X551" s="209"/>
      <c r="Y551" s="209"/>
      <c r="Z551" s="207" t="str">
        <f t="shared" ca="1" si="83"/>
        <v/>
      </c>
      <c r="AA551" s="209" t="str">
        <f t="shared" si="87"/>
        <v/>
      </c>
      <c r="AB551" s="209"/>
      <c r="AC551" s="207" t="str">
        <f t="shared" ca="1" si="84"/>
        <v/>
      </c>
      <c r="AD551" s="207"/>
      <c r="AE551" s="207"/>
      <c r="AF551" s="208" t="str">
        <f>IF(ISBLANK(D551),"",VLOOKUP(F551,'SIZE CALCULATION'!$F:$G,2,0))</f>
        <v/>
      </c>
      <c r="AG551" s="207" t="str">
        <f t="shared" si="82"/>
        <v/>
      </c>
      <c r="AH551" s="207" t="str">
        <f t="shared" si="85"/>
        <v/>
      </c>
      <c r="AI551" s="210" t="str">
        <f>IF(ISBLANK(D551),"",VLOOKUP($A551,INDEX!$D$2:$F$13,3,0))</f>
        <v/>
      </c>
      <c r="AJ551" s="207" t="str">
        <f t="shared" si="86"/>
        <v/>
      </c>
      <c r="AK551" s="207"/>
      <c r="AL551" s="207"/>
      <c r="AM551" s="207" t="str">
        <f>IFERROR(IF(ISBLANK($D551),"",VLOOKUP($N551,'TABLE CHARGE RATE'!$A$30:$K$106,5,0)),"Check")</f>
        <v/>
      </c>
      <c r="AN551" s="207" t="str">
        <f>IFERROR(IF(ISBLANK($D551),"",VLOOKUP($N551,'TABLE CHARGE RATE'!$A$30:$K$106,6,0)),"Check")</f>
        <v/>
      </c>
      <c r="AO551" s="207" t="str">
        <f>IFERROR(IF(ISBLANK($D551),"",VLOOKUP($N551,'TABLE CHARGE RATE'!$A$30:$K$106,7,0)),"Check")</f>
        <v/>
      </c>
      <c r="AP551" s="207" t="str">
        <f>IFERROR(IF(ISBLANK($D551),"",VLOOKUP($N551,'TABLE CHARGE RATE'!$A$30:$K$106,8,0)),"Check")</f>
        <v/>
      </c>
      <c r="AQ551" s="207" t="str">
        <f>IFERROR(IF(ISBLANK($D551),"",VLOOKUP($N551,'TABLE CHARGE RATE'!$A$30:$K$106,9,0)),"Check")</f>
        <v/>
      </c>
      <c r="AR551" s="207" t="str">
        <f>IFERROR(IF(ISBLANK($D551),"",VLOOKUP($N551,'TABLE CHARGE RATE'!$A$30:$K$106,10,0)),"Check")</f>
        <v/>
      </c>
      <c r="AS551" s="207" t="str">
        <f>IFERROR(IF(ISBLANK($D551),"",VLOOKUP($N551,'TABLE CHARGE RATE'!$A$30:$K$106,11,0)),"Check")</f>
        <v/>
      </c>
      <c r="AT551" s="207"/>
    </row>
    <row r="552" spans="1:46" x14ac:dyDescent="0.2">
      <c r="A552" s="207" t="str">
        <f t="shared" si="81"/>
        <v/>
      </c>
      <c r="B552" s="208" t="str">
        <f>IF(ISBLANK(D552),"",VLOOKUP(WEEKDAY($C552,1),INDEX!$J$2:$K$8,2,0))</f>
        <v/>
      </c>
      <c r="C552" s="209"/>
      <c r="D552" s="207"/>
      <c r="E552" s="207"/>
      <c r="F552" s="207"/>
      <c r="G552" s="207"/>
      <c r="H552" s="207"/>
      <c r="I552" s="207"/>
      <c r="J552" s="207"/>
      <c r="K552" s="207"/>
      <c r="L552" s="207"/>
      <c r="M552" s="207"/>
      <c r="N552" s="207"/>
      <c r="O552" s="207"/>
      <c r="P552" s="207"/>
      <c r="Q552" s="207"/>
      <c r="R552" s="207"/>
      <c r="S552" s="207"/>
      <c r="T552" s="207"/>
      <c r="U552" s="209"/>
      <c r="V552" s="207"/>
      <c r="W552" s="207"/>
      <c r="X552" s="209"/>
      <c r="Y552" s="209"/>
      <c r="Z552" s="207" t="str">
        <f t="shared" ca="1" si="83"/>
        <v/>
      </c>
      <c r="AA552" s="209" t="str">
        <f t="shared" si="87"/>
        <v/>
      </c>
      <c r="AB552" s="209"/>
      <c r="AC552" s="207" t="str">
        <f t="shared" ca="1" si="84"/>
        <v/>
      </c>
      <c r="AD552" s="207"/>
      <c r="AE552" s="207"/>
      <c r="AF552" s="208" t="str">
        <f>IF(ISBLANK(D552),"",VLOOKUP(F552,'SIZE CALCULATION'!$F:$G,2,0))</f>
        <v/>
      </c>
      <c r="AG552" s="207" t="str">
        <f t="shared" si="82"/>
        <v/>
      </c>
      <c r="AH552" s="207" t="str">
        <f t="shared" si="85"/>
        <v/>
      </c>
      <c r="AI552" s="210" t="str">
        <f>IF(ISBLANK(D552),"",VLOOKUP($A552,INDEX!$D$2:$F$13,3,0))</f>
        <v/>
      </c>
      <c r="AJ552" s="207" t="str">
        <f t="shared" si="86"/>
        <v/>
      </c>
      <c r="AK552" s="207"/>
      <c r="AL552" s="207"/>
      <c r="AM552" s="207" t="str">
        <f>IFERROR(IF(ISBLANK($D552),"",VLOOKUP($N552,'TABLE CHARGE RATE'!$A$30:$K$106,5,0)),"Check")</f>
        <v/>
      </c>
      <c r="AN552" s="207" t="str">
        <f>IFERROR(IF(ISBLANK($D552),"",VLOOKUP($N552,'TABLE CHARGE RATE'!$A$30:$K$106,6,0)),"Check")</f>
        <v/>
      </c>
      <c r="AO552" s="207" t="str">
        <f>IFERROR(IF(ISBLANK($D552),"",VLOOKUP($N552,'TABLE CHARGE RATE'!$A$30:$K$106,7,0)),"Check")</f>
        <v/>
      </c>
      <c r="AP552" s="207" t="str">
        <f>IFERROR(IF(ISBLANK($D552),"",VLOOKUP($N552,'TABLE CHARGE RATE'!$A$30:$K$106,8,0)),"Check")</f>
        <v/>
      </c>
      <c r="AQ552" s="207" t="str">
        <f>IFERROR(IF(ISBLANK($D552),"",VLOOKUP($N552,'TABLE CHARGE RATE'!$A$30:$K$106,9,0)),"Check")</f>
        <v/>
      </c>
      <c r="AR552" s="207" t="str">
        <f>IFERROR(IF(ISBLANK($D552),"",VLOOKUP($N552,'TABLE CHARGE RATE'!$A$30:$K$106,10,0)),"Check")</f>
        <v/>
      </c>
      <c r="AS552" s="207" t="str">
        <f>IFERROR(IF(ISBLANK($D552),"",VLOOKUP($N552,'TABLE CHARGE RATE'!$A$30:$K$106,11,0)),"Check")</f>
        <v/>
      </c>
      <c r="AT552" s="207"/>
    </row>
    <row r="553" spans="1:46" x14ac:dyDescent="0.2">
      <c r="A553" s="207" t="str">
        <f t="shared" si="81"/>
        <v/>
      </c>
      <c r="B553" s="208" t="str">
        <f>IF(ISBLANK(D553),"",VLOOKUP(WEEKDAY($C553,1),INDEX!$J$2:$K$8,2,0))</f>
        <v/>
      </c>
      <c r="C553" s="209"/>
      <c r="D553" s="207"/>
      <c r="E553" s="207"/>
      <c r="F553" s="207"/>
      <c r="G553" s="207"/>
      <c r="H553" s="207"/>
      <c r="I553" s="207"/>
      <c r="J553" s="207"/>
      <c r="K553" s="207"/>
      <c r="L553" s="207"/>
      <c r="M553" s="207"/>
      <c r="N553" s="207"/>
      <c r="O553" s="207"/>
      <c r="P553" s="207"/>
      <c r="Q553" s="207"/>
      <c r="R553" s="207"/>
      <c r="S553" s="207"/>
      <c r="T553" s="207"/>
      <c r="U553" s="209"/>
      <c r="V553" s="207"/>
      <c r="W553" s="207"/>
      <c r="X553" s="209"/>
      <c r="Y553" s="209"/>
      <c r="Z553" s="207" t="str">
        <f t="shared" ca="1" si="83"/>
        <v/>
      </c>
      <c r="AA553" s="209" t="str">
        <f t="shared" si="87"/>
        <v/>
      </c>
      <c r="AB553" s="209"/>
      <c r="AC553" s="207" t="str">
        <f t="shared" ca="1" si="84"/>
        <v/>
      </c>
      <c r="AD553" s="207"/>
      <c r="AE553" s="207"/>
      <c r="AF553" s="208" t="str">
        <f>IF(ISBLANK(D553),"",VLOOKUP(F553,'SIZE CALCULATION'!$F:$G,2,0))</f>
        <v/>
      </c>
      <c r="AG553" s="207" t="str">
        <f t="shared" si="82"/>
        <v/>
      </c>
      <c r="AH553" s="207" t="str">
        <f t="shared" si="85"/>
        <v/>
      </c>
      <c r="AI553" s="210" t="str">
        <f>IF(ISBLANK(D553),"",VLOOKUP($A553,INDEX!$D$2:$F$13,3,0))</f>
        <v/>
      </c>
      <c r="AJ553" s="207" t="str">
        <f t="shared" si="86"/>
        <v/>
      </c>
      <c r="AK553" s="207"/>
      <c r="AL553" s="207"/>
      <c r="AM553" s="207" t="str">
        <f>IFERROR(IF(ISBLANK($D553),"",VLOOKUP($N553,'TABLE CHARGE RATE'!$A$30:$K$106,5,0)),"Check")</f>
        <v/>
      </c>
      <c r="AN553" s="207" t="str">
        <f>IFERROR(IF(ISBLANK($D553),"",VLOOKUP($N553,'TABLE CHARGE RATE'!$A$30:$K$106,6,0)),"Check")</f>
        <v/>
      </c>
      <c r="AO553" s="207" t="str">
        <f>IFERROR(IF(ISBLANK($D553),"",VLOOKUP($N553,'TABLE CHARGE RATE'!$A$30:$K$106,7,0)),"Check")</f>
        <v/>
      </c>
      <c r="AP553" s="207" t="str">
        <f>IFERROR(IF(ISBLANK($D553),"",VLOOKUP($N553,'TABLE CHARGE RATE'!$A$30:$K$106,8,0)),"Check")</f>
        <v/>
      </c>
      <c r="AQ553" s="207" t="str">
        <f>IFERROR(IF(ISBLANK($D553),"",VLOOKUP($N553,'TABLE CHARGE RATE'!$A$30:$K$106,9,0)),"Check")</f>
        <v/>
      </c>
      <c r="AR553" s="207" t="str">
        <f>IFERROR(IF(ISBLANK($D553),"",VLOOKUP($N553,'TABLE CHARGE RATE'!$A$30:$K$106,10,0)),"Check")</f>
        <v/>
      </c>
      <c r="AS553" s="207" t="str">
        <f>IFERROR(IF(ISBLANK($D553),"",VLOOKUP($N553,'TABLE CHARGE RATE'!$A$30:$K$106,11,0)),"Check")</f>
        <v/>
      </c>
      <c r="AT553" s="207"/>
    </row>
    <row r="554" spans="1:46" x14ac:dyDescent="0.2">
      <c r="A554" s="207" t="str">
        <f t="shared" ref="A554:A617" si="88">IF(ISBLANK(D554),"",MONTH(C554))</f>
        <v/>
      </c>
      <c r="B554" s="208" t="str">
        <f>IF(ISBLANK(D554),"",VLOOKUP(WEEKDAY($C554,1),INDEX!$J$2:$K$8,2,0))</f>
        <v/>
      </c>
      <c r="C554" s="209"/>
      <c r="D554" s="207"/>
      <c r="E554" s="207"/>
      <c r="F554" s="207"/>
      <c r="G554" s="207"/>
      <c r="H554" s="207"/>
      <c r="I554" s="207"/>
      <c r="J554" s="207"/>
      <c r="K554" s="207"/>
      <c r="L554" s="207"/>
      <c r="M554" s="207"/>
      <c r="N554" s="207"/>
      <c r="O554" s="207"/>
      <c r="P554" s="207"/>
      <c r="Q554" s="207"/>
      <c r="R554" s="207"/>
      <c r="S554" s="207"/>
      <c r="T554" s="207"/>
      <c r="U554" s="209"/>
      <c r="V554" s="207"/>
      <c r="W554" s="207"/>
      <c r="X554" s="209"/>
      <c r="Y554" s="209"/>
      <c r="Z554" s="207" t="str">
        <f t="shared" ca="1" si="83"/>
        <v/>
      </c>
      <c r="AA554" s="209" t="str">
        <f t="shared" si="87"/>
        <v/>
      </c>
      <c r="AB554" s="209"/>
      <c r="AC554" s="207" t="str">
        <f t="shared" ca="1" si="84"/>
        <v/>
      </c>
      <c r="AD554" s="207"/>
      <c r="AE554" s="207"/>
      <c r="AF554" s="208" t="str">
        <f>IF(ISBLANK(D554),"",VLOOKUP(F554,'SIZE CALCULATION'!$F:$G,2,0))</f>
        <v/>
      </c>
      <c r="AG554" s="207" t="str">
        <f t="shared" si="82"/>
        <v/>
      </c>
      <c r="AH554" s="207" t="str">
        <f t="shared" si="85"/>
        <v/>
      </c>
      <c r="AI554" s="210" t="str">
        <f>IF(ISBLANK(D554),"",VLOOKUP($A554,INDEX!$D$2:$F$13,3,0))</f>
        <v/>
      </c>
      <c r="AJ554" s="207" t="str">
        <f t="shared" si="86"/>
        <v/>
      </c>
      <c r="AK554" s="207"/>
      <c r="AL554" s="207"/>
      <c r="AM554" s="207" t="str">
        <f>IFERROR(IF(ISBLANK($D554),"",VLOOKUP($N554,'TABLE CHARGE RATE'!$A$30:$K$106,5,0)),"Check")</f>
        <v/>
      </c>
      <c r="AN554" s="207" t="str">
        <f>IFERROR(IF(ISBLANK($D554),"",VLOOKUP($N554,'TABLE CHARGE RATE'!$A$30:$K$106,6,0)),"Check")</f>
        <v/>
      </c>
      <c r="AO554" s="207" t="str">
        <f>IFERROR(IF(ISBLANK($D554),"",VLOOKUP($N554,'TABLE CHARGE RATE'!$A$30:$K$106,7,0)),"Check")</f>
        <v/>
      </c>
      <c r="AP554" s="207" t="str">
        <f>IFERROR(IF(ISBLANK($D554),"",VLOOKUP($N554,'TABLE CHARGE RATE'!$A$30:$K$106,8,0)),"Check")</f>
        <v/>
      </c>
      <c r="AQ554" s="207" t="str">
        <f>IFERROR(IF(ISBLANK($D554),"",VLOOKUP($N554,'TABLE CHARGE RATE'!$A$30:$K$106,9,0)),"Check")</f>
        <v/>
      </c>
      <c r="AR554" s="207" t="str">
        <f>IFERROR(IF(ISBLANK($D554),"",VLOOKUP($N554,'TABLE CHARGE RATE'!$A$30:$K$106,10,0)),"Check")</f>
        <v/>
      </c>
      <c r="AS554" s="207" t="str">
        <f>IFERROR(IF(ISBLANK($D554),"",VLOOKUP($N554,'TABLE CHARGE RATE'!$A$30:$K$106,11,0)),"Check")</f>
        <v/>
      </c>
      <c r="AT554" s="207"/>
    </row>
    <row r="555" spans="1:46" x14ac:dyDescent="0.2">
      <c r="A555" s="207" t="str">
        <f t="shared" si="88"/>
        <v/>
      </c>
      <c r="B555" s="208" t="str">
        <f>IF(ISBLANK(D555),"",VLOOKUP(WEEKDAY($C555,1),INDEX!$J$2:$K$8,2,0))</f>
        <v/>
      </c>
      <c r="C555" s="209"/>
      <c r="D555" s="207"/>
      <c r="E555" s="207"/>
      <c r="F555" s="207"/>
      <c r="G555" s="207"/>
      <c r="H555" s="207"/>
      <c r="I555" s="207"/>
      <c r="J555" s="207"/>
      <c r="K555" s="207"/>
      <c r="L555" s="207"/>
      <c r="M555" s="207"/>
      <c r="N555" s="207"/>
      <c r="O555" s="207"/>
      <c r="P555" s="207"/>
      <c r="Q555" s="207"/>
      <c r="R555" s="207"/>
      <c r="S555" s="207"/>
      <c r="T555" s="207"/>
      <c r="U555" s="209"/>
      <c r="V555" s="207"/>
      <c r="W555" s="207"/>
      <c r="X555" s="209"/>
      <c r="Y555" s="209"/>
      <c r="Z555" s="207" t="str">
        <f t="shared" ca="1" si="83"/>
        <v/>
      </c>
      <c r="AA555" s="209" t="str">
        <f t="shared" si="87"/>
        <v/>
      </c>
      <c r="AB555" s="209"/>
      <c r="AC555" s="207" t="str">
        <f t="shared" ca="1" si="84"/>
        <v/>
      </c>
      <c r="AD555" s="207"/>
      <c r="AE555" s="207"/>
      <c r="AF555" s="208" t="str">
        <f>IF(ISBLANK(D555),"",VLOOKUP(F555,'SIZE CALCULATION'!$F:$G,2,0))</f>
        <v/>
      </c>
      <c r="AG555" s="207" t="str">
        <f t="shared" si="82"/>
        <v/>
      </c>
      <c r="AH555" s="207" t="str">
        <f t="shared" si="85"/>
        <v/>
      </c>
      <c r="AI555" s="210" t="str">
        <f>IF(ISBLANK(D555),"",VLOOKUP($A555,INDEX!$D$2:$F$13,3,0))</f>
        <v/>
      </c>
      <c r="AJ555" s="207" t="str">
        <f t="shared" si="86"/>
        <v/>
      </c>
      <c r="AK555" s="207"/>
      <c r="AL555" s="207"/>
      <c r="AM555" s="207" t="str">
        <f>IFERROR(IF(ISBLANK($D555),"",VLOOKUP($N555,'TABLE CHARGE RATE'!$A$30:$K$106,5,0)),"Check")</f>
        <v/>
      </c>
      <c r="AN555" s="207" t="str">
        <f>IFERROR(IF(ISBLANK($D555),"",VLOOKUP($N555,'TABLE CHARGE RATE'!$A$30:$K$106,6,0)),"Check")</f>
        <v/>
      </c>
      <c r="AO555" s="207" t="str">
        <f>IFERROR(IF(ISBLANK($D555),"",VLOOKUP($N555,'TABLE CHARGE RATE'!$A$30:$K$106,7,0)),"Check")</f>
        <v/>
      </c>
      <c r="AP555" s="207" t="str">
        <f>IFERROR(IF(ISBLANK($D555),"",VLOOKUP($N555,'TABLE CHARGE RATE'!$A$30:$K$106,8,0)),"Check")</f>
        <v/>
      </c>
      <c r="AQ555" s="207" t="str">
        <f>IFERROR(IF(ISBLANK($D555),"",VLOOKUP($N555,'TABLE CHARGE RATE'!$A$30:$K$106,9,0)),"Check")</f>
        <v/>
      </c>
      <c r="AR555" s="207" t="str">
        <f>IFERROR(IF(ISBLANK($D555),"",VLOOKUP($N555,'TABLE CHARGE RATE'!$A$30:$K$106,10,0)),"Check")</f>
        <v/>
      </c>
      <c r="AS555" s="207" t="str">
        <f>IFERROR(IF(ISBLANK($D555),"",VLOOKUP($N555,'TABLE CHARGE RATE'!$A$30:$K$106,11,0)),"Check")</f>
        <v/>
      </c>
      <c r="AT555" s="207"/>
    </row>
    <row r="556" spans="1:46" x14ac:dyDescent="0.2">
      <c r="A556" s="207" t="str">
        <f t="shared" si="88"/>
        <v/>
      </c>
      <c r="B556" s="208" t="str">
        <f>IF(ISBLANK(D556),"",VLOOKUP(WEEKDAY($C556,1),INDEX!$J$2:$K$8,2,0))</f>
        <v/>
      </c>
      <c r="C556" s="209"/>
      <c r="D556" s="207"/>
      <c r="E556" s="207"/>
      <c r="F556" s="207"/>
      <c r="G556" s="207"/>
      <c r="H556" s="207"/>
      <c r="I556" s="207"/>
      <c r="J556" s="207"/>
      <c r="K556" s="207"/>
      <c r="L556" s="207"/>
      <c r="M556" s="207"/>
      <c r="N556" s="207"/>
      <c r="O556" s="207"/>
      <c r="P556" s="207"/>
      <c r="Q556" s="207"/>
      <c r="R556" s="207"/>
      <c r="S556" s="207"/>
      <c r="T556" s="207"/>
      <c r="U556" s="209"/>
      <c r="V556" s="207"/>
      <c r="W556" s="207"/>
      <c r="X556" s="209"/>
      <c r="Y556" s="209"/>
      <c r="Z556" s="207" t="str">
        <f t="shared" ca="1" si="83"/>
        <v/>
      </c>
      <c r="AA556" s="209" t="str">
        <f t="shared" si="87"/>
        <v/>
      </c>
      <c r="AB556" s="209"/>
      <c r="AC556" s="207" t="str">
        <f t="shared" ca="1" si="84"/>
        <v/>
      </c>
      <c r="AD556" s="207"/>
      <c r="AE556" s="207"/>
      <c r="AF556" s="208" t="str">
        <f>IF(ISBLANK(D556),"",VLOOKUP(F556,'SIZE CALCULATION'!$F:$G,2,0))</f>
        <v/>
      </c>
      <c r="AG556" s="207" t="str">
        <f t="shared" si="82"/>
        <v/>
      </c>
      <c r="AH556" s="207" t="str">
        <f t="shared" si="85"/>
        <v/>
      </c>
      <c r="AI556" s="210" t="str">
        <f>IF(ISBLANK(D556),"",VLOOKUP($A556,INDEX!$D$2:$F$13,3,0))</f>
        <v/>
      </c>
      <c r="AJ556" s="207" t="str">
        <f t="shared" si="86"/>
        <v/>
      </c>
      <c r="AK556" s="207"/>
      <c r="AL556" s="207"/>
      <c r="AM556" s="207" t="str">
        <f>IFERROR(IF(ISBLANK($D556),"",VLOOKUP($N556,'TABLE CHARGE RATE'!$A$30:$K$106,5,0)),"Check")</f>
        <v/>
      </c>
      <c r="AN556" s="207" t="str">
        <f>IFERROR(IF(ISBLANK($D556),"",VLOOKUP($N556,'TABLE CHARGE RATE'!$A$30:$K$106,6,0)),"Check")</f>
        <v/>
      </c>
      <c r="AO556" s="207" t="str">
        <f>IFERROR(IF(ISBLANK($D556),"",VLOOKUP($N556,'TABLE CHARGE RATE'!$A$30:$K$106,7,0)),"Check")</f>
        <v/>
      </c>
      <c r="AP556" s="207" t="str">
        <f>IFERROR(IF(ISBLANK($D556),"",VLOOKUP($N556,'TABLE CHARGE RATE'!$A$30:$K$106,8,0)),"Check")</f>
        <v/>
      </c>
      <c r="AQ556" s="207" t="str">
        <f>IFERROR(IF(ISBLANK($D556),"",VLOOKUP($N556,'TABLE CHARGE RATE'!$A$30:$K$106,9,0)),"Check")</f>
        <v/>
      </c>
      <c r="AR556" s="207" t="str">
        <f>IFERROR(IF(ISBLANK($D556),"",VLOOKUP($N556,'TABLE CHARGE RATE'!$A$30:$K$106,10,0)),"Check")</f>
        <v/>
      </c>
      <c r="AS556" s="207" t="str">
        <f>IFERROR(IF(ISBLANK($D556),"",VLOOKUP($N556,'TABLE CHARGE RATE'!$A$30:$K$106,11,0)),"Check")</f>
        <v/>
      </c>
      <c r="AT556" s="207"/>
    </row>
    <row r="557" spans="1:46" x14ac:dyDescent="0.2">
      <c r="A557" s="207" t="str">
        <f t="shared" si="88"/>
        <v/>
      </c>
      <c r="B557" s="208" t="str">
        <f>IF(ISBLANK(D557),"",VLOOKUP(WEEKDAY($C557,1),INDEX!$J$2:$K$8,2,0))</f>
        <v/>
      </c>
      <c r="C557" s="209"/>
      <c r="D557" s="207"/>
      <c r="E557" s="207"/>
      <c r="F557" s="207"/>
      <c r="G557" s="207"/>
      <c r="H557" s="207"/>
      <c r="I557" s="207"/>
      <c r="J557" s="207"/>
      <c r="K557" s="207"/>
      <c r="L557" s="207"/>
      <c r="M557" s="207"/>
      <c r="N557" s="207"/>
      <c r="O557" s="207"/>
      <c r="P557" s="207"/>
      <c r="Q557" s="207"/>
      <c r="R557" s="207"/>
      <c r="S557" s="207"/>
      <c r="T557" s="207"/>
      <c r="U557" s="209"/>
      <c r="V557" s="207"/>
      <c r="W557" s="207"/>
      <c r="X557" s="209"/>
      <c r="Y557" s="209"/>
      <c r="Z557" s="207" t="str">
        <f t="shared" ca="1" si="83"/>
        <v/>
      </c>
      <c r="AA557" s="209" t="str">
        <f t="shared" si="87"/>
        <v/>
      </c>
      <c r="AB557" s="209"/>
      <c r="AC557" s="207" t="str">
        <f t="shared" ca="1" si="84"/>
        <v/>
      </c>
      <c r="AD557" s="207"/>
      <c r="AE557" s="207"/>
      <c r="AF557" s="208" t="str">
        <f>IF(ISBLANK(D557),"",VLOOKUP(F557,'SIZE CALCULATION'!$F:$G,2,0))</f>
        <v/>
      </c>
      <c r="AG557" s="207" t="str">
        <f t="shared" si="82"/>
        <v/>
      </c>
      <c r="AH557" s="207" t="str">
        <f t="shared" si="85"/>
        <v/>
      </c>
      <c r="AI557" s="210" t="str">
        <f>IF(ISBLANK(D557),"",VLOOKUP($A557,INDEX!$D$2:$F$13,3,0))</f>
        <v/>
      </c>
      <c r="AJ557" s="207" t="str">
        <f t="shared" si="86"/>
        <v/>
      </c>
      <c r="AK557" s="207"/>
      <c r="AL557" s="207"/>
      <c r="AM557" s="207" t="str">
        <f>IFERROR(IF(ISBLANK($D557),"",VLOOKUP($N557,'TABLE CHARGE RATE'!$A$30:$K$106,5,0)),"Check")</f>
        <v/>
      </c>
      <c r="AN557" s="207" t="str">
        <f>IFERROR(IF(ISBLANK($D557),"",VLOOKUP($N557,'TABLE CHARGE RATE'!$A$30:$K$106,6,0)),"Check")</f>
        <v/>
      </c>
      <c r="AO557" s="207" t="str">
        <f>IFERROR(IF(ISBLANK($D557),"",VLOOKUP($N557,'TABLE CHARGE RATE'!$A$30:$K$106,7,0)),"Check")</f>
        <v/>
      </c>
      <c r="AP557" s="207" t="str">
        <f>IFERROR(IF(ISBLANK($D557),"",VLOOKUP($N557,'TABLE CHARGE RATE'!$A$30:$K$106,8,0)),"Check")</f>
        <v/>
      </c>
      <c r="AQ557" s="207" t="str">
        <f>IFERROR(IF(ISBLANK($D557),"",VLOOKUP($N557,'TABLE CHARGE RATE'!$A$30:$K$106,9,0)),"Check")</f>
        <v/>
      </c>
      <c r="AR557" s="207" t="str">
        <f>IFERROR(IF(ISBLANK($D557),"",VLOOKUP($N557,'TABLE CHARGE RATE'!$A$30:$K$106,10,0)),"Check")</f>
        <v/>
      </c>
      <c r="AS557" s="207" t="str">
        <f>IFERROR(IF(ISBLANK($D557),"",VLOOKUP($N557,'TABLE CHARGE RATE'!$A$30:$K$106,11,0)),"Check")</f>
        <v/>
      </c>
      <c r="AT557" s="207"/>
    </row>
    <row r="558" spans="1:46" x14ac:dyDescent="0.2">
      <c r="A558" s="207" t="str">
        <f t="shared" si="88"/>
        <v/>
      </c>
      <c r="B558" s="208" t="str">
        <f>IF(ISBLANK(D558),"",VLOOKUP(WEEKDAY($C558,1),INDEX!$J$2:$K$8,2,0))</f>
        <v/>
      </c>
      <c r="C558" s="209"/>
      <c r="D558" s="207"/>
      <c r="E558" s="207"/>
      <c r="F558" s="207"/>
      <c r="G558" s="207"/>
      <c r="H558" s="207"/>
      <c r="I558" s="207"/>
      <c r="J558" s="207"/>
      <c r="K558" s="207"/>
      <c r="L558" s="207"/>
      <c r="M558" s="207"/>
      <c r="N558" s="207"/>
      <c r="O558" s="207"/>
      <c r="P558" s="207"/>
      <c r="Q558" s="207"/>
      <c r="R558" s="207"/>
      <c r="S558" s="207"/>
      <c r="T558" s="207"/>
      <c r="U558" s="209"/>
      <c r="V558" s="207"/>
      <c r="W558" s="207"/>
      <c r="X558" s="209"/>
      <c r="Y558" s="209"/>
      <c r="Z558" s="207" t="str">
        <f t="shared" ca="1" si="83"/>
        <v/>
      </c>
      <c r="AA558" s="209" t="str">
        <f t="shared" si="87"/>
        <v/>
      </c>
      <c r="AB558" s="209"/>
      <c r="AC558" s="207" t="str">
        <f t="shared" ca="1" si="84"/>
        <v/>
      </c>
      <c r="AD558" s="207"/>
      <c r="AE558" s="207"/>
      <c r="AF558" s="208" t="str">
        <f>IF(ISBLANK(D558),"",VLOOKUP(F558,'SIZE CALCULATION'!$F:$G,2,0))</f>
        <v/>
      </c>
      <c r="AG558" s="207" t="str">
        <f t="shared" si="82"/>
        <v/>
      </c>
      <c r="AH558" s="207" t="str">
        <f t="shared" si="85"/>
        <v/>
      </c>
      <c r="AI558" s="210" t="str">
        <f>IF(ISBLANK(D558),"",VLOOKUP($A558,INDEX!$D$2:$F$13,3,0))</f>
        <v/>
      </c>
      <c r="AJ558" s="207" t="str">
        <f t="shared" si="86"/>
        <v/>
      </c>
      <c r="AK558" s="207"/>
      <c r="AL558" s="207"/>
      <c r="AM558" s="207" t="str">
        <f>IFERROR(IF(ISBLANK($D558),"",VLOOKUP($N558,'TABLE CHARGE RATE'!$A$30:$K$106,5,0)),"Check")</f>
        <v/>
      </c>
      <c r="AN558" s="207" t="str">
        <f>IFERROR(IF(ISBLANK($D558),"",VLOOKUP($N558,'TABLE CHARGE RATE'!$A$30:$K$106,6,0)),"Check")</f>
        <v/>
      </c>
      <c r="AO558" s="207" t="str">
        <f>IFERROR(IF(ISBLANK($D558),"",VLOOKUP($N558,'TABLE CHARGE RATE'!$A$30:$K$106,7,0)),"Check")</f>
        <v/>
      </c>
      <c r="AP558" s="207" t="str">
        <f>IFERROR(IF(ISBLANK($D558),"",VLOOKUP($N558,'TABLE CHARGE RATE'!$A$30:$K$106,8,0)),"Check")</f>
        <v/>
      </c>
      <c r="AQ558" s="207" t="str">
        <f>IFERROR(IF(ISBLANK($D558),"",VLOOKUP($N558,'TABLE CHARGE RATE'!$A$30:$K$106,9,0)),"Check")</f>
        <v/>
      </c>
      <c r="AR558" s="207" t="str">
        <f>IFERROR(IF(ISBLANK($D558),"",VLOOKUP($N558,'TABLE CHARGE RATE'!$A$30:$K$106,10,0)),"Check")</f>
        <v/>
      </c>
      <c r="AS558" s="207" t="str">
        <f>IFERROR(IF(ISBLANK($D558),"",VLOOKUP($N558,'TABLE CHARGE RATE'!$A$30:$K$106,11,0)),"Check")</f>
        <v/>
      </c>
      <c r="AT558" s="207"/>
    </row>
    <row r="559" spans="1:46" x14ac:dyDescent="0.2">
      <c r="A559" s="207" t="str">
        <f t="shared" si="88"/>
        <v/>
      </c>
      <c r="B559" s="208" t="str">
        <f>IF(ISBLANK(D559),"",VLOOKUP(WEEKDAY($C559,1),INDEX!$J$2:$K$8,2,0))</f>
        <v/>
      </c>
      <c r="C559" s="209"/>
      <c r="D559" s="207"/>
      <c r="E559" s="207"/>
      <c r="F559" s="207"/>
      <c r="G559" s="207"/>
      <c r="H559" s="207"/>
      <c r="I559" s="207"/>
      <c r="J559" s="207"/>
      <c r="K559" s="207"/>
      <c r="L559" s="207"/>
      <c r="M559" s="207"/>
      <c r="N559" s="207"/>
      <c r="O559" s="207"/>
      <c r="P559" s="207"/>
      <c r="Q559" s="207"/>
      <c r="R559" s="207"/>
      <c r="S559" s="207"/>
      <c r="T559" s="207"/>
      <c r="U559" s="209"/>
      <c r="V559" s="207"/>
      <c r="W559" s="207"/>
      <c r="X559" s="209"/>
      <c r="Y559" s="209"/>
      <c r="Z559" s="207" t="str">
        <f t="shared" ca="1" si="83"/>
        <v/>
      </c>
      <c r="AA559" s="209" t="str">
        <f t="shared" si="87"/>
        <v/>
      </c>
      <c r="AB559" s="209"/>
      <c r="AC559" s="207" t="str">
        <f t="shared" ca="1" si="84"/>
        <v/>
      </c>
      <c r="AD559" s="207"/>
      <c r="AE559" s="207"/>
      <c r="AF559" s="208" t="str">
        <f>IF(ISBLANK(D559),"",VLOOKUP(F559,'SIZE CALCULATION'!$F:$G,2,0))</f>
        <v/>
      </c>
      <c r="AG559" s="207" t="str">
        <f t="shared" si="82"/>
        <v/>
      </c>
      <c r="AH559" s="207" t="str">
        <f t="shared" si="85"/>
        <v/>
      </c>
      <c r="AI559" s="210" t="str">
        <f>IF(ISBLANK(D559),"",VLOOKUP($A559,INDEX!$D$2:$F$13,3,0))</f>
        <v/>
      </c>
      <c r="AJ559" s="207" t="str">
        <f t="shared" si="86"/>
        <v/>
      </c>
      <c r="AK559" s="207"/>
      <c r="AL559" s="207"/>
      <c r="AM559" s="207" t="str">
        <f>IFERROR(IF(ISBLANK($D559),"",VLOOKUP($N559,'TABLE CHARGE RATE'!$A$30:$K$106,5,0)),"Check")</f>
        <v/>
      </c>
      <c r="AN559" s="207" t="str">
        <f>IFERROR(IF(ISBLANK($D559),"",VLOOKUP($N559,'TABLE CHARGE RATE'!$A$30:$K$106,6,0)),"Check")</f>
        <v/>
      </c>
      <c r="AO559" s="207" t="str">
        <f>IFERROR(IF(ISBLANK($D559),"",VLOOKUP($N559,'TABLE CHARGE RATE'!$A$30:$K$106,7,0)),"Check")</f>
        <v/>
      </c>
      <c r="AP559" s="207" t="str">
        <f>IFERROR(IF(ISBLANK($D559),"",VLOOKUP($N559,'TABLE CHARGE RATE'!$A$30:$K$106,8,0)),"Check")</f>
        <v/>
      </c>
      <c r="AQ559" s="207" t="str">
        <f>IFERROR(IF(ISBLANK($D559),"",VLOOKUP($N559,'TABLE CHARGE RATE'!$A$30:$K$106,9,0)),"Check")</f>
        <v/>
      </c>
      <c r="AR559" s="207" t="str">
        <f>IFERROR(IF(ISBLANK($D559),"",VLOOKUP($N559,'TABLE CHARGE RATE'!$A$30:$K$106,10,0)),"Check")</f>
        <v/>
      </c>
      <c r="AS559" s="207" t="str">
        <f>IFERROR(IF(ISBLANK($D559),"",VLOOKUP($N559,'TABLE CHARGE RATE'!$A$30:$K$106,11,0)),"Check")</f>
        <v/>
      </c>
      <c r="AT559" s="207"/>
    </row>
    <row r="560" spans="1:46" x14ac:dyDescent="0.2">
      <c r="A560" s="207" t="str">
        <f t="shared" si="88"/>
        <v/>
      </c>
      <c r="B560" s="208" t="str">
        <f>IF(ISBLANK(D560),"",VLOOKUP(WEEKDAY($C560,1),INDEX!$J$2:$K$8,2,0))</f>
        <v/>
      </c>
      <c r="C560" s="209"/>
      <c r="D560" s="207"/>
      <c r="E560" s="207"/>
      <c r="F560" s="207"/>
      <c r="G560" s="207"/>
      <c r="H560" s="207"/>
      <c r="I560" s="207"/>
      <c r="J560" s="207"/>
      <c r="K560" s="207"/>
      <c r="L560" s="207"/>
      <c r="M560" s="207"/>
      <c r="N560" s="207"/>
      <c r="O560" s="207"/>
      <c r="P560" s="207"/>
      <c r="Q560" s="207"/>
      <c r="R560" s="207"/>
      <c r="S560" s="207"/>
      <c r="T560" s="207"/>
      <c r="U560" s="209"/>
      <c r="V560" s="207"/>
      <c r="W560" s="207"/>
      <c r="X560" s="209"/>
      <c r="Y560" s="209"/>
      <c r="Z560" s="207" t="str">
        <f t="shared" ca="1" si="83"/>
        <v/>
      </c>
      <c r="AA560" s="209" t="str">
        <f t="shared" si="87"/>
        <v/>
      </c>
      <c r="AB560" s="209"/>
      <c r="AC560" s="207" t="str">
        <f t="shared" ca="1" si="84"/>
        <v/>
      </c>
      <c r="AD560" s="207"/>
      <c r="AE560" s="207"/>
      <c r="AF560" s="208" t="str">
        <f>IF(ISBLANK(D560),"",VLOOKUP(F560,'SIZE CALCULATION'!$F:$G,2,0))</f>
        <v/>
      </c>
      <c r="AG560" s="207" t="str">
        <f t="shared" si="82"/>
        <v/>
      </c>
      <c r="AH560" s="207" t="str">
        <f t="shared" si="85"/>
        <v/>
      </c>
      <c r="AI560" s="210" t="str">
        <f>IF(ISBLANK(D560),"",VLOOKUP($A560,INDEX!$D$2:$F$13,3,0))</f>
        <v/>
      </c>
      <c r="AJ560" s="207" t="str">
        <f t="shared" si="86"/>
        <v/>
      </c>
      <c r="AK560" s="207"/>
      <c r="AL560" s="207"/>
      <c r="AM560" s="207" t="str">
        <f>IFERROR(IF(ISBLANK($D560),"",VLOOKUP($N560,'TABLE CHARGE RATE'!$A$30:$K$106,5,0)),"Check")</f>
        <v/>
      </c>
      <c r="AN560" s="207" t="str">
        <f>IFERROR(IF(ISBLANK($D560),"",VLOOKUP($N560,'TABLE CHARGE RATE'!$A$30:$K$106,6,0)),"Check")</f>
        <v/>
      </c>
      <c r="AO560" s="207" t="str">
        <f>IFERROR(IF(ISBLANK($D560),"",VLOOKUP($N560,'TABLE CHARGE RATE'!$A$30:$K$106,7,0)),"Check")</f>
        <v/>
      </c>
      <c r="AP560" s="207" t="str">
        <f>IFERROR(IF(ISBLANK($D560),"",VLOOKUP($N560,'TABLE CHARGE RATE'!$A$30:$K$106,8,0)),"Check")</f>
        <v/>
      </c>
      <c r="AQ560" s="207" t="str">
        <f>IFERROR(IF(ISBLANK($D560),"",VLOOKUP($N560,'TABLE CHARGE RATE'!$A$30:$K$106,9,0)),"Check")</f>
        <v/>
      </c>
      <c r="AR560" s="207" t="str">
        <f>IFERROR(IF(ISBLANK($D560),"",VLOOKUP($N560,'TABLE CHARGE RATE'!$A$30:$K$106,10,0)),"Check")</f>
        <v/>
      </c>
      <c r="AS560" s="207" t="str">
        <f>IFERROR(IF(ISBLANK($D560),"",VLOOKUP($N560,'TABLE CHARGE RATE'!$A$30:$K$106,11,0)),"Check")</f>
        <v/>
      </c>
      <c r="AT560" s="207"/>
    </row>
    <row r="561" spans="1:46" x14ac:dyDescent="0.2">
      <c r="A561" s="207" t="str">
        <f t="shared" si="88"/>
        <v/>
      </c>
      <c r="B561" s="208" t="str">
        <f>IF(ISBLANK(D561),"",VLOOKUP(WEEKDAY($C561,1),INDEX!$J$2:$K$8,2,0))</f>
        <v/>
      </c>
      <c r="C561" s="209"/>
      <c r="D561" s="207"/>
      <c r="E561" s="207"/>
      <c r="F561" s="207"/>
      <c r="G561" s="207"/>
      <c r="H561" s="207"/>
      <c r="I561" s="207"/>
      <c r="J561" s="207"/>
      <c r="K561" s="207"/>
      <c r="L561" s="207"/>
      <c r="M561" s="207"/>
      <c r="N561" s="207"/>
      <c r="O561" s="207"/>
      <c r="P561" s="207"/>
      <c r="Q561" s="207"/>
      <c r="R561" s="207"/>
      <c r="S561" s="207"/>
      <c r="T561" s="207"/>
      <c r="U561" s="209"/>
      <c r="V561" s="207"/>
      <c r="W561" s="207"/>
      <c r="X561" s="209"/>
      <c r="Y561" s="209"/>
      <c r="Z561" s="207" t="str">
        <f t="shared" ca="1" si="83"/>
        <v/>
      </c>
      <c r="AA561" s="209" t="str">
        <f t="shared" si="87"/>
        <v/>
      </c>
      <c r="AB561" s="209"/>
      <c r="AC561" s="207" t="str">
        <f t="shared" ca="1" si="84"/>
        <v/>
      </c>
      <c r="AD561" s="207"/>
      <c r="AE561" s="207"/>
      <c r="AF561" s="208" t="str">
        <f>IF(ISBLANK(D561),"",VLOOKUP(F561,'SIZE CALCULATION'!$F:$G,2,0))</f>
        <v/>
      </c>
      <c r="AG561" s="207" t="str">
        <f t="shared" si="82"/>
        <v/>
      </c>
      <c r="AH561" s="207" t="str">
        <f t="shared" si="85"/>
        <v/>
      </c>
      <c r="AI561" s="210" t="str">
        <f>IF(ISBLANK(D561),"",VLOOKUP($A561,INDEX!$D$2:$F$13,3,0))</f>
        <v/>
      </c>
      <c r="AJ561" s="207" t="str">
        <f t="shared" si="86"/>
        <v/>
      </c>
      <c r="AK561" s="207"/>
      <c r="AL561" s="207"/>
      <c r="AM561" s="207" t="str">
        <f>IFERROR(IF(ISBLANK($D561),"",VLOOKUP($N561,'TABLE CHARGE RATE'!$A$30:$K$106,5,0)),"Check")</f>
        <v/>
      </c>
      <c r="AN561" s="207" t="str">
        <f>IFERROR(IF(ISBLANK($D561),"",VLOOKUP($N561,'TABLE CHARGE RATE'!$A$30:$K$106,6,0)),"Check")</f>
        <v/>
      </c>
      <c r="AO561" s="207" t="str">
        <f>IFERROR(IF(ISBLANK($D561),"",VLOOKUP($N561,'TABLE CHARGE RATE'!$A$30:$K$106,7,0)),"Check")</f>
        <v/>
      </c>
      <c r="AP561" s="207" t="str">
        <f>IFERROR(IF(ISBLANK($D561),"",VLOOKUP($N561,'TABLE CHARGE RATE'!$A$30:$K$106,8,0)),"Check")</f>
        <v/>
      </c>
      <c r="AQ561" s="207" t="str">
        <f>IFERROR(IF(ISBLANK($D561),"",VLOOKUP($N561,'TABLE CHARGE RATE'!$A$30:$K$106,9,0)),"Check")</f>
        <v/>
      </c>
      <c r="AR561" s="207" t="str">
        <f>IFERROR(IF(ISBLANK($D561),"",VLOOKUP($N561,'TABLE CHARGE RATE'!$A$30:$K$106,10,0)),"Check")</f>
        <v/>
      </c>
      <c r="AS561" s="207" t="str">
        <f>IFERROR(IF(ISBLANK($D561),"",VLOOKUP($N561,'TABLE CHARGE RATE'!$A$30:$K$106,11,0)),"Check")</f>
        <v/>
      </c>
      <c r="AT561" s="207"/>
    </row>
    <row r="562" spans="1:46" x14ac:dyDescent="0.2">
      <c r="A562" s="207" t="str">
        <f t="shared" si="88"/>
        <v/>
      </c>
      <c r="B562" s="208" t="str">
        <f>IF(ISBLANK(D562),"",VLOOKUP(WEEKDAY($C562,1),INDEX!$J$2:$K$8,2,0))</f>
        <v/>
      </c>
      <c r="C562" s="209"/>
      <c r="D562" s="207"/>
      <c r="E562" s="207"/>
      <c r="F562" s="207"/>
      <c r="G562" s="207"/>
      <c r="H562" s="207"/>
      <c r="I562" s="207"/>
      <c r="J562" s="207"/>
      <c r="K562" s="207"/>
      <c r="L562" s="207"/>
      <c r="M562" s="207"/>
      <c r="N562" s="207"/>
      <c r="O562" s="207"/>
      <c r="P562" s="207"/>
      <c r="Q562" s="207"/>
      <c r="R562" s="207"/>
      <c r="S562" s="207"/>
      <c r="T562" s="207"/>
      <c r="U562" s="209"/>
      <c r="V562" s="207"/>
      <c r="W562" s="207"/>
      <c r="X562" s="209"/>
      <c r="Y562" s="209"/>
      <c r="Z562" s="207" t="str">
        <f t="shared" ca="1" si="83"/>
        <v/>
      </c>
      <c r="AA562" s="209" t="str">
        <f t="shared" si="87"/>
        <v/>
      </c>
      <c r="AB562" s="209"/>
      <c r="AC562" s="207" t="str">
        <f t="shared" ca="1" si="84"/>
        <v/>
      </c>
      <c r="AD562" s="207"/>
      <c r="AE562" s="207"/>
      <c r="AF562" s="208" t="str">
        <f>IF(ISBLANK(D562),"",VLOOKUP(F562,'SIZE CALCULATION'!$F:$G,2,0))</f>
        <v/>
      </c>
      <c r="AG562" s="207" t="str">
        <f t="shared" si="82"/>
        <v/>
      </c>
      <c r="AH562" s="207" t="str">
        <f t="shared" si="85"/>
        <v/>
      </c>
      <c r="AI562" s="210" t="str">
        <f>IF(ISBLANK(D562),"",VLOOKUP($A562,INDEX!$D$2:$F$13,3,0))</f>
        <v/>
      </c>
      <c r="AJ562" s="207" t="str">
        <f t="shared" si="86"/>
        <v/>
      </c>
      <c r="AK562" s="207"/>
      <c r="AL562" s="207"/>
      <c r="AM562" s="207" t="str">
        <f>IFERROR(IF(ISBLANK($D562),"",VLOOKUP($N562,'TABLE CHARGE RATE'!$A$30:$K$106,5,0)),"Check")</f>
        <v/>
      </c>
      <c r="AN562" s="207" t="str">
        <f>IFERROR(IF(ISBLANK($D562),"",VLOOKUP($N562,'TABLE CHARGE RATE'!$A$30:$K$106,6,0)),"Check")</f>
        <v/>
      </c>
      <c r="AO562" s="207" t="str">
        <f>IFERROR(IF(ISBLANK($D562),"",VLOOKUP($N562,'TABLE CHARGE RATE'!$A$30:$K$106,7,0)),"Check")</f>
        <v/>
      </c>
      <c r="AP562" s="207" t="str">
        <f>IFERROR(IF(ISBLANK($D562),"",VLOOKUP($N562,'TABLE CHARGE RATE'!$A$30:$K$106,8,0)),"Check")</f>
        <v/>
      </c>
      <c r="AQ562" s="207" t="str">
        <f>IFERROR(IF(ISBLANK($D562),"",VLOOKUP($N562,'TABLE CHARGE RATE'!$A$30:$K$106,9,0)),"Check")</f>
        <v/>
      </c>
      <c r="AR562" s="207" t="str">
        <f>IFERROR(IF(ISBLANK($D562),"",VLOOKUP($N562,'TABLE CHARGE RATE'!$A$30:$K$106,10,0)),"Check")</f>
        <v/>
      </c>
      <c r="AS562" s="207" t="str">
        <f>IFERROR(IF(ISBLANK($D562),"",VLOOKUP($N562,'TABLE CHARGE RATE'!$A$30:$K$106,11,0)),"Check")</f>
        <v/>
      </c>
      <c r="AT562" s="207"/>
    </row>
    <row r="563" spans="1:46" x14ac:dyDescent="0.2">
      <c r="A563" s="207" t="str">
        <f t="shared" si="88"/>
        <v/>
      </c>
      <c r="B563" s="208" t="str">
        <f>IF(ISBLANK(D563),"",VLOOKUP(WEEKDAY($C563,1),INDEX!$J$2:$K$8,2,0))</f>
        <v/>
      </c>
      <c r="C563" s="209"/>
      <c r="D563" s="207"/>
      <c r="E563" s="207"/>
      <c r="F563" s="207"/>
      <c r="G563" s="207"/>
      <c r="H563" s="207"/>
      <c r="I563" s="207"/>
      <c r="J563" s="207"/>
      <c r="K563" s="207"/>
      <c r="L563" s="207"/>
      <c r="M563" s="207"/>
      <c r="N563" s="207"/>
      <c r="O563" s="207"/>
      <c r="P563" s="207"/>
      <c r="Q563" s="207"/>
      <c r="R563" s="207"/>
      <c r="S563" s="207"/>
      <c r="T563" s="207"/>
      <c r="U563" s="209"/>
      <c r="V563" s="207"/>
      <c r="W563" s="207"/>
      <c r="X563" s="209"/>
      <c r="Y563" s="209"/>
      <c r="Z563" s="207" t="str">
        <f t="shared" ca="1" si="83"/>
        <v/>
      </c>
      <c r="AA563" s="209" t="str">
        <f t="shared" si="87"/>
        <v/>
      </c>
      <c r="AB563" s="209"/>
      <c r="AC563" s="207" t="str">
        <f t="shared" ca="1" si="84"/>
        <v/>
      </c>
      <c r="AD563" s="207"/>
      <c r="AE563" s="207"/>
      <c r="AF563" s="208" t="str">
        <f>IF(ISBLANK(D563),"",VLOOKUP(F563,'SIZE CALCULATION'!$F:$G,2,0))</f>
        <v/>
      </c>
      <c r="AG563" s="207" t="str">
        <f t="shared" ref="AG563:AG626" si="89">IF(ISBLANK(D563),"",HLOOKUP($AF563,$AM$1:$AR$966,$AT563,0))</f>
        <v/>
      </c>
      <c r="AH563" s="207" t="str">
        <f t="shared" si="85"/>
        <v/>
      </c>
      <c r="AI563" s="210" t="str">
        <f>IF(ISBLANK(D563),"",VLOOKUP($A563,INDEX!$D$2:$F$13,3,0))</f>
        <v/>
      </c>
      <c r="AJ563" s="207" t="str">
        <f t="shared" si="86"/>
        <v/>
      </c>
      <c r="AK563" s="207"/>
      <c r="AL563" s="207"/>
      <c r="AM563" s="207" t="str">
        <f>IFERROR(IF(ISBLANK($D563),"",VLOOKUP($N563,'TABLE CHARGE RATE'!$A$30:$K$106,5,0)),"Check")</f>
        <v/>
      </c>
      <c r="AN563" s="207" t="str">
        <f>IFERROR(IF(ISBLANK($D563),"",VLOOKUP($N563,'TABLE CHARGE RATE'!$A$30:$K$106,6,0)),"Check")</f>
        <v/>
      </c>
      <c r="AO563" s="207" t="str">
        <f>IFERROR(IF(ISBLANK($D563),"",VLOOKUP($N563,'TABLE CHARGE RATE'!$A$30:$K$106,7,0)),"Check")</f>
        <v/>
      </c>
      <c r="AP563" s="207" t="str">
        <f>IFERROR(IF(ISBLANK($D563),"",VLOOKUP($N563,'TABLE CHARGE RATE'!$A$30:$K$106,8,0)),"Check")</f>
        <v/>
      </c>
      <c r="AQ563" s="207" t="str">
        <f>IFERROR(IF(ISBLANK($D563),"",VLOOKUP($N563,'TABLE CHARGE RATE'!$A$30:$K$106,9,0)),"Check")</f>
        <v/>
      </c>
      <c r="AR563" s="207" t="str">
        <f>IFERROR(IF(ISBLANK($D563),"",VLOOKUP($N563,'TABLE CHARGE RATE'!$A$30:$K$106,10,0)),"Check")</f>
        <v/>
      </c>
      <c r="AS563" s="207" t="str">
        <f>IFERROR(IF(ISBLANK($D563),"",VLOOKUP($N563,'TABLE CHARGE RATE'!$A$30:$K$106,11,0)),"Check")</f>
        <v/>
      </c>
      <c r="AT563" s="207"/>
    </row>
    <row r="564" spans="1:46" x14ac:dyDescent="0.2">
      <c r="A564" s="207" t="str">
        <f t="shared" si="88"/>
        <v/>
      </c>
      <c r="B564" s="208" t="str">
        <f>IF(ISBLANK(D564),"",VLOOKUP(WEEKDAY($C564,1),INDEX!$J$2:$K$8,2,0))</f>
        <v/>
      </c>
      <c r="C564" s="209"/>
      <c r="D564" s="207"/>
      <c r="E564" s="207"/>
      <c r="F564" s="207"/>
      <c r="G564" s="207"/>
      <c r="H564" s="207"/>
      <c r="I564" s="207"/>
      <c r="J564" s="207"/>
      <c r="K564" s="207"/>
      <c r="L564" s="207"/>
      <c r="M564" s="207"/>
      <c r="N564" s="207"/>
      <c r="O564" s="207"/>
      <c r="P564" s="207"/>
      <c r="Q564" s="207"/>
      <c r="R564" s="207"/>
      <c r="S564" s="207"/>
      <c r="T564" s="207"/>
      <c r="U564" s="209"/>
      <c r="V564" s="207"/>
      <c r="W564" s="207"/>
      <c r="X564" s="209"/>
      <c r="Y564" s="209"/>
      <c r="Z564" s="207" t="str">
        <f t="shared" ca="1" si="83"/>
        <v/>
      </c>
      <c r="AA564" s="209" t="str">
        <f t="shared" si="87"/>
        <v/>
      </c>
      <c r="AB564" s="209"/>
      <c r="AC564" s="207" t="str">
        <f t="shared" ca="1" si="84"/>
        <v/>
      </c>
      <c r="AD564" s="207"/>
      <c r="AE564" s="207"/>
      <c r="AF564" s="208" t="str">
        <f>IF(ISBLANK(D564),"",VLOOKUP(F564,'SIZE CALCULATION'!$F:$G,2,0))</f>
        <v/>
      </c>
      <c r="AG564" s="207" t="str">
        <f t="shared" si="89"/>
        <v/>
      </c>
      <c r="AH564" s="207" t="str">
        <f t="shared" si="85"/>
        <v/>
      </c>
      <c r="AI564" s="210" t="str">
        <f>IF(ISBLANK(D564),"",VLOOKUP($A564,INDEX!$D$2:$F$13,3,0))</f>
        <v/>
      </c>
      <c r="AJ564" s="207" t="str">
        <f t="shared" si="86"/>
        <v/>
      </c>
      <c r="AK564" s="207"/>
      <c r="AL564" s="207"/>
      <c r="AM564" s="207" t="str">
        <f>IFERROR(IF(ISBLANK($D564),"",VLOOKUP($N564,'TABLE CHARGE RATE'!$A$30:$K$106,5,0)),"Check")</f>
        <v/>
      </c>
      <c r="AN564" s="207" t="str">
        <f>IFERROR(IF(ISBLANK($D564),"",VLOOKUP($N564,'TABLE CHARGE RATE'!$A$30:$K$106,6,0)),"Check")</f>
        <v/>
      </c>
      <c r="AO564" s="207" t="str">
        <f>IFERROR(IF(ISBLANK($D564),"",VLOOKUP($N564,'TABLE CHARGE RATE'!$A$30:$K$106,7,0)),"Check")</f>
        <v/>
      </c>
      <c r="AP564" s="207" t="str">
        <f>IFERROR(IF(ISBLANK($D564),"",VLOOKUP($N564,'TABLE CHARGE RATE'!$A$30:$K$106,8,0)),"Check")</f>
        <v/>
      </c>
      <c r="AQ564" s="207" t="str">
        <f>IFERROR(IF(ISBLANK($D564),"",VLOOKUP($N564,'TABLE CHARGE RATE'!$A$30:$K$106,9,0)),"Check")</f>
        <v/>
      </c>
      <c r="AR564" s="207" t="str">
        <f>IFERROR(IF(ISBLANK($D564),"",VLOOKUP($N564,'TABLE CHARGE RATE'!$A$30:$K$106,10,0)),"Check")</f>
        <v/>
      </c>
      <c r="AS564" s="207" t="str">
        <f>IFERROR(IF(ISBLANK($D564),"",VLOOKUP($N564,'TABLE CHARGE RATE'!$A$30:$K$106,11,0)),"Check")</f>
        <v/>
      </c>
      <c r="AT564" s="207"/>
    </row>
    <row r="565" spans="1:46" x14ac:dyDescent="0.2">
      <c r="A565" s="207" t="str">
        <f t="shared" si="88"/>
        <v/>
      </c>
      <c r="B565" s="208" t="str">
        <f>IF(ISBLANK(D565),"",VLOOKUP(WEEKDAY($C565,1),INDEX!$J$2:$K$8,2,0))</f>
        <v/>
      </c>
      <c r="C565" s="209"/>
      <c r="D565" s="207"/>
      <c r="E565" s="207"/>
      <c r="F565" s="207"/>
      <c r="G565" s="207"/>
      <c r="H565" s="207"/>
      <c r="I565" s="207"/>
      <c r="J565" s="207"/>
      <c r="K565" s="207"/>
      <c r="L565" s="207"/>
      <c r="M565" s="207"/>
      <c r="N565" s="207"/>
      <c r="O565" s="207"/>
      <c r="P565" s="207"/>
      <c r="Q565" s="207"/>
      <c r="R565" s="207"/>
      <c r="S565" s="207"/>
      <c r="T565" s="207"/>
      <c r="U565" s="209"/>
      <c r="V565" s="207"/>
      <c r="W565" s="207"/>
      <c r="X565" s="209"/>
      <c r="Y565" s="209"/>
      <c r="Z565" s="207" t="str">
        <f t="shared" ca="1" si="83"/>
        <v/>
      </c>
      <c r="AA565" s="209" t="str">
        <f t="shared" si="87"/>
        <v/>
      </c>
      <c r="AB565" s="209"/>
      <c r="AC565" s="207" t="str">
        <f t="shared" ca="1" si="84"/>
        <v/>
      </c>
      <c r="AD565" s="207"/>
      <c r="AE565" s="207"/>
      <c r="AF565" s="208" t="str">
        <f>IF(ISBLANK(D565),"",VLOOKUP(F565,'SIZE CALCULATION'!$F:$G,2,0))</f>
        <v/>
      </c>
      <c r="AG565" s="207" t="str">
        <f t="shared" si="89"/>
        <v/>
      </c>
      <c r="AH565" s="207" t="str">
        <f t="shared" si="85"/>
        <v/>
      </c>
      <c r="AI565" s="210" t="str">
        <f>IF(ISBLANK(D565),"",VLOOKUP($A565,INDEX!$D$2:$F$13,3,0))</f>
        <v/>
      </c>
      <c r="AJ565" s="207" t="str">
        <f t="shared" si="86"/>
        <v/>
      </c>
      <c r="AK565" s="207"/>
      <c r="AL565" s="207"/>
      <c r="AM565" s="207" t="str">
        <f>IFERROR(IF(ISBLANK($D565),"",VLOOKUP($N565,'TABLE CHARGE RATE'!$A$30:$K$106,5,0)),"Check")</f>
        <v/>
      </c>
      <c r="AN565" s="207" t="str">
        <f>IFERROR(IF(ISBLANK($D565),"",VLOOKUP($N565,'TABLE CHARGE RATE'!$A$30:$K$106,6,0)),"Check")</f>
        <v/>
      </c>
      <c r="AO565" s="207" t="str">
        <f>IFERROR(IF(ISBLANK($D565),"",VLOOKUP($N565,'TABLE CHARGE RATE'!$A$30:$K$106,7,0)),"Check")</f>
        <v/>
      </c>
      <c r="AP565" s="207" t="str">
        <f>IFERROR(IF(ISBLANK($D565),"",VLOOKUP($N565,'TABLE CHARGE RATE'!$A$30:$K$106,8,0)),"Check")</f>
        <v/>
      </c>
      <c r="AQ565" s="207" t="str">
        <f>IFERROR(IF(ISBLANK($D565),"",VLOOKUP($N565,'TABLE CHARGE RATE'!$A$30:$K$106,9,0)),"Check")</f>
        <v/>
      </c>
      <c r="AR565" s="207" t="str">
        <f>IFERROR(IF(ISBLANK($D565),"",VLOOKUP($N565,'TABLE CHARGE RATE'!$A$30:$K$106,10,0)),"Check")</f>
        <v/>
      </c>
      <c r="AS565" s="207" t="str">
        <f>IFERROR(IF(ISBLANK($D565),"",VLOOKUP($N565,'TABLE CHARGE RATE'!$A$30:$K$106,11,0)),"Check")</f>
        <v/>
      </c>
      <c r="AT565" s="207"/>
    </row>
    <row r="566" spans="1:46" x14ac:dyDescent="0.2">
      <c r="A566" s="207" t="str">
        <f t="shared" si="88"/>
        <v/>
      </c>
      <c r="B566" s="208" t="str">
        <f>IF(ISBLANK(D566),"",VLOOKUP(WEEKDAY($C566,1),INDEX!$J$2:$K$8,2,0))</f>
        <v/>
      </c>
      <c r="C566" s="209"/>
      <c r="D566" s="207"/>
      <c r="E566" s="207"/>
      <c r="F566" s="207"/>
      <c r="G566" s="207"/>
      <c r="H566" s="207"/>
      <c r="I566" s="207"/>
      <c r="J566" s="207"/>
      <c r="K566" s="207"/>
      <c r="L566" s="207"/>
      <c r="M566" s="207"/>
      <c r="N566" s="207"/>
      <c r="O566" s="207"/>
      <c r="P566" s="207"/>
      <c r="Q566" s="207"/>
      <c r="R566" s="207"/>
      <c r="S566" s="207"/>
      <c r="T566" s="207"/>
      <c r="U566" s="209"/>
      <c r="V566" s="207"/>
      <c r="W566" s="207"/>
      <c r="X566" s="209"/>
      <c r="Y566" s="209"/>
      <c r="Z566" s="207" t="str">
        <f t="shared" ca="1" si="83"/>
        <v/>
      </c>
      <c r="AA566" s="209" t="str">
        <f t="shared" si="87"/>
        <v/>
      </c>
      <c r="AB566" s="209"/>
      <c r="AC566" s="207" t="str">
        <f t="shared" ca="1" si="84"/>
        <v/>
      </c>
      <c r="AD566" s="207"/>
      <c r="AE566" s="207"/>
      <c r="AF566" s="208" t="str">
        <f>IF(ISBLANK(D566),"",VLOOKUP(F566,'SIZE CALCULATION'!$F:$G,2,0))</f>
        <v/>
      </c>
      <c r="AG566" s="207" t="str">
        <f t="shared" si="89"/>
        <v/>
      </c>
      <c r="AH566" s="207" t="str">
        <f t="shared" si="85"/>
        <v/>
      </c>
      <c r="AI566" s="210" t="str">
        <f>IF(ISBLANK(D566),"",VLOOKUP($A566,INDEX!$D$2:$F$13,3,0))</f>
        <v/>
      </c>
      <c r="AJ566" s="207" t="str">
        <f t="shared" si="86"/>
        <v/>
      </c>
      <c r="AK566" s="207"/>
      <c r="AL566" s="207"/>
      <c r="AM566" s="207" t="str">
        <f>IFERROR(IF(ISBLANK($D566),"",VLOOKUP($N566,'TABLE CHARGE RATE'!$A$30:$K$106,5,0)),"Check")</f>
        <v/>
      </c>
      <c r="AN566" s="207" t="str">
        <f>IFERROR(IF(ISBLANK($D566),"",VLOOKUP($N566,'TABLE CHARGE RATE'!$A$30:$K$106,6,0)),"Check")</f>
        <v/>
      </c>
      <c r="AO566" s="207" t="str">
        <f>IFERROR(IF(ISBLANK($D566),"",VLOOKUP($N566,'TABLE CHARGE RATE'!$A$30:$K$106,7,0)),"Check")</f>
        <v/>
      </c>
      <c r="AP566" s="207" t="str">
        <f>IFERROR(IF(ISBLANK($D566),"",VLOOKUP($N566,'TABLE CHARGE RATE'!$A$30:$K$106,8,0)),"Check")</f>
        <v/>
      </c>
      <c r="AQ566" s="207" t="str">
        <f>IFERROR(IF(ISBLANK($D566),"",VLOOKUP($N566,'TABLE CHARGE RATE'!$A$30:$K$106,9,0)),"Check")</f>
        <v/>
      </c>
      <c r="AR566" s="207" t="str">
        <f>IFERROR(IF(ISBLANK($D566),"",VLOOKUP($N566,'TABLE CHARGE RATE'!$A$30:$K$106,10,0)),"Check")</f>
        <v/>
      </c>
      <c r="AS566" s="207" t="str">
        <f>IFERROR(IF(ISBLANK($D566),"",VLOOKUP($N566,'TABLE CHARGE RATE'!$A$30:$K$106,11,0)),"Check")</f>
        <v/>
      </c>
      <c r="AT566" s="207"/>
    </row>
    <row r="567" spans="1:46" x14ac:dyDescent="0.2">
      <c r="A567" s="207" t="str">
        <f t="shared" si="88"/>
        <v/>
      </c>
      <c r="B567" s="208" t="str">
        <f>IF(ISBLANK(D567),"",VLOOKUP(WEEKDAY($C567,1),INDEX!$J$2:$K$8,2,0))</f>
        <v/>
      </c>
      <c r="C567" s="209"/>
      <c r="D567" s="207"/>
      <c r="E567" s="207"/>
      <c r="F567" s="207"/>
      <c r="G567" s="207"/>
      <c r="H567" s="207"/>
      <c r="I567" s="207"/>
      <c r="J567" s="207"/>
      <c r="K567" s="207"/>
      <c r="L567" s="207"/>
      <c r="M567" s="207"/>
      <c r="N567" s="207"/>
      <c r="O567" s="207"/>
      <c r="P567" s="207"/>
      <c r="Q567" s="207"/>
      <c r="R567" s="207"/>
      <c r="S567" s="207"/>
      <c r="T567" s="207"/>
      <c r="U567" s="209"/>
      <c r="V567" s="207"/>
      <c r="W567" s="207"/>
      <c r="X567" s="209"/>
      <c r="Y567" s="209"/>
      <c r="Z567" s="207" t="str">
        <f t="shared" ca="1" si="83"/>
        <v/>
      </c>
      <c r="AA567" s="209" t="str">
        <f t="shared" si="87"/>
        <v/>
      </c>
      <c r="AB567" s="209"/>
      <c r="AC567" s="207" t="str">
        <f t="shared" ca="1" si="84"/>
        <v/>
      </c>
      <c r="AD567" s="207"/>
      <c r="AE567" s="207"/>
      <c r="AF567" s="208" t="str">
        <f>IF(ISBLANK(D567),"",VLOOKUP(F567,'SIZE CALCULATION'!$F:$G,2,0))</f>
        <v/>
      </c>
      <c r="AG567" s="207" t="str">
        <f t="shared" si="89"/>
        <v/>
      </c>
      <c r="AH567" s="207" t="str">
        <f t="shared" si="85"/>
        <v/>
      </c>
      <c r="AI567" s="210" t="str">
        <f>IF(ISBLANK(D567),"",VLOOKUP($A567,INDEX!$D$2:$F$13,3,0))</f>
        <v/>
      </c>
      <c r="AJ567" s="207" t="str">
        <f t="shared" si="86"/>
        <v/>
      </c>
      <c r="AK567" s="207"/>
      <c r="AL567" s="207"/>
      <c r="AM567" s="207" t="str">
        <f>IFERROR(IF(ISBLANK($D567),"",VLOOKUP($N567,'TABLE CHARGE RATE'!$A$30:$K$106,5,0)),"Check")</f>
        <v/>
      </c>
      <c r="AN567" s="207" t="str">
        <f>IFERROR(IF(ISBLANK($D567),"",VLOOKUP($N567,'TABLE CHARGE RATE'!$A$30:$K$106,6,0)),"Check")</f>
        <v/>
      </c>
      <c r="AO567" s="207" t="str">
        <f>IFERROR(IF(ISBLANK($D567),"",VLOOKUP($N567,'TABLE CHARGE RATE'!$A$30:$K$106,7,0)),"Check")</f>
        <v/>
      </c>
      <c r="AP567" s="207" t="str">
        <f>IFERROR(IF(ISBLANK($D567),"",VLOOKUP($N567,'TABLE CHARGE RATE'!$A$30:$K$106,8,0)),"Check")</f>
        <v/>
      </c>
      <c r="AQ567" s="207" t="str">
        <f>IFERROR(IF(ISBLANK($D567),"",VLOOKUP($N567,'TABLE CHARGE RATE'!$A$30:$K$106,9,0)),"Check")</f>
        <v/>
      </c>
      <c r="AR567" s="207" t="str">
        <f>IFERROR(IF(ISBLANK($D567),"",VLOOKUP($N567,'TABLE CHARGE RATE'!$A$30:$K$106,10,0)),"Check")</f>
        <v/>
      </c>
      <c r="AS567" s="207" t="str">
        <f>IFERROR(IF(ISBLANK($D567),"",VLOOKUP($N567,'TABLE CHARGE RATE'!$A$30:$K$106,11,0)),"Check")</f>
        <v/>
      </c>
      <c r="AT567" s="207"/>
    </row>
    <row r="568" spans="1:46" x14ac:dyDescent="0.2">
      <c r="A568" s="207" t="str">
        <f t="shared" si="88"/>
        <v/>
      </c>
      <c r="B568" s="208" t="str">
        <f>IF(ISBLANK(D568),"",VLOOKUP(WEEKDAY($C568,1),INDEX!$J$2:$K$8,2,0))</f>
        <v/>
      </c>
      <c r="C568" s="209"/>
      <c r="D568" s="207"/>
      <c r="E568" s="207"/>
      <c r="F568" s="207"/>
      <c r="G568" s="207"/>
      <c r="H568" s="207"/>
      <c r="I568" s="207"/>
      <c r="J568" s="207"/>
      <c r="K568" s="207"/>
      <c r="L568" s="207"/>
      <c r="M568" s="207"/>
      <c r="N568" s="207"/>
      <c r="O568" s="207"/>
      <c r="P568" s="207"/>
      <c r="Q568" s="207"/>
      <c r="R568" s="207"/>
      <c r="S568" s="207"/>
      <c r="T568" s="207"/>
      <c r="U568" s="209"/>
      <c r="V568" s="207"/>
      <c r="W568" s="207"/>
      <c r="X568" s="209"/>
      <c r="Y568" s="209"/>
      <c r="Z568" s="207" t="str">
        <f t="shared" ca="1" si="83"/>
        <v/>
      </c>
      <c r="AA568" s="209" t="str">
        <f t="shared" si="87"/>
        <v/>
      </c>
      <c r="AB568" s="209"/>
      <c r="AC568" s="207" t="str">
        <f t="shared" ca="1" si="84"/>
        <v/>
      </c>
      <c r="AD568" s="207"/>
      <c r="AE568" s="207"/>
      <c r="AF568" s="208" t="str">
        <f>IF(ISBLANK(D568),"",VLOOKUP(F568,'SIZE CALCULATION'!$F:$G,2,0))</f>
        <v/>
      </c>
      <c r="AG568" s="207" t="str">
        <f t="shared" si="89"/>
        <v/>
      </c>
      <c r="AH568" s="207" t="str">
        <f t="shared" si="85"/>
        <v/>
      </c>
      <c r="AI568" s="210" t="str">
        <f>IF(ISBLANK(D568),"",VLOOKUP($A568,INDEX!$D$2:$F$13,3,0))</f>
        <v/>
      </c>
      <c r="AJ568" s="207" t="str">
        <f t="shared" si="86"/>
        <v/>
      </c>
      <c r="AK568" s="207"/>
      <c r="AL568" s="207"/>
      <c r="AM568" s="207" t="str">
        <f>IFERROR(IF(ISBLANK($D568),"",VLOOKUP($N568,'TABLE CHARGE RATE'!$A$30:$K$106,5,0)),"Check")</f>
        <v/>
      </c>
      <c r="AN568" s="207" t="str">
        <f>IFERROR(IF(ISBLANK($D568),"",VLOOKUP($N568,'TABLE CHARGE RATE'!$A$30:$K$106,6,0)),"Check")</f>
        <v/>
      </c>
      <c r="AO568" s="207" t="str">
        <f>IFERROR(IF(ISBLANK($D568),"",VLOOKUP($N568,'TABLE CHARGE RATE'!$A$30:$K$106,7,0)),"Check")</f>
        <v/>
      </c>
      <c r="AP568" s="207" t="str">
        <f>IFERROR(IF(ISBLANK($D568),"",VLOOKUP($N568,'TABLE CHARGE RATE'!$A$30:$K$106,8,0)),"Check")</f>
        <v/>
      </c>
      <c r="AQ568" s="207" t="str">
        <f>IFERROR(IF(ISBLANK($D568),"",VLOOKUP($N568,'TABLE CHARGE RATE'!$A$30:$K$106,9,0)),"Check")</f>
        <v/>
      </c>
      <c r="AR568" s="207" t="str">
        <f>IFERROR(IF(ISBLANK($D568),"",VLOOKUP($N568,'TABLE CHARGE RATE'!$A$30:$K$106,10,0)),"Check")</f>
        <v/>
      </c>
      <c r="AS568" s="207" t="str">
        <f>IFERROR(IF(ISBLANK($D568),"",VLOOKUP($N568,'TABLE CHARGE RATE'!$A$30:$K$106,11,0)),"Check")</f>
        <v/>
      </c>
      <c r="AT568" s="207"/>
    </row>
    <row r="569" spans="1:46" x14ac:dyDescent="0.2">
      <c r="A569" s="207" t="str">
        <f t="shared" si="88"/>
        <v/>
      </c>
      <c r="B569" s="208" t="str">
        <f>IF(ISBLANK(D569),"",VLOOKUP(WEEKDAY($C569,1),INDEX!$J$2:$K$8,2,0))</f>
        <v/>
      </c>
      <c r="C569" s="209"/>
      <c r="D569" s="207"/>
      <c r="E569" s="207"/>
      <c r="F569" s="207"/>
      <c r="G569" s="207"/>
      <c r="H569" s="207"/>
      <c r="I569" s="207"/>
      <c r="J569" s="207"/>
      <c r="K569" s="207"/>
      <c r="L569" s="207"/>
      <c r="M569" s="207"/>
      <c r="N569" s="207"/>
      <c r="O569" s="207"/>
      <c r="P569" s="207"/>
      <c r="Q569" s="207"/>
      <c r="R569" s="207"/>
      <c r="S569" s="207"/>
      <c r="T569" s="207"/>
      <c r="U569" s="209"/>
      <c r="V569" s="207"/>
      <c r="W569" s="207"/>
      <c r="X569" s="209"/>
      <c r="Y569" s="209"/>
      <c r="Z569" s="207" t="str">
        <f t="shared" ca="1" si="83"/>
        <v/>
      </c>
      <c r="AA569" s="209" t="str">
        <f t="shared" si="87"/>
        <v/>
      </c>
      <c r="AB569" s="209"/>
      <c r="AC569" s="207" t="str">
        <f t="shared" ca="1" si="84"/>
        <v/>
      </c>
      <c r="AD569" s="207"/>
      <c r="AE569" s="207"/>
      <c r="AF569" s="208" t="str">
        <f>IF(ISBLANK(D569),"",VLOOKUP(F569,'SIZE CALCULATION'!$F:$G,2,0))</f>
        <v/>
      </c>
      <c r="AG569" s="207" t="str">
        <f t="shared" si="89"/>
        <v/>
      </c>
      <c r="AH569" s="207" t="str">
        <f t="shared" si="85"/>
        <v/>
      </c>
      <c r="AI569" s="210" t="str">
        <f>IF(ISBLANK(D569),"",VLOOKUP($A569,INDEX!$D$2:$F$13,3,0))</f>
        <v/>
      </c>
      <c r="AJ569" s="207" t="str">
        <f t="shared" si="86"/>
        <v/>
      </c>
      <c r="AK569" s="207"/>
      <c r="AL569" s="207"/>
      <c r="AM569" s="207" t="str">
        <f>IFERROR(IF(ISBLANK($D569),"",VLOOKUP($N569,'TABLE CHARGE RATE'!$A$30:$K$106,5,0)),"Check")</f>
        <v/>
      </c>
      <c r="AN569" s="207" t="str">
        <f>IFERROR(IF(ISBLANK($D569),"",VLOOKUP($N569,'TABLE CHARGE RATE'!$A$30:$K$106,6,0)),"Check")</f>
        <v/>
      </c>
      <c r="AO569" s="207" t="str">
        <f>IFERROR(IF(ISBLANK($D569),"",VLOOKUP($N569,'TABLE CHARGE RATE'!$A$30:$K$106,7,0)),"Check")</f>
        <v/>
      </c>
      <c r="AP569" s="207" t="str">
        <f>IFERROR(IF(ISBLANK($D569),"",VLOOKUP($N569,'TABLE CHARGE RATE'!$A$30:$K$106,8,0)),"Check")</f>
        <v/>
      </c>
      <c r="AQ569" s="207" t="str">
        <f>IFERROR(IF(ISBLANK($D569),"",VLOOKUP($N569,'TABLE CHARGE RATE'!$A$30:$K$106,9,0)),"Check")</f>
        <v/>
      </c>
      <c r="AR569" s="207" t="str">
        <f>IFERROR(IF(ISBLANK($D569),"",VLOOKUP($N569,'TABLE CHARGE RATE'!$A$30:$K$106,10,0)),"Check")</f>
        <v/>
      </c>
      <c r="AS569" s="207" t="str">
        <f>IFERROR(IF(ISBLANK($D569),"",VLOOKUP($N569,'TABLE CHARGE RATE'!$A$30:$K$106,11,0)),"Check")</f>
        <v/>
      </c>
      <c r="AT569" s="207"/>
    </row>
    <row r="570" spans="1:46" x14ac:dyDescent="0.2">
      <c r="A570" s="207" t="str">
        <f t="shared" si="88"/>
        <v/>
      </c>
      <c r="B570" s="208" t="str">
        <f>IF(ISBLANK(D570),"",VLOOKUP(WEEKDAY($C570,1),INDEX!$J$2:$K$8,2,0))</f>
        <v/>
      </c>
      <c r="C570" s="209"/>
      <c r="D570" s="207"/>
      <c r="E570" s="207"/>
      <c r="F570" s="207"/>
      <c r="G570" s="207"/>
      <c r="H570" s="207"/>
      <c r="I570" s="207"/>
      <c r="J570" s="207"/>
      <c r="K570" s="207"/>
      <c r="L570" s="207"/>
      <c r="M570" s="207"/>
      <c r="N570" s="207"/>
      <c r="O570" s="207"/>
      <c r="P570" s="207"/>
      <c r="Q570" s="207"/>
      <c r="R570" s="207"/>
      <c r="S570" s="207"/>
      <c r="T570" s="207"/>
      <c r="U570" s="209"/>
      <c r="V570" s="207"/>
      <c r="W570" s="207"/>
      <c r="X570" s="209"/>
      <c r="Y570" s="209"/>
      <c r="Z570" s="207" t="str">
        <f t="shared" ca="1" si="83"/>
        <v/>
      </c>
      <c r="AA570" s="209" t="str">
        <f t="shared" si="87"/>
        <v/>
      </c>
      <c r="AB570" s="209"/>
      <c r="AC570" s="207" t="str">
        <f t="shared" ca="1" si="84"/>
        <v/>
      </c>
      <c r="AD570" s="207"/>
      <c r="AE570" s="207"/>
      <c r="AF570" s="208" t="str">
        <f>IF(ISBLANK(D570),"",VLOOKUP(F570,'SIZE CALCULATION'!$F:$G,2,0))</f>
        <v/>
      </c>
      <c r="AG570" s="207" t="str">
        <f t="shared" si="89"/>
        <v/>
      </c>
      <c r="AH570" s="207" t="str">
        <f t="shared" si="85"/>
        <v/>
      </c>
      <c r="AI570" s="210" t="str">
        <f>IF(ISBLANK(D570),"",VLOOKUP($A570,INDEX!$D$2:$F$13,3,0))</f>
        <v/>
      </c>
      <c r="AJ570" s="207" t="str">
        <f t="shared" si="86"/>
        <v/>
      </c>
      <c r="AK570" s="207"/>
      <c r="AL570" s="207"/>
      <c r="AM570" s="207" t="str">
        <f>IFERROR(IF(ISBLANK($D570),"",VLOOKUP($N570,'TABLE CHARGE RATE'!$A$30:$K$106,5,0)),"Check")</f>
        <v/>
      </c>
      <c r="AN570" s="207" t="str">
        <f>IFERROR(IF(ISBLANK($D570),"",VLOOKUP($N570,'TABLE CHARGE RATE'!$A$30:$K$106,6,0)),"Check")</f>
        <v/>
      </c>
      <c r="AO570" s="207" t="str">
        <f>IFERROR(IF(ISBLANK($D570),"",VLOOKUP($N570,'TABLE CHARGE RATE'!$A$30:$K$106,7,0)),"Check")</f>
        <v/>
      </c>
      <c r="AP570" s="207" t="str">
        <f>IFERROR(IF(ISBLANK($D570),"",VLOOKUP($N570,'TABLE CHARGE RATE'!$A$30:$K$106,8,0)),"Check")</f>
        <v/>
      </c>
      <c r="AQ570" s="207" t="str">
        <f>IFERROR(IF(ISBLANK($D570),"",VLOOKUP($N570,'TABLE CHARGE RATE'!$A$30:$K$106,9,0)),"Check")</f>
        <v/>
      </c>
      <c r="AR570" s="207" t="str">
        <f>IFERROR(IF(ISBLANK($D570),"",VLOOKUP($N570,'TABLE CHARGE RATE'!$A$30:$K$106,10,0)),"Check")</f>
        <v/>
      </c>
      <c r="AS570" s="207" t="str">
        <f>IFERROR(IF(ISBLANK($D570),"",VLOOKUP($N570,'TABLE CHARGE RATE'!$A$30:$K$106,11,0)),"Check")</f>
        <v/>
      </c>
      <c r="AT570" s="207"/>
    </row>
    <row r="571" spans="1:46" x14ac:dyDescent="0.2">
      <c r="A571" s="207" t="str">
        <f t="shared" si="88"/>
        <v/>
      </c>
      <c r="B571" s="208" t="str">
        <f>IF(ISBLANK(D571),"",VLOOKUP(WEEKDAY($C571,1),INDEX!$J$2:$K$8,2,0))</f>
        <v/>
      </c>
      <c r="C571" s="209"/>
      <c r="D571" s="207"/>
      <c r="E571" s="207"/>
      <c r="F571" s="207"/>
      <c r="G571" s="207"/>
      <c r="H571" s="207"/>
      <c r="I571" s="207"/>
      <c r="J571" s="207"/>
      <c r="K571" s="207"/>
      <c r="L571" s="207"/>
      <c r="M571" s="207"/>
      <c r="N571" s="207"/>
      <c r="O571" s="207"/>
      <c r="P571" s="207"/>
      <c r="Q571" s="207"/>
      <c r="R571" s="207"/>
      <c r="S571" s="207"/>
      <c r="T571" s="207"/>
      <c r="U571" s="209"/>
      <c r="V571" s="207"/>
      <c r="W571" s="207"/>
      <c r="X571" s="209"/>
      <c r="Y571" s="209"/>
      <c r="Z571" s="207" t="str">
        <f t="shared" ca="1" si="83"/>
        <v/>
      </c>
      <c r="AA571" s="209" t="str">
        <f t="shared" si="87"/>
        <v/>
      </c>
      <c r="AB571" s="209"/>
      <c r="AC571" s="207" t="str">
        <f t="shared" ca="1" si="84"/>
        <v/>
      </c>
      <c r="AD571" s="207"/>
      <c r="AE571" s="207"/>
      <c r="AF571" s="208" t="str">
        <f>IF(ISBLANK(D571),"",VLOOKUP(F571,'SIZE CALCULATION'!$F:$G,2,0))</f>
        <v/>
      </c>
      <c r="AG571" s="207" t="str">
        <f t="shared" si="89"/>
        <v/>
      </c>
      <c r="AH571" s="207" t="str">
        <f t="shared" si="85"/>
        <v/>
      </c>
      <c r="AI571" s="210" t="str">
        <f>IF(ISBLANK(D571),"",VLOOKUP($A571,INDEX!$D$2:$F$13,3,0))</f>
        <v/>
      </c>
      <c r="AJ571" s="207" t="str">
        <f t="shared" si="86"/>
        <v/>
      </c>
      <c r="AK571" s="207"/>
      <c r="AL571" s="207"/>
      <c r="AM571" s="207" t="str">
        <f>IFERROR(IF(ISBLANK($D571),"",VLOOKUP($N571,'TABLE CHARGE RATE'!$A$30:$K$106,5,0)),"Check")</f>
        <v/>
      </c>
      <c r="AN571" s="207" t="str">
        <f>IFERROR(IF(ISBLANK($D571),"",VLOOKUP($N571,'TABLE CHARGE RATE'!$A$30:$K$106,6,0)),"Check")</f>
        <v/>
      </c>
      <c r="AO571" s="207" t="str">
        <f>IFERROR(IF(ISBLANK($D571),"",VLOOKUP($N571,'TABLE CHARGE RATE'!$A$30:$K$106,7,0)),"Check")</f>
        <v/>
      </c>
      <c r="AP571" s="207" t="str">
        <f>IFERROR(IF(ISBLANK($D571),"",VLOOKUP($N571,'TABLE CHARGE RATE'!$A$30:$K$106,8,0)),"Check")</f>
        <v/>
      </c>
      <c r="AQ571" s="207" t="str">
        <f>IFERROR(IF(ISBLANK($D571),"",VLOOKUP($N571,'TABLE CHARGE RATE'!$A$30:$K$106,9,0)),"Check")</f>
        <v/>
      </c>
      <c r="AR571" s="207" t="str">
        <f>IFERROR(IF(ISBLANK($D571),"",VLOOKUP($N571,'TABLE CHARGE RATE'!$A$30:$K$106,10,0)),"Check")</f>
        <v/>
      </c>
      <c r="AS571" s="207" t="str">
        <f>IFERROR(IF(ISBLANK($D571),"",VLOOKUP($N571,'TABLE CHARGE RATE'!$A$30:$K$106,11,0)),"Check")</f>
        <v/>
      </c>
      <c r="AT571" s="207"/>
    </row>
    <row r="572" spans="1:46" x14ac:dyDescent="0.2">
      <c r="A572" s="207" t="str">
        <f t="shared" si="88"/>
        <v/>
      </c>
      <c r="B572" s="208" t="str">
        <f>IF(ISBLANK(D572),"",VLOOKUP(WEEKDAY($C572,1),INDEX!$J$2:$K$8,2,0))</f>
        <v/>
      </c>
      <c r="C572" s="209"/>
      <c r="D572" s="207"/>
      <c r="E572" s="207"/>
      <c r="F572" s="207"/>
      <c r="G572" s="207"/>
      <c r="H572" s="207"/>
      <c r="I572" s="207"/>
      <c r="J572" s="207"/>
      <c r="K572" s="207"/>
      <c r="L572" s="207"/>
      <c r="M572" s="207"/>
      <c r="N572" s="207"/>
      <c r="O572" s="207"/>
      <c r="P572" s="207"/>
      <c r="Q572" s="207"/>
      <c r="R572" s="207"/>
      <c r="S572" s="207"/>
      <c r="T572" s="207"/>
      <c r="U572" s="209"/>
      <c r="V572" s="207"/>
      <c r="W572" s="207"/>
      <c r="X572" s="209"/>
      <c r="Y572" s="209"/>
      <c r="Z572" s="207" t="str">
        <f t="shared" ca="1" si="83"/>
        <v/>
      </c>
      <c r="AA572" s="209" t="str">
        <f t="shared" si="87"/>
        <v/>
      </c>
      <c r="AB572" s="209"/>
      <c r="AC572" s="207" t="str">
        <f t="shared" ca="1" si="84"/>
        <v/>
      </c>
      <c r="AD572" s="207"/>
      <c r="AE572" s="207"/>
      <c r="AF572" s="208" t="str">
        <f>IF(ISBLANK(D572),"",VLOOKUP(F572,'SIZE CALCULATION'!$F:$G,2,0))</f>
        <v/>
      </c>
      <c r="AG572" s="207" t="str">
        <f t="shared" si="89"/>
        <v/>
      </c>
      <c r="AH572" s="207" t="str">
        <f t="shared" si="85"/>
        <v/>
      </c>
      <c r="AI572" s="210" t="str">
        <f>IF(ISBLANK(D572),"",VLOOKUP($A572,INDEX!$D$2:$F$13,3,0))</f>
        <v/>
      </c>
      <c r="AJ572" s="207" t="str">
        <f t="shared" si="86"/>
        <v/>
      </c>
      <c r="AK572" s="207"/>
      <c r="AL572" s="207"/>
      <c r="AM572" s="207" t="str">
        <f>IFERROR(IF(ISBLANK($D572),"",VLOOKUP($N572,'TABLE CHARGE RATE'!$A$30:$K$106,5,0)),"Check")</f>
        <v/>
      </c>
      <c r="AN572" s="207" t="str">
        <f>IFERROR(IF(ISBLANK($D572),"",VLOOKUP($N572,'TABLE CHARGE RATE'!$A$30:$K$106,6,0)),"Check")</f>
        <v/>
      </c>
      <c r="AO572" s="207" t="str">
        <f>IFERROR(IF(ISBLANK($D572),"",VLOOKUP($N572,'TABLE CHARGE RATE'!$A$30:$K$106,7,0)),"Check")</f>
        <v/>
      </c>
      <c r="AP572" s="207" t="str">
        <f>IFERROR(IF(ISBLANK($D572),"",VLOOKUP($N572,'TABLE CHARGE RATE'!$A$30:$K$106,8,0)),"Check")</f>
        <v/>
      </c>
      <c r="AQ572" s="207" t="str">
        <f>IFERROR(IF(ISBLANK($D572),"",VLOOKUP($N572,'TABLE CHARGE RATE'!$A$30:$K$106,9,0)),"Check")</f>
        <v/>
      </c>
      <c r="AR572" s="207" t="str">
        <f>IFERROR(IF(ISBLANK($D572),"",VLOOKUP($N572,'TABLE CHARGE RATE'!$A$30:$K$106,10,0)),"Check")</f>
        <v/>
      </c>
      <c r="AS572" s="207" t="str">
        <f>IFERROR(IF(ISBLANK($D572),"",VLOOKUP($N572,'TABLE CHARGE RATE'!$A$30:$K$106,11,0)),"Check")</f>
        <v/>
      </c>
      <c r="AT572" s="207"/>
    </row>
    <row r="573" spans="1:46" x14ac:dyDescent="0.2">
      <c r="A573" s="207" t="str">
        <f t="shared" si="88"/>
        <v/>
      </c>
      <c r="B573" s="208" t="str">
        <f>IF(ISBLANK(D573),"",VLOOKUP(WEEKDAY($C573,1),INDEX!$J$2:$K$8,2,0))</f>
        <v/>
      </c>
      <c r="C573" s="209"/>
      <c r="D573" s="207"/>
      <c r="E573" s="207"/>
      <c r="F573" s="207"/>
      <c r="G573" s="207"/>
      <c r="H573" s="207"/>
      <c r="I573" s="207"/>
      <c r="J573" s="207"/>
      <c r="K573" s="207"/>
      <c r="L573" s="207"/>
      <c r="M573" s="207"/>
      <c r="N573" s="207"/>
      <c r="O573" s="207"/>
      <c r="P573" s="207"/>
      <c r="Q573" s="207"/>
      <c r="R573" s="207"/>
      <c r="S573" s="207"/>
      <c r="T573" s="207"/>
      <c r="U573" s="209"/>
      <c r="V573" s="207"/>
      <c r="W573" s="207"/>
      <c r="X573" s="209"/>
      <c r="Y573" s="209"/>
      <c r="Z573" s="207" t="str">
        <f t="shared" ca="1" si="83"/>
        <v/>
      </c>
      <c r="AA573" s="209" t="str">
        <f t="shared" si="87"/>
        <v/>
      </c>
      <c r="AB573" s="209"/>
      <c r="AC573" s="207" t="str">
        <f t="shared" ca="1" si="84"/>
        <v/>
      </c>
      <c r="AD573" s="207"/>
      <c r="AE573" s="207"/>
      <c r="AF573" s="208" t="str">
        <f>IF(ISBLANK(D573),"",VLOOKUP(F573,'SIZE CALCULATION'!$F:$G,2,0))</f>
        <v/>
      </c>
      <c r="AG573" s="207" t="str">
        <f t="shared" si="89"/>
        <v/>
      </c>
      <c r="AH573" s="207" t="str">
        <f t="shared" si="85"/>
        <v/>
      </c>
      <c r="AI573" s="210" t="str">
        <f>IF(ISBLANK(D573),"",VLOOKUP($A573,INDEX!$D$2:$F$13,3,0))</f>
        <v/>
      </c>
      <c r="AJ573" s="207" t="str">
        <f t="shared" si="86"/>
        <v/>
      </c>
      <c r="AK573" s="207"/>
      <c r="AL573" s="207"/>
      <c r="AM573" s="207" t="str">
        <f>IFERROR(IF(ISBLANK($D573),"",VLOOKUP($N573,'TABLE CHARGE RATE'!$A$30:$K$106,5,0)),"Check")</f>
        <v/>
      </c>
      <c r="AN573" s="207" t="str">
        <f>IFERROR(IF(ISBLANK($D573),"",VLOOKUP($N573,'TABLE CHARGE RATE'!$A$30:$K$106,6,0)),"Check")</f>
        <v/>
      </c>
      <c r="AO573" s="207" t="str">
        <f>IFERROR(IF(ISBLANK($D573),"",VLOOKUP($N573,'TABLE CHARGE RATE'!$A$30:$K$106,7,0)),"Check")</f>
        <v/>
      </c>
      <c r="AP573" s="207" t="str">
        <f>IFERROR(IF(ISBLANK($D573),"",VLOOKUP($N573,'TABLE CHARGE RATE'!$A$30:$K$106,8,0)),"Check")</f>
        <v/>
      </c>
      <c r="AQ573" s="207" t="str">
        <f>IFERROR(IF(ISBLANK($D573),"",VLOOKUP($N573,'TABLE CHARGE RATE'!$A$30:$K$106,9,0)),"Check")</f>
        <v/>
      </c>
      <c r="AR573" s="207" t="str">
        <f>IFERROR(IF(ISBLANK($D573),"",VLOOKUP($N573,'TABLE CHARGE RATE'!$A$30:$K$106,10,0)),"Check")</f>
        <v/>
      </c>
      <c r="AS573" s="207" t="str">
        <f>IFERROR(IF(ISBLANK($D573),"",VLOOKUP($N573,'TABLE CHARGE RATE'!$A$30:$K$106,11,0)),"Check")</f>
        <v/>
      </c>
      <c r="AT573" s="207"/>
    </row>
    <row r="574" spans="1:46" x14ac:dyDescent="0.2">
      <c r="A574" s="207" t="str">
        <f t="shared" si="88"/>
        <v/>
      </c>
      <c r="B574" s="208" t="str">
        <f>IF(ISBLANK(D574),"",VLOOKUP(WEEKDAY($C574,1),INDEX!$J$2:$K$8,2,0))</f>
        <v/>
      </c>
      <c r="C574" s="209"/>
      <c r="D574" s="207"/>
      <c r="E574" s="207"/>
      <c r="F574" s="207"/>
      <c r="G574" s="207"/>
      <c r="H574" s="207"/>
      <c r="I574" s="207"/>
      <c r="J574" s="207"/>
      <c r="K574" s="207"/>
      <c r="L574" s="207"/>
      <c r="M574" s="207"/>
      <c r="N574" s="207"/>
      <c r="O574" s="207"/>
      <c r="P574" s="207"/>
      <c r="Q574" s="207"/>
      <c r="R574" s="207"/>
      <c r="S574" s="207"/>
      <c r="T574" s="207"/>
      <c r="U574" s="209"/>
      <c r="V574" s="207"/>
      <c r="W574" s="207"/>
      <c r="X574" s="209"/>
      <c r="Y574" s="209"/>
      <c r="Z574" s="207" t="str">
        <f t="shared" ca="1" si="83"/>
        <v/>
      </c>
      <c r="AA574" s="209" t="str">
        <f t="shared" si="87"/>
        <v/>
      </c>
      <c r="AB574" s="209"/>
      <c r="AC574" s="207" t="str">
        <f t="shared" ca="1" si="84"/>
        <v/>
      </c>
      <c r="AD574" s="207"/>
      <c r="AE574" s="207"/>
      <c r="AF574" s="208" t="str">
        <f>IF(ISBLANK(D574),"",VLOOKUP(F574,'SIZE CALCULATION'!$F:$G,2,0))</f>
        <v/>
      </c>
      <c r="AG574" s="207" t="str">
        <f t="shared" si="89"/>
        <v/>
      </c>
      <c r="AH574" s="207" t="str">
        <f t="shared" si="85"/>
        <v/>
      </c>
      <c r="AI574" s="210" t="str">
        <f>IF(ISBLANK(D574),"",VLOOKUP($A574,INDEX!$D$2:$F$13,3,0))</f>
        <v/>
      </c>
      <c r="AJ574" s="207" t="str">
        <f t="shared" si="86"/>
        <v/>
      </c>
      <c r="AK574" s="207"/>
      <c r="AL574" s="207"/>
      <c r="AM574" s="207" t="str">
        <f>IFERROR(IF(ISBLANK($D574),"",VLOOKUP($N574,'TABLE CHARGE RATE'!$A$30:$K$106,5,0)),"Check")</f>
        <v/>
      </c>
      <c r="AN574" s="207" t="str">
        <f>IFERROR(IF(ISBLANK($D574),"",VLOOKUP($N574,'TABLE CHARGE RATE'!$A$30:$K$106,6,0)),"Check")</f>
        <v/>
      </c>
      <c r="AO574" s="207" t="str">
        <f>IFERROR(IF(ISBLANK($D574),"",VLOOKUP($N574,'TABLE CHARGE RATE'!$A$30:$K$106,7,0)),"Check")</f>
        <v/>
      </c>
      <c r="AP574" s="207" t="str">
        <f>IFERROR(IF(ISBLANK($D574),"",VLOOKUP($N574,'TABLE CHARGE RATE'!$A$30:$K$106,8,0)),"Check")</f>
        <v/>
      </c>
      <c r="AQ574" s="207" t="str">
        <f>IFERROR(IF(ISBLANK($D574),"",VLOOKUP($N574,'TABLE CHARGE RATE'!$A$30:$K$106,9,0)),"Check")</f>
        <v/>
      </c>
      <c r="AR574" s="207" t="str">
        <f>IFERROR(IF(ISBLANK($D574),"",VLOOKUP($N574,'TABLE CHARGE RATE'!$A$30:$K$106,10,0)),"Check")</f>
        <v/>
      </c>
      <c r="AS574" s="207" t="str">
        <f>IFERROR(IF(ISBLANK($D574),"",VLOOKUP($N574,'TABLE CHARGE RATE'!$A$30:$K$106,11,0)),"Check")</f>
        <v/>
      </c>
      <c r="AT574" s="207"/>
    </row>
    <row r="575" spans="1:46" x14ac:dyDescent="0.2">
      <c r="A575" s="207" t="str">
        <f t="shared" si="88"/>
        <v/>
      </c>
      <c r="B575" s="208" t="str">
        <f>IF(ISBLANK(D575),"",VLOOKUP(WEEKDAY($C575,1),INDEX!$J$2:$K$8,2,0))</f>
        <v/>
      </c>
      <c r="C575" s="209"/>
      <c r="D575" s="207"/>
      <c r="E575" s="207"/>
      <c r="F575" s="207"/>
      <c r="G575" s="207"/>
      <c r="H575" s="207"/>
      <c r="I575" s="207"/>
      <c r="J575" s="207"/>
      <c r="K575" s="207"/>
      <c r="L575" s="207"/>
      <c r="M575" s="207"/>
      <c r="N575" s="207"/>
      <c r="O575" s="207"/>
      <c r="P575" s="207"/>
      <c r="Q575" s="207"/>
      <c r="R575" s="207"/>
      <c r="S575" s="207"/>
      <c r="T575" s="207"/>
      <c r="U575" s="209"/>
      <c r="V575" s="207"/>
      <c r="W575" s="207"/>
      <c r="X575" s="209"/>
      <c r="Y575" s="209"/>
      <c r="Z575" s="207" t="str">
        <f t="shared" ca="1" si="83"/>
        <v/>
      </c>
      <c r="AA575" s="209" t="str">
        <f t="shared" si="87"/>
        <v/>
      </c>
      <c r="AB575" s="209"/>
      <c r="AC575" s="207" t="str">
        <f t="shared" ca="1" si="84"/>
        <v/>
      </c>
      <c r="AD575" s="207"/>
      <c r="AE575" s="207"/>
      <c r="AF575" s="208" t="str">
        <f>IF(ISBLANK(D575),"",VLOOKUP(F575,'SIZE CALCULATION'!$F:$G,2,0))</f>
        <v/>
      </c>
      <c r="AG575" s="207" t="str">
        <f t="shared" si="89"/>
        <v/>
      </c>
      <c r="AH575" s="207" t="str">
        <f t="shared" si="85"/>
        <v/>
      </c>
      <c r="AI575" s="210" t="str">
        <f>IF(ISBLANK(D575),"",VLOOKUP($A575,INDEX!$D$2:$F$13,3,0))</f>
        <v/>
      </c>
      <c r="AJ575" s="207" t="str">
        <f t="shared" si="86"/>
        <v/>
      </c>
      <c r="AK575" s="207"/>
      <c r="AL575" s="207"/>
      <c r="AM575" s="207" t="str">
        <f>IFERROR(IF(ISBLANK($D575),"",VLOOKUP($N575,'TABLE CHARGE RATE'!$A$30:$K$106,5,0)),"Check")</f>
        <v/>
      </c>
      <c r="AN575" s="207" t="str">
        <f>IFERROR(IF(ISBLANK($D575),"",VLOOKUP($N575,'TABLE CHARGE RATE'!$A$30:$K$106,6,0)),"Check")</f>
        <v/>
      </c>
      <c r="AO575" s="207" t="str">
        <f>IFERROR(IF(ISBLANK($D575),"",VLOOKUP($N575,'TABLE CHARGE RATE'!$A$30:$K$106,7,0)),"Check")</f>
        <v/>
      </c>
      <c r="AP575" s="207" t="str">
        <f>IFERROR(IF(ISBLANK($D575),"",VLOOKUP($N575,'TABLE CHARGE RATE'!$A$30:$K$106,8,0)),"Check")</f>
        <v/>
      </c>
      <c r="AQ575" s="207" t="str">
        <f>IFERROR(IF(ISBLANK($D575),"",VLOOKUP($N575,'TABLE CHARGE RATE'!$A$30:$K$106,9,0)),"Check")</f>
        <v/>
      </c>
      <c r="AR575" s="207" t="str">
        <f>IFERROR(IF(ISBLANK($D575),"",VLOOKUP($N575,'TABLE CHARGE RATE'!$A$30:$K$106,10,0)),"Check")</f>
        <v/>
      </c>
      <c r="AS575" s="207" t="str">
        <f>IFERROR(IF(ISBLANK($D575),"",VLOOKUP($N575,'TABLE CHARGE RATE'!$A$30:$K$106,11,0)),"Check")</f>
        <v/>
      </c>
      <c r="AT575" s="207"/>
    </row>
    <row r="576" spans="1:46" x14ac:dyDescent="0.2">
      <c r="A576" s="207" t="str">
        <f t="shared" si="88"/>
        <v/>
      </c>
      <c r="B576" s="208" t="str">
        <f>IF(ISBLANK(D576),"",VLOOKUP(WEEKDAY($C576,1),INDEX!$J$2:$K$8,2,0))</f>
        <v/>
      </c>
      <c r="C576" s="209"/>
      <c r="D576" s="207"/>
      <c r="E576" s="207"/>
      <c r="F576" s="207"/>
      <c r="G576" s="207"/>
      <c r="H576" s="207"/>
      <c r="I576" s="207"/>
      <c r="J576" s="207"/>
      <c r="K576" s="207"/>
      <c r="L576" s="207"/>
      <c r="M576" s="207"/>
      <c r="N576" s="207"/>
      <c r="O576" s="207"/>
      <c r="P576" s="207"/>
      <c r="Q576" s="207"/>
      <c r="R576" s="207"/>
      <c r="S576" s="207"/>
      <c r="T576" s="207"/>
      <c r="U576" s="209"/>
      <c r="V576" s="207"/>
      <c r="W576" s="207"/>
      <c r="X576" s="209"/>
      <c r="Y576" s="209"/>
      <c r="Z576" s="207" t="str">
        <f t="shared" ca="1" si="83"/>
        <v/>
      </c>
      <c r="AA576" s="209" t="str">
        <f t="shared" si="87"/>
        <v/>
      </c>
      <c r="AB576" s="209"/>
      <c r="AC576" s="207" t="str">
        <f t="shared" ca="1" si="84"/>
        <v/>
      </c>
      <c r="AD576" s="207"/>
      <c r="AE576" s="207"/>
      <c r="AF576" s="208" t="str">
        <f>IF(ISBLANK(D576),"",VLOOKUP(F576,'SIZE CALCULATION'!$F:$G,2,0))</f>
        <v/>
      </c>
      <c r="AG576" s="207" t="str">
        <f t="shared" si="89"/>
        <v/>
      </c>
      <c r="AH576" s="207" t="str">
        <f t="shared" si="85"/>
        <v/>
      </c>
      <c r="AI576" s="210" t="str">
        <f>IF(ISBLANK(D576),"",VLOOKUP($A576,INDEX!$D$2:$F$13,3,0))</f>
        <v/>
      </c>
      <c r="AJ576" s="207" t="str">
        <f t="shared" si="86"/>
        <v/>
      </c>
      <c r="AK576" s="207"/>
      <c r="AL576" s="207"/>
      <c r="AM576" s="207" t="str">
        <f>IFERROR(IF(ISBLANK($D576),"",VLOOKUP($N576,'TABLE CHARGE RATE'!$A$30:$K$106,5,0)),"Check")</f>
        <v/>
      </c>
      <c r="AN576" s="207" t="str">
        <f>IFERROR(IF(ISBLANK($D576),"",VLOOKUP($N576,'TABLE CHARGE RATE'!$A$30:$K$106,6,0)),"Check")</f>
        <v/>
      </c>
      <c r="AO576" s="207" t="str">
        <f>IFERROR(IF(ISBLANK($D576),"",VLOOKUP($N576,'TABLE CHARGE RATE'!$A$30:$K$106,7,0)),"Check")</f>
        <v/>
      </c>
      <c r="AP576" s="207" t="str">
        <f>IFERROR(IF(ISBLANK($D576),"",VLOOKUP($N576,'TABLE CHARGE RATE'!$A$30:$K$106,8,0)),"Check")</f>
        <v/>
      </c>
      <c r="AQ576" s="207" t="str">
        <f>IFERROR(IF(ISBLANK($D576),"",VLOOKUP($N576,'TABLE CHARGE RATE'!$A$30:$K$106,9,0)),"Check")</f>
        <v/>
      </c>
      <c r="AR576" s="207" t="str">
        <f>IFERROR(IF(ISBLANK($D576),"",VLOOKUP($N576,'TABLE CHARGE RATE'!$A$30:$K$106,10,0)),"Check")</f>
        <v/>
      </c>
      <c r="AS576" s="207" t="str">
        <f>IFERROR(IF(ISBLANK($D576),"",VLOOKUP($N576,'TABLE CHARGE RATE'!$A$30:$K$106,11,0)),"Check")</f>
        <v/>
      </c>
      <c r="AT576" s="207"/>
    </row>
    <row r="577" spans="1:46" x14ac:dyDescent="0.2">
      <c r="A577" s="207" t="str">
        <f t="shared" si="88"/>
        <v/>
      </c>
      <c r="B577" s="208" t="str">
        <f>IF(ISBLANK(D577),"",VLOOKUP(WEEKDAY($C577,1),INDEX!$J$2:$K$8,2,0))</f>
        <v/>
      </c>
      <c r="C577" s="209"/>
      <c r="D577" s="207"/>
      <c r="E577" s="207"/>
      <c r="F577" s="207"/>
      <c r="G577" s="207"/>
      <c r="H577" s="207"/>
      <c r="I577" s="207"/>
      <c r="J577" s="207"/>
      <c r="K577" s="207"/>
      <c r="L577" s="207"/>
      <c r="M577" s="207"/>
      <c r="N577" s="207"/>
      <c r="O577" s="207"/>
      <c r="P577" s="207"/>
      <c r="Q577" s="207"/>
      <c r="R577" s="207"/>
      <c r="S577" s="207"/>
      <c r="T577" s="207"/>
      <c r="U577" s="209"/>
      <c r="V577" s="207"/>
      <c r="W577" s="207"/>
      <c r="X577" s="209"/>
      <c r="Y577" s="209"/>
      <c r="Z577" s="207" t="str">
        <f t="shared" ca="1" si="83"/>
        <v/>
      </c>
      <c r="AA577" s="209" t="str">
        <f t="shared" si="87"/>
        <v/>
      </c>
      <c r="AB577" s="209"/>
      <c r="AC577" s="207" t="str">
        <f t="shared" ca="1" si="84"/>
        <v/>
      </c>
      <c r="AD577" s="207"/>
      <c r="AE577" s="207"/>
      <c r="AF577" s="208" t="str">
        <f>IF(ISBLANK(D577),"",VLOOKUP(F577,'SIZE CALCULATION'!$F:$G,2,0))</f>
        <v/>
      </c>
      <c r="AG577" s="207" t="str">
        <f t="shared" si="89"/>
        <v/>
      </c>
      <c r="AH577" s="207" t="str">
        <f t="shared" si="85"/>
        <v/>
      </c>
      <c r="AI577" s="210" t="str">
        <f>IF(ISBLANK(D577),"",VLOOKUP($A577,INDEX!$D$2:$F$13,3,0))</f>
        <v/>
      </c>
      <c r="AJ577" s="207" t="str">
        <f t="shared" si="86"/>
        <v/>
      </c>
      <c r="AK577" s="207"/>
      <c r="AL577" s="207"/>
      <c r="AM577" s="207" t="str">
        <f>IFERROR(IF(ISBLANK($D577),"",VLOOKUP($N577,'TABLE CHARGE RATE'!$A$30:$K$106,5,0)),"Check")</f>
        <v/>
      </c>
      <c r="AN577" s="207" t="str">
        <f>IFERROR(IF(ISBLANK($D577),"",VLOOKUP($N577,'TABLE CHARGE RATE'!$A$30:$K$106,6,0)),"Check")</f>
        <v/>
      </c>
      <c r="AO577" s="207" t="str">
        <f>IFERROR(IF(ISBLANK($D577),"",VLOOKUP($N577,'TABLE CHARGE RATE'!$A$30:$K$106,7,0)),"Check")</f>
        <v/>
      </c>
      <c r="AP577" s="207" t="str">
        <f>IFERROR(IF(ISBLANK($D577),"",VLOOKUP($N577,'TABLE CHARGE RATE'!$A$30:$K$106,8,0)),"Check")</f>
        <v/>
      </c>
      <c r="AQ577" s="207" t="str">
        <f>IFERROR(IF(ISBLANK($D577),"",VLOOKUP($N577,'TABLE CHARGE RATE'!$A$30:$K$106,9,0)),"Check")</f>
        <v/>
      </c>
      <c r="AR577" s="207" t="str">
        <f>IFERROR(IF(ISBLANK($D577),"",VLOOKUP($N577,'TABLE CHARGE RATE'!$A$30:$K$106,10,0)),"Check")</f>
        <v/>
      </c>
      <c r="AS577" s="207" t="str">
        <f>IFERROR(IF(ISBLANK($D577),"",VLOOKUP($N577,'TABLE CHARGE RATE'!$A$30:$K$106,11,0)),"Check")</f>
        <v/>
      </c>
      <c r="AT577" s="207"/>
    </row>
    <row r="578" spans="1:46" x14ac:dyDescent="0.2">
      <c r="A578" s="207" t="str">
        <f t="shared" si="88"/>
        <v/>
      </c>
      <c r="B578" s="208" t="str">
        <f>IF(ISBLANK(D578),"",VLOOKUP(WEEKDAY($C578,1),INDEX!$J$2:$K$8,2,0))</f>
        <v/>
      </c>
      <c r="C578" s="209"/>
      <c r="D578" s="207"/>
      <c r="E578" s="207"/>
      <c r="F578" s="207"/>
      <c r="G578" s="207"/>
      <c r="H578" s="207"/>
      <c r="I578" s="207"/>
      <c r="J578" s="207"/>
      <c r="K578" s="207"/>
      <c r="L578" s="207"/>
      <c r="M578" s="207"/>
      <c r="N578" s="207"/>
      <c r="O578" s="207"/>
      <c r="P578" s="207"/>
      <c r="Q578" s="207"/>
      <c r="R578" s="207"/>
      <c r="S578" s="207"/>
      <c r="T578" s="207"/>
      <c r="U578" s="209"/>
      <c r="V578" s="207"/>
      <c r="W578" s="207"/>
      <c r="X578" s="209"/>
      <c r="Y578" s="209"/>
      <c r="Z578" s="207" t="str">
        <f t="shared" ca="1" si="83"/>
        <v/>
      </c>
      <c r="AA578" s="209" t="str">
        <f t="shared" si="87"/>
        <v/>
      </c>
      <c r="AB578" s="209"/>
      <c r="AC578" s="207" t="str">
        <f t="shared" ca="1" si="84"/>
        <v/>
      </c>
      <c r="AD578" s="207"/>
      <c r="AE578" s="207"/>
      <c r="AF578" s="208" t="str">
        <f>IF(ISBLANK(D578),"",VLOOKUP(F578,'SIZE CALCULATION'!$F:$G,2,0))</f>
        <v/>
      </c>
      <c r="AG578" s="207" t="str">
        <f t="shared" si="89"/>
        <v/>
      </c>
      <c r="AH578" s="207" t="str">
        <f t="shared" si="85"/>
        <v/>
      </c>
      <c r="AI578" s="210" t="str">
        <f>IF(ISBLANK(D578),"",VLOOKUP($A578,INDEX!$D$2:$F$13,3,0))</f>
        <v/>
      </c>
      <c r="AJ578" s="207" t="str">
        <f t="shared" si="86"/>
        <v/>
      </c>
      <c r="AK578" s="207"/>
      <c r="AL578" s="207"/>
      <c r="AM578" s="207" t="str">
        <f>IFERROR(IF(ISBLANK($D578),"",VLOOKUP($N578,'TABLE CHARGE RATE'!$A$30:$K$106,5,0)),"Check")</f>
        <v/>
      </c>
      <c r="AN578" s="207" t="str">
        <f>IFERROR(IF(ISBLANK($D578),"",VLOOKUP($N578,'TABLE CHARGE RATE'!$A$30:$K$106,6,0)),"Check")</f>
        <v/>
      </c>
      <c r="AO578" s="207" t="str">
        <f>IFERROR(IF(ISBLANK($D578),"",VLOOKUP($N578,'TABLE CHARGE RATE'!$A$30:$K$106,7,0)),"Check")</f>
        <v/>
      </c>
      <c r="AP578" s="207" t="str">
        <f>IFERROR(IF(ISBLANK($D578),"",VLOOKUP($N578,'TABLE CHARGE RATE'!$A$30:$K$106,8,0)),"Check")</f>
        <v/>
      </c>
      <c r="AQ578" s="207" t="str">
        <f>IFERROR(IF(ISBLANK($D578),"",VLOOKUP($N578,'TABLE CHARGE RATE'!$A$30:$K$106,9,0)),"Check")</f>
        <v/>
      </c>
      <c r="AR578" s="207" t="str">
        <f>IFERROR(IF(ISBLANK($D578),"",VLOOKUP($N578,'TABLE CHARGE RATE'!$A$30:$K$106,10,0)),"Check")</f>
        <v/>
      </c>
      <c r="AS578" s="207" t="str">
        <f>IFERROR(IF(ISBLANK($D578),"",VLOOKUP($N578,'TABLE CHARGE RATE'!$A$30:$K$106,11,0)),"Check")</f>
        <v/>
      </c>
      <c r="AT578" s="207"/>
    </row>
    <row r="579" spans="1:46" x14ac:dyDescent="0.2">
      <c r="A579" s="207" t="str">
        <f t="shared" si="88"/>
        <v/>
      </c>
      <c r="B579" s="208" t="str">
        <f>IF(ISBLANK(D579),"",VLOOKUP(WEEKDAY($C579,1),INDEX!$J$2:$K$8,2,0))</f>
        <v/>
      </c>
      <c r="C579" s="209"/>
      <c r="D579" s="207"/>
      <c r="E579" s="207"/>
      <c r="F579" s="207"/>
      <c r="G579" s="207"/>
      <c r="H579" s="207"/>
      <c r="I579" s="207"/>
      <c r="J579" s="207"/>
      <c r="K579" s="207"/>
      <c r="L579" s="207"/>
      <c r="M579" s="207"/>
      <c r="N579" s="207"/>
      <c r="O579" s="207"/>
      <c r="P579" s="207"/>
      <c r="Q579" s="207"/>
      <c r="R579" s="207"/>
      <c r="S579" s="207"/>
      <c r="T579" s="207"/>
      <c r="U579" s="209"/>
      <c r="V579" s="207"/>
      <c r="W579" s="207"/>
      <c r="X579" s="209"/>
      <c r="Y579" s="209"/>
      <c r="Z579" s="207" t="str">
        <f t="shared" ca="1" si="83"/>
        <v/>
      </c>
      <c r="AA579" s="209" t="str">
        <f t="shared" si="87"/>
        <v/>
      </c>
      <c r="AB579" s="209"/>
      <c r="AC579" s="207" t="str">
        <f t="shared" ca="1" si="84"/>
        <v/>
      </c>
      <c r="AD579" s="207"/>
      <c r="AE579" s="207"/>
      <c r="AF579" s="208" t="str">
        <f>IF(ISBLANK(D579),"",VLOOKUP(F579,'SIZE CALCULATION'!$F:$G,2,0))</f>
        <v/>
      </c>
      <c r="AG579" s="207" t="str">
        <f t="shared" si="89"/>
        <v/>
      </c>
      <c r="AH579" s="207" t="str">
        <f t="shared" si="85"/>
        <v/>
      </c>
      <c r="AI579" s="210" t="str">
        <f>IF(ISBLANK(D579),"",VLOOKUP($A579,INDEX!$D$2:$F$13,3,0))</f>
        <v/>
      </c>
      <c r="AJ579" s="207" t="str">
        <f t="shared" si="86"/>
        <v/>
      </c>
      <c r="AK579" s="207"/>
      <c r="AL579" s="207"/>
      <c r="AM579" s="207" t="str">
        <f>IFERROR(IF(ISBLANK($D579),"",VLOOKUP($N579,'TABLE CHARGE RATE'!$A$30:$K$106,5,0)),"Check")</f>
        <v/>
      </c>
      <c r="AN579" s="207" t="str">
        <f>IFERROR(IF(ISBLANK($D579),"",VLOOKUP($N579,'TABLE CHARGE RATE'!$A$30:$K$106,6,0)),"Check")</f>
        <v/>
      </c>
      <c r="AO579" s="207" t="str">
        <f>IFERROR(IF(ISBLANK($D579),"",VLOOKUP($N579,'TABLE CHARGE RATE'!$A$30:$K$106,7,0)),"Check")</f>
        <v/>
      </c>
      <c r="AP579" s="207" t="str">
        <f>IFERROR(IF(ISBLANK($D579),"",VLOOKUP($N579,'TABLE CHARGE RATE'!$A$30:$K$106,8,0)),"Check")</f>
        <v/>
      </c>
      <c r="AQ579" s="207" t="str">
        <f>IFERROR(IF(ISBLANK($D579),"",VLOOKUP($N579,'TABLE CHARGE RATE'!$A$30:$K$106,9,0)),"Check")</f>
        <v/>
      </c>
      <c r="AR579" s="207" t="str">
        <f>IFERROR(IF(ISBLANK($D579),"",VLOOKUP($N579,'TABLE CHARGE RATE'!$A$30:$K$106,10,0)),"Check")</f>
        <v/>
      </c>
      <c r="AS579" s="207" t="str">
        <f>IFERROR(IF(ISBLANK($D579),"",VLOOKUP($N579,'TABLE CHARGE RATE'!$A$30:$K$106,11,0)),"Check")</f>
        <v/>
      </c>
      <c r="AT579" s="207"/>
    </row>
    <row r="580" spans="1:46" x14ac:dyDescent="0.2">
      <c r="A580" s="207" t="str">
        <f t="shared" si="88"/>
        <v/>
      </c>
      <c r="B580" s="208" t="str">
        <f>IF(ISBLANK(D580),"",VLOOKUP(WEEKDAY($C580,1),INDEX!$J$2:$K$8,2,0))</f>
        <v/>
      </c>
      <c r="C580" s="209"/>
      <c r="D580" s="207"/>
      <c r="E580" s="207"/>
      <c r="F580" s="207"/>
      <c r="G580" s="207"/>
      <c r="H580" s="207"/>
      <c r="I580" s="207"/>
      <c r="J580" s="207"/>
      <c r="K580" s="207"/>
      <c r="L580" s="207"/>
      <c r="M580" s="207"/>
      <c r="N580" s="207"/>
      <c r="O580" s="207"/>
      <c r="P580" s="207"/>
      <c r="Q580" s="207"/>
      <c r="R580" s="207"/>
      <c r="S580" s="207"/>
      <c r="T580" s="207"/>
      <c r="U580" s="209"/>
      <c r="V580" s="207"/>
      <c r="W580" s="207"/>
      <c r="X580" s="209"/>
      <c r="Y580" s="209"/>
      <c r="Z580" s="207" t="str">
        <f t="shared" ca="1" si="83"/>
        <v/>
      </c>
      <c r="AA580" s="209" t="str">
        <f t="shared" si="87"/>
        <v/>
      </c>
      <c r="AB580" s="209"/>
      <c r="AC580" s="207" t="str">
        <f t="shared" ca="1" si="84"/>
        <v/>
      </c>
      <c r="AD580" s="207"/>
      <c r="AE580" s="207"/>
      <c r="AF580" s="208" t="str">
        <f>IF(ISBLANK(D580),"",VLOOKUP(F580,'SIZE CALCULATION'!$F:$G,2,0))</f>
        <v/>
      </c>
      <c r="AG580" s="207" t="str">
        <f t="shared" si="89"/>
        <v/>
      </c>
      <c r="AH580" s="207" t="str">
        <f t="shared" si="85"/>
        <v/>
      </c>
      <c r="AI580" s="210" t="str">
        <f>IF(ISBLANK(D580),"",VLOOKUP($A580,INDEX!$D$2:$F$13,3,0))</f>
        <v/>
      </c>
      <c r="AJ580" s="207" t="str">
        <f t="shared" si="86"/>
        <v/>
      </c>
      <c r="AK580" s="207"/>
      <c r="AL580" s="207"/>
      <c r="AM580" s="207" t="str">
        <f>IFERROR(IF(ISBLANK($D580),"",VLOOKUP($N580,'TABLE CHARGE RATE'!$A$30:$K$106,5,0)),"Check")</f>
        <v/>
      </c>
      <c r="AN580" s="207" t="str">
        <f>IFERROR(IF(ISBLANK($D580),"",VLOOKUP($N580,'TABLE CHARGE RATE'!$A$30:$K$106,6,0)),"Check")</f>
        <v/>
      </c>
      <c r="AO580" s="207" t="str">
        <f>IFERROR(IF(ISBLANK($D580),"",VLOOKUP($N580,'TABLE CHARGE RATE'!$A$30:$K$106,7,0)),"Check")</f>
        <v/>
      </c>
      <c r="AP580" s="207" t="str">
        <f>IFERROR(IF(ISBLANK($D580),"",VLOOKUP($N580,'TABLE CHARGE RATE'!$A$30:$K$106,8,0)),"Check")</f>
        <v/>
      </c>
      <c r="AQ580" s="207" t="str">
        <f>IFERROR(IF(ISBLANK($D580),"",VLOOKUP($N580,'TABLE CHARGE RATE'!$A$30:$K$106,9,0)),"Check")</f>
        <v/>
      </c>
      <c r="AR580" s="207" t="str">
        <f>IFERROR(IF(ISBLANK($D580),"",VLOOKUP($N580,'TABLE CHARGE RATE'!$A$30:$K$106,10,0)),"Check")</f>
        <v/>
      </c>
      <c r="AS580" s="207" t="str">
        <f>IFERROR(IF(ISBLANK($D580),"",VLOOKUP($N580,'TABLE CHARGE RATE'!$A$30:$K$106,11,0)),"Check")</f>
        <v/>
      </c>
      <c r="AT580" s="207"/>
    </row>
    <row r="581" spans="1:46" x14ac:dyDescent="0.2">
      <c r="A581" s="207" t="str">
        <f t="shared" si="88"/>
        <v/>
      </c>
      <c r="B581" s="208" t="str">
        <f>IF(ISBLANK(D581),"",VLOOKUP(WEEKDAY($C581,1),INDEX!$J$2:$K$8,2,0))</f>
        <v/>
      </c>
      <c r="C581" s="209"/>
      <c r="D581" s="207"/>
      <c r="E581" s="207"/>
      <c r="F581" s="207"/>
      <c r="G581" s="207"/>
      <c r="H581" s="207"/>
      <c r="I581" s="207"/>
      <c r="J581" s="207"/>
      <c r="K581" s="207"/>
      <c r="L581" s="207"/>
      <c r="M581" s="207"/>
      <c r="N581" s="207"/>
      <c r="O581" s="207"/>
      <c r="P581" s="207"/>
      <c r="Q581" s="207"/>
      <c r="R581" s="207"/>
      <c r="S581" s="207"/>
      <c r="T581" s="207"/>
      <c r="U581" s="209"/>
      <c r="V581" s="207"/>
      <c r="W581" s="207"/>
      <c r="X581" s="209"/>
      <c r="Y581" s="209"/>
      <c r="Z581" s="207" t="str">
        <f t="shared" ref="Z581:Z644" ca="1" si="90">IF(ISBLANK(D581),"",IFERROR(IF(ISBLANK($AK581),IF(X581&gt;=TODAY(),"Delivery",IF(Y581-X581=0,1,0)),$AK581),""))</f>
        <v/>
      </c>
      <c r="AA581" s="209" t="str">
        <f t="shared" si="87"/>
        <v/>
      </c>
      <c r="AB581" s="209"/>
      <c r="AC581" s="207" t="str">
        <f t="shared" ref="AC581:AC644" ca="1" si="91">IF(ISBLANK(D581),"",IFERROR(IF(ISBLANK($AL581),IF(AA581&gt;=TODAY(),"Collecting",IF(AB581-AA581=0,1,0)),$AL581),""))</f>
        <v/>
      </c>
      <c r="AD581" s="207"/>
      <c r="AE581" s="207"/>
      <c r="AF581" s="208" t="str">
        <f>IF(ISBLANK(D581),"",VLOOKUP(F581,'SIZE CALCULATION'!$F:$G,2,0))</f>
        <v/>
      </c>
      <c r="AG581" s="207" t="str">
        <f t="shared" si="89"/>
        <v/>
      </c>
      <c r="AH581" s="207" t="str">
        <f t="shared" ref="AH581:AH644" si="92">IF(ISBLANK(D581),"",IFERROR(AG581*G581,0))</f>
        <v/>
      </c>
      <c r="AI581" s="210" t="str">
        <f>IF(ISBLANK(D581),"",VLOOKUP($A581,INDEX!$D$2:$F$13,3,0))</f>
        <v/>
      </c>
      <c r="AJ581" s="207" t="str">
        <f t="shared" ref="AJ581:AJ644" si="93">IF(ISBLANK(D581),"",AH581+(AH581*AI581))</f>
        <v/>
      </c>
      <c r="AK581" s="207"/>
      <c r="AL581" s="207"/>
      <c r="AM581" s="207" t="str">
        <f>IFERROR(IF(ISBLANK($D581),"",VLOOKUP($N581,'TABLE CHARGE RATE'!$A$30:$K$106,5,0)),"Check")</f>
        <v/>
      </c>
      <c r="AN581" s="207" t="str">
        <f>IFERROR(IF(ISBLANK($D581),"",VLOOKUP($N581,'TABLE CHARGE RATE'!$A$30:$K$106,6,0)),"Check")</f>
        <v/>
      </c>
      <c r="AO581" s="207" t="str">
        <f>IFERROR(IF(ISBLANK($D581),"",VLOOKUP($N581,'TABLE CHARGE RATE'!$A$30:$K$106,7,0)),"Check")</f>
        <v/>
      </c>
      <c r="AP581" s="207" t="str">
        <f>IFERROR(IF(ISBLANK($D581),"",VLOOKUP($N581,'TABLE CHARGE RATE'!$A$30:$K$106,8,0)),"Check")</f>
        <v/>
      </c>
      <c r="AQ581" s="207" t="str">
        <f>IFERROR(IF(ISBLANK($D581),"",VLOOKUP($N581,'TABLE CHARGE RATE'!$A$30:$K$106,9,0)),"Check")</f>
        <v/>
      </c>
      <c r="AR581" s="207" t="str">
        <f>IFERROR(IF(ISBLANK($D581),"",VLOOKUP($N581,'TABLE CHARGE RATE'!$A$30:$K$106,10,0)),"Check")</f>
        <v/>
      </c>
      <c r="AS581" s="207" t="str">
        <f>IFERROR(IF(ISBLANK($D581),"",VLOOKUP($N581,'TABLE CHARGE RATE'!$A$30:$K$106,11,0)),"Check")</f>
        <v/>
      </c>
      <c r="AT581" s="207"/>
    </row>
    <row r="582" spans="1:46" x14ac:dyDescent="0.2">
      <c r="A582" s="207" t="str">
        <f t="shared" si="88"/>
        <v/>
      </c>
      <c r="B582" s="208" t="str">
        <f>IF(ISBLANK(D582),"",VLOOKUP(WEEKDAY($C582,1),INDEX!$J$2:$K$8,2,0))</f>
        <v/>
      </c>
      <c r="C582" s="209"/>
      <c r="D582" s="207"/>
      <c r="E582" s="207"/>
      <c r="F582" s="207"/>
      <c r="G582" s="207"/>
      <c r="H582" s="207"/>
      <c r="I582" s="207"/>
      <c r="J582" s="207"/>
      <c r="K582" s="207"/>
      <c r="L582" s="207"/>
      <c r="M582" s="207"/>
      <c r="N582" s="207"/>
      <c r="O582" s="207"/>
      <c r="P582" s="207"/>
      <c r="Q582" s="207"/>
      <c r="R582" s="207"/>
      <c r="S582" s="207"/>
      <c r="T582" s="207"/>
      <c r="U582" s="209"/>
      <c r="V582" s="207"/>
      <c r="W582" s="207"/>
      <c r="X582" s="209"/>
      <c r="Y582" s="209"/>
      <c r="Z582" s="207" t="str">
        <f t="shared" ca="1" si="90"/>
        <v/>
      </c>
      <c r="AA582" s="209" t="str">
        <f t="shared" si="87"/>
        <v/>
      </c>
      <c r="AB582" s="209"/>
      <c r="AC582" s="207" t="str">
        <f t="shared" ca="1" si="91"/>
        <v/>
      </c>
      <c r="AD582" s="207"/>
      <c r="AE582" s="207"/>
      <c r="AF582" s="208" t="str">
        <f>IF(ISBLANK(D582),"",VLOOKUP(F582,'SIZE CALCULATION'!$F:$G,2,0))</f>
        <v/>
      </c>
      <c r="AG582" s="207" t="str">
        <f t="shared" si="89"/>
        <v/>
      </c>
      <c r="AH582" s="207" t="str">
        <f t="shared" si="92"/>
        <v/>
      </c>
      <c r="AI582" s="210" t="str">
        <f>IF(ISBLANK(D582),"",VLOOKUP($A582,INDEX!$D$2:$F$13,3,0))</f>
        <v/>
      </c>
      <c r="AJ582" s="207" t="str">
        <f t="shared" si="93"/>
        <v/>
      </c>
      <c r="AK582" s="207"/>
      <c r="AL582" s="207"/>
      <c r="AM582" s="207" t="str">
        <f>IFERROR(IF(ISBLANK($D582),"",VLOOKUP($N582,'TABLE CHARGE RATE'!$A$30:$K$106,5,0)),"Check")</f>
        <v/>
      </c>
      <c r="AN582" s="207" t="str">
        <f>IFERROR(IF(ISBLANK($D582),"",VLOOKUP($N582,'TABLE CHARGE RATE'!$A$30:$K$106,6,0)),"Check")</f>
        <v/>
      </c>
      <c r="AO582" s="207" t="str">
        <f>IFERROR(IF(ISBLANK($D582),"",VLOOKUP($N582,'TABLE CHARGE RATE'!$A$30:$K$106,7,0)),"Check")</f>
        <v/>
      </c>
      <c r="AP582" s="207" t="str">
        <f>IFERROR(IF(ISBLANK($D582),"",VLOOKUP($N582,'TABLE CHARGE RATE'!$A$30:$K$106,8,0)),"Check")</f>
        <v/>
      </c>
      <c r="AQ582" s="207" t="str">
        <f>IFERROR(IF(ISBLANK($D582),"",VLOOKUP($N582,'TABLE CHARGE RATE'!$A$30:$K$106,9,0)),"Check")</f>
        <v/>
      </c>
      <c r="AR582" s="207" t="str">
        <f>IFERROR(IF(ISBLANK($D582),"",VLOOKUP($N582,'TABLE CHARGE RATE'!$A$30:$K$106,10,0)),"Check")</f>
        <v/>
      </c>
      <c r="AS582" s="207" t="str">
        <f>IFERROR(IF(ISBLANK($D582),"",VLOOKUP($N582,'TABLE CHARGE RATE'!$A$30:$K$106,11,0)),"Check")</f>
        <v/>
      </c>
      <c r="AT582" s="207"/>
    </row>
    <row r="583" spans="1:46" x14ac:dyDescent="0.2">
      <c r="A583" s="207" t="str">
        <f t="shared" si="88"/>
        <v/>
      </c>
      <c r="B583" s="208" t="str">
        <f>IF(ISBLANK(D583),"",VLOOKUP(WEEKDAY($C583,1),INDEX!$J$2:$K$8,2,0))</f>
        <v/>
      </c>
      <c r="C583" s="209"/>
      <c r="D583" s="207"/>
      <c r="E583" s="207"/>
      <c r="F583" s="207"/>
      <c r="G583" s="207"/>
      <c r="H583" s="207"/>
      <c r="I583" s="207"/>
      <c r="J583" s="207"/>
      <c r="K583" s="207"/>
      <c r="L583" s="207"/>
      <c r="M583" s="207"/>
      <c r="N583" s="207"/>
      <c r="O583" s="207"/>
      <c r="P583" s="207"/>
      <c r="Q583" s="207"/>
      <c r="R583" s="207"/>
      <c r="S583" s="207"/>
      <c r="T583" s="207"/>
      <c r="U583" s="209"/>
      <c r="V583" s="207"/>
      <c r="W583" s="207"/>
      <c r="X583" s="209"/>
      <c r="Y583" s="209"/>
      <c r="Z583" s="207" t="str">
        <f t="shared" ca="1" si="90"/>
        <v/>
      </c>
      <c r="AA583" s="209" t="str">
        <f t="shared" si="87"/>
        <v/>
      </c>
      <c r="AB583" s="209"/>
      <c r="AC583" s="207" t="str">
        <f t="shared" ca="1" si="91"/>
        <v/>
      </c>
      <c r="AD583" s="207"/>
      <c r="AE583" s="207"/>
      <c r="AF583" s="208" t="str">
        <f>IF(ISBLANK(D583),"",VLOOKUP(F583,'SIZE CALCULATION'!$F:$G,2,0))</f>
        <v/>
      </c>
      <c r="AG583" s="207" t="str">
        <f t="shared" si="89"/>
        <v/>
      </c>
      <c r="AH583" s="207" t="str">
        <f t="shared" si="92"/>
        <v/>
      </c>
      <c r="AI583" s="210" t="str">
        <f>IF(ISBLANK(D583),"",VLOOKUP($A583,INDEX!$D$2:$F$13,3,0))</f>
        <v/>
      </c>
      <c r="AJ583" s="207" t="str">
        <f t="shared" si="93"/>
        <v/>
      </c>
      <c r="AK583" s="207"/>
      <c r="AL583" s="207"/>
      <c r="AM583" s="207" t="str">
        <f>IFERROR(IF(ISBLANK($D583),"",VLOOKUP($N583,'TABLE CHARGE RATE'!$A$30:$K$106,5,0)),"Check")</f>
        <v/>
      </c>
      <c r="AN583" s="207" t="str">
        <f>IFERROR(IF(ISBLANK($D583),"",VLOOKUP($N583,'TABLE CHARGE RATE'!$A$30:$K$106,6,0)),"Check")</f>
        <v/>
      </c>
      <c r="AO583" s="207" t="str">
        <f>IFERROR(IF(ISBLANK($D583),"",VLOOKUP($N583,'TABLE CHARGE RATE'!$A$30:$K$106,7,0)),"Check")</f>
        <v/>
      </c>
      <c r="AP583" s="207" t="str">
        <f>IFERROR(IF(ISBLANK($D583),"",VLOOKUP($N583,'TABLE CHARGE RATE'!$A$30:$K$106,8,0)),"Check")</f>
        <v/>
      </c>
      <c r="AQ583" s="207" t="str">
        <f>IFERROR(IF(ISBLANK($D583),"",VLOOKUP($N583,'TABLE CHARGE RATE'!$A$30:$K$106,9,0)),"Check")</f>
        <v/>
      </c>
      <c r="AR583" s="207" t="str">
        <f>IFERROR(IF(ISBLANK($D583),"",VLOOKUP($N583,'TABLE CHARGE RATE'!$A$30:$K$106,10,0)),"Check")</f>
        <v/>
      </c>
      <c r="AS583" s="207" t="str">
        <f>IFERROR(IF(ISBLANK($D583),"",VLOOKUP($N583,'TABLE CHARGE RATE'!$A$30:$K$106,11,0)),"Check")</f>
        <v/>
      </c>
      <c r="AT583" s="207"/>
    </row>
    <row r="584" spans="1:46" x14ac:dyDescent="0.2">
      <c r="A584" s="207" t="str">
        <f t="shared" si="88"/>
        <v/>
      </c>
      <c r="B584" s="208" t="str">
        <f>IF(ISBLANK(D584),"",VLOOKUP(WEEKDAY($C584,1),INDEX!$J$2:$K$8,2,0))</f>
        <v/>
      </c>
      <c r="C584" s="209"/>
      <c r="D584" s="207"/>
      <c r="E584" s="207"/>
      <c r="F584" s="207"/>
      <c r="G584" s="207"/>
      <c r="H584" s="207"/>
      <c r="I584" s="207"/>
      <c r="J584" s="207"/>
      <c r="K584" s="207"/>
      <c r="L584" s="207"/>
      <c r="M584" s="207"/>
      <c r="N584" s="207"/>
      <c r="O584" s="207"/>
      <c r="P584" s="207"/>
      <c r="Q584" s="207"/>
      <c r="R584" s="207"/>
      <c r="S584" s="207"/>
      <c r="T584" s="207"/>
      <c r="U584" s="209"/>
      <c r="V584" s="207"/>
      <c r="W584" s="207"/>
      <c r="X584" s="209"/>
      <c r="Y584" s="209"/>
      <c r="Z584" s="207" t="str">
        <f t="shared" ca="1" si="90"/>
        <v/>
      </c>
      <c r="AA584" s="209" t="str">
        <f t="shared" si="87"/>
        <v/>
      </c>
      <c r="AB584" s="209"/>
      <c r="AC584" s="207" t="str">
        <f t="shared" ca="1" si="91"/>
        <v/>
      </c>
      <c r="AD584" s="207"/>
      <c r="AE584" s="207"/>
      <c r="AF584" s="208" t="str">
        <f>IF(ISBLANK(D584),"",VLOOKUP(F584,'SIZE CALCULATION'!$F:$G,2,0))</f>
        <v/>
      </c>
      <c r="AG584" s="207" t="str">
        <f t="shared" si="89"/>
        <v/>
      </c>
      <c r="AH584" s="207" t="str">
        <f t="shared" si="92"/>
        <v/>
      </c>
      <c r="AI584" s="210" t="str">
        <f>IF(ISBLANK(D584),"",VLOOKUP($A584,INDEX!$D$2:$F$13,3,0))</f>
        <v/>
      </c>
      <c r="AJ584" s="207" t="str">
        <f t="shared" si="93"/>
        <v/>
      </c>
      <c r="AK584" s="207"/>
      <c r="AL584" s="207"/>
      <c r="AM584" s="207" t="str">
        <f>IFERROR(IF(ISBLANK($D584),"",VLOOKUP($N584,'TABLE CHARGE RATE'!$A$30:$K$106,5,0)),"Check")</f>
        <v/>
      </c>
      <c r="AN584" s="207" t="str">
        <f>IFERROR(IF(ISBLANK($D584),"",VLOOKUP($N584,'TABLE CHARGE RATE'!$A$30:$K$106,6,0)),"Check")</f>
        <v/>
      </c>
      <c r="AO584" s="207" t="str">
        <f>IFERROR(IF(ISBLANK($D584),"",VLOOKUP($N584,'TABLE CHARGE RATE'!$A$30:$K$106,7,0)),"Check")</f>
        <v/>
      </c>
      <c r="AP584" s="207" t="str">
        <f>IFERROR(IF(ISBLANK($D584),"",VLOOKUP($N584,'TABLE CHARGE RATE'!$A$30:$K$106,8,0)),"Check")</f>
        <v/>
      </c>
      <c r="AQ584" s="207" t="str">
        <f>IFERROR(IF(ISBLANK($D584),"",VLOOKUP($N584,'TABLE CHARGE RATE'!$A$30:$K$106,9,0)),"Check")</f>
        <v/>
      </c>
      <c r="AR584" s="207" t="str">
        <f>IFERROR(IF(ISBLANK($D584),"",VLOOKUP($N584,'TABLE CHARGE RATE'!$A$30:$K$106,10,0)),"Check")</f>
        <v/>
      </c>
      <c r="AS584" s="207" t="str">
        <f>IFERROR(IF(ISBLANK($D584),"",VLOOKUP($N584,'TABLE CHARGE RATE'!$A$30:$K$106,11,0)),"Check")</f>
        <v/>
      </c>
      <c r="AT584" s="207"/>
    </row>
    <row r="585" spans="1:46" x14ac:dyDescent="0.2">
      <c r="A585" s="207" t="str">
        <f t="shared" si="88"/>
        <v/>
      </c>
      <c r="B585" s="208" t="str">
        <f>IF(ISBLANK(D585),"",VLOOKUP(WEEKDAY($C585,1),INDEX!$J$2:$K$8,2,0))</f>
        <v/>
      </c>
      <c r="C585" s="209"/>
      <c r="D585" s="207"/>
      <c r="E585" s="207"/>
      <c r="F585" s="207"/>
      <c r="G585" s="207"/>
      <c r="H585" s="207"/>
      <c r="I585" s="207"/>
      <c r="J585" s="207"/>
      <c r="K585" s="207"/>
      <c r="L585" s="207"/>
      <c r="M585" s="207"/>
      <c r="N585" s="207"/>
      <c r="O585" s="207"/>
      <c r="P585" s="207"/>
      <c r="Q585" s="207"/>
      <c r="R585" s="207"/>
      <c r="S585" s="207"/>
      <c r="T585" s="207"/>
      <c r="U585" s="209"/>
      <c r="V585" s="207"/>
      <c r="W585" s="207"/>
      <c r="X585" s="209"/>
      <c r="Y585" s="209"/>
      <c r="Z585" s="207" t="str">
        <f t="shared" ca="1" si="90"/>
        <v/>
      </c>
      <c r="AA585" s="209" t="str">
        <f t="shared" si="87"/>
        <v/>
      </c>
      <c r="AB585" s="209"/>
      <c r="AC585" s="207" t="str">
        <f t="shared" ca="1" si="91"/>
        <v/>
      </c>
      <c r="AD585" s="207"/>
      <c r="AE585" s="207"/>
      <c r="AF585" s="208" t="str">
        <f>IF(ISBLANK(D585),"",VLOOKUP(F585,'SIZE CALCULATION'!$F:$G,2,0))</f>
        <v/>
      </c>
      <c r="AG585" s="207" t="str">
        <f t="shared" si="89"/>
        <v/>
      </c>
      <c r="AH585" s="207" t="str">
        <f t="shared" si="92"/>
        <v/>
      </c>
      <c r="AI585" s="210" t="str">
        <f>IF(ISBLANK(D585),"",VLOOKUP($A585,INDEX!$D$2:$F$13,3,0))</f>
        <v/>
      </c>
      <c r="AJ585" s="207" t="str">
        <f t="shared" si="93"/>
        <v/>
      </c>
      <c r="AK585" s="207"/>
      <c r="AL585" s="207"/>
      <c r="AM585" s="207" t="str">
        <f>IFERROR(IF(ISBLANK($D585),"",VLOOKUP($N585,'TABLE CHARGE RATE'!$A$30:$K$106,5,0)),"Check")</f>
        <v/>
      </c>
      <c r="AN585" s="207" t="str">
        <f>IFERROR(IF(ISBLANK($D585),"",VLOOKUP($N585,'TABLE CHARGE RATE'!$A$30:$K$106,6,0)),"Check")</f>
        <v/>
      </c>
      <c r="AO585" s="207" t="str">
        <f>IFERROR(IF(ISBLANK($D585),"",VLOOKUP($N585,'TABLE CHARGE RATE'!$A$30:$K$106,7,0)),"Check")</f>
        <v/>
      </c>
      <c r="AP585" s="207" t="str">
        <f>IFERROR(IF(ISBLANK($D585),"",VLOOKUP($N585,'TABLE CHARGE RATE'!$A$30:$K$106,8,0)),"Check")</f>
        <v/>
      </c>
      <c r="AQ585" s="207" t="str">
        <f>IFERROR(IF(ISBLANK($D585),"",VLOOKUP($N585,'TABLE CHARGE RATE'!$A$30:$K$106,9,0)),"Check")</f>
        <v/>
      </c>
      <c r="AR585" s="207" t="str">
        <f>IFERROR(IF(ISBLANK($D585),"",VLOOKUP($N585,'TABLE CHARGE RATE'!$A$30:$K$106,10,0)),"Check")</f>
        <v/>
      </c>
      <c r="AS585" s="207" t="str">
        <f>IFERROR(IF(ISBLANK($D585),"",VLOOKUP($N585,'TABLE CHARGE RATE'!$A$30:$K$106,11,0)),"Check")</f>
        <v/>
      </c>
      <c r="AT585" s="207"/>
    </row>
    <row r="586" spans="1:46" x14ac:dyDescent="0.2">
      <c r="A586" s="207" t="str">
        <f t="shared" si="88"/>
        <v/>
      </c>
      <c r="B586" s="208" t="str">
        <f>IF(ISBLANK(D586),"",VLOOKUP(WEEKDAY($C586,1),INDEX!$J$2:$K$8,2,0))</f>
        <v/>
      </c>
      <c r="C586" s="209"/>
      <c r="D586" s="207"/>
      <c r="E586" s="207"/>
      <c r="F586" s="207"/>
      <c r="G586" s="207"/>
      <c r="H586" s="207"/>
      <c r="I586" s="207"/>
      <c r="J586" s="207"/>
      <c r="K586" s="207"/>
      <c r="L586" s="207"/>
      <c r="M586" s="207"/>
      <c r="N586" s="207"/>
      <c r="O586" s="207"/>
      <c r="P586" s="207"/>
      <c r="Q586" s="207"/>
      <c r="R586" s="207"/>
      <c r="S586" s="207"/>
      <c r="T586" s="207"/>
      <c r="U586" s="209"/>
      <c r="V586" s="207"/>
      <c r="W586" s="207"/>
      <c r="X586" s="209"/>
      <c r="Y586" s="209"/>
      <c r="Z586" s="207" t="str">
        <f t="shared" ca="1" si="90"/>
        <v/>
      </c>
      <c r="AA586" s="209" t="str">
        <f t="shared" si="87"/>
        <v/>
      </c>
      <c r="AB586" s="209"/>
      <c r="AC586" s="207" t="str">
        <f t="shared" ca="1" si="91"/>
        <v/>
      </c>
      <c r="AD586" s="207"/>
      <c r="AE586" s="207"/>
      <c r="AF586" s="208" t="str">
        <f>IF(ISBLANK(D586),"",VLOOKUP(F586,'SIZE CALCULATION'!$F:$G,2,0))</f>
        <v/>
      </c>
      <c r="AG586" s="207" t="str">
        <f t="shared" si="89"/>
        <v/>
      </c>
      <c r="AH586" s="207" t="str">
        <f t="shared" si="92"/>
        <v/>
      </c>
      <c r="AI586" s="210" t="str">
        <f>IF(ISBLANK(D586),"",VLOOKUP($A586,INDEX!$D$2:$F$13,3,0))</f>
        <v/>
      </c>
      <c r="AJ586" s="207" t="str">
        <f t="shared" si="93"/>
        <v/>
      </c>
      <c r="AK586" s="207"/>
      <c r="AL586" s="207"/>
      <c r="AM586" s="207" t="str">
        <f>IFERROR(IF(ISBLANK($D586),"",VLOOKUP($N586,'TABLE CHARGE RATE'!$A$30:$K$106,5,0)),"Check")</f>
        <v/>
      </c>
      <c r="AN586" s="207" t="str">
        <f>IFERROR(IF(ISBLANK($D586),"",VLOOKUP($N586,'TABLE CHARGE RATE'!$A$30:$K$106,6,0)),"Check")</f>
        <v/>
      </c>
      <c r="AO586" s="207" t="str">
        <f>IFERROR(IF(ISBLANK($D586),"",VLOOKUP($N586,'TABLE CHARGE RATE'!$A$30:$K$106,7,0)),"Check")</f>
        <v/>
      </c>
      <c r="AP586" s="207" t="str">
        <f>IFERROR(IF(ISBLANK($D586),"",VLOOKUP($N586,'TABLE CHARGE RATE'!$A$30:$K$106,8,0)),"Check")</f>
        <v/>
      </c>
      <c r="AQ586" s="207" t="str">
        <f>IFERROR(IF(ISBLANK($D586),"",VLOOKUP($N586,'TABLE CHARGE RATE'!$A$30:$K$106,9,0)),"Check")</f>
        <v/>
      </c>
      <c r="AR586" s="207" t="str">
        <f>IFERROR(IF(ISBLANK($D586),"",VLOOKUP($N586,'TABLE CHARGE RATE'!$A$30:$K$106,10,0)),"Check")</f>
        <v/>
      </c>
      <c r="AS586" s="207" t="str">
        <f>IFERROR(IF(ISBLANK($D586),"",VLOOKUP($N586,'TABLE CHARGE RATE'!$A$30:$K$106,11,0)),"Check")</f>
        <v/>
      </c>
      <c r="AT586" s="207"/>
    </row>
    <row r="587" spans="1:46" x14ac:dyDescent="0.2">
      <c r="A587" s="207" t="str">
        <f t="shared" si="88"/>
        <v/>
      </c>
      <c r="B587" s="208" t="str">
        <f>IF(ISBLANK(D587),"",VLOOKUP(WEEKDAY($C587,1),INDEX!$J$2:$K$8,2,0))</f>
        <v/>
      </c>
      <c r="C587" s="209"/>
      <c r="D587" s="207"/>
      <c r="E587" s="207"/>
      <c r="F587" s="207"/>
      <c r="G587" s="207"/>
      <c r="H587" s="207"/>
      <c r="I587" s="207"/>
      <c r="J587" s="207"/>
      <c r="K587" s="207"/>
      <c r="L587" s="207"/>
      <c r="M587" s="207"/>
      <c r="N587" s="207"/>
      <c r="O587" s="207"/>
      <c r="P587" s="207"/>
      <c r="Q587" s="207"/>
      <c r="R587" s="207"/>
      <c r="S587" s="207"/>
      <c r="T587" s="207"/>
      <c r="U587" s="209"/>
      <c r="V587" s="207"/>
      <c r="W587" s="207"/>
      <c r="X587" s="209"/>
      <c r="Y587" s="209"/>
      <c r="Z587" s="207" t="str">
        <f t="shared" ca="1" si="90"/>
        <v/>
      </c>
      <c r="AA587" s="209" t="str">
        <f t="shared" si="87"/>
        <v/>
      </c>
      <c r="AB587" s="209"/>
      <c r="AC587" s="207" t="str">
        <f t="shared" ca="1" si="91"/>
        <v/>
      </c>
      <c r="AD587" s="207"/>
      <c r="AE587" s="207"/>
      <c r="AF587" s="208" t="str">
        <f>IF(ISBLANK(D587),"",VLOOKUP(F587,'SIZE CALCULATION'!$F:$G,2,0))</f>
        <v/>
      </c>
      <c r="AG587" s="207" t="str">
        <f t="shared" si="89"/>
        <v/>
      </c>
      <c r="AH587" s="207" t="str">
        <f t="shared" si="92"/>
        <v/>
      </c>
      <c r="AI587" s="210" t="str">
        <f>IF(ISBLANK(D587),"",VLOOKUP($A587,INDEX!$D$2:$F$13,3,0))</f>
        <v/>
      </c>
      <c r="AJ587" s="207" t="str">
        <f t="shared" si="93"/>
        <v/>
      </c>
      <c r="AK587" s="207"/>
      <c r="AL587" s="207"/>
      <c r="AM587" s="207" t="str">
        <f>IFERROR(IF(ISBLANK($D587),"",VLOOKUP($N587,'TABLE CHARGE RATE'!$A$30:$K$106,5,0)),"Check")</f>
        <v/>
      </c>
      <c r="AN587" s="207" t="str">
        <f>IFERROR(IF(ISBLANK($D587),"",VLOOKUP($N587,'TABLE CHARGE RATE'!$A$30:$K$106,6,0)),"Check")</f>
        <v/>
      </c>
      <c r="AO587" s="207" t="str">
        <f>IFERROR(IF(ISBLANK($D587),"",VLOOKUP($N587,'TABLE CHARGE RATE'!$A$30:$K$106,7,0)),"Check")</f>
        <v/>
      </c>
      <c r="AP587" s="207" t="str">
        <f>IFERROR(IF(ISBLANK($D587),"",VLOOKUP($N587,'TABLE CHARGE RATE'!$A$30:$K$106,8,0)),"Check")</f>
        <v/>
      </c>
      <c r="AQ587" s="207" t="str">
        <f>IFERROR(IF(ISBLANK($D587),"",VLOOKUP($N587,'TABLE CHARGE RATE'!$A$30:$K$106,9,0)),"Check")</f>
        <v/>
      </c>
      <c r="AR587" s="207" t="str">
        <f>IFERROR(IF(ISBLANK($D587),"",VLOOKUP($N587,'TABLE CHARGE RATE'!$A$30:$K$106,10,0)),"Check")</f>
        <v/>
      </c>
      <c r="AS587" s="207" t="str">
        <f>IFERROR(IF(ISBLANK($D587),"",VLOOKUP($N587,'TABLE CHARGE RATE'!$A$30:$K$106,11,0)),"Check")</f>
        <v/>
      </c>
      <c r="AT587" s="207"/>
    </row>
    <row r="588" spans="1:46" x14ac:dyDescent="0.2">
      <c r="A588" s="207" t="str">
        <f t="shared" si="88"/>
        <v/>
      </c>
      <c r="B588" s="208" t="str">
        <f>IF(ISBLANK(D588),"",VLOOKUP(WEEKDAY($C588,1),INDEX!$J$2:$K$8,2,0))</f>
        <v/>
      </c>
      <c r="C588" s="209"/>
      <c r="D588" s="207"/>
      <c r="E588" s="207"/>
      <c r="F588" s="207"/>
      <c r="G588" s="207"/>
      <c r="H588" s="207"/>
      <c r="I588" s="207"/>
      <c r="J588" s="207"/>
      <c r="K588" s="207"/>
      <c r="L588" s="207"/>
      <c r="M588" s="207"/>
      <c r="N588" s="207"/>
      <c r="O588" s="207"/>
      <c r="P588" s="207"/>
      <c r="Q588" s="207"/>
      <c r="R588" s="207"/>
      <c r="S588" s="207"/>
      <c r="T588" s="207"/>
      <c r="U588" s="209"/>
      <c r="V588" s="207"/>
      <c r="W588" s="207"/>
      <c r="X588" s="209"/>
      <c r="Y588" s="209"/>
      <c r="Z588" s="207" t="str">
        <f t="shared" ca="1" si="90"/>
        <v/>
      </c>
      <c r="AA588" s="209" t="str">
        <f t="shared" si="87"/>
        <v/>
      </c>
      <c r="AB588" s="209"/>
      <c r="AC588" s="207" t="str">
        <f t="shared" ca="1" si="91"/>
        <v/>
      </c>
      <c r="AD588" s="207"/>
      <c r="AE588" s="207"/>
      <c r="AF588" s="208" t="str">
        <f>IF(ISBLANK(D588),"",VLOOKUP(F588,'SIZE CALCULATION'!$F:$G,2,0))</f>
        <v/>
      </c>
      <c r="AG588" s="207" t="str">
        <f t="shared" si="89"/>
        <v/>
      </c>
      <c r="AH588" s="207" t="str">
        <f t="shared" si="92"/>
        <v/>
      </c>
      <c r="AI588" s="210" t="str">
        <f>IF(ISBLANK(D588),"",VLOOKUP($A588,INDEX!$D$2:$F$13,3,0))</f>
        <v/>
      </c>
      <c r="AJ588" s="207" t="str">
        <f t="shared" si="93"/>
        <v/>
      </c>
      <c r="AK588" s="207"/>
      <c r="AL588" s="207"/>
      <c r="AM588" s="207" t="str">
        <f>IFERROR(IF(ISBLANK($D588),"",VLOOKUP($N588,'TABLE CHARGE RATE'!$A$30:$K$106,5,0)),"Check")</f>
        <v/>
      </c>
      <c r="AN588" s="207" t="str">
        <f>IFERROR(IF(ISBLANK($D588),"",VLOOKUP($N588,'TABLE CHARGE RATE'!$A$30:$K$106,6,0)),"Check")</f>
        <v/>
      </c>
      <c r="AO588" s="207" t="str">
        <f>IFERROR(IF(ISBLANK($D588),"",VLOOKUP($N588,'TABLE CHARGE RATE'!$A$30:$K$106,7,0)),"Check")</f>
        <v/>
      </c>
      <c r="AP588" s="207" t="str">
        <f>IFERROR(IF(ISBLANK($D588),"",VLOOKUP($N588,'TABLE CHARGE RATE'!$A$30:$K$106,8,0)),"Check")</f>
        <v/>
      </c>
      <c r="AQ588" s="207" t="str">
        <f>IFERROR(IF(ISBLANK($D588),"",VLOOKUP($N588,'TABLE CHARGE RATE'!$A$30:$K$106,9,0)),"Check")</f>
        <v/>
      </c>
      <c r="AR588" s="207" t="str">
        <f>IFERROR(IF(ISBLANK($D588),"",VLOOKUP($N588,'TABLE CHARGE RATE'!$A$30:$K$106,10,0)),"Check")</f>
        <v/>
      </c>
      <c r="AS588" s="207" t="str">
        <f>IFERROR(IF(ISBLANK($D588),"",VLOOKUP($N588,'TABLE CHARGE RATE'!$A$30:$K$106,11,0)),"Check")</f>
        <v/>
      </c>
      <c r="AT588" s="207"/>
    </row>
    <row r="589" spans="1:46" x14ac:dyDescent="0.2">
      <c r="A589" s="207" t="str">
        <f t="shared" si="88"/>
        <v/>
      </c>
      <c r="B589" s="208" t="str">
        <f>IF(ISBLANK(D589),"",VLOOKUP(WEEKDAY($C589,1),INDEX!$J$2:$K$8,2,0))</f>
        <v/>
      </c>
      <c r="C589" s="209"/>
      <c r="D589" s="207"/>
      <c r="E589" s="207"/>
      <c r="F589" s="207"/>
      <c r="G589" s="207"/>
      <c r="H589" s="207"/>
      <c r="I589" s="207"/>
      <c r="J589" s="207"/>
      <c r="K589" s="207"/>
      <c r="L589" s="207"/>
      <c r="M589" s="207"/>
      <c r="N589" s="207"/>
      <c r="O589" s="207"/>
      <c r="P589" s="207"/>
      <c r="Q589" s="207"/>
      <c r="R589" s="207"/>
      <c r="S589" s="207"/>
      <c r="T589" s="207"/>
      <c r="U589" s="209"/>
      <c r="V589" s="207"/>
      <c r="W589" s="207"/>
      <c r="X589" s="209"/>
      <c r="Y589" s="209"/>
      <c r="Z589" s="207" t="str">
        <f t="shared" ca="1" si="90"/>
        <v/>
      </c>
      <c r="AA589" s="209" t="str">
        <f t="shared" si="87"/>
        <v/>
      </c>
      <c r="AB589" s="209"/>
      <c r="AC589" s="207" t="str">
        <f t="shared" ca="1" si="91"/>
        <v/>
      </c>
      <c r="AD589" s="207"/>
      <c r="AE589" s="207"/>
      <c r="AF589" s="208" t="str">
        <f>IF(ISBLANK(D589),"",VLOOKUP(F589,'SIZE CALCULATION'!$F:$G,2,0))</f>
        <v/>
      </c>
      <c r="AG589" s="207" t="str">
        <f t="shared" si="89"/>
        <v/>
      </c>
      <c r="AH589" s="207" t="str">
        <f t="shared" si="92"/>
        <v/>
      </c>
      <c r="AI589" s="210" t="str">
        <f>IF(ISBLANK(D589),"",VLOOKUP($A589,INDEX!$D$2:$F$13,3,0))</f>
        <v/>
      </c>
      <c r="AJ589" s="207" t="str">
        <f t="shared" si="93"/>
        <v/>
      </c>
      <c r="AK589" s="207"/>
      <c r="AL589" s="207"/>
      <c r="AM589" s="207" t="str">
        <f>IFERROR(IF(ISBLANK($D589),"",VLOOKUP($N589,'TABLE CHARGE RATE'!$A$30:$K$106,5,0)),"Check")</f>
        <v/>
      </c>
      <c r="AN589" s="207" t="str">
        <f>IFERROR(IF(ISBLANK($D589),"",VLOOKUP($N589,'TABLE CHARGE RATE'!$A$30:$K$106,6,0)),"Check")</f>
        <v/>
      </c>
      <c r="AO589" s="207" t="str">
        <f>IFERROR(IF(ISBLANK($D589),"",VLOOKUP($N589,'TABLE CHARGE RATE'!$A$30:$K$106,7,0)),"Check")</f>
        <v/>
      </c>
      <c r="AP589" s="207" t="str">
        <f>IFERROR(IF(ISBLANK($D589),"",VLOOKUP($N589,'TABLE CHARGE RATE'!$A$30:$K$106,8,0)),"Check")</f>
        <v/>
      </c>
      <c r="AQ589" s="207" t="str">
        <f>IFERROR(IF(ISBLANK($D589),"",VLOOKUP($N589,'TABLE CHARGE RATE'!$A$30:$K$106,9,0)),"Check")</f>
        <v/>
      </c>
      <c r="AR589" s="207" t="str">
        <f>IFERROR(IF(ISBLANK($D589),"",VLOOKUP($N589,'TABLE CHARGE RATE'!$A$30:$K$106,10,0)),"Check")</f>
        <v/>
      </c>
      <c r="AS589" s="207" t="str">
        <f>IFERROR(IF(ISBLANK($D589),"",VLOOKUP($N589,'TABLE CHARGE RATE'!$A$30:$K$106,11,0)),"Check")</f>
        <v/>
      </c>
      <c r="AT589" s="207"/>
    </row>
    <row r="590" spans="1:46" x14ac:dyDescent="0.2">
      <c r="A590" s="207" t="str">
        <f t="shared" si="88"/>
        <v/>
      </c>
      <c r="B590" s="208" t="str">
        <f>IF(ISBLANK(D590),"",VLOOKUP(WEEKDAY($C590,1),INDEX!$J$2:$K$8,2,0))</f>
        <v/>
      </c>
      <c r="C590" s="209"/>
      <c r="D590" s="207"/>
      <c r="E590" s="207"/>
      <c r="F590" s="207"/>
      <c r="G590" s="207"/>
      <c r="H590" s="207"/>
      <c r="I590" s="207"/>
      <c r="J590" s="207"/>
      <c r="K590" s="207"/>
      <c r="L590" s="207"/>
      <c r="M590" s="207"/>
      <c r="N590" s="207"/>
      <c r="O590" s="207"/>
      <c r="P590" s="207"/>
      <c r="Q590" s="207"/>
      <c r="R590" s="207"/>
      <c r="S590" s="207"/>
      <c r="T590" s="207"/>
      <c r="U590" s="209"/>
      <c r="V590" s="207"/>
      <c r="W590" s="207"/>
      <c r="X590" s="209"/>
      <c r="Y590" s="209"/>
      <c r="Z590" s="207" t="str">
        <f t="shared" ca="1" si="90"/>
        <v/>
      </c>
      <c r="AA590" s="209" t="str">
        <f t="shared" si="87"/>
        <v/>
      </c>
      <c r="AB590" s="209"/>
      <c r="AC590" s="207" t="str">
        <f t="shared" ca="1" si="91"/>
        <v/>
      </c>
      <c r="AD590" s="207"/>
      <c r="AE590" s="207"/>
      <c r="AF590" s="208" t="str">
        <f>IF(ISBLANK(D590),"",VLOOKUP(F590,'SIZE CALCULATION'!$F:$G,2,0))</f>
        <v/>
      </c>
      <c r="AG590" s="207" t="str">
        <f t="shared" si="89"/>
        <v/>
      </c>
      <c r="AH590" s="207" t="str">
        <f t="shared" si="92"/>
        <v/>
      </c>
      <c r="AI590" s="210" t="str">
        <f>IF(ISBLANK(D590),"",VLOOKUP($A590,INDEX!$D$2:$F$13,3,0))</f>
        <v/>
      </c>
      <c r="AJ590" s="207" t="str">
        <f t="shared" si="93"/>
        <v/>
      </c>
      <c r="AK590" s="207"/>
      <c r="AL590" s="207"/>
      <c r="AM590" s="207" t="str">
        <f>IFERROR(IF(ISBLANK($D590),"",VLOOKUP($N590,'TABLE CHARGE RATE'!$A$30:$K$106,5,0)),"Check")</f>
        <v/>
      </c>
      <c r="AN590" s="207" t="str">
        <f>IFERROR(IF(ISBLANK($D590),"",VLOOKUP($N590,'TABLE CHARGE RATE'!$A$30:$K$106,6,0)),"Check")</f>
        <v/>
      </c>
      <c r="AO590" s="207" t="str">
        <f>IFERROR(IF(ISBLANK($D590),"",VLOOKUP($N590,'TABLE CHARGE RATE'!$A$30:$K$106,7,0)),"Check")</f>
        <v/>
      </c>
      <c r="AP590" s="207" t="str">
        <f>IFERROR(IF(ISBLANK($D590),"",VLOOKUP($N590,'TABLE CHARGE RATE'!$A$30:$K$106,8,0)),"Check")</f>
        <v/>
      </c>
      <c r="AQ590" s="207" t="str">
        <f>IFERROR(IF(ISBLANK($D590),"",VLOOKUP($N590,'TABLE CHARGE RATE'!$A$30:$K$106,9,0)),"Check")</f>
        <v/>
      </c>
      <c r="AR590" s="207" t="str">
        <f>IFERROR(IF(ISBLANK($D590),"",VLOOKUP($N590,'TABLE CHARGE RATE'!$A$30:$K$106,10,0)),"Check")</f>
        <v/>
      </c>
      <c r="AS590" s="207" t="str">
        <f>IFERROR(IF(ISBLANK($D590),"",VLOOKUP($N590,'TABLE CHARGE RATE'!$A$30:$K$106,11,0)),"Check")</f>
        <v/>
      </c>
      <c r="AT590" s="207"/>
    </row>
    <row r="591" spans="1:46" x14ac:dyDescent="0.2">
      <c r="A591" s="207" t="str">
        <f t="shared" si="88"/>
        <v/>
      </c>
      <c r="B591" s="208" t="str">
        <f>IF(ISBLANK(D591),"",VLOOKUP(WEEKDAY($C591,1),INDEX!$J$2:$K$8,2,0))</f>
        <v/>
      </c>
      <c r="C591" s="209"/>
      <c r="D591" s="207"/>
      <c r="E591" s="207"/>
      <c r="F591" s="207"/>
      <c r="G591" s="207"/>
      <c r="H591" s="207"/>
      <c r="I591" s="207"/>
      <c r="J591" s="207"/>
      <c r="K591" s="207"/>
      <c r="L591" s="207"/>
      <c r="M591" s="207"/>
      <c r="N591" s="207"/>
      <c r="O591" s="207"/>
      <c r="P591" s="207"/>
      <c r="Q591" s="207"/>
      <c r="R591" s="207"/>
      <c r="S591" s="207"/>
      <c r="T591" s="207"/>
      <c r="U591" s="209"/>
      <c r="V591" s="207"/>
      <c r="W591" s="207"/>
      <c r="X591" s="209"/>
      <c r="Y591" s="209"/>
      <c r="Z591" s="207" t="str">
        <f t="shared" ca="1" si="90"/>
        <v/>
      </c>
      <c r="AA591" s="209" t="str">
        <f t="shared" si="87"/>
        <v/>
      </c>
      <c r="AB591" s="209"/>
      <c r="AC591" s="207" t="str">
        <f t="shared" ca="1" si="91"/>
        <v/>
      </c>
      <c r="AD591" s="207"/>
      <c r="AE591" s="207"/>
      <c r="AF591" s="208" t="str">
        <f>IF(ISBLANK(D591),"",VLOOKUP(F591,'SIZE CALCULATION'!$F:$G,2,0))</f>
        <v/>
      </c>
      <c r="AG591" s="207" t="str">
        <f t="shared" si="89"/>
        <v/>
      </c>
      <c r="AH591" s="207" t="str">
        <f t="shared" si="92"/>
        <v/>
      </c>
      <c r="AI591" s="210" t="str">
        <f>IF(ISBLANK(D591),"",VLOOKUP($A591,INDEX!$D$2:$F$13,3,0))</f>
        <v/>
      </c>
      <c r="AJ591" s="207" t="str">
        <f t="shared" si="93"/>
        <v/>
      </c>
      <c r="AK591" s="207"/>
      <c r="AL591" s="207"/>
      <c r="AM591" s="207" t="str">
        <f>IFERROR(IF(ISBLANK($D591),"",VLOOKUP($N591,'TABLE CHARGE RATE'!$A$30:$K$106,5,0)),"Check")</f>
        <v/>
      </c>
      <c r="AN591" s="207" t="str">
        <f>IFERROR(IF(ISBLANK($D591),"",VLOOKUP($N591,'TABLE CHARGE RATE'!$A$30:$K$106,6,0)),"Check")</f>
        <v/>
      </c>
      <c r="AO591" s="207" t="str">
        <f>IFERROR(IF(ISBLANK($D591),"",VLOOKUP($N591,'TABLE CHARGE RATE'!$A$30:$K$106,7,0)),"Check")</f>
        <v/>
      </c>
      <c r="AP591" s="207" t="str">
        <f>IFERROR(IF(ISBLANK($D591),"",VLOOKUP($N591,'TABLE CHARGE RATE'!$A$30:$K$106,8,0)),"Check")</f>
        <v/>
      </c>
      <c r="AQ591" s="207" t="str">
        <f>IFERROR(IF(ISBLANK($D591),"",VLOOKUP($N591,'TABLE CHARGE RATE'!$A$30:$K$106,9,0)),"Check")</f>
        <v/>
      </c>
      <c r="AR591" s="207" t="str">
        <f>IFERROR(IF(ISBLANK($D591),"",VLOOKUP($N591,'TABLE CHARGE RATE'!$A$30:$K$106,10,0)),"Check")</f>
        <v/>
      </c>
      <c r="AS591" s="207" t="str">
        <f>IFERROR(IF(ISBLANK($D591),"",VLOOKUP($N591,'TABLE CHARGE RATE'!$A$30:$K$106,11,0)),"Check")</f>
        <v/>
      </c>
      <c r="AT591" s="207"/>
    </row>
    <row r="592" spans="1:46" x14ac:dyDescent="0.2">
      <c r="A592" s="207" t="str">
        <f t="shared" si="88"/>
        <v/>
      </c>
      <c r="B592" s="208" t="str">
        <f>IF(ISBLANK(D592),"",VLOOKUP(WEEKDAY($C592,1),INDEX!$J$2:$K$8,2,0))</f>
        <v/>
      </c>
      <c r="C592" s="209"/>
      <c r="D592" s="207"/>
      <c r="E592" s="207"/>
      <c r="F592" s="207"/>
      <c r="G592" s="207"/>
      <c r="H592" s="207"/>
      <c r="I592" s="207"/>
      <c r="J592" s="207"/>
      <c r="K592" s="207"/>
      <c r="L592" s="207"/>
      <c r="M592" s="207"/>
      <c r="N592" s="207"/>
      <c r="O592" s="207"/>
      <c r="P592" s="207"/>
      <c r="Q592" s="207"/>
      <c r="R592" s="207"/>
      <c r="S592" s="207"/>
      <c r="T592" s="207"/>
      <c r="U592" s="209"/>
      <c r="V592" s="207"/>
      <c r="W592" s="207"/>
      <c r="X592" s="209"/>
      <c r="Y592" s="209"/>
      <c r="Z592" s="207" t="str">
        <f t="shared" ca="1" si="90"/>
        <v/>
      </c>
      <c r="AA592" s="209" t="str">
        <f t="shared" si="87"/>
        <v/>
      </c>
      <c r="AB592" s="209"/>
      <c r="AC592" s="207" t="str">
        <f t="shared" ca="1" si="91"/>
        <v/>
      </c>
      <c r="AD592" s="207"/>
      <c r="AE592" s="207"/>
      <c r="AF592" s="208" t="str">
        <f>IF(ISBLANK(D592),"",VLOOKUP(F592,'SIZE CALCULATION'!$F:$G,2,0))</f>
        <v/>
      </c>
      <c r="AG592" s="207" t="str">
        <f t="shared" si="89"/>
        <v/>
      </c>
      <c r="AH592" s="207" t="str">
        <f t="shared" si="92"/>
        <v/>
      </c>
      <c r="AI592" s="210" t="str">
        <f>IF(ISBLANK(D592),"",VLOOKUP($A592,INDEX!$D$2:$F$13,3,0))</f>
        <v/>
      </c>
      <c r="AJ592" s="207" t="str">
        <f t="shared" si="93"/>
        <v/>
      </c>
      <c r="AK592" s="207"/>
      <c r="AL592" s="207"/>
      <c r="AM592" s="207" t="str">
        <f>IFERROR(IF(ISBLANK($D592),"",VLOOKUP($N592,'TABLE CHARGE RATE'!$A$30:$K$106,5,0)),"Check")</f>
        <v/>
      </c>
      <c r="AN592" s="207" t="str">
        <f>IFERROR(IF(ISBLANK($D592),"",VLOOKUP($N592,'TABLE CHARGE RATE'!$A$30:$K$106,6,0)),"Check")</f>
        <v/>
      </c>
      <c r="AO592" s="207" t="str">
        <f>IFERROR(IF(ISBLANK($D592),"",VLOOKUP($N592,'TABLE CHARGE RATE'!$A$30:$K$106,7,0)),"Check")</f>
        <v/>
      </c>
      <c r="AP592" s="207" t="str">
        <f>IFERROR(IF(ISBLANK($D592),"",VLOOKUP($N592,'TABLE CHARGE RATE'!$A$30:$K$106,8,0)),"Check")</f>
        <v/>
      </c>
      <c r="AQ592" s="207" t="str">
        <f>IFERROR(IF(ISBLANK($D592),"",VLOOKUP($N592,'TABLE CHARGE RATE'!$A$30:$K$106,9,0)),"Check")</f>
        <v/>
      </c>
      <c r="AR592" s="207" t="str">
        <f>IFERROR(IF(ISBLANK($D592),"",VLOOKUP($N592,'TABLE CHARGE RATE'!$A$30:$K$106,10,0)),"Check")</f>
        <v/>
      </c>
      <c r="AS592" s="207" t="str">
        <f>IFERROR(IF(ISBLANK($D592),"",VLOOKUP($N592,'TABLE CHARGE RATE'!$A$30:$K$106,11,0)),"Check")</f>
        <v/>
      </c>
      <c r="AT592" s="207"/>
    </row>
    <row r="593" spans="1:46" x14ac:dyDescent="0.2">
      <c r="A593" s="207" t="str">
        <f t="shared" si="88"/>
        <v/>
      </c>
      <c r="B593" s="208" t="str">
        <f>IF(ISBLANK(D593),"",VLOOKUP(WEEKDAY($C593,1),INDEX!$J$2:$K$8,2,0))</f>
        <v/>
      </c>
      <c r="C593" s="209"/>
      <c r="D593" s="207"/>
      <c r="E593" s="207"/>
      <c r="F593" s="207"/>
      <c r="G593" s="207"/>
      <c r="H593" s="207"/>
      <c r="I593" s="207"/>
      <c r="J593" s="207"/>
      <c r="K593" s="207"/>
      <c r="L593" s="207"/>
      <c r="M593" s="207"/>
      <c r="N593" s="207"/>
      <c r="O593" s="207"/>
      <c r="P593" s="207"/>
      <c r="Q593" s="207"/>
      <c r="R593" s="207"/>
      <c r="S593" s="207"/>
      <c r="T593" s="207"/>
      <c r="U593" s="209"/>
      <c r="V593" s="207"/>
      <c r="W593" s="207"/>
      <c r="X593" s="209"/>
      <c r="Y593" s="209"/>
      <c r="Z593" s="207" t="str">
        <f t="shared" ca="1" si="90"/>
        <v/>
      </c>
      <c r="AA593" s="209" t="str">
        <f t="shared" si="87"/>
        <v/>
      </c>
      <c r="AB593" s="209"/>
      <c r="AC593" s="207" t="str">
        <f t="shared" ca="1" si="91"/>
        <v/>
      </c>
      <c r="AD593" s="207"/>
      <c r="AE593" s="207"/>
      <c r="AF593" s="208" t="str">
        <f>IF(ISBLANK(D593),"",VLOOKUP(F593,'SIZE CALCULATION'!$F:$G,2,0))</f>
        <v/>
      </c>
      <c r="AG593" s="207" t="str">
        <f t="shared" si="89"/>
        <v/>
      </c>
      <c r="AH593" s="207" t="str">
        <f t="shared" si="92"/>
        <v/>
      </c>
      <c r="AI593" s="210" t="str">
        <f>IF(ISBLANK(D593),"",VLOOKUP($A593,INDEX!$D$2:$F$13,3,0))</f>
        <v/>
      </c>
      <c r="AJ593" s="207" t="str">
        <f t="shared" si="93"/>
        <v/>
      </c>
      <c r="AK593" s="207"/>
      <c r="AL593" s="207"/>
      <c r="AM593" s="207" t="str">
        <f>IFERROR(IF(ISBLANK($D593),"",VLOOKUP($N593,'TABLE CHARGE RATE'!$A$30:$K$106,5,0)),"Check")</f>
        <v/>
      </c>
      <c r="AN593" s="207" t="str">
        <f>IFERROR(IF(ISBLANK($D593),"",VLOOKUP($N593,'TABLE CHARGE RATE'!$A$30:$K$106,6,0)),"Check")</f>
        <v/>
      </c>
      <c r="AO593" s="207" t="str">
        <f>IFERROR(IF(ISBLANK($D593),"",VLOOKUP($N593,'TABLE CHARGE RATE'!$A$30:$K$106,7,0)),"Check")</f>
        <v/>
      </c>
      <c r="AP593" s="207" t="str">
        <f>IFERROR(IF(ISBLANK($D593),"",VLOOKUP($N593,'TABLE CHARGE RATE'!$A$30:$K$106,8,0)),"Check")</f>
        <v/>
      </c>
      <c r="AQ593" s="207" t="str">
        <f>IFERROR(IF(ISBLANK($D593),"",VLOOKUP($N593,'TABLE CHARGE RATE'!$A$30:$K$106,9,0)),"Check")</f>
        <v/>
      </c>
      <c r="AR593" s="207" t="str">
        <f>IFERROR(IF(ISBLANK($D593),"",VLOOKUP($N593,'TABLE CHARGE RATE'!$A$30:$K$106,10,0)),"Check")</f>
        <v/>
      </c>
      <c r="AS593" s="207" t="str">
        <f>IFERROR(IF(ISBLANK($D593),"",VLOOKUP($N593,'TABLE CHARGE RATE'!$A$30:$K$106,11,0)),"Check")</f>
        <v/>
      </c>
      <c r="AT593" s="207"/>
    </row>
    <row r="594" spans="1:46" x14ac:dyDescent="0.2">
      <c r="A594" s="207" t="str">
        <f t="shared" si="88"/>
        <v/>
      </c>
      <c r="B594" s="208" t="str">
        <f>IF(ISBLANK(D594),"",VLOOKUP(WEEKDAY($C594,1),INDEX!$J$2:$K$8,2,0))</f>
        <v/>
      </c>
      <c r="C594" s="209"/>
      <c r="D594" s="207"/>
      <c r="E594" s="207"/>
      <c r="F594" s="207"/>
      <c r="G594" s="207"/>
      <c r="H594" s="207"/>
      <c r="I594" s="207"/>
      <c r="J594" s="207"/>
      <c r="K594" s="207"/>
      <c r="L594" s="207"/>
      <c r="M594" s="207"/>
      <c r="N594" s="207"/>
      <c r="O594" s="207"/>
      <c r="P594" s="207"/>
      <c r="Q594" s="207"/>
      <c r="R594" s="207"/>
      <c r="S594" s="207"/>
      <c r="T594" s="207"/>
      <c r="U594" s="209"/>
      <c r="V594" s="207"/>
      <c r="W594" s="207"/>
      <c r="X594" s="209"/>
      <c r="Y594" s="209"/>
      <c r="Z594" s="207" t="str">
        <f t="shared" ca="1" si="90"/>
        <v/>
      </c>
      <c r="AA594" s="209" t="str">
        <f t="shared" si="87"/>
        <v/>
      </c>
      <c r="AB594" s="209"/>
      <c r="AC594" s="207" t="str">
        <f t="shared" ca="1" si="91"/>
        <v/>
      </c>
      <c r="AD594" s="207"/>
      <c r="AE594" s="207"/>
      <c r="AF594" s="208" t="str">
        <f>IF(ISBLANK(D594),"",VLOOKUP(F594,'SIZE CALCULATION'!$F:$G,2,0))</f>
        <v/>
      </c>
      <c r="AG594" s="207" t="str">
        <f t="shared" si="89"/>
        <v/>
      </c>
      <c r="AH594" s="207" t="str">
        <f t="shared" si="92"/>
        <v/>
      </c>
      <c r="AI594" s="210" t="str">
        <f>IF(ISBLANK(D594),"",VLOOKUP($A594,INDEX!$D$2:$F$13,3,0))</f>
        <v/>
      </c>
      <c r="AJ594" s="207" t="str">
        <f t="shared" si="93"/>
        <v/>
      </c>
      <c r="AK594" s="207"/>
      <c r="AL594" s="207"/>
      <c r="AM594" s="207" t="str">
        <f>IFERROR(IF(ISBLANK($D594),"",VLOOKUP($N594,'TABLE CHARGE RATE'!$A$30:$K$106,5,0)),"Check")</f>
        <v/>
      </c>
      <c r="AN594" s="207" t="str">
        <f>IFERROR(IF(ISBLANK($D594),"",VLOOKUP($N594,'TABLE CHARGE RATE'!$A$30:$K$106,6,0)),"Check")</f>
        <v/>
      </c>
      <c r="AO594" s="207" t="str">
        <f>IFERROR(IF(ISBLANK($D594),"",VLOOKUP($N594,'TABLE CHARGE RATE'!$A$30:$K$106,7,0)),"Check")</f>
        <v/>
      </c>
      <c r="AP594" s="207" t="str">
        <f>IFERROR(IF(ISBLANK($D594),"",VLOOKUP($N594,'TABLE CHARGE RATE'!$A$30:$K$106,8,0)),"Check")</f>
        <v/>
      </c>
      <c r="AQ594" s="207" t="str">
        <f>IFERROR(IF(ISBLANK($D594),"",VLOOKUP($N594,'TABLE CHARGE RATE'!$A$30:$K$106,9,0)),"Check")</f>
        <v/>
      </c>
      <c r="AR594" s="207" t="str">
        <f>IFERROR(IF(ISBLANK($D594),"",VLOOKUP($N594,'TABLE CHARGE RATE'!$A$30:$K$106,10,0)),"Check")</f>
        <v/>
      </c>
      <c r="AS594" s="207" t="str">
        <f>IFERROR(IF(ISBLANK($D594),"",VLOOKUP($N594,'TABLE CHARGE RATE'!$A$30:$K$106,11,0)),"Check")</f>
        <v/>
      </c>
      <c r="AT594" s="207"/>
    </row>
    <row r="595" spans="1:46" x14ac:dyDescent="0.2">
      <c r="A595" s="207" t="str">
        <f t="shared" si="88"/>
        <v/>
      </c>
      <c r="B595" s="208" t="str">
        <f>IF(ISBLANK(D595),"",VLOOKUP(WEEKDAY($C595,1),INDEX!$J$2:$K$8,2,0))</f>
        <v/>
      </c>
      <c r="C595" s="209"/>
      <c r="D595" s="207"/>
      <c r="E595" s="207"/>
      <c r="F595" s="207"/>
      <c r="G595" s="207"/>
      <c r="H595" s="207"/>
      <c r="I595" s="207"/>
      <c r="J595" s="207"/>
      <c r="K595" s="207"/>
      <c r="L595" s="207"/>
      <c r="M595" s="207"/>
      <c r="N595" s="207"/>
      <c r="O595" s="207"/>
      <c r="P595" s="207"/>
      <c r="Q595" s="207"/>
      <c r="R595" s="207"/>
      <c r="S595" s="207"/>
      <c r="T595" s="207"/>
      <c r="U595" s="209"/>
      <c r="V595" s="207"/>
      <c r="W595" s="207"/>
      <c r="X595" s="209"/>
      <c r="Y595" s="209"/>
      <c r="Z595" s="207" t="str">
        <f t="shared" ca="1" si="90"/>
        <v/>
      </c>
      <c r="AA595" s="209" t="str">
        <f t="shared" si="87"/>
        <v/>
      </c>
      <c r="AB595" s="209"/>
      <c r="AC595" s="207" t="str">
        <f t="shared" ca="1" si="91"/>
        <v/>
      </c>
      <c r="AD595" s="207"/>
      <c r="AE595" s="207"/>
      <c r="AF595" s="208" t="str">
        <f>IF(ISBLANK(D595),"",VLOOKUP(F595,'SIZE CALCULATION'!$F:$G,2,0))</f>
        <v/>
      </c>
      <c r="AG595" s="207" t="str">
        <f t="shared" si="89"/>
        <v/>
      </c>
      <c r="AH595" s="207" t="str">
        <f t="shared" si="92"/>
        <v/>
      </c>
      <c r="AI595" s="210" t="str">
        <f>IF(ISBLANK(D595),"",VLOOKUP($A595,INDEX!$D$2:$F$13,3,0))</f>
        <v/>
      </c>
      <c r="AJ595" s="207" t="str">
        <f t="shared" si="93"/>
        <v/>
      </c>
      <c r="AK595" s="207"/>
      <c r="AL595" s="207"/>
      <c r="AM595" s="207" t="str">
        <f>IFERROR(IF(ISBLANK($D595),"",VLOOKUP($N595,'TABLE CHARGE RATE'!$A$30:$K$106,5,0)),"Check")</f>
        <v/>
      </c>
      <c r="AN595" s="207" t="str">
        <f>IFERROR(IF(ISBLANK($D595),"",VLOOKUP($N595,'TABLE CHARGE RATE'!$A$30:$K$106,6,0)),"Check")</f>
        <v/>
      </c>
      <c r="AO595" s="207" t="str">
        <f>IFERROR(IF(ISBLANK($D595),"",VLOOKUP($N595,'TABLE CHARGE RATE'!$A$30:$K$106,7,0)),"Check")</f>
        <v/>
      </c>
      <c r="AP595" s="207" t="str">
        <f>IFERROR(IF(ISBLANK($D595),"",VLOOKUP($N595,'TABLE CHARGE RATE'!$A$30:$K$106,8,0)),"Check")</f>
        <v/>
      </c>
      <c r="AQ595" s="207" t="str">
        <f>IFERROR(IF(ISBLANK($D595),"",VLOOKUP($N595,'TABLE CHARGE RATE'!$A$30:$K$106,9,0)),"Check")</f>
        <v/>
      </c>
      <c r="AR595" s="207" t="str">
        <f>IFERROR(IF(ISBLANK($D595),"",VLOOKUP($N595,'TABLE CHARGE RATE'!$A$30:$K$106,10,0)),"Check")</f>
        <v/>
      </c>
      <c r="AS595" s="207" t="str">
        <f>IFERROR(IF(ISBLANK($D595),"",VLOOKUP($N595,'TABLE CHARGE RATE'!$A$30:$K$106,11,0)),"Check")</f>
        <v/>
      </c>
      <c r="AT595" s="207"/>
    </row>
    <row r="596" spans="1:46" x14ac:dyDescent="0.2">
      <c r="A596" s="207" t="str">
        <f t="shared" si="88"/>
        <v/>
      </c>
      <c r="B596" s="208" t="str">
        <f>IF(ISBLANK(D596),"",VLOOKUP(WEEKDAY($C596,1),INDEX!$J$2:$K$8,2,0))</f>
        <v/>
      </c>
      <c r="C596" s="209"/>
      <c r="D596" s="207"/>
      <c r="E596" s="207"/>
      <c r="F596" s="207"/>
      <c r="G596" s="207"/>
      <c r="H596" s="207"/>
      <c r="I596" s="207"/>
      <c r="J596" s="207"/>
      <c r="K596" s="207"/>
      <c r="L596" s="207"/>
      <c r="M596" s="207"/>
      <c r="N596" s="207"/>
      <c r="O596" s="207"/>
      <c r="P596" s="207"/>
      <c r="Q596" s="207"/>
      <c r="R596" s="207"/>
      <c r="S596" s="207"/>
      <c r="T596" s="207"/>
      <c r="U596" s="209"/>
      <c r="V596" s="207"/>
      <c r="W596" s="207"/>
      <c r="X596" s="209"/>
      <c r="Y596" s="209"/>
      <c r="Z596" s="207" t="str">
        <f t="shared" ca="1" si="90"/>
        <v/>
      </c>
      <c r="AA596" s="209" t="str">
        <f t="shared" si="87"/>
        <v/>
      </c>
      <c r="AB596" s="209"/>
      <c r="AC596" s="207" t="str">
        <f t="shared" ca="1" si="91"/>
        <v/>
      </c>
      <c r="AD596" s="207"/>
      <c r="AE596" s="207"/>
      <c r="AF596" s="208" t="str">
        <f>IF(ISBLANK(D596),"",VLOOKUP(F596,'SIZE CALCULATION'!$F:$G,2,0))</f>
        <v/>
      </c>
      <c r="AG596" s="207" t="str">
        <f t="shared" si="89"/>
        <v/>
      </c>
      <c r="AH596" s="207" t="str">
        <f t="shared" si="92"/>
        <v/>
      </c>
      <c r="AI596" s="210" t="str">
        <f>IF(ISBLANK(D596),"",VLOOKUP($A596,INDEX!$D$2:$F$13,3,0))</f>
        <v/>
      </c>
      <c r="AJ596" s="207" t="str">
        <f t="shared" si="93"/>
        <v/>
      </c>
      <c r="AK596" s="207"/>
      <c r="AL596" s="207"/>
      <c r="AM596" s="207" t="str">
        <f>IFERROR(IF(ISBLANK($D596),"",VLOOKUP($N596,'TABLE CHARGE RATE'!$A$30:$K$106,5,0)),"Check")</f>
        <v/>
      </c>
      <c r="AN596" s="207" t="str">
        <f>IFERROR(IF(ISBLANK($D596),"",VLOOKUP($N596,'TABLE CHARGE RATE'!$A$30:$K$106,6,0)),"Check")</f>
        <v/>
      </c>
      <c r="AO596" s="207" t="str">
        <f>IFERROR(IF(ISBLANK($D596),"",VLOOKUP($N596,'TABLE CHARGE RATE'!$A$30:$K$106,7,0)),"Check")</f>
        <v/>
      </c>
      <c r="AP596" s="207" t="str">
        <f>IFERROR(IF(ISBLANK($D596),"",VLOOKUP($N596,'TABLE CHARGE RATE'!$A$30:$K$106,8,0)),"Check")</f>
        <v/>
      </c>
      <c r="AQ596" s="207" t="str">
        <f>IFERROR(IF(ISBLANK($D596),"",VLOOKUP($N596,'TABLE CHARGE RATE'!$A$30:$K$106,9,0)),"Check")</f>
        <v/>
      </c>
      <c r="AR596" s="207" t="str">
        <f>IFERROR(IF(ISBLANK($D596),"",VLOOKUP($N596,'TABLE CHARGE RATE'!$A$30:$K$106,10,0)),"Check")</f>
        <v/>
      </c>
      <c r="AS596" s="207" t="str">
        <f>IFERROR(IF(ISBLANK($D596),"",VLOOKUP($N596,'TABLE CHARGE RATE'!$A$30:$K$106,11,0)),"Check")</f>
        <v/>
      </c>
      <c r="AT596" s="207"/>
    </row>
    <row r="597" spans="1:46" x14ac:dyDescent="0.2">
      <c r="A597" s="207" t="str">
        <f t="shared" si="88"/>
        <v/>
      </c>
      <c r="B597" s="208" t="str">
        <f>IF(ISBLANK(D597),"",VLOOKUP(WEEKDAY($C597,1),INDEX!$J$2:$K$8,2,0))</f>
        <v/>
      </c>
      <c r="C597" s="209"/>
      <c r="D597" s="207"/>
      <c r="E597" s="207"/>
      <c r="F597" s="207"/>
      <c r="G597" s="207"/>
      <c r="H597" s="207"/>
      <c r="I597" s="207"/>
      <c r="J597" s="207"/>
      <c r="K597" s="207"/>
      <c r="L597" s="207"/>
      <c r="M597" s="207"/>
      <c r="N597" s="207"/>
      <c r="O597" s="207"/>
      <c r="P597" s="207"/>
      <c r="Q597" s="207"/>
      <c r="R597" s="207"/>
      <c r="S597" s="207"/>
      <c r="T597" s="207"/>
      <c r="U597" s="209"/>
      <c r="V597" s="207"/>
      <c r="W597" s="207"/>
      <c r="X597" s="209"/>
      <c r="Y597" s="209"/>
      <c r="Z597" s="207" t="str">
        <f t="shared" ca="1" si="90"/>
        <v/>
      </c>
      <c r="AA597" s="209" t="str">
        <f t="shared" si="87"/>
        <v/>
      </c>
      <c r="AB597" s="209"/>
      <c r="AC597" s="207" t="str">
        <f t="shared" ca="1" si="91"/>
        <v/>
      </c>
      <c r="AD597" s="207"/>
      <c r="AE597" s="207"/>
      <c r="AF597" s="208" t="str">
        <f>IF(ISBLANK(D597),"",VLOOKUP(F597,'SIZE CALCULATION'!$F:$G,2,0))</f>
        <v/>
      </c>
      <c r="AG597" s="207" t="str">
        <f t="shared" si="89"/>
        <v/>
      </c>
      <c r="AH597" s="207" t="str">
        <f t="shared" si="92"/>
        <v/>
      </c>
      <c r="AI597" s="210" t="str">
        <f>IF(ISBLANK(D597),"",VLOOKUP($A597,INDEX!$D$2:$F$13,3,0))</f>
        <v/>
      </c>
      <c r="AJ597" s="207" t="str">
        <f t="shared" si="93"/>
        <v/>
      </c>
      <c r="AK597" s="207"/>
      <c r="AL597" s="207"/>
      <c r="AM597" s="207" t="str">
        <f>IFERROR(IF(ISBLANK($D597),"",VLOOKUP($N597,'TABLE CHARGE RATE'!$A$30:$K$106,5,0)),"Check")</f>
        <v/>
      </c>
      <c r="AN597" s="207" t="str">
        <f>IFERROR(IF(ISBLANK($D597),"",VLOOKUP($N597,'TABLE CHARGE RATE'!$A$30:$K$106,6,0)),"Check")</f>
        <v/>
      </c>
      <c r="AO597" s="207" t="str">
        <f>IFERROR(IF(ISBLANK($D597),"",VLOOKUP($N597,'TABLE CHARGE RATE'!$A$30:$K$106,7,0)),"Check")</f>
        <v/>
      </c>
      <c r="AP597" s="207" t="str">
        <f>IFERROR(IF(ISBLANK($D597),"",VLOOKUP($N597,'TABLE CHARGE RATE'!$A$30:$K$106,8,0)),"Check")</f>
        <v/>
      </c>
      <c r="AQ597" s="207" t="str">
        <f>IFERROR(IF(ISBLANK($D597),"",VLOOKUP($N597,'TABLE CHARGE RATE'!$A$30:$K$106,9,0)),"Check")</f>
        <v/>
      </c>
      <c r="AR597" s="207" t="str">
        <f>IFERROR(IF(ISBLANK($D597),"",VLOOKUP($N597,'TABLE CHARGE RATE'!$A$30:$K$106,10,0)),"Check")</f>
        <v/>
      </c>
      <c r="AS597" s="207" t="str">
        <f>IFERROR(IF(ISBLANK($D597),"",VLOOKUP($N597,'TABLE CHARGE RATE'!$A$30:$K$106,11,0)),"Check")</f>
        <v/>
      </c>
      <c r="AT597" s="207"/>
    </row>
    <row r="598" spans="1:46" x14ac:dyDescent="0.2">
      <c r="A598" s="207" t="str">
        <f t="shared" si="88"/>
        <v/>
      </c>
      <c r="B598" s="208" t="str">
        <f>IF(ISBLANK(D598),"",VLOOKUP(WEEKDAY($C598,1),INDEX!$J$2:$K$8,2,0))</f>
        <v/>
      </c>
      <c r="C598" s="209"/>
      <c r="D598" s="207"/>
      <c r="E598" s="207"/>
      <c r="F598" s="207"/>
      <c r="G598" s="207"/>
      <c r="H598" s="207"/>
      <c r="I598" s="207"/>
      <c r="J598" s="207"/>
      <c r="K598" s="207"/>
      <c r="L598" s="207"/>
      <c r="M598" s="207"/>
      <c r="N598" s="207"/>
      <c r="O598" s="207"/>
      <c r="P598" s="207"/>
      <c r="Q598" s="207"/>
      <c r="R598" s="207"/>
      <c r="S598" s="207"/>
      <c r="T598" s="207"/>
      <c r="U598" s="209"/>
      <c r="V598" s="207"/>
      <c r="W598" s="207"/>
      <c r="X598" s="209"/>
      <c r="Y598" s="209"/>
      <c r="Z598" s="207" t="str">
        <f t="shared" ca="1" si="90"/>
        <v/>
      </c>
      <c r="AA598" s="209" t="str">
        <f t="shared" si="87"/>
        <v/>
      </c>
      <c r="AB598" s="209"/>
      <c r="AC598" s="207" t="str">
        <f t="shared" ca="1" si="91"/>
        <v/>
      </c>
      <c r="AD598" s="207"/>
      <c r="AE598" s="207"/>
      <c r="AF598" s="208" t="str">
        <f>IF(ISBLANK(D598),"",VLOOKUP(F598,'SIZE CALCULATION'!$F:$G,2,0))</f>
        <v/>
      </c>
      <c r="AG598" s="207" t="str">
        <f t="shared" si="89"/>
        <v/>
      </c>
      <c r="AH598" s="207" t="str">
        <f t="shared" si="92"/>
        <v/>
      </c>
      <c r="AI598" s="210" t="str">
        <f>IF(ISBLANK(D598),"",VLOOKUP($A598,INDEX!$D$2:$F$13,3,0))</f>
        <v/>
      </c>
      <c r="AJ598" s="207" t="str">
        <f t="shared" si="93"/>
        <v/>
      </c>
      <c r="AK598" s="207"/>
      <c r="AL598" s="207"/>
      <c r="AM598" s="207" t="str">
        <f>IFERROR(IF(ISBLANK($D598),"",VLOOKUP($N598,'TABLE CHARGE RATE'!$A$30:$K$106,5,0)),"Check")</f>
        <v/>
      </c>
      <c r="AN598" s="207" t="str">
        <f>IFERROR(IF(ISBLANK($D598),"",VLOOKUP($N598,'TABLE CHARGE RATE'!$A$30:$K$106,6,0)),"Check")</f>
        <v/>
      </c>
      <c r="AO598" s="207" t="str">
        <f>IFERROR(IF(ISBLANK($D598),"",VLOOKUP($N598,'TABLE CHARGE RATE'!$A$30:$K$106,7,0)),"Check")</f>
        <v/>
      </c>
      <c r="AP598" s="207" t="str">
        <f>IFERROR(IF(ISBLANK($D598),"",VLOOKUP($N598,'TABLE CHARGE RATE'!$A$30:$K$106,8,0)),"Check")</f>
        <v/>
      </c>
      <c r="AQ598" s="207" t="str">
        <f>IFERROR(IF(ISBLANK($D598),"",VLOOKUP($N598,'TABLE CHARGE RATE'!$A$30:$K$106,9,0)),"Check")</f>
        <v/>
      </c>
      <c r="AR598" s="207" t="str">
        <f>IFERROR(IF(ISBLANK($D598),"",VLOOKUP($N598,'TABLE CHARGE RATE'!$A$30:$K$106,10,0)),"Check")</f>
        <v/>
      </c>
      <c r="AS598" s="207" t="str">
        <f>IFERROR(IF(ISBLANK($D598),"",VLOOKUP($N598,'TABLE CHARGE RATE'!$A$30:$K$106,11,0)),"Check")</f>
        <v/>
      </c>
      <c r="AT598" s="207"/>
    </row>
    <row r="599" spans="1:46" x14ac:dyDescent="0.2">
      <c r="A599" s="207" t="str">
        <f t="shared" si="88"/>
        <v/>
      </c>
      <c r="B599" s="208" t="str">
        <f>IF(ISBLANK(D599),"",VLOOKUP(WEEKDAY($C599,1),INDEX!$J$2:$K$8,2,0))</f>
        <v/>
      </c>
      <c r="C599" s="209"/>
      <c r="D599" s="207"/>
      <c r="E599" s="207"/>
      <c r="F599" s="207"/>
      <c r="G599" s="207"/>
      <c r="H599" s="207"/>
      <c r="I599" s="207"/>
      <c r="J599" s="207"/>
      <c r="K599" s="207"/>
      <c r="L599" s="207"/>
      <c r="M599" s="207"/>
      <c r="N599" s="207"/>
      <c r="O599" s="207"/>
      <c r="P599" s="207"/>
      <c r="Q599" s="207"/>
      <c r="R599" s="207"/>
      <c r="S599" s="207"/>
      <c r="T599" s="207"/>
      <c r="U599" s="209"/>
      <c r="V599" s="207"/>
      <c r="W599" s="207"/>
      <c r="X599" s="209"/>
      <c r="Y599" s="209"/>
      <c r="Z599" s="207" t="str">
        <f t="shared" ca="1" si="90"/>
        <v/>
      </c>
      <c r="AA599" s="209" t="str">
        <f t="shared" si="87"/>
        <v/>
      </c>
      <c r="AB599" s="209"/>
      <c r="AC599" s="207" t="str">
        <f t="shared" ca="1" si="91"/>
        <v/>
      </c>
      <c r="AD599" s="207"/>
      <c r="AE599" s="207"/>
      <c r="AF599" s="208" t="str">
        <f>IF(ISBLANK(D599),"",VLOOKUP(F599,'SIZE CALCULATION'!$F:$G,2,0))</f>
        <v/>
      </c>
      <c r="AG599" s="207" t="str">
        <f t="shared" si="89"/>
        <v/>
      </c>
      <c r="AH599" s="207" t="str">
        <f t="shared" si="92"/>
        <v/>
      </c>
      <c r="AI599" s="210" t="str">
        <f>IF(ISBLANK(D599),"",VLOOKUP($A599,INDEX!$D$2:$F$13,3,0))</f>
        <v/>
      </c>
      <c r="AJ599" s="207" t="str">
        <f t="shared" si="93"/>
        <v/>
      </c>
      <c r="AK599" s="207"/>
      <c r="AL599" s="207"/>
      <c r="AM599" s="207" t="str">
        <f>IFERROR(IF(ISBLANK($D599),"",VLOOKUP($N599,'TABLE CHARGE RATE'!$A$30:$K$106,5,0)),"Check")</f>
        <v/>
      </c>
      <c r="AN599" s="207" t="str">
        <f>IFERROR(IF(ISBLANK($D599),"",VLOOKUP($N599,'TABLE CHARGE RATE'!$A$30:$K$106,6,0)),"Check")</f>
        <v/>
      </c>
      <c r="AO599" s="207" t="str">
        <f>IFERROR(IF(ISBLANK($D599),"",VLOOKUP($N599,'TABLE CHARGE RATE'!$A$30:$K$106,7,0)),"Check")</f>
        <v/>
      </c>
      <c r="AP599" s="207" t="str">
        <f>IFERROR(IF(ISBLANK($D599),"",VLOOKUP($N599,'TABLE CHARGE RATE'!$A$30:$K$106,8,0)),"Check")</f>
        <v/>
      </c>
      <c r="AQ599" s="207" t="str">
        <f>IFERROR(IF(ISBLANK($D599),"",VLOOKUP($N599,'TABLE CHARGE RATE'!$A$30:$K$106,9,0)),"Check")</f>
        <v/>
      </c>
      <c r="AR599" s="207" t="str">
        <f>IFERROR(IF(ISBLANK($D599),"",VLOOKUP($N599,'TABLE CHARGE RATE'!$A$30:$K$106,10,0)),"Check")</f>
        <v/>
      </c>
      <c r="AS599" s="207" t="str">
        <f>IFERROR(IF(ISBLANK($D599),"",VLOOKUP($N599,'TABLE CHARGE RATE'!$A$30:$K$106,11,0)),"Check")</f>
        <v/>
      </c>
      <c r="AT599" s="207"/>
    </row>
    <row r="600" spans="1:46" x14ac:dyDescent="0.2">
      <c r="A600" s="207" t="str">
        <f t="shared" si="88"/>
        <v/>
      </c>
      <c r="B600" s="208" t="str">
        <f>IF(ISBLANK(D600),"",VLOOKUP(WEEKDAY($C600,1),INDEX!$J$2:$K$8,2,0))</f>
        <v/>
      </c>
      <c r="C600" s="209"/>
      <c r="D600" s="207"/>
      <c r="E600" s="207"/>
      <c r="F600" s="207"/>
      <c r="G600" s="207"/>
      <c r="H600" s="207"/>
      <c r="I600" s="207"/>
      <c r="J600" s="207"/>
      <c r="K600" s="207"/>
      <c r="L600" s="207"/>
      <c r="M600" s="207"/>
      <c r="N600" s="207"/>
      <c r="O600" s="207"/>
      <c r="P600" s="207"/>
      <c r="Q600" s="207"/>
      <c r="R600" s="207"/>
      <c r="S600" s="207"/>
      <c r="T600" s="207"/>
      <c r="U600" s="209"/>
      <c r="V600" s="207"/>
      <c r="W600" s="207"/>
      <c r="X600" s="209"/>
      <c r="Y600" s="209"/>
      <c r="Z600" s="207" t="str">
        <f t="shared" ca="1" si="90"/>
        <v/>
      </c>
      <c r="AA600" s="209" t="str">
        <f t="shared" si="87"/>
        <v/>
      </c>
      <c r="AB600" s="209"/>
      <c r="AC600" s="207" t="str">
        <f t="shared" ca="1" si="91"/>
        <v/>
      </c>
      <c r="AD600" s="207"/>
      <c r="AE600" s="207"/>
      <c r="AF600" s="208" t="str">
        <f>IF(ISBLANK(D600),"",VLOOKUP(F600,'SIZE CALCULATION'!$F:$G,2,0))</f>
        <v/>
      </c>
      <c r="AG600" s="207" t="str">
        <f t="shared" si="89"/>
        <v/>
      </c>
      <c r="AH600" s="207" t="str">
        <f t="shared" si="92"/>
        <v/>
      </c>
      <c r="AI600" s="210" t="str">
        <f>IF(ISBLANK(D600),"",VLOOKUP($A600,INDEX!$D$2:$F$13,3,0))</f>
        <v/>
      </c>
      <c r="AJ600" s="207" t="str">
        <f t="shared" si="93"/>
        <v/>
      </c>
      <c r="AK600" s="207"/>
      <c r="AL600" s="207"/>
      <c r="AM600" s="207" t="str">
        <f>IFERROR(IF(ISBLANK($D600),"",VLOOKUP($N600,'TABLE CHARGE RATE'!$A$30:$K$106,5,0)),"Check")</f>
        <v/>
      </c>
      <c r="AN600" s="207" t="str">
        <f>IFERROR(IF(ISBLANK($D600),"",VLOOKUP($N600,'TABLE CHARGE RATE'!$A$30:$K$106,6,0)),"Check")</f>
        <v/>
      </c>
      <c r="AO600" s="207" t="str">
        <f>IFERROR(IF(ISBLANK($D600),"",VLOOKUP($N600,'TABLE CHARGE RATE'!$A$30:$K$106,7,0)),"Check")</f>
        <v/>
      </c>
      <c r="AP600" s="207" t="str">
        <f>IFERROR(IF(ISBLANK($D600),"",VLOOKUP($N600,'TABLE CHARGE RATE'!$A$30:$K$106,8,0)),"Check")</f>
        <v/>
      </c>
      <c r="AQ600" s="207" t="str">
        <f>IFERROR(IF(ISBLANK($D600),"",VLOOKUP($N600,'TABLE CHARGE RATE'!$A$30:$K$106,9,0)),"Check")</f>
        <v/>
      </c>
      <c r="AR600" s="207" t="str">
        <f>IFERROR(IF(ISBLANK($D600),"",VLOOKUP($N600,'TABLE CHARGE RATE'!$A$30:$K$106,10,0)),"Check")</f>
        <v/>
      </c>
      <c r="AS600" s="207" t="str">
        <f>IFERROR(IF(ISBLANK($D600),"",VLOOKUP($N600,'TABLE CHARGE RATE'!$A$30:$K$106,11,0)),"Check")</f>
        <v/>
      </c>
      <c r="AT600" s="207"/>
    </row>
    <row r="601" spans="1:46" x14ac:dyDescent="0.2">
      <c r="A601" s="207" t="str">
        <f t="shared" si="88"/>
        <v/>
      </c>
      <c r="B601" s="208" t="str">
        <f>IF(ISBLANK(D601),"",VLOOKUP(WEEKDAY($C601,1),INDEX!$J$2:$K$8,2,0))</f>
        <v/>
      </c>
      <c r="C601" s="209"/>
      <c r="D601" s="207"/>
      <c r="E601" s="207"/>
      <c r="F601" s="207"/>
      <c r="G601" s="207"/>
      <c r="H601" s="207"/>
      <c r="I601" s="207"/>
      <c r="J601" s="207"/>
      <c r="K601" s="207"/>
      <c r="L601" s="207"/>
      <c r="M601" s="207"/>
      <c r="N601" s="207"/>
      <c r="O601" s="207"/>
      <c r="P601" s="207"/>
      <c r="Q601" s="207"/>
      <c r="R601" s="207"/>
      <c r="S601" s="207"/>
      <c r="T601" s="207"/>
      <c r="U601" s="209"/>
      <c r="V601" s="207"/>
      <c r="W601" s="207"/>
      <c r="X601" s="209"/>
      <c r="Y601" s="209"/>
      <c r="Z601" s="207" t="str">
        <f t="shared" ca="1" si="90"/>
        <v/>
      </c>
      <c r="AA601" s="209" t="str">
        <f t="shared" si="87"/>
        <v/>
      </c>
      <c r="AB601" s="209"/>
      <c r="AC601" s="207" t="str">
        <f t="shared" ca="1" si="91"/>
        <v/>
      </c>
      <c r="AD601" s="207"/>
      <c r="AE601" s="207"/>
      <c r="AF601" s="208" t="str">
        <f>IF(ISBLANK(D601),"",VLOOKUP(F601,'SIZE CALCULATION'!$F:$G,2,0))</f>
        <v/>
      </c>
      <c r="AG601" s="207" t="str">
        <f t="shared" si="89"/>
        <v/>
      </c>
      <c r="AH601" s="207" t="str">
        <f t="shared" si="92"/>
        <v/>
      </c>
      <c r="AI601" s="210" t="str">
        <f>IF(ISBLANK(D601),"",VLOOKUP($A601,INDEX!$D$2:$F$13,3,0))</f>
        <v/>
      </c>
      <c r="AJ601" s="207" t="str">
        <f t="shared" si="93"/>
        <v/>
      </c>
      <c r="AK601" s="207"/>
      <c r="AL601" s="207"/>
      <c r="AM601" s="207" t="str">
        <f>IFERROR(IF(ISBLANK($D601),"",VLOOKUP($N601,'TABLE CHARGE RATE'!$A$30:$K$106,5,0)),"Check")</f>
        <v/>
      </c>
      <c r="AN601" s="207" t="str">
        <f>IFERROR(IF(ISBLANK($D601),"",VLOOKUP($N601,'TABLE CHARGE RATE'!$A$30:$K$106,6,0)),"Check")</f>
        <v/>
      </c>
      <c r="AO601" s="207" t="str">
        <f>IFERROR(IF(ISBLANK($D601),"",VLOOKUP($N601,'TABLE CHARGE RATE'!$A$30:$K$106,7,0)),"Check")</f>
        <v/>
      </c>
      <c r="AP601" s="207" t="str">
        <f>IFERROR(IF(ISBLANK($D601),"",VLOOKUP($N601,'TABLE CHARGE RATE'!$A$30:$K$106,8,0)),"Check")</f>
        <v/>
      </c>
      <c r="AQ601" s="207" t="str">
        <f>IFERROR(IF(ISBLANK($D601),"",VLOOKUP($N601,'TABLE CHARGE RATE'!$A$30:$K$106,9,0)),"Check")</f>
        <v/>
      </c>
      <c r="AR601" s="207" t="str">
        <f>IFERROR(IF(ISBLANK($D601),"",VLOOKUP($N601,'TABLE CHARGE RATE'!$A$30:$K$106,10,0)),"Check")</f>
        <v/>
      </c>
      <c r="AS601" s="207" t="str">
        <f>IFERROR(IF(ISBLANK($D601),"",VLOOKUP($N601,'TABLE CHARGE RATE'!$A$30:$K$106,11,0)),"Check")</f>
        <v/>
      </c>
      <c r="AT601" s="207"/>
    </row>
    <row r="602" spans="1:46" x14ac:dyDescent="0.2">
      <c r="A602" s="207" t="str">
        <f t="shared" si="88"/>
        <v/>
      </c>
      <c r="B602" s="208" t="str">
        <f>IF(ISBLANK(D602),"",VLOOKUP(WEEKDAY($C602,1),INDEX!$J$2:$K$8,2,0))</f>
        <v/>
      </c>
      <c r="C602" s="209"/>
      <c r="D602" s="207"/>
      <c r="E602" s="207"/>
      <c r="F602" s="207"/>
      <c r="G602" s="207"/>
      <c r="H602" s="207"/>
      <c r="I602" s="207"/>
      <c r="J602" s="207"/>
      <c r="K602" s="207"/>
      <c r="L602" s="207"/>
      <c r="M602" s="207"/>
      <c r="N602" s="207"/>
      <c r="O602" s="207"/>
      <c r="P602" s="207"/>
      <c r="Q602" s="207"/>
      <c r="R602" s="207"/>
      <c r="S602" s="207"/>
      <c r="T602" s="207"/>
      <c r="U602" s="209"/>
      <c r="V602" s="207"/>
      <c r="W602" s="207"/>
      <c r="X602" s="209"/>
      <c r="Y602" s="209"/>
      <c r="Z602" s="207" t="str">
        <f t="shared" ca="1" si="90"/>
        <v/>
      </c>
      <c r="AA602" s="209" t="str">
        <f t="shared" si="87"/>
        <v/>
      </c>
      <c r="AB602" s="209"/>
      <c r="AC602" s="207" t="str">
        <f t="shared" ca="1" si="91"/>
        <v/>
      </c>
      <c r="AD602" s="207"/>
      <c r="AE602" s="207"/>
      <c r="AF602" s="208" t="str">
        <f>IF(ISBLANK(D602),"",VLOOKUP(F602,'SIZE CALCULATION'!$F:$G,2,0))</f>
        <v/>
      </c>
      <c r="AG602" s="207" t="str">
        <f t="shared" si="89"/>
        <v/>
      </c>
      <c r="AH602" s="207" t="str">
        <f t="shared" si="92"/>
        <v/>
      </c>
      <c r="AI602" s="210" t="str">
        <f>IF(ISBLANK(D602),"",VLOOKUP($A602,INDEX!$D$2:$F$13,3,0))</f>
        <v/>
      </c>
      <c r="AJ602" s="207" t="str">
        <f t="shared" si="93"/>
        <v/>
      </c>
      <c r="AK602" s="207"/>
      <c r="AL602" s="207"/>
      <c r="AM602" s="207" t="str">
        <f>IFERROR(IF(ISBLANK($D602),"",VLOOKUP($N602,'TABLE CHARGE RATE'!$A$30:$K$106,5,0)),"Check")</f>
        <v/>
      </c>
      <c r="AN602" s="207" t="str">
        <f>IFERROR(IF(ISBLANK($D602),"",VLOOKUP($N602,'TABLE CHARGE RATE'!$A$30:$K$106,6,0)),"Check")</f>
        <v/>
      </c>
      <c r="AO602" s="207" t="str">
        <f>IFERROR(IF(ISBLANK($D602),"",VLOOKUP($N602,'TABLE CHARGE RATE'!$A$30:$K$106,7,0)),"Check")</f>
        <v/>
      </c>
      <c r="AP602" s="207" t="str">
        <f>IFERROR(IF(ISBLANK($D602),"",VLOOKUP($N602,'TABLE CHARGE RATE'!$A$30:$K$106,8,0)),"Check")</f>
        <v/>
      </c>
      <c r="AQ602" s="207" t="str">
        <f>IFERROR(IF(ISBLANK($D602),"",VLOOKUP($N602,'TABLE CHARGE RATE'!$A$30:$K$106,9,0)),"Check")</f>
        <v/>
      </c>
      <c r="AR602" s="207" t="str">
        <f>IFERROR(IF(ISBLANK($D602),"",VLOOKUP($N602,'TABLE CHARGE RATE'!$A$30:$K$106,10,0)),"Check")</f>
        <v/>
      </c>
      <c r="AS602" s="207" t="str">
        <f>IFERROR(IF(ISBLANK($D602),"",VLOOKUP($N602,'TABLE CHARGE RATE'!$A$30:$K$106,11,0)),"Check")</f>
        <v/>
      </c>
      <c r="AT602" s="207"/>
    </row>
    <row r="603" spans="1:46" x14ac:dyDescent="0.2">
      <c r="A603" s="207" t="str">
        <f t="shared" si="88"/>
        <v/>
      </c>
      <c r="B603" s="208" t="str">
        <f>IF(ISBLANK(D603),"",VLOOKUP(WEEKDAY($C603,1),INDEX!$J$2:$K$8,2,0))</f>
        <v/>
      </c>
      <c r="C603" s="209"/>
      <c r="D603" s="207"/>
      <c r="E603" s="207"/>
      <c r="F603" s="207"/>
      <c r="G603" s="207"/>
      <c r="H603" s="207"/>
      <c r="I603" s="207"/>
      <c r="J603" s="207"/>
      <c r="K603" s="207"/>
      <c r="L603" s="207"/>
      <c r="M603" s="207"/>
      <c r="N603" s="207"/>
      <c r="O603" s="207"/>
      <c r="P603" s="207"/>
      <c r="Q603" s="207"/>
      <c r="R603" s="207"/>
      <c r="S603" s="207"/>
      <c r="T603" s="207"/>
      <c r="U603" s="209"/>
      <c r="V603" s="207"/>
      <c r="W603" s="207"/>
      <c r="X603" s="209"/>
      <c r="Y603" s="209"/>
      <c r="Z603" s="207" t="str">
        <f t="shared" ca="1" si="90"/>
        <v/>
      </c>
      <c r="AA603" s="209" t="str">
        <f t="shared" si="87"/>
        <v/>
      </c>
      <c r="AB603" s="209"/>
      <c r="AC603" s="207" t="str">
        <f t="shared" ca="1" si="91"/>
        <v/>
      </c>
      <c r="AD603" s="207"/>
      <c r="AE603" s="207"/>
      <c r="AF603" s="208" t="str">
        <f>IF(ISBLANK(D603),"",VLOOKUP(F603,'SIZE CALCULATION'!$F:$G,2,0))</f>
        <v/>
      </c>
      <c r="AG603" s="207" t="str">
        <f t="shared" si="89"/>
        <v/>
      </c>
      <c r="AH603" s="207" t="str">
        <f t="shared" si="92"/>
        <v/>
      </c>
      <c r="AI603" s="210" t="str">
        <f>IF(ISBLANK(D603),"",VLOOKUP($A603,INDEX!$D$2:$F$13,3,0))</f>
        <v/>
      </c>
      <c r="AJ603" s="207" t="str">
        <f t="shared" si="93"/>
        <v/>
      </c>
      <c r="AK603" s="207"/>
      <c r="AL603" s="207"/>
      <c r="AM603" s="207" t="str">
        <f>IFERROR(IF(ISBLANK($D603),"",VLOOKUP($N603,'TABLE CHARGE RATE'!$A$30:$K$106,5,0)),"Check")</f>
        <v/>
      </c>
      <c r="AN603" s="207" t="str">
        <f>IFERROR(IF(ISBLANK($D603),"",VLOOKUP($N603,'TABLE CHARGE RATE'!$A$30:$K$106,6,0)),"Check")</f>
        <v/>
      </c>
      <c r="AO603" s="207" t="str">
        <f>IFERROR(IF(ISBLANK($D603),"",VLOOKUP($N603,'TABLE CHARGE RATE'!$A$30:$K$106,7,0)),"Check")</f>
        <v/>
      </c>
      <c r="AP603" s="207" t="str">
        <f>IFERROR(IF(ISBLANK($D603),"",VLOOKUP($N603,'TABLE CHARGE RATE'!$A$30:$K$106,8,0)),"Check")</f>
        <v/>
      </c>
      <c r="AQ603" s="207" t="str">
        <f>IFERROR(IF(ISBLANK($D603),"",VLOOKUP($N603,'TABLE CHARGE RATE'!$A$30:$K$106,9,0)),"Check")</f>
        <v/>
      </c>
      <c r="AR603" s="207" t="str">
        <f>IFERROR(IF(ISBLANK($D603),"",VLOOKUP($N603,'TABLE CHARGE RATE'!$A$30:$K$106,10,0)),"Check")</f>
        <v/>
      </c>
      <c r="AS603" s="207" t="str">
        <f>IFERROR(IF(ISBLANK($D603),"",VLOOKUP($N603,'TABLE CHARGE RATE'!$A$30:$K$106,11,0)),"Check")</f>
        <v/>
      </c>
      <c r="AT603" s="207"/>
    </row>
    <row r="604" spans="1:46" x14ac:dyDescent="0.2">
      <c r="A604" s="207" t="str">
        <f t="shared" si="88"/>
        <v/>
      </c>
      <c r="B604" s="208" t="str">
        <f>IF(ISBLANK(D604),"",VLOOKUP(WEEKDAY($C604,1),INDEX!$J$2:$K$8,2,0))</f>
        <v/>
      </c>
      <c r="C604" s="209"/>
      <c r="D604" s="207"/>
      <c r="E604" s="207"/>
      <c r="F604" s="207"/>
      <c r="G604" s="207"/>
      <c r="H604" s="207"/>
      <c r="I604" s="207"/>
      <c r="J604" s="207"/>
      <c r="K604" s="207"/>
      <c r="L604" s="207"/>
      <c r="M604" s="207"/>
      <c r="N604" s="207"/>
      <c r="O604" s="207"/>
      <c r="P604" s="207"/>
      <c r="Q604" s="207"/>
      <c r="R604" s="207"/>
      <c r="S604" s="207"/>
      <c r="T604" s="207"/>
      <c r="U604" s="209"/>
      <c r="V604" s="207"/>
      <c r="W604" s="207"/>
      <c r="X604" s="209"/>
      <c r="Y604" s="209"/>
      <c r="Z604" s="207" t="str">
        <f t="shared" ca="1" si="90"/>
        <v/>
      </c>
      <c r="AA604" s="209" t="str">
        <f t="shared" si="87"/>
        <v/>
      </c>
      <c r="AB604" s="209"/>
      <c r="AC604" s="207" t="str">
        <f t="shared" ca="1" si="91"/>
        <v/>
      </c>
      <c r="AD604" s="207"/>
      <c r="AE604" s="207"/>
      <c r="AF604" s="208" t="str">
        <f>IF(ISBLANK(D604),"",VLOOKUP(F604,'SIZE CALCULATION'!$F:$G,2,0))</f>
        <v/>
      </c>
      <c r="AG604" s="207" t="str">
        <f t="shared" si="89"/>
        <v/>
      </c>
      <c r="AH604" s="207" t="str">
        <f t="shared" si="92"/>
        <v/>
      </c>
      <c r="AI604" s="210" t="str">
        <f>IF(ISBLANK(D604),"",VLOOKUP($A604,INDEX!$D$2:$F$13,3,0))</f>
        <v/>
      </c>
      <c r="AJ604" s="207" t="str">
        <f t="shared" si="93"/>
        <v/>
      </c>
      <c r="AK604" s="207"/>
      <c r="AL604" s="207"/>
      <c r="AM604" s="207" t="str">
        <f>IFERROR(IF(ISBLANK($D604),"",VLOOKUP($N604,'TABLE CHARGE RATE'!$A$30:$K$106,5,0)),"Check")</f>
        <v/>
      </c>
      <c r="AN604" s="207" t="str">
        <f>IFERROR(IF(ISBLANK($D604),"",VLOOKUP($N604,'TABLE CHARGE RATE'!$A$30:$K$106,6,0)),"Check")</f>
        <v/>
      </c>
      <c r="AO604" s="207" t="str">
        <f>IFERROR(IF(ISBLANK($D604),"",VLOOKUP($N604,'TABLE CHARGE RATE'!$A$30:$K$106,7,0)),"Check")</f>
        <v/>
      </c>
      <c r="AP604" s="207" t="str">
        <f>IFERROR(IF(ISBLANK($D604),"",VLOOKUP($N604,'TABLE CHARGE RATE'!$A$30:$K$106,8,0)),"Check")</f>
        <v/>
      </c>
      <c r="AQ604" s="207" t="str">
        <f>IFERROR(IF(ISBLANK($D604),"",VLOOKUP($N604,'TABLE CHARGE RATE'!$A$30:$K$106,9,0)),"Check")</f>
        <v/>
      </c>
      <c r="AR604" s="207" t="str">
        <f>IFERROR(IF(ISBLANK($D604),"",VLOOKUP($N604,'TABLE CHARGE RATE'!$A$30:$K$106,10,0)),"Check")</f>
        <v/>
      </c>
      <c r="AS604" s="207" t="str">
        <f>IFERROR(IF(ISBLANK($D604),"",VLOOKUP($N604,'TABLE CHARGE RATE'!$A$30:$K$106,11,0)),"Check")</f>
        <v/>
      </c>
      <c r="AT604" s="207"/>
    </row>
    <row r="605" spans="1:46" x14ac:dyDescent="0.2">
      <c r="A605" s="207" t="str">
        <f t="shared" si="88"/>
        <v/>
      </c>
      <c r="B605" s="208" t="str">
        <f>IF(ISBLANK(D605),"",VLOOKUP(WEEKDAY($C605,1),INDEX!$J$2:$K$8,2,0))</f>
        <v/>
      </c>
      <c r="C605" s="209"/>
      <c r="D605" s="207"/>
      <c r="E605" s="207"/>
      <c r="F605" s="207"/>
      <c r="G605" s="207"/>
      <c r="H605" s="207"/>
      <c r="I605" s="207"/>
      <c r="J605" s="207"/>
      <c r="K605" s="207"/>
      <c r="L605" s="207"/>
      <c r="M605" s="207"/>
      <c r="N605" s="207"/>
      <c r="O605" s="207"/>
      <c r="P605" s="207"/>
      <c r="Q605" s="207"/>
      <c r="R605" s="207"/>
      <c r="S605" s="207"/>
      <c r="T605" s="207"/>
      <c r="U605" s="209"/>
      <c r="V605" s="207"/>
      <c r="W605" s="207"/>
      <c r="X605" s="209"/>
      <c r="Y605" s="209"/>
      <c r="Z605" s="207" t="str">
        <f t="shared" ca="1" si="90"/>
        <v/>
      </c>
      <c r="AA605" s="209" t="str">
        <f t="shared" si="87"/>
        <v/>
      </c>
      <c r="AB605" s="209"/>
      <c r="AC605" s="207" t="str">
        <f t="shared" ca="1" si="91"/>
        <v/>
      </c>
      <c r="AD605" s="207"/>
      <c r="AE605" s="207"/>
      <c r="AF605" s="208" t="str">
        <f>IF(ISBLANK(D605),"",VLOOKUP(F605,'SIZE CALCULATION'!$F:$G,2,0))</f>
        <v/>
      </c>
      <c r="AG605" s="207" t="str">
        <f t="shared" si="89"/>
        <v/>
      </c>
      <c r="AH605" s="207" t="str">
        <f t="shared" si="92"/>
        <v/>
      </c>
      <c r="AI605" s="210" t="str">
        <f>IF(ISBLANK(D605),"",VLOOKUP($A605,INDEX!$D$2:$F$13,3,0))</f>
        <v/>
      </c>
      <c r="AJ605" s="207" t="str">
        <f t="shared" si="93"/>
        <v/>
      </c>
      <c r="AK605" s="207"/>
      <c r="AL605" s="207"/>
      <c r="AM605" s="207" t="str">
        <f>IFERROR(IF(ISBLANK($D605),"",VLOOKUP($N605,'TABLE CHARGE RATE'!$A$30:$K$106,5,0)),"Check")</f>
        <v/>
      </c>
      <c r="AN605" s="207" t="str">
        <f>IFERROR(IF(ISBLANK($D605),"",VLOOKUP($N605,'TABLE CHARGE RATE'!$A$30:$K$106,6,0)),"Check")</f>
        <v/>
      </c>
      <c r="AO605" s="207" t="str">
        <f>IFERROR(IF(ISBLANK($D605),"",VLOOKUP($N605,'TABLE CHARGE RATE'!$A$30:$K$106,7,0)),"Check")</f>
        <v/>
      </c>
      <c r="AP605" s="207" t="str">
        <f>IFERROR(IF(ISBLANK($D605),"",VLOOKUP($N605,'TABLE CHARGE RATE'!$A$30:$K$106,8,0)),"Check")</f>
        <v/>
      </c>
      <c r="AQ605" s="207" t="str">
        <f>IFERROR(IF(ISBLANK($D605),"",VLOOKUP($N605,'TABLE CHARGE RATE'!$A$30:$K$106,9,0)),"Check")</f>
        <v/>
      </c>
      <c r="AR605" s="207" t="str">
        <f>IFERROR(IF(ISBLANK($D605),"",VLOOKUP($N605,'TABLE CHARGE RATE'!$A$30:$K$106,10,0)),"Check")</f>
        <v/>
      </c>
      <c r="AS605" s="207" t="str">
        <f>IFERROR(IF(ISBLANK($D605),"",VLOOKUP($N605,'TABLE CHARGE RATE'!$A$30:$K$106,11,0)),"Check")</f>
        <v/>
      </c>
      <c r="AT605" s="207"/>
    </row>
    <row r="606" spans="1:46" x14ac:dyDescent="0.2">
      <c r="A606" s="207" t="str">
        <f t="shared" si="88"/>
        <v/>
      </c>
      <c r="B606" s="208" t="str">
        <f>IF(ISBLANK(D606),"",VLOOKUP(WEEKDAY($C606,1),INDEX!$J$2:$K$8,2,0))</f>
        <v/>
      </c>
      <c r="C606" s="209"/>
      <c r="D606" s="207"/>
      <c r="E606" s="207"/>
      <c r="F606" s="207"/>
      <c r="G606" s="207"/>
      <c r="H606" s="207"/>
      <c r="I606" s="207"/>
      <c r="J606" s="207"/>
      <c r="K606" s="207"/>
      <c r="L606" s="207"/>
      <c r="M606" s="207"/>
      <c r="N606" s="207"/>
      <c r="O606" s="207"/>
      <c r="P606" s="207"/>
      <c r="Q606" s="207"/>
      <c r="R606" s="207"/>
      <c r="S606" s="207"/>
      <c r="T606" s="207"/>
      <c r="U606" s="209"/>
      <c r="V606" s="207"/>
      <c r="W606" s="207"/>
      <c r="X606" s="209"/>
      <c r="Y606" s="209"/>
      <c r="Z606" s="207" t="str">
        <f t="shared" ca="1" si="90"/>
        <v/>
      </c>
      <c r="AA606" s="209" t="str">
        <f t="shared" si="87"/>
        <v/>
      </c>
      <c r="AB606" s="209"/>
      <c r="AC606" s="207" t="str">
        <f t="shared" ca="1" si="91"/>
        <v/>
      </c>
      <c r="AD606" s="207"/>
      <c r="AE606" s="207"/>
      <c r="AF606" s="208" t="str">
        <f>IF(ISBLANK(D606),"",VLOOKUP(F606,'SIZE CALCULATION'!$F:$G,2,0))</f>
        <v/>
      </c>
      <c r="AG606" s="207" t="str">
        <f t="shared" si="89"/>
        <v/>
      </c>
      <c r="AH606" s="207" t="str">
        <f t="shared" si="92"/>
        <v/>
      </c>
      <c r="AI606" s="210" t="str">
        <f>IF(ISBLANK(D606),"",VLOOKUP($A606,INDEX!$D$2:$F$13,3,0))</f>
        <v/>
      </c>
      <c r="AJ606" s="207" t="str">
        <f t="shared" si="93"/>
        <v/>
      </c>
      <c r="AK606" s="207"/>
      <c r="AL606" s="207"/>
      <c r="AM606" s="207" t="str">
        <f>IFERROR(IF(ISBLANK($D606),"",VLOOKUP($N606,'TABLE CHARGE RATE'!$A$30:$K$106,5,0)),"Check")</f>
        <v/>
      </c>
      <c r="AN606" s="207" t="str">
        <f>IFERROR(IF(ISBLANK($D606),"",VLOOKUP($N606,'TABLE CHARGE RATE'!$A$30:$K$106,6,0)),"Check")</f>
        <v/>
      </c>
      <c r="AO606" s="207" t="str">
        <f>IFERROR(IF(ISBLANK($D606),"",VLOOKUP($N606,'TABLE CHARGE RATE'!$A$30:$K$106,7,0)),"Check")</f>
        <v/>
      </c>
      <c r="AP606" s="207" t="str">
        <f>IFERROR(IF(ISBLANK($D606),"",VLOOKUP($N606,'TABLE CHARGE RATE'!$A$30:$K$106,8,0)),"Check")</f>
        <v/>
      </c>
      <c r="AQ606" s="207" t="str">
        <f>IFERROR(IF(ISBLANK($D606),"",VLOOKUP($N606,'TABLE CHARGE RATE'!$A$30:$K$106,9,0)),"Check")</f>
        <v/>
      </c>
      <c r="AR606" s="207" t="str">
        <f>IFERROR(IF(ISBLANK($D606),"",VLOOKUP($N606,'TABLE CHARGE RATE'!$A$30:$K$106,10,0)),"Check")</f>
        <v/>
      </c>
      <c r="AS606" s="207" t="str">
        <f>IFERROR(IF(ISBLANK($D606),"",VLOOKUP($N606,'TABLE CHARGE RATE'!$A$30:$K$106,11,0)),"Check")</f>
        <v/>
      </c>
      <c r="AT606" s="207"/>
    </row>
    <row r="607" spans="1:46" x14ac:dyDescent="0.2">
      <c r="A607" s="207" t="str">
        <f t="shared" si="88"/>
        <v/>
      </c>
      <c r="B607" s="208" t="str">
        <f>IF(ISBLANK(D607),"",VLOOKUP(WEEKDAY($C607,1),INDEX!$J$2:$K$8,2,0))</f>
        <v/>
      </c>
      <c r="C607" s="209"/>
      <c r="D607" s="207"/>
      <c r="E607" s="207"/>
      <c r="F607" s="207"/>
      <c r="G607" s="207"/>
      <c r="H607" s="207"/>
      <c r="I607" s="207"/>
      <c r="J607" s="207"/>
      <c r="K607" s="207"/>
      <c r="L607" s="207"/>
      <c r="M607" s="207"/>
      <c r="N607" s="207"/>
      <c r="O607" s="207"/>
      <c r="P607" s="207"/>
      <c r="Q607" s="207"/>
      <c r="R607" s="207"/>
      <c r="S607" s="207"/>
      <c r="T607" s="207"/>
      <c r="U607" s="209"/>
      <c r="V607" s="207"/>
      <c r="W607" s="207"/>
      <c r="X607" s="209"/>
      <c r="Y607" s="209"/>
      <c r="Z607" s="207" t="str">
        <f t="shared" ca="1" si="90"/>
        <v/>
      </c>
      <c r="AA607" s="209" t="str">
        <f t="shared" si="87"/>
        <v/>
      </c>
      <c r="AB607" s="209"/>
      <c r="AC607" s="207" t="str">
        <f t="shared" ca="1" si="91"/>
        <v/>
      </c>
      <c r="AD607" s="207"/>
      <c r="AE607" s="207"/>
      <c r="AF607" s="208" t="str">
        <f>IF(ISBLANK(D607),"",VLOOKUP(F607,'SIZE CALCULATION'!$F:$G,2,0))</f>
        <v/>
      </c>
      <c r="AG607" s="207" t="str">
        <f t="shared" si="89"/>
        <v/>
      </c>
      <c r="AH607" s="207" t="str">
        <f t="shared" si="92"/>
        <v/>
      </c>
      <c r="AI607" s="210" t="str">
        <f>IF(ISBLANK(D607),"",VLOOKUP($A607,INDEX!$D$2:$F$13,3,0))</f>
        <v/>
      </c>
      <c r="AJ607" s="207" t="str">
        <f t="shared" si="93"/>
        <v/>
      </c>
      <c r="AK607" s="207"/>
      <c r="AL607" s="207"/>
      <c r="AM607" s="207" t="str">
        <f>IFERROR(IF(ISBLANK($D607),"",VLOOKUP($N607,'TABLE CHARGE RATE'!$A$30:$K$106,5,0)),"Check")</f>
        <v/>
      </c>
      <c r="AN607" s="207" t="str">
        <f>IFERROR(IF(ISBLANK($D607),"",VLOOKUP($N607,'TABLE CHARGE RATE'!$A$30:$K$106,6,0)),"Check")</f>
        <v/>
      </c>
      <c r="AO607" s="207" t="str">
        <f>IFERROR(IF(ISBLANK($D607),"",VLOOKUP($N607,'TABLE CHARGE RATE'!$A$30:$K$106,7,0)),"Check")</f>
        <v/>
      </c>
      <c r="AP607" s="207" t="str">
        <f>IFERROR(IF(ISBLANK($D607),"",VLOOKUP($N607,'TABLE CHARGE RATE'!$A$30:$K$106,8,0)),"Check")</f>
        <v/>
      </c>
      <c r="AQ607" s="207" t="str">
        <f>IFERROR(IF(ISBLANK($D607),"",VLOOKUP($N607,'TABLE CHARGE RATE'!$A$30:$K$106,9,0)),"Check")</f>
        <v/>
      </c>
      <c r="AR607" s="207" t="str">
        <f>IFERROR(IF(ISBLANK($D607),"",VLOOKUP($N607,'TABLE CHARGE RATE'!$A$30:$K$106,10,0)),"Check")</f>
        <v/>
      </c>
      <c r="AS607" s="207" t="str">
        <f>IFERROR(IF(ISBLANK($D607),"",VLOOKUP($N607,'TABLE CHARGE RATE'!$A$30:$K$106,11,0)),"Check")</f>
        <v/>
      </c>
      <c r="AT607" s="207"/>
    </row>
    <row r="608" spans="1:46" x14ac:dyDescent="0.2">
      <c r="A608" s="207" t="str">
        <f t="shared" si="88"/>
        <v/>
      </c>
      <c r="B608" s="208" t="str">
        <f>IF(ISBLANK(D608),"",VLOOKUP(WEEKDAY($C608,1),INDEX!$J$2:$K$8,2,0))</f>
        <v/>
      </c>
      <c r="C608" s="209"/>
      <c r="D608" s="207"/>
      <c r="E608" s="207"/>
      <c r="F608" s="207"/>
      <c r="G608" s="207"/>
      <c r="H608" s="207"/>
      <c r="I608" s="207"/>
      <c r="J608" s="207"/>
      <c r="K608" s="207"/>
      <c r="L608" s="207"/>
      <c r="M608" s="207"/>
      <c r="N608" s="207"/>
      <c r="O608" s="207"/>
      <c r="P608" s="207"/>
      <c r="Q608" s="207"/>
      <c r="R608" s="207"/>
      <c r="S608" s="207"/>
      <c r="T608" s="207"/>
      <c r="U608" s="209"/>
      <c r="V608" s="207"/>
      <c r="W608" s="207"/>
      <c r="X608" s="209"/>
      <c r="Y608" s="209"/>
      <c r="Z608" s="207" t="str">
        <f t="shared" ca="1" si="90"/>
        <v/>
      </c>
      <c r="AA608" s="209" t="str">
        <f t="shared" si="87"/>
        <v/>
      </c>
      <c r="AB608" s="209"/>
      <c r="AC608" s="207" t="str">
        <f t="shared" ca="1" si="91"/>
        <v/>
      </c>
      <c r="AD608" s="207"/>
      <c r="AE608" s="207"/>
      <c r="AF608" s="208" t="str">
        <f>IF(ISBLANK(D608),"",VLOOKUP(F608,'SIZE CALCULATION'!$F:$G,2,0))</f>
        <v/>
      </c>
      <c r="AG608" s="207" t="str">
        <f t="shared" si="89"/>
        <v/>
      </c>
      <c r="AH608" s="207" t="str">
        <f t="shared" si="92"/>
        <v/>
      </c>
      <c r="AI608" s="210" t="str">
        <f>IF(ISBLANK(D608),"",VLOOKUP($A608,INDEX!$D$2:$F$13,3,0))</f>
        <v/>
      </c>
      <c r="AJ608" s="207" t="str">
        <f t="shared" si="93"/>
        <v/>
      </c>
      <c r="AK608" s="207"/>
      <c r="AL608" s="207"/>
      <c r="AM608" s="207" t="str">
        <f>IFERROR(IF(ISBLANK($D608),"",VLOOKUP($N608,'TABLE CHARGE RATE'!$A$30:$K$106,5,0)),"Check")</f>
        <v/>
      </c>
      <c r="AN608" s="207" t="str">
        <f>IFERROR(IF(ISBLANK($D608),"",VLOOKUP($N608,'TABLE CHARGE RATE'!$A$30:$K$106,6,0)),"Check")</f>
        <v/>
      </c>
      <c r="AO608" s="207" t="str">
        <f>IFERROR(IF(ISBLANK($D608),"",VLOOKUP($N608,'TABLE CHARGE RATE'!$A$30:$K$106,7,0)),"Check")</f>
        <v/>
      </c>
      <c r="AP608" s="207" t="str">
        <f>IFERROR(IF(ISBLANK($D608),"",VLOOKUP($N608,'TABLE CHARGE RATE'!$A$30:$K$106,8,0)),"Check")</f>
        <v/>
      </c>
      <c r="AQ608" s="207" t="str">
        <f>IFERROR(IF(ISBLANK($D608),"",VLOOKUP($N608,'TABLE CHARGE RATE'!$A$30:$K$106,9,0)),"Check")</f>
        <v/>
      </c>
      <c r="AR608" s="207" t="str">
        <f>IFERROR(IF(ISBLANK($D608),"",VLOOKUP($N608,'TABLE CHARGE RATE'!$A$30:$K$106,10,0)),"Check")</f>
        <v/>
      </c>
      <c r="AS608" s="207" t="str">
        <f>IFERROR(IF(ISBLANK($D608),"",VLOOKUP($N608,'TABLE CHARGE RATE'!$A$30:$K$106,11,0)),"Check")</f>
        <v/>
      </c>
      <c r="AT608" s="207"/>
    </row>
    <row r="609" spans="1:46" x14ac:dyDescent="0.2">
      <c r="A609" s="207" t="str">
        <f t="shared" si="88"/>
        <v/>
      </c>
      <c r="B609" s="208" t="str">
        <f>IF(ISBLANK(D609),"",VLOOKUP(WEEKDAY($C609,1),INDEX!$J$2:$K$8,2,0))</f>
        <v/>
      </c>
      <c r="C609" s="209"/>
      <c r="D609" s="207"/>
      <c r="E609" s="207"/>
      <c r="F609" s="207"/>
      <c r="G609" s="207"/>
      <c r="H609" s="207"/>
      <c r="I609" s="207"/>
      <c r="J609" s="207"/>
      <c r="K609" s="207"/>
      <c r="L609" s="207"/>
      <c r="M609" s="207"/>
      <c r="N609" s="207"/>
      <c r="O609" s="207"/>
      <c r="P609" s="207"/>
      <c r="Q609" s="207"/>
      <c r="R609" s="207"/>
      <c r="S609" s="207"/>
      <c r="T609" s="207"/>
      <c r="U609" s="209"/>
      <c r="V609" s="207"/>
      <c r="W609" s="207"/>
      <c r="X609" s="209"/>
      <c r="Y609" s="209"/>
      <c r="Z609" s="207" t="str">
        <f t="shared" ca="1" si="90"/>
        <v/>
      </c>
      <c r="AA609" s="209" t="str">
        <f t="shared" ref="AA609:AA672" si="94">IF(ISBLANK(D609),"",Y609+10)</f>
        <v/>
      </c>
      <c r="AB609" s="209"/>
      <c r="AC609" s="207" t="str">
        <f t="shared" ca="1" si="91"/>
        <v/>
      </c>
      <c r="AD609" s="207"/>
      <c r="AE609" s="207"/>
      <c r="AF609" s="208" t="str">
        <f>IF(ISBLANK(D609),"",VLOOKUP(F609,'SIZE CALCULATION'!$F:$G,2,0))</f>
        <v/>
      </c>
      <c r="AG609" s="207" t="str">
        <f t="shared" si="89"/>
        <v/>
      </c>
      <c r="AH609" s="207" t="str">
        <f t="shared" si="92"/>
        <v/>
      </c>
      <c r="AI609" s="210" t="str">
        <f>IF(ISBLANK(D609),"",VLOOKUP($A609,INDEX!$D$2:$F$13,3,0))</f>
        <v/>
      </c>
      <c r="AJ609" s="207" t="str">
        <f t="shared" si="93"/>
        <v/>
      </c>
      <c r="AK609" s="207"/>
      <c r="AL609" s="207"/>
      <c r="AM609" s="207" t="str">
        <f>IFERROR(IF(ISBLANK($D609),"",VLOOKUP($N609,'TABLE CHARGE RATE'!$A$30:$K$106,5,0)),"Check")</f>
        <v/>
      </c>
      <c r="AN609" s="207" t="str">
        <f>IFERROR(IF(ISBLANK($D609),"",VLOOKUP($N609,'TABLE CHARGE RATE'!$A$30:$K$106,6,0)),"Check")</f>
        <v/>
      </c>
      <c r="AO609" s="207" t="str">
        <f>IFERROR(IF(ISBLANK($D609),"",VLOOKUP($N609,'TABLE CHARGE RATE'!$A$30:$K$106,7,0)),"Check")</f>
        <v/>
      </c>
      <c r="AP609" s="207" t="str">
        <f>IFERROR(IF(ISBLANK($D609),"",VLOOKUP($N609,'TABLE CHARGE RATE'!$A$30:$K$106,8,0)),"Check")</f>
        <v/>
      </c>
      <c r="AQ609" s="207" t="str">
        <f>IFERROR(IF(ISBLANK($D609),"",VLOOKUP($N609,'TABLE CHARGE RATE'!$A$30:$K$106,9,0)),"Check")</f>
        <v/>
      </c>
      <c r="AR609" s="207" t="str">
        <f>IFERROR(IF(ISBLANK($D609),"",VLOOKUP($N609,'TABLE CHARGE RATE'!$A$30:$K$106,10,0)),"Check")</f>
        <v/>
      </c>
      <c r="AS609" s="207" t="str">
        <f>IFERROR(IF(ISBLANK($D609),"",VLOOKUP($N609,'TABLE CHARGE RATE'!$A$30:$K$106,11,0)),"Check")</f>
        <v/>
      </c>
      <c r="AT609" s="207"/>
    </row>
    <row r="610" spans="1:46" x14ac:dyDescent="0.2">
      <c r="A610" s="207" t="str">
        <f t="shared" si="88"/>
        <v/>
      </c>
      <c r="B610" s="208" t="str">
        <f>IF(ISBLANK(D610),"",VLOOKUP(WEEKDAY($C610,1),INDEX!$J$2:$K$8,2,0))</f>
        <v/>
      </c>
      <c r="C610" s="209"/>
      <c r="D610" s="207"/>
      <c r="E610" s="207"/>
      <c r="F610" s="207"/>
      <c r="G610" s="207"/>
      <c r="H610" s="207"/>
      <c r="I610" s="207"/>
      <c r="J610" s="207"/>
      <c r="K610" s="207"/>
      <c r="L610" s="207"/>
      <c r="M610" s="207"/>
      <c r="N610" s="207"/>
      <c r="O610" s="207"/>
      <c r="P610" s="207"/>
      <c r="Q610" s="207"/>
      <c r="R610" s="207"/>
      <c r="S610" s="207"/>
      <c r="T610" s="207"/>
      <c r="U610" s="209"/>
      <c r="V610" s="207"/>
      <c r="W610" s="207"/>
      <c r="X610" s="209"/>
      <c r="Y610" s="209"/>
      <c r="Z610" s="207" t="str">
        <f t="shared" ca="1" si="90"/>
        <v/>
      </c>
      <c r="AA610" s="209" t="str">
        <f t="shared" si="94"/>
        <v/>
      </c>
      <c r="AB610" s="209"/>
      <c r="AC610" s="207" t="str">
        <f t="shared" ca="1" si="91"/>
        <v/>
      </c>
      <c r="AD610" s="207"/>
      <c r="AE610" s="207"/>
      <c r="AF610" s="208" t="str">
        <f>IF(ISBLANK(D610),"",VLOOKUP(F610,'SIZE CALCULATION'!$F:$G,2,0))</f>
        <v/>
      </c>
      <c r="AG610" s="207" t="str">
        <f t="shared" si="89"/>
        <v/>
      </c>
      <c r="AH610" s="207" t="str">
        <f t="shared" si="92"/>
        <v/>
      </c>
      <c r="AI610" s="210" t="str">
        <f>IF(ISBLANK(D610),"",VLOOKUP($A610,INDEX!$D$2:$F$13,3,0))</f>
        <v/>
      </c>
      <c r="AJ610" s="207" t="str">
        <f t="shared" si="93"/>
        <v/>
      </c>
      <c r="AK610" s="207"/>
      <c r="AL610" s="207"/>
      <c r="AM610" s="207" t="str">
        <f>IFERROR(IF(ISBLANK($D610),"",VLOOKUP($N610,'TABLE CHARGE RATE'!$A$30:$K$106,5,0)),"Check")</f>
        <v/>
      </c>
      <c r="AN610" s="207" t="str">
        <f>IFERROR(IF(ISBLANK($D610),"",VLOOKUP($N610,'TABLE CHARGE RATE'!$A$30:$K$106,6,0)),"Check")</f>
        <v/>
      </c>
      <c r="AO610" s="207" t="str">
        <f>IFERROR(IF(ISBLANK($D610),"",VLOOKUP($N610,'TABLE CHARGE RATE'!$A$30:$K$106,7,0)),"Check")</f>
        <v/>
      </c>
      <c r="AP610" s="207" t="str">
        <f>IFERROR(IF(ISBLANK($D610),"",VLOOKUP($N610,'TABLE CHARGE RATE'!$A$30:$K$106,8,0)),"Check")</f>
        <v/>
      </c>
      <c r="AQ610" s="207" t="str">
        <f>IFERROR(IF(ISBLANK($D610),"",VLOOKUP($N610,'TABLE CHARGE RATE'!$A$30:$K$106,9,0)),"Check")</f>
        <v/>
      </c>
      <c r="AR610" s="207" t="str">
        <f>IFERROR(IF(ISBLANK($D610),"",VLOOKUP($N610,'TABLE CHARGE RATE'!$A$30:$K$106,10,0)),"Check")</f>
        <v/>
      </c>
      <c r="AS610" s="207" t="str">
        <f>IFERROR(IF(ISBLANK($D610),"",VLOOKUP($N610,'TABLE CHARGE RATE'!$A$30:$K$106,11,0)),"Check")</f>
        <v/>
      </c>
      <c r="AT610" s="207"/>
    </row>
    <row r="611" spans="1:46" x14ac:dyDescent="0.2">
      <c r="A611" s="207" t="str">
        <f t="shared" si="88"/>
        <v/>
      </c>
      <c r="B611" s="208" t="str">
        <f>IF(ISBLANK(D611),"",VLOOKUP(WEEKDAY($C611,1),INDEX!$J$2:$K$8,2,0))</f>
        <v/>
      </c>
      <c r="C611" s="209"/>
      <c r="D611" s="207"/>
      <c r="E611" s="207"/>
      <c r="F611" s="207"/>
      <c r="G611" s="207"/>
      <c r="H611" s="207"/>
      <c r="I611" s="207"/>
      <c r="J611" s="207"/>
      <c r="K611" s="207"/>
      <c r="L611" s="207"/>
      <c r="M611" s="207"/>
      <c r="N611" s="207"/>
      <c r="O611" s="207"/>
      <c r="P611" s="207"/>
      <c r="Q611" s="207"/>
      <c r="R611" s="207"/>
      <c r="S611" s="207"/>
      <c r="T611" s="207"/>
      <c r="U611" s="209"/>
      <c r="V611" s="207"/>
      <c r="W611" s="207"/>
      <c r="X611" s="209"/>
      <c r="Y611" s="209"/>
      <c r="Z611" s="207" t="str">
        <f t="shared" ca="1" si="90"/>
        <v/>
      </c>
      <c r="AA611" s="209" t="str">
        <f t="shared" si="94"/>
        <v/>
      </c>
      <c r="AB611" s="209"/>
      <c r="AC611" s="207" t="str">
        <f t="shared" ca="1" si="91"/>
        <v/>
      </c>
      <c r="AD611" s="207"/>
      <c r="AE611" s="207"/>
      <c r="AF611" s="208" t="str">
        <f>IF(ISBLANK(D611),"",VLOOKUP(F611,'SIZE CALCULATION'!$F:$G,2,0))</f>
        <v/>
      </c>
      <c r="AG611" s="207" t="str">
        <f t="shared" si="89"/>
        <v/>
      </c>
      <c r="AH611" s="207" t="str">
        <f t="shared" si="92"/>
        <v/>
      </c>
      <c r="AI611" s="210" t="str">
        <f>IF(ISBLANK(D611),"",VLOOKUP($A611,INDEX!$D$2:$F$13,3,0))</f>
        <v/>
      </c>
      <c r="AJ611" s="207" t="str">
        <f t="shared" si="93"/>
        <v/>
      </c>
      <c r="AK611" s="207"/>
      <c r="AL611" s="207"/>
      <c r="AM611" s="207" t="str">
        <f>IFERROR(IF(ISBLANK($D611),"",VLOOKUP($N611,'TABLE CHARGE RATE'!$A$30:$K$106,5,0)),"Check")</f>
        <v/>
      </c>
      <c r="AN611" s="207" t="str">
        <f>IFERROR(IF(ISBLANK($D611),"",VLOOKUP($N611,'TABLE CHARGE RATE'!$A$30:$K$106,6,0)),"Check")</f>
        <v/>
      </c>
      <c r="AO611" s="207" t="str">
        <f>IFERROR(IF(ISBLANK($D611),"",VLOOKUP($N611,'TABLE CHARGE RATE'!$A$30:$K$106,7,0)),"Check")</f>
        <v/>
      </c>
      <c r="AP611" s="207" t="str">
        <f>IFERROR(IF(ISBLANK($D611),"",VLOOKUP($N611,'TABLE CHARGE RATE'!$A$30:$K$106,8,0)),"Check")</f>
        <v/>
      </c>
      <c r="AQ611" s="207" t="str">
        <f>IFERROR(IF(ISBLANK($D611),"",VLOOKUP($N611,'TABLE CHARGE RATE'!$A$30:$K$106,9,0)),"Check")</f>
        <v/>
      </c>
      <c r="AR611" s="207" t="str">
        <f>IFERROR(IF(ISBLANK($D611),"",VLOOKUP($N611,'TABLE CHARGE RATE'!$A$30:$K$106,10,0)),"Check")</f>
        <v/>
      </c>
      <c r="AS611" s="207" t="str">
        <f>IFERROR(IF(ISBLANK($D611),"",VLOOKUP($N611,'TABLE CHARGE RATE'!$A$30:$K$106,11,0)),"Check")</f>
        <v/>
      </c>
      <c r="AT611" s="207"/>
    </row>
    <row r="612" spans="1:46" x14ac:dyDescent="0.2">
      <c r="A612" s="207" t="str">
        <f t="shared" si="88"/>
        <v/>
      </c>
      <c r="B612" s="208" t="str">
        <f>IF(ISBLANK(D612),"",VLOOKUP(WEEKDAY($C612,1),INDEX!$J$2:$K$8,2,0))</f>
        <v/>
      </c>
      <c r="C612" s="209"/>
      <c r="D612" s="207"/>
      <c r="E612" s="207"/>
      <c r="F612" s="207"/>
      <c r="G612" s="207"/>
      <c r="H612" s="207"/>
      <c r="I612" s="207"/>
      <c r="J612" s="207"/>
      <c r="K612" s="207"/>
      <c r="L612" s="207"/>
      <c r="M612" s="207"/>
      <c r="N612" s="207"/>
      <c r="O612" s="207"/>
      <c r="P612" s="207"/>
      <c r="Q612" s="207"/>
      <c r="R612" s="207"/>
      <c r="S612" s="207"/>
      <c r="T612" s="207"/>
      <c r="U612" s="209"/>
      <c r="V612" s="207"/>
      <c r="W612" s="207"/>
      <c r="X612" s="209"/>
      <c r="Y612" s="209"/>
      <c r="Z612" s="207" t="str">
        <f t="shared" ca="1" si="90"/>
        <v/>
      </c>
      <c r="AA612" s="209" t="str">
        <f t="shared" si="94"/>
        <v/>
      </c>
      <c r="AB612" s="209"/>
      <c r="AC612" s="207" t="str">
        <f t="shared" ca="1" si="91"/>
        <v/>
      </c>
      <c r="AD612" s="207"/>
      <c r="AE612" s="207"/>
      <c r="AF612" s="208" t="str">
        <f>IF(ISBLANK(D612),"",VLOOKUP(F612,'SIZE CALCULATION'!$F:$G,2,0))</f>
        <v/>
      </c>
      <c r="AG612" s="207" t="str">
        <f t="shared" si="89"/>
        <v/>
      </c>
      <c r="AH612" s="207" t="str">
        <f t="shared" si="92"/>
        <v/>
      </c>
      <c r="AI612" s="210" t="str">
        <f>IF(ISBLANK(D612),"",VLOOKUP($A612,INDEX!$D$2:$F$13,3,0))</f>
        <v/>
      </c>
      <c r="AJ612" s="207" t="str">
        <f t="shared" si="93"/>
        <v/>
      </c>
      <c r="AK612" s="207"/>
      <c r="AL612" s="207"/>
      <c r="AM612" s="207" t="str">
        <f>IFERROR(IF(ISBLANK($D612),"",VLOOKUP($N612,'TABLE CHARGE RATE'!$A$30:$K$106,5,0)),"Check")</f>
        <v/>
      </c>
      <c r="AN612" s="207" t="str">
        <f>IFERROR(IF(ISBLANK($D612),"",VLOOKUP($N612,'TABLE CHARGE RATE'!$A$30:$K$106,6,0)),"Check")</f>
        <v/>
      </c>
      <c r="AO612" s="207" t="str">
        <f>IFERROR(IF(ISBLANK($D612),"",VLOOKUP($N612,'TABLE CHARGE RATE'!$A$30:$K$106,7,0)),"Check")</f>
        <v/>
      </c>
      <c r="AP612" s="207" t="str">
        <f>IFERROR(IF(ISBLANK($D612),"",VLOOKUP($N612,'TABLE CHARGE RATE'!$A$30:$K$106,8,0)),"Check")</f>
        <v/>
      </c>
      <c r="AQ612" s="207" t="str">
        <f>IFERROR(IF(ISBLANK($D612),"",VLOOKUP($N612,'TABLE CHARGE RATE'!$A$30:$K$106,9,0)),"Check")</f>
        <v/>
      </c>
      <c r="AR612" s="207" t="str">
        <f>IFERROR(IF(ISBLANK($D612),"",VLOOKUP($N612,'TABLE CHARGE RATE'!$A$30:$K$106,10,0)),"Check")</f>
        <v/>
      </c>
      <c r="AS612" s="207" t="str">
        <f>IFERROR(IF(ISBLANK($D612),"",VLOOKUP($N612,'TABLE CHARGE RATE'!$A$30:$K$106,11,0)),"Check")</f>
        <v/>
      </c>
      <c r="AT612" s="207"/>
    </row>
    <row r="613" spans="1:46" x14ac:dyDescent="0.2">
      <c r="A613" s="207" t="str">
        <f t="shared" si="88"/>
        <v/>
      </c>
      <c r="B613" s="208" t="str">
        <f>IF(ISBLANK(D613),"",VLOOKUP(WEEKDAY($C613,1),INDEX!$J$2:$K$8,2,0))</f>
        <v/>
      </c>
      <c r="C613" s="209"/>
      <c r="D613" s="207"/>
      <c r="E613" s="207"/>
      <c r="F613" s="207"/>
      <c r="G613" s="207"/>
      <c r="H613" s="207"/>
      <c r="I613" s="207"/>
      <c r="J613" s="207"/>
      <c r="K613" s="207"/>
      <c r="L613" s="207"/>
      <c r="M613" s="207"/>
      <c r="N613" s="207"/>
      <c r="O613" s="207"/>
      <c r="P613" s="207"/>
      <c r="Q613" s="207"/>
      <c r="R613" s="207"/>
      <c r="S613" s="207"/>
      <c r="T613" s="207"/>
      <c r="U613" s="209"/>
      <c r="V613" s="207"/>
      <c r="W613" s="207"/>
      <c r="X613" s="209"/>
      <c r="Y613" s="209"/>
      <c r="Z613" s="207" t="str">
        <f t="shared" ca="1" si="90"/>
        <v/>
      </c>
      <c r="AA613" s="209" t="str">
        <f t="shared" si="94"/>
        <v/>
      </c>
      <c r="AB613" s="209"/>
      <c r="AC613" s="207" t="str">
        <f t="shared" ca="1" si="91"/>
        <v/>
      </c>
      <c r="AD613" s="207"/>
      <c r="AE613" s="207"/>
      <c r="AF613" s="208" t="str">
        <f>IF(ISBLANK(D613),"",VLOOKUP(F613,'SIZE CALCULATION'!$F:$G,2,0))</f>
        <v/>
      </c>
      <c r="AG613" s="207" t="str">
        <f t="shared" si="89"/>
        <v/>
      </c>
      <c r="AH613" s="207" t="str">
        <f t="shared" si="92"/>
        <v/>
      </c>
      <c r="AI613" s="210" t="str">
        <f>IF(ISBLANK(D613),"",VLOOKUP($A613,INDEX!$D$2:$F$13,3,0))</f>
        <v/>
      </c>
      <c r="AJ613" s="207" t="str">
        <f t="shared" si="93"/>
        <v/>
      </c>
      <c r="AK613" s="207"/>
      <c r="AL613" s="207"/>
      <c r="AM613" s="207" t="str">
        <f>IFERROR(IF(ISBLANK($D613),"",VLOOKUP($N613,'TABLE CHARGE RATE'!$A$30:$K$106,5,0)),"Check")</f>
        <v/>
      </c>
      <c r="AN613" s="207" t="str">
        <f>IFERROR(IF(ISBLANK($D613),"",VLOOKUP($N613,'TABLE CHARGE RATE'!$A$30:$K$106,6,0)),"Check")</f>
        <v/>
      </c>
      <c r="AO613" s="207" t="str">
        <f>IFERROR(IF(ISBLANK($D613),"",VLOOKUP($N613,'TABLE CHARGE RATE'!$A$30:$K$106,7,0)),"Check")</f>
        <v/>
      </c>
      <c r="AP613" s="207" t="str">
        <f>IFERROR(IF(ISBLANK($D613),"",VLOOKUP($N613,'TABLE CHARGE RATE'!$A$30:$K$106,8,0)),"Check")</f>
        <v/>
      </c>
      <c r="AQ613" s="207" t="str">
        <f>IFERROR(IF(ISBLANK($D613),"",VLOOKUP($N613,'TABLE CHARGE RATE'!$A$30:$K$106,9,0)),"Check")</f>
        <v/>
      </c>
      <c r="AR613" s="207" t="str">
        <f>IFERROR(IF(ISBLANK($D613),"",VLOOKUP($N613,'TABLE CHARGE RATE'!$A$30:$K$106,10,0)),"Check")</f>
        <v/>
      </c>
      <c r="AS613" s="207" t="str">
        <f>IFERROR(IF(ISBLANK($D613),"",VLOOKUP($N613,'TABLE CHARGE RATE'!$A$30:$K$106,11,0)),"Check")</f>
        <v/>
      </c>
      <c r="AT613" s="207"/>
    </row>
    <row r="614" spans="1:46" x14ac:dyDescent="0.2">
      <c r="A614" s="207" t="str">
        <f t="shared" si="88"/>
        <v/>
      </c>
      <c r="B614" s="208" t="str">
        <f>IF(ISBLANK(D614),"",VLOOKUP(WEEKDAY($C614,1),INDEX!$J$2:$K$8,2,0))</f>
        <v/>
      </c>
      <c r="C614" s="209"/>
      <c r="D614" s="207"/>
      <c r="E614" s="207"/>
      <c r="F614" s="207"/>
      <c r="G614" s="207"/>
      <c r="H614" s="207"/>
      <c r="I614" s="207"/>
      <c r="J614" s="207"/>
      <c r="K614" s="207"/>
      <c r="L614" s="207"/>
      <c r="M614" s="207"/>
      <c r="N614" s="207"/>
      <c r="O614" s="207"/>
      <c r="P614" s="207"/>
      <c r="Q614" s="207"/>
      <c r="R614" s="207"/>
      <c r="S614" s="207"/>
      <c r="T614" s="207"/>
      <c r="U614" s="209"/>
      <c r="V614" s="207"/>
      <c r="W614" s="207"/>
      <c r="X614" s="209"/>
      <c r="Y614" s="209"/>
      <c r="Z614" s="207" t="str">
        <f t="shared" ca="1" si="90"/>
        <v/>
      </c>
      <c r="AA614" s="209" t="str">
        <f t="shared" si="94"/>
        <v/>
      </c>
      <c r="AB614" s="209"/>
      <c r="AC614" s="207" t="str">
        <f t="shared" ca="1" si="91"/>
        <v/>
      </c>
      <c r="AD614" s="207"/>
      <c r="AE614" s="207"/>
      <c r="AF614" s="208" t="str">
        <f>IF(ISBLANK(D614),"",VLOOKUP(F614,'SIZE CALCULATION'!$F:$G,2,0))</f>
        <v/>
      </c>
      <c r="AG614" s="207" t="str">
        <f t="shared" si="89"/>
        <v/>
      </c>
      <c r="AH614" s="207" t="str">
        <f t="shared" si="92"/>
        <v/>
      </c>
      <c r="AI614" s="210" t="str">
        <f>IF(ISBLANK(D614),"",VLOOKUP($A614,INDEX!$D$2:$F$13,3,0))</f>
        <v/>
      </c>
      <c r="AJ614" s="207" t="str">
        <f t="shared" si="93"/>
        <v/>
      </c>
      <c r="AK614" s="207"/>
      <c r="AL614" s="207"/>
      <c r="AM614" s="207" t="str">
        <f>IFERROR(IF(ISBLANK($D614),"",VLOOKUP($N614,'TABLE CHARGE RATE'!$A$30:$K$106,5,0)),"Check")</f>
        <v/>
      </c>
      <c r="AN614" s="207" t="str">
        <f>IFERROR(IF(ISBLANK($D614),"",VLOOKUP($N614,'TABLE CHARGE RATE'!$A$30:$K$106,6,0)),"Check")</f>
        <v/>
      </c>
      <c r="AO614" s="207" t="str">
        <f>IFERROR(IF(ISBLANK($D614),"",VLOOKUP($N614,'TABLE CHARGE RATE'!$A$30:$K$106,7,0)),"Check")</f>
        <v/>
      </c>
      <c r="AP614" s="207" t="str">
        <f>IFERROR(IF(ISBLANK($D614),"",VLOOKUP($N614,'TABLE CHARGE RATE'!$A$30:$K$106,8,0)),"Check")</f>
        <v/>
      </c>
      <c r="AQ614" s="207" t="str">
        <f>IFERROR(IF(ISBLANK($D614),"",VLOOKUP($N614,'TABLE CHARGE RATE'!$A$30:$K$106,9,0)),"Check")</f>
        <v/>
      </c>
      <c r="AR614" s="207" t="str">
        <f>IFERROR(IF(ISBLANK($D614),"",VLOOKUP($N614,'TABLE CHARGE RATE'!$A$30:$K$106,10,0)),"Check")</f>
        <v/>
      </c>
      <c r="AS614" s="207" t="str">
        <f>IFERROR(IF(ISBLANK($D614),"",VLOOKUP($N614,'TABLE CHARGE RATE'!$A$30:$K$106,11,0)),"Check")</f>
        <v/>
      </c>
      <c r="AT614" s="207"/>
    </row>
    <row r="615" spans="1:46" x14ac:dyDescent="0.2">
      <c r="A615" s="207" t="str">
        <f t="shared" si="88"/>
        <v/>
      </c>
      <c r="B615" s="208" t="str">
        <f>IF(ISBLANK(D615),"",VLOOKUP(WEEKDAY($C615,1),INDEX!$J$2:$K$8,2,0))</f>
        <v/>
      </c>
      <c r="C615" s="209"/>
      <c r="D615" s="207"/>
      <c r="E615" s="207"/>
      <c r="F615" s="207"/>
      <c r="G615" s="207"/>
      <c r="H615" s="207"/>
      <c r="I615" s="207"/>
      <c r="J615" s="207"/>
      <c r="K615" s="207"/>
      <c r="L615" s="207"/>
      <c r="M615" s="207"/>
      <c r="N615" s="207"/>
      <c r="O615" s="207"/>
      <c r="P615" s="207"/>
      <c r="Q615" s="207"/>
      <c r="R615" s="207"/>
      <c r="S615" s="207"/>
      <c r="T615" s="207"/>
      <c r="U615" s="209"/>
      <c r="V615" s="207"/>
      <c r="W615" s="207"/>
      <c r="X615" s="209"/>
      <c r="Y615" s="209"/>
      <c r="Z615" s="207" t="str">
        <f t="shared" ca="1" si="90"/>
        <v/>
      </c>
      <c r="AA615" s="209" t="str">
        <f t="shared" si="94"/>
        <v/>
      </c>
      <c r="AB615" s="209"/>
      <c r="AC615" s="207" t="str">
        <f t="shared" ca="1" si="91"/>
        <v/>
      </c>
      <c r="AD615" s="207"/>
      <c r="AE615" s="207"/>
      <c r="AF615" s="208" t="str">
        <f>IF(ISBLANK(D615),"",VLOOKUP(F615,'SIZE CALCULATION'!$F:$G,2,0))</f>
        <v/>
      </c>
      <c r="AG615" s="207" t="str">
        <f t="shared" si="89"/>
        <v/>
      </c>
      <c r="AH615" s="207" t="str">
        <f t="shared" si="92"/>
        <v/>
      </c>
      <c r="AI615" s="210" t="str">
        <f>IF(ISBLANK(D615),"",VLOOKUP($A615,INDEX!$D$2:$F$13,3,0))</f>
        <v/>
      </c>
      <c r="AJ615" s="207" t="str">
        <f t="shared" si="93"/>
        <v/>
      </c>
      <c r="AK615" s="207"/>
      <c r="AL615" s="207"/>
      <c r="AM615" s="207" t="str">
        <f>IFERROR(IF(ISBLANK($D615),"",VLOOKUP($N615,'TABLE CHARGE RATE'!$A$30:$K$106,5,0)),"Check")</f>
        <v/>
      </c>
      <c r="AN615" s="207" t="str">
        <f>IFERROR(IF(ISBLANK($D615),"",VLOOKUP($N615,'TABLE CHARGE RATE'!$A$30:$K$106,6,0)),"Check")</f>
        <v/>
      </c>
      <c r="AO615" s="207" t="str">
        <f>IFERROR(IF(ISBLANK($D615),"",VLOOKUP($N615,'TABLE CHARGE RATE'!$A$30:$K$106,7,0)),"Check")</f>
        <v/>
      </c>
      <c r="AP615" s="207" t="str">
        <f>IFERROR(IF(ISBLANK($D615),"",VLOOKUP($N615,'TABLE CHARGE RATE'!$A$30:$K$106,8,0)),"Check")</f>
        <v/>
      </c>
      <c r="AQ615" s="207" t="str">
        <f>IFERROR(IF(ISBLANK($D615),"",VLOOKUP($N615,'TABLE CHARGE RATE'!$A$30:$K$106,9,0)),"Check")</f>
        <v/>
      </c>
      <c r="AR615" s="207" t="str">
        <f>IFERROR(IF(ISBLANK($D615),"",VLOOKUP($N615,'TABLE CHARGE RATE'!$A$30:$K$106,10,0)),"Check")</f>
        <v/>
      </c>
      <c r="AS615" s="207" t="str">
        <f>IFERROR(IF(ISBLANK($D615),"",VLOOKUP($N615,'TABLE CHARGE RATE'!$A$30:$K$106,11,0)),"Check")</f>
        <v/>
      </c>
      <c r="AT615" s="207"/>
    </row>
    <row r="616" spans="1:46" x14ac:dyDescent="0.2">
      <c r="A616" s="207" t="str">
        <f t="shared" si="88"/>
        <v/>
      </c>
      <c r="B616" s="208" t="str">
        <f>IF(ISBLANK(D616),"",VLOOKUP(WEEKDAY($C616,1),INDEX!$J$2:$K$8,2,0))</f>
        <v/>
      </c>
      <c r="C616" s="209"/>
      <c r="D616" s="207"/>
      <c r="E616" s="207"/>
      <c r="F616" s="207"/>
      <c r="G616" s="207"/>
      <c r="H616" s="207"/>
      <c r="I616" s="207"/>
      <c r="J616" s="207"/>
      <c r="K616" s="207"/>
      <c r="L616" s="207"/>
      <c r="M616" s="207"/>
      <c r="N616" s="207"/>
      <c r="O616" s="207"/>
      <c r="P616" s="207"/>
      <c r="Q616" s="207"/>
      <c r="R616" s="207"/>
      <c r="S616" s="207"/>
      <c r="T616" s="207"/>
      <c r="U616" s="209"/>
      <c r="V616" s="207"/>
      <c r="W616" s="207"/>
      <c r="X616" s="209"/>
      <c r="Y616" s="209"/>
      <c r="Z616" s="207" t="str">
        <f t="shared" ca="1" si="90"/>
        <v/>
      </c>
      <c r="AA616" s="209" t="str">
        <f t="shared" si="94"/>
        <v/>
      </c>
      <c r="AB616" s="209"/>
      <c r="AC616" s="207" t="str">
        <f t="shared" ca="1" si="91"/>
        <v/>
      </c>
      <c r="AD616" s="207"/>
      <c r="AE616" s="207"/>
      <c r="AF616" s="208" t="str">
        <f>IF(ISBLANK(D616),"",VLOOKUP(F616,'SIZE CALCULATION'!$F:$G,2,0))</f>
        <v/>
      </c>
      <c r="AG616" s="207" t="str">
        <f t="shared" si="89"/>
        <v/>
      </c>
      <c r="AH616" s="207" t="str">
        <f t="shared" si="92"/>
        <v/>
      </c>
      <c r="AI616" s="210" t="str">
        <f>IF(ISBLANK(D616),"",VLOOKUP($A616,INDEX!$D$2:$F$13,3,0))</f>
        <v/>
      </c>
      <c r="AJ616" s="207" t="str">
        <f t="shared" si="93"/>
        <v/>
      </c>
      <c r="AK616" s="207"/>
      <c r="AL616" s="207"/>
      <c r="AM616" s="207" t="str">
        <f>IFERROR(IF(ISBLANK($D616),"",VLOOKUP($N616,'TABLE CHARGE RATE'!$A$30:$K$106,5,0)),"Check")</f>
        <v/>
      </c>
      <c r="AN616" s="207" t="str">
        <f>IFERROR(IF(ISBLANK($D616),"",VLOOKUP($N616,'TABLE CHARGE RATE'!$A$30:$K$106,6,0)),"Check")</f>
        <v/>
      </c>
      <c r="AO616" s="207" t="str">
        <f>IFERROR(IF(ISBLANK($D616),"",VLOOKUP($N616,'TABLE CHARGE RATE'!$A$30:$K$106,7,0)),"Check")</f>
        <v/>
      </c>
      <c r="AP616" s="207" t="str">
        <f>IFERROR(IF(ISBLANK($D616),"",VLOOKUP($N616,'TABLE CHARGE RATE'!$A$30:$K$106,8,0)),"Check")</f>
        <v/>
      </c>
      <c r="AQ616" s="207" t="str">
        <f>IFERROR(IF(ISBLANK($D616),"",VLOOKUP($N616,'TABLE CHARGE RATE'!$A$30:$K$106,9,0)),"Check")</f>
        <v/>
      </c>
      <c r="AR616" s="207" t="str">
        <f>IFERROR(IF(ISBLANK($D616),"",VLOOKUP($N616,'TABLE CHARGE RATE'!$A$30:$K$106,10,0)),"Check")</f>
        <v/>
      </c>
      <c r="AS616" s="207" t="str">
        <f>IFERROR(IF(ISBLANK($D616),"",VLOOKUP($N616,'TABLE CHARGE RATE'!$A$30:$K$106,11,0)),"Check")</f>
        <v/>
      </c>
      <c r="AT616" s="207"/>
    </row>
    <row r="617" spans="1:46" x14ac:dyDescent="0.2">
      <c r="A617" s="207" t="str">
        <f t="shared" si="88"/>
        <v/>
      </c>
      <c r="B617" s="208" t="str">
        <f>IF(ISBLANK(D617),"",VLOOKUP(WEEKDAY($C617,1),INDEX!$J$2:$K$8,2,0))</f>
        <v/>
      </c>
      <c r="C617" s="209"/>
      <c r="D617" s="207"/>
      <c r="E617" s="207"/>
      <c r="F617" s="207"/>
      <c r="G617" s="207"/>
      <c r="H617" s="207"/>
      <c r="I617" s="207"/>
      <c r="J617" s="207"/>
      <c r="K617" s="207"/>
      <c r="L617" s="207"/>
      <c r="M617" s="207"/>
      <c r="N617" s="207"/>
      <c r="O617" s="207"/>
      <c r="P617" s="207"/>
      <c r="Q617" s="207"/>
      <c r="R617" s="207"/>
      <c r="S617" s="207"/>
      <c r="T617" s="207"/>
      <c r="U617" s="209"/>
      <c r="V617" s="207"/>
      <c r="W617" s="207"/>
      <c r="X617" s="209"/>
      <c r="Y617" s="209"/>
      <c r="Z617" s="207" t="str">
        <f t="shared" ca="1" si="90"/>
        <v/>
      </c>
      <c r="AA617" s="209" t="str">
        <f t="shared" si="94"/>
        <v/>
      </c>
      <c r="AB617" s="209"/>
      <c r="AC617" s="207" t="str">
        <f t="shared" ca="1" si="91"/>
        <v/>
      </c>
      <c r="AD617" s="207"/>
      <c r="AE617" s="207"/>
      <c r="AF617" s="208" t="str">
        <f>IF(ISBLANK(D617),"",VLOOKUP(F617,'SIZE CALCULATION'!$F:$G,2,0))</f>
        <v/>
      </c>
      <c r="AG617" s="207" t="str">
        <f t="shared" si="89"/>
        <v/>
      </c>
      <c r="AH617" s="207" t="str">
        <f t="shared" si="92"/>
        <v/>
      </c>
      <c r="AI617" s="210" t="str">
        <f>IF(ISBLANK(D617),"",VLOOKUP($A617,INDEX!$D$2:$F$13,3,0))</f>
        <v/>
      </c>
      <c r="AJ617" s="207" t="str">
        <f t="shared" si="93"/>
        <v/>
      </c>
      <c r="AK617" s="207"/>
      <c r="AL617" s="207"/>
      <c r="AM617" s="207" t="str">
        <f>IFERROR(IF(ISBLANK($D617),"",VLOOKUP($N617,'TABLE CHARGE RATE'!$A$30:$K$106,5,0)),"Check")</f>
        <v/>
      </c>
      <c r="AN617" s="207" t="str">
        <f>IFERROR(IF(ISBLANK($D617),"",VLOOKUP($N617,'TABLE CHARGE RATE'!$A$30:$K$106,6,0)),"Check")</f>
        <v/>
      </c>
      <c r="AO617" s="207" t="str">
        <f>IFERROR(IF(ISBLANK($D617),"",VLOOKUP($N617,'TABLE CHARGE RATE'!$A$30:$K$106,7,0)),"Check")</f>
        <v/>
      </c>
      <c r="AP617" s="207" t="str">
        <f>IFERROR(IF(ISBLANK($D617),"",VLOOKUP($N617,'TABLE CHARGE RATE'!$A$30:$K$106,8,0)),"Check")</f>
        <v/>
      </c>
      <c r="AQ617" s="207" t="str">
        <f>IFERROR(IF(ISBLANK($D617),"",VLOOKUP($N617,'TABLE CHARGE RATE'!$A$30:$K$106,9,0)),"Check")</f>
        <v/>
      </c>
      <c r="AR617" s="207" t="str">
        <f>IFERROR(IF(ISBLANK($D617),"",VLOOKUP($N617,'TABLE CHARGE RATE'!$A$30:$K$106,10,0)),"Check")</f>
        <v/>
      </c>
      <c r="AS617" s="207" t="str">
        <f>IFERROR(IF(ISBLANK($D617),"",VLOOKUP($N617,'TABLE CHARGE RATE'!$A$30:$K$106,11,0)),"Check")</f>
        <v/>
      </c>
      <c r="AT617" s="207"/>
    </row>
    <row r="618" spans="1:46" x14ac:dyDescent="0.2">
      <c r="A618" s="207" t="str">
        <f t="shared" ref="A618:A681" si="95">IF(ISBLANK(D618),"",MONTH(C618))</f>
        <v/>
      </c>
      <c r="B618" s="208" t="str">
        <f>IF(ISBLANK(D618),"",VLOOKUP(WEEKDAY($C618,1),INDEX!$J$2:$K$8,2,0))</f>
        <v/>
      </c>
      <c r="C618" s="209"/>
      <c r="D618" s="207"/>
      <c r="E618" s="207"/>
      <c r="F618" s="207"/>
      <c r="G618" s="207"/>
      <c r="H618" s="207"/>
      <c r="I618" s="207"/>
      <c r="J618" s="207"/>
      <c r="K618" s="207"/>
      <c r="L618" s="207"/>
      <c r="M618" s="207"/>
      <c r="N618" s="207"/>
      <c r="O618" s="207"/>
      <c r="P618" s="207"/>
      <c r="Q618" s="207"/>
      <c r="R618" s="207"/>
      <c r="S618" s="207"/>
      <c r="T618" s="207"/>
      <c r="U618" s="209"/>
      <c r="V618" s="207"/>
      <c r="W618" s="207"/>
      <c r="X618" s="209"/>
      <c r="Y618" s="209"/>
      <c r="Z618" s="207" t="str">
        <f t="shared" ca="1" si="90"/>
        <v/>
      </c>
      <c r="AA618" s="209" t="str">
        <f t="shared" si="94"/>
        <v/>
      </c>
      <c r="AB618" s="209"/>
      <c r="AC618" s="207" t="str">
        <f t="shared" ca="1" si="91"/>
        <v/>
      </c>
      <c r="AD618" s="207"/>
      <c r="AE618" s="207"/>
      <c r="AF618" s="208" t="str">
        <f>IF(ISBLANK(D618),"",VLOOKUP(F618,'SIZE CALCULATION'!$F:$G,2,0))</f>
        <v/>
      </c>
      <c r="AG618" s="207" t="str">
        <f t="shared" si="89"/>
        <v/>
      </c>
      <c r="AH618" s="207" t="str">
        <f t="shared" si="92"/>
        <v/>
      </c>
      <c r="AI618" s="210" t="str">
        <f>IF(ISBLANK(D618),"",VLOOKUP($A618,INDEX!$D$2:$F$13,3,0))</f>
        <v/>
      </c>
      <c r="AJ618" s="207" t="str">
        <f t="shared" si="93"/>
        <v/>
      </c>
      <c r="AK618" s="207"/>
      <c r="AL618" s="207"/>
      <c r="AM618" s="207" t="str">
        <f>IFERROR(IF(ISBLANK($D618),"",VLOOKUP($N618,'TABLE CHARGE RATE'!$A$30:$K$106,5,0)),"Check")</f>
        <v/>
      </c>
      <c r="AN618" s="207" t="str">
        <f>IFERROR(IF(ISBLANK($D618),"",VLOOKUP($N618,'TABLE CHARGE RATE'!$A$30:$K$106,6,0)),"Check")</f>
        <v/>
      </c>
      <c r="AO618" s="207" t="str">
        <f>IFERROR(IF(ISBLANK($D618),"",VLOOKUP($N618,'TABLE CHARGE RATE'!$A$30:$K$106,7,0)),"Check")</f>
        <v/>
      </c>
      <c r="AP618" s="207" t="str">
        <f>IFERROR(IF(ISBLANK($D618),"",VLOOKUP($N618,'TABLE CHARGE RATE'!$A$30:$K$106,8,0)),"Check")</f>
        <v/>
      </c>
      <c r="AQ618" s="207" t="str">
        <f>IFERROR(IF(ISBLANK($D618),"",VLOOKUP($N618,'TABLE CHARGE RATE'!$A$30:$K$106,9,0)),"Check")</f>
        <v/>
      </c>
      <c r="AR618" s="207" t="str">
        <f>IFERROR(IF(ISBLANK($D618),"",VLOOKUP($N618,'TABLE CHARGE RATE'!$A$30:$K$106,10,0)),"Check")</f>
        <v/>
      </c>
      <c r="AS618" s="207" t="str">
        <f>IFERROR(IF(ISBLANK($D618),"",VLOOKUP($N618,'TABLE CHARGE RATE'!$A$30:$K$106,11,0)),"Check")</f>
        <v/>
      </c>
      <c r="AT618" s="207"/>
    </row>
    <row r="619" spans="1:46" x14ac:dyDescent="0.2">
      <c r="A619" s="207" t="str">
        <f t="shared" si="95"/>
        <v/>
      </c>
      <c r="B619" s="208" t="str">
        <f>IF(ISBLANK(D619),"",VLOOKUP(WEEKDAY($C619,1),INDEX!$J$2:$K$8,2,0))</f>
        <v/>
      </c>
      <c r="C619" s="209"/>
      <c r="D619" s="207"/>
      <c r="E619" s="207"/>
      <c r="F619" s="207"/>
      <c r="G619" s="207"/>
      <c r="H619" s="207"/>
      <c r="I619" s="207"/>
      <c r="J619" s="207"/>
      <c r="K619" s="207"/>
      <c r="L619" s="207"/>
      <c r="M619" s="207"/>
      <c r="N619" s="207"/>
      <c r="O619" s="207"/>
      <c r="P619" s="207"/>
      <c r="Q619" s="207"/>
      <c r="R619" s="207"/>
      <c r="S619" s="207"/>
      <c r="T619" s="207"/>
      <c r="U619" s="209"/>
      <c r="V619" s="207"/>
      <c r="W619" s="207"/>
      <c r="X619" s="209"/>
      <c r="Y619" s="209"/>
      <c r="Z619" s="207" t="str">
        <f t="shared" ca="1" si="90"/>
        <v/>
      </c>
      <c r="AA619" s="209" t="str">
        <f t="shared" si="94"/>
        <v/>
      </c>
      <c r="AB619" s="209"/>
      <c r="AC619" s="207" t="str">
        <f t="shared" ca="1" si="91"/>
        <v/>
      </c>
      <c r="AD619" s="207"/>
      <c r="AE619" s="207"/>
      <c r="AF619" s="208" t="str">
        <f>IF(ISBLANK(D619),"",VLOOKUP(F619,'SIZE CALCULATION'!$F:$G,2,0))</f>
        <v/>
      </c>
      <c r="AG619" s="207" t="str">
        <f t="shared" si="89"/>
        <v/>
      </c>
      <c r="AH619" s="207" t="str">
        <f t="shared" si="92"/>
        <v/>
      </c>
      <c r="AI619" s="210" t="str">
        <f>IF(ISBLANK(D619),"",VLOOKUP($A619,INDEX!$D$2:$F$13,3,0))</f>
        <v/>
      </c>
      <c r="AJ619" s="207" t="str">
        <f t="shared" si="93"/>
        <v/>
      </c>
      <c r="AK619" s="207"/>
      <c r="AL619" s="207"/>
      <c r="AM619" s="207" t="str">
        <f>IFERROR(IF(ISBLANK($D619),"",VLOOKUP($N619,'TABLE CHARGE RATE'!$A$30:$K$106,5,0)),"Check")</f>
        <v/>
      </c>
      <c r="AN619" s="207" t="str">
        <f>IFERROR(IF(ISBLANK($D619),"",VLOOKUP($N619,'TABLE CHARGE RATE'!$A$30:$K$106,6,0)),"Check")</f>
        <v/>
      </c>
      <c r="AO619" s="207" t="str">
        <f>IFERROR(IF(ISBLANK($D619),"",VLOOKUP($N619,'TABLE CHARGE RATE'!$A$30:$K$106,7,0)),"Check")</f>
        <v/>
      </c>
      <c r="AP619" s="207" t="str">
        <f>IFERROR(IF(ISBLANK($D619),"",VLOOKUP($N619,'TABLE CHARGE RATE'!$A$30:$K$106,8,0)),"Check")</f>
        <v/>
      </c>
      <c r="AQ619" s="207" t="str">
        <f>IFERROR(IF(ISBLANK($D619),"",VLOOKUP($N619,'TABLE CHARGE RATE'!$A$30:$K$106,9,0)),"Check")</f>
        <v/>
      </c>
      <c r="AR619" s="207" t="str">
        <f>IFERROR(IF(ISBLANK($D619),"",VLOOKUP($N619,'TABLE CHARGE RATE'!$A$30:$K$106,10,0)),"Check")</f>
        <v/>
      </c>
      <c r="AS619" s="207" t="str">
        <f>IFERROR(IF(ISBLANK($D619),"",VLOOKUP($N619,'TABLE CHARGE RATE'!$A$30:$K$106,11,0)),"Check")</f>
        <v/>
      </c>
      <c r="AT619" s="207"/>
    </row>
    <row r="620" spans="1:46" x14ac:dyDescent="0.2">
      <c r="A620" s="207" t="str">
        <f t="shared" si="95"/>
        <v/>
      </c>
      <c r="B620" s="208" t="str">
        <f>IF(ISBLANK(D620),"",VLOOKUP(WEEKDAY($C620,1),INDEX!$J$2:$K$8,2,0))</f>
        <v/>
      </c>
      <c r="C620" s="209"/>
      <c r="D620" s="207"/>
      <c r="E620" s="207"/>
      <c r="F620" s="207"/>
      <c r="G620" s="207"/>
      <c r="H620" s="207"/>
      <c r="I620" s="207"/>
      <c r="J620" s="207"/>
      <c r="K620" s="207"/>
      <c r="L620" s="207"/>
      <c r="M620" s="207"/>
      <c r="N620" s="207"/>
      <c r="O620" s="207"/>
      <c r="P620" s="207"/>
      <c r="Q620" s="207"/>
      <c r="R620" s="207"/>
      <c r="S620" s="207"/>
      <c r="T620" s="207"/>
      <c r="U620" s="209"/>
      <c r="V620" s="207"/>
      <c r="W620" s="207"/>
      <c r="X620" s="209"/>
      <c r="Y620" s="209"/>
      <c r="Z620" s="207" t="str">
        <f t="shared" ca="1" si="90"/>
        <v/>
      </c>
      <c r="AA620" s="209" t="str">
        <f t="shared" si="94"/>
        <v/>
      </c>
      <c r="AB620" s="209"/>
      <c r="AC620" s="207" t="str">
        <f t="shared" ca="1" si="91"/>
        <v/>
      </c>
      <c r="AD620" s="207"/>
      <c r="AE620" s="207"/>
      <c r="AF620" s="208" t="str">
        <f>IF(ISBLANK(D620),"",VLOOKUP(F620,'SIZE CALCULATION'!$F:$G,2,0))</f>
        <v/>
      </c>
      <c r="AG620" s="207" t="str">
        <f t="shared" si="89"/>
        <v/>
      </c>
      <c r="AH620" s="207" t="str">
        <f t="shared" si="92"/>
        <v/>
      </c>
      <c r="AI620" s="210" t="str">
        <f>IF(ISBLANK(D620),"",VLOOKUP($A620,INDEX!$D$2:$F$13,3,0))</f>
        <v/>
      </c>
      <c r="AJ620" s="207" t="str">
        <f t="shared" si="93"/>
        <v/>
      </c>
      <c r="AK620" s="207"/>
      <c r="AL620" s="207"/>
      <c r="AM620" s="207" t="str">
        <f>IFERROR(IF(ISBLANK($D620),"",VLOOKUP($N620,'TABLE CHARGE RATE'!$A$30:$K$106,5,0)),"Check")</f>
        <v/>
      </c>
      <c r="AN620" s="207" t="str">
        <f>IFERROR(IF(ISBLANK($D620),"",VLOOKUP($N620,'TABLE CHARGE RATE'!$A$30:$K$106,6,0)),"Check")</f>
        <v/>
      </c>
      <c r="AO620" s="207" t="str">
        <f>IFERROR(IF(ISBLANK($D620),"",VLOOKUP($N620,'TABLE CHARGE RATE'!$A$30:$K$106,7,0)),"Check")</f>
        <v/>
      </c>
      <c r="AP620" s="207" t="str">
        <f>IFERROR(IF(ISBLANK($D620),"",VLOOKUP($N620,'TABLE CHARGE RATE'!$A$30:$K$106,8,0)),"Check")</f>
        <v/>
      </c>
      <c r="AQ620" s="207" t="str">
        <f>IFERROR(IF(ISBLANK($D620),"",VLOOKUP($N620,'TABLE CHARGE RATE'!$A$30:$K$106,9,0)),"Check")</f>
        <v/>
      </c>
      <c r="AR620" s="207" t="str">
        <f>IFERROR(IF(ISBLANK($D620),"",VLOOKUP($N620,'TABLE CHARGE RATE'!$A$30:$K$106,10,0)),"Check")</f>
        <v/>
      </c>
      <c r="AS620" s="207" t="str">
        <f>IFERROR(IF(ISBLANK($D620),"",VLOOKUP($N620,'TABLE CHARGE RATE'!$A$30:$K$106,11,0)),"Check")</f>
        <v/>
      </c>
      <c r="AT620" s="207"/>
    </row>
    <row r="621" spans="1:46" x14ac:dyDescent="0.2">
      <c r="A621" s="207" t="str">
        <f t="shared" si="95"/>
        <v/>
      </c>
      <c r="B621" s="208" t="str">
        <f>IF(ISBLANK(D621),"",VLOOKUP(WEEKDAY($C621,1),INDEX!$J$2:$K$8,2,0))</f>
        <v/>
      </c>
      <c r="C621" s="209"/>
      <c r="D621" s="207"/>
      <c r="E621" s="207"/>
      <c r="F621" s="207"/>
      <c r="G621" s="207"/>
      <c r="H621" s="207"/>
      <c r="I621" s="207"/>
      <c r="J621" s="207"/>
      <c r="K621" s="207"/>
      <c r="L621" s="207"/>
      <c r="M621" s="207"/>
      <c r="N621" s="207"/>
      <c r="O621" s="207"/>
      <c r="P621" s="207"/>
      <c r="Q621" s="207"/>
      <c r="R621" s="207"/>
      <c r="S621" s="207"/>
      <c r="T621" s="207"/>
      <c r="U621" s="209"/>
      <c r="V621" s="207"/>
      <c r="W621" s="207"/>
      <c r="X621" s="209"/>
      <c r="Y621" s="209"/>
      <c r="Z621" s="207" t="str">
        <f t="shared" ca="1" si="90"/>
        <v/>
      </c>
      <c r="AA621" s="209" t="str">
        <f t="shared" si="94"/>
        <v/>
      </c>
      <c r="AB621" s="209"/>
      <c r="AC621" s="207" t="str">
        <f t="shared" ca="1" si="91"/>
        <v/>
      </c>
      <c r="AD621" s="207"/>
      <c r="AE621" s="207"/>
      <c r="AF621" s="208" t="str">
        <f>IF(ISBLANK(D621),"",VLOOKUP(F621,'SIZE CALCULATION'!$F:$G,2,0))</f>
        <v/>
      </c>
      <c r="AG621" s="207" t="str">
        <f t="shared" si="89"/>
        <v/>
      </c>
      <c r="AH621" s="207" t="str">
        <f t="shared" si="92"/>
        <v/>
      </c>
      <c r="AI621" s="210" t="str">
        <f>IF(ISBLANK(D621),"",VLOOKUP($A621,INDEX!$D$2:$F$13,3,0))</f>
        <v/>
      </c>
      <c r="AJ621" s="207" t="str">
        <f t="shared" si="93"/>
        <v/>
      </c>
      <c r="AK621" s="207"/>
      <c r="AL621" s="207"/>
      <c r="AM621" s="207" t="str">
        <f>IFERROR(IF(ISBLANK($D621),"",VLOOKUP($N621,'TABLE CHARGE RATE'!$A$30:$K$106,5,0)),"Check")</f>
        <v/>
      </c>
      <c r="AN621" s="207" t="str">
        <f>IFERROR(IF(ISBLANK($D621),"",VLOOKUP($N621,'TABLE CHARGE RATE'!$A$30:$K$106,6,0)),"Check")</f>
        <v/>
      </c>
      <c r="AO621" s="207" t="str">
        <f>IFERROR(IF(ISBLANK($D621),"",VLOOKUP($N621,'TABLE CHARGE RATE'!$A$30:$K$106,7,0)),"Check")</f>
        <v/>
      </c>
      <c r="AP621" s="207" t="str">
        <f>IFERROR(IF(ISBLANK($D621),"",VLOOKUP($N621,'TABLE CHARGE RATE'!$A$30:$K$106,8,0)),"Check")</f>
        <v/>
      </c>
      <c r="AQ621" s="207" t="str">
        <f>IFERROR(IF(ISBLANK($D621),"",VLOOKUP($N621,'TABLE CHARGE RATE'!$A$30:$K$106,9,0)),"Check")</f>
        <v/>
      </c>
      <c r="AR621" s="207" t="str">
        <f>IFERROR(IF(ISBLANK($D621),"",VLOOKUP($N621,'TABLE CHARGE RATE'!$A$30:$K$106,10,0)),"Check")</f>
        <v/>
      </c>
      <c r="AS621" s="207" t="str">
        <f>IFERROR(IF(ISBLANK($D621),"",VLOOKUP($N621,'TABLE CHARGE RATE'!$A$30:$K$106,11,0)),"Check")</f>
        <v/>
      </c>
      <c r="AT621" s="207"/>
    </row>
    <row r="622" spans="1:46" x14ac:dyDescent="0.2">
      <c r="A622" s="207" t="str">
        <f t="shared" si="95"/>
        <v/>
      </c>
      <c r="B622" s="208" t="str">
        <f>IF(ISBLANK(D622),"",VLOOKUP(WEEKDAY($C622,1),INDEX!$J$2:$K$8,2,0))</f>
        <v/>
      </c>
      <c r="C622" s="209"/>
      <c r="D622" s="207"/>
      <c r="E622" s="207"/>
      <c r="F622" s="207"/>
      <c r="G622" s="207"/>
      <c r="H622" s="207"/>
      <c r="I622" s="207"/>
      <c r="J622" s="207"/>
      <c r="K622" s="207"/>
      <c r="L622" s="207"/>
      <c r="M622" s="207"/>
      <c r="N622" s="207"/>
      <c r="O622" s="207"/>
      <c r="P622" s="207"/>
      <c r="Q622" s="207"/>
      <c r="R622" s="207"/>
      <c r="S622" s="207"/>
      <c r="T622" s="207"/>
      <c r="U622" s="209"/>
      <c r="V622" s="207"/>
      <c r="W622" s="207"/>
      <c r="X622" s="209"/>
      <c r="Y622" s="209"/>
      <c r="Z622" s="207" t="str">
        <f t="shared" ca="1" si="90"/>
        <v/>
      </c>
      <c r="AA622" s="209" t="str">
        <f t="shared" si="94"/>
        <v/>
      </c>
      <c r="AB622" s="209"/>
      <c r="AC622" s="207" t="str">
        <f t="shared" ca="1" si="91"/>
        <v/>
      </c>
      <c r="AD622" s="207"/>
      <c r="AE622" s="207"/>
      <c r="AF622" s="208" t="str">
        <f>IF(ISBLANK(D622),"",VLOOKUP(F622,'SIZE CALCULATION'!$F:$G,2,0))</f>
        <v/>
      </c>
      <c r="AG622" s="207" t="str">
        <f t="shared" si="89"/>
        <v/>
      </c>
      <c r="AH622" s="207" t="str">
        <f t="shared" si="92"/>
        <v/>
      </c>
      <c r="AI622" s="210" t="str">
        <f>IF(ISBLANK(D622),"",VLOOKUP($A622,INDEX!$D$2:$F$13,3,0))</f>
        <v/>
      </c>
      <c r="AJ622" s="207" t="str">
        <f t="shared" si="93"/>
        <v/>
      </c>
      <c r="AK622" s="207"/>
      <c r="AL622" s="207"/>
      <c r="AM622" s="207" t="str">
        <f>IFERROR(IF(ISBLANK($D622),"",VLOOKUP($N622,'TABLE CHARGE RATE'!$A$30:$K$106,5,0)),"Check")</f>
        <v/>
      </c>
      <c r="AN622" s="207" t="str">
        <f>IFERROR(IF(ISBLANK($D622),"",VLOOKUP($N622,'TABLE CHARGE RATE'!$A$30:$K$106,6,0)),"Check")</f>
        <v/>
      </c>
      <c r="AO622" s="207" t="str">
        <f>IFERROR(IF(ISBLANK($D622),"",VLOOKUP($N622,'TABLE CHARGE RATE'!$A$30:$K$106,7,0)),"Check")</f>
        <v/>
      </c>
      <c r="AP622" s="207" t="str">
        <f>IFERROR(IF(ISBLANK($D622),"",VLOOKUP($N622,'TABLE CHARGE RATE'!$A$30:$K$106,8,0)),"Check")</f>
        <v/>
      </c>
      <c r="AQ622" s="207" t="str">
        <f>IFERROR(IF(ISBLANK($D622),"",VLOOKUP($N622,'TABLE CHARGE RATE'!$A$30:$K$106,9,0)),"Check")</f>
        <v/>
      </c>
      <c r="AR622" s="207" t="str">
        <f>IFERROR(IF(ISBLANK($D622),"",VLOOKUP($N622,'TABLE CHARGE RATE'!$A$30:$K$106,10,0)),"Check")</f>
        <v/>
      </c>
      <c r="AS622" s="207" t="str">
        <f>IFERROR(IF(ISBLANK($D622),"",VLOOKUP($N622,'TABLE CHARGE RATE'!$A$30:$K$106,11,0)),"Check")</f>
        <v/>
      </c>
      <c r="AT622" s="207"/>
    </row>
    <row r="623" spans="1:46" x14ac:dyDescent="0.2">
      <c r="A623" s="207" t="str">
        <f t="shared" si="95"/>
        <v/>
      </c>
      <c r="B623" s="208" t="str">
        <f>IF(ISBLANK(D623),"",VLOOKUP(WEEKDAY($C623,1),INDEX!$J$2:$K$8,2,0))</f>
        <v/>
      </c>
      <c r="C623" s="209"/>
      <c r="D623" s="207"/>
      <c r="E623" s="207"/>
      <c r="F623" s="207"/>
      <c r="G623" s="207"/>
      <c r="H623" s="207"/>
      <c r="I623" s="207"/>
      <c r="J623" s="207"/>
      <c r="K623" s="207"/>
      <c r="L623" s="207"/>
      <c r="M623" s="207"/>
      <c r="N623" s="207"/>
      <c r="O623" s="207"/>
      <c r="P623" s="207"/>
      <c r="Q623" s="207"/>
      <c r="R623" s="207"/>
      <c r="S623" s="207"/>
      <c r="T623" s="207"/>
      <c r="U623" s="209"/>
      <c r="V623" s="207"/>
      <c r="W623" s="207"/>
      <c r="X623" s="209"/>
      <c r="Y623" s="209"/>
      <c r="Z623" s="207" t="str">
        <f t="shared" ca="1" si="90"/>
        <v/>
      </c>
      <c r="AA623" s="209" t="str">
        <f t="shared" si="94"/>
        <v/>
      </c>
      <c r="AB623" s="209"/>
      <c r="AC623" s="207" t="str">
        <f t="shared" ca="1" si="91"/>
        <v/>
      </c>
      <c r="AD623" s="207"/>
      <c r="AE623" s="207"/>
      <c r="AF623" s="208" t="str">
        <f>IF(ISBLANK(D623),"",VLOOKUP(F623,'SIZE CALCULATION'!$F:$G,2,0))</f>
        <v/>
      </c>
      <c r="AG623" s="207" t="str">
        <f t="shared" si="89"/>
        <v/>
      </c>
      <c r="AH623" s="207" t="str">
        <f t="shared" si="92"/>
        <v/>
      </c>
      <c r="AI623" s="210" t="str">
        <f>IF(ISBLANK(D623),"",VLOOKUP($A623,INDEX!$D$2:$F$13,3,0))</f>
        <v/>
      </c>
      <c r="AJ623" s="207" t="str">
        <f t="shared" si="93"/>
        <v/>
      </c>
      <c r="AK623" s="207"/>
      <c r="AL623" s="207"/>
      <c r="AM623" s="207" t="str">
        <f>IFERROR(IF(ISBLANK($D623),"",VLOOKUP($N623,'TABLE CHARGE RATE'!$A$30:$K$106,5,0)),"Check")</f>
        <v/>
      </c>
      <c r="AN623" s="207" t="str">
        <f>IFERROR(IF(ISBLANK($D623),"",VLOOKUP($N623,'TABLE CHARGE RATE'!$A$30:$K$106,6,0)),"Check")</f>
        <v/>
      </c>
      <c r="AO623" s="207" t="str">
        <f>IFERROR(IF(ISBLANK($D623),"",VLOOKUP($N623,'TABLE CHARGE RATE'!$A$30:$K$106,7,0)),"Check")</f>
        <v/>
      </c>
      <c r="AP623" s="207" t="str">
        <f>IFERROR(IF(ISBLANK($D623),"",VLOOKUP($N623,'TABLE CHARGE RATE'!$A$30:$K$106,8,0)),"Check")</f>
        <v/>
      </c>
      <c r="AQ623" s="207" t="str">
        <f>IFERROR(IF(ISBLANK($D623),"",VLOOKUP($N623,'TABLE CHARGE RATE'!$A$30:$K$106,9,0)),"Check")</f>
        <v/>
      </c>
      <c r="AR623" s="207" t="str">
        <f>IFERROR(IF(ISBLANK($D623),"",VLOOKUP($N623,'TABLE CHARGE RATE'!$A$30:$K$106,10,0)),"Check")</f>
        <v/>
      </c>
      <c r="AS623" s="207" t="str">
        <f>IFERROR(IF(ISBLANK($D623),"",VLOOKUP($N623,'TABLE CHARGE RATE'!$A$30:$K$106,11,0)),"Check")</f>
        <v/>
      </c>
      <c r="AT623" s="207"/>
    </row>
    <row r="624" spans="1:46" x14ac:dyDescent="0.2">
      <c r="A624" s="207" t="str">
        <f t="shared" si="95"/>
        <v/>
      </c>
      <c r="B624" s="208" t="str">
        <f>IF(ISBLANK(D624),"",VLOOKUP(WEEKDAY($C624,1),INDEX!$J$2:$K$8,2,0))</f>
        <v/>
      </c>
      <c r="C624" s="209"/>
      <c r="D624" s="207"/>
      <c r="E624" s="207"/>
      <c r="F624" s="207"/>
      <c r="G624" s="207"/>
      <c r="H624" s="207"/>
      <c r="I624" s="207"/>
      <c r="J624" s="207"/>
      <c r="K624" s="207"/>
      <c r="L624" s="207"/>
      <c r="M624" s="207"/>
      <c r="N624" s="207"/>
      <c r="O624" s="207"/>
      <c r="P624" s="207"/>
      <c r="Q624" s="207"/>
      <c r="R624" s="207"/>
      <c r="S624" s="207"/>
      <c r="T624" s="207"/>
      <c r="U624" s="209"/>
      <c r="V624" s="207"/>
      <c r="W624" s="207"/>
      <c r="X624" s="209"/>
      <c r="Y624" s="209"/>
      <c r="Z624" s="207" t="str">
        <f t="shared" ca="1" si="90"/>
        <v/>
      </c>
      <c r="AA624" s="209" t="str">
        <f t="shared" si="94"/>
        <v/>
      </c>
      <c r="AB624" s="209"/>
      <c r="AC624" s="207" t="str">
        <f t="shared" ca="1" si="91"/>
        <v/>
      </c>
      <c r="AD624" s="207"/>
      <c r="AE624" s="207"/>
      <c r="AF624" s="208" t="str">
        <f>IF(ISBLANK(D624),"",VLOOKUP(F624,'SIZE CALCULATION'!$F:$G,2,0))</f>
        <v/>
      </c>
      <c r="AG624" s="207" t="str">
        <f t="shared" si="89"/>
        <v/>
      </c>
      <c r="AH624" s="207" t="str">
        <f t="shared" si="92"/>
        <v/>
      </c>
      <c r="AI624" s="210" t="str">
        <f>IF(ISBLANK(D624),"",VLOOKUP($A624,INDEX!$D$2:$F$13,3,0))</f>
        <v/>
      </c>
      <c r="AJ624" s="207" t="str">
        <f t="shared" si="93"/>
        <v/>
      </c>
      <c r="AK624" s="207"/>
      <c r="AL624" s="207"/>
      <c r="AM624" s="207" t="str">
        <f>IFERROR(IF(ISBLANK($D624),"",VLOOKUP($N624,'TABLE CHARGE RATE'!$A$30:$K$106,5,0)),"Check")</f>
        <v/>
      </c>
      <c r="AN624" s="207" t="str">
        <f>IFERROR(IF(ISBLANK($D624),"",VLOOKUP($N624,'TABLE CHARGE RATE'!$A$30:$K$106,6,0)),"Check")</f>
        <v/>
      </c>
      <c r="AO624" s="207" t="str">
        <f>IFERROR(IF(ISBLANK($D624),"",VLOOKUP($N624,'TABLE CHARGE RATE'!$A$30:$K$106,7,0)),"Check")</f>
        <v/>
      </c>
      <c r="AP624" s="207" t="str">
        <f>IFERROR(IF(ISBLANK($D624),"",VLOOKUP($N624,'TABLE CHARGE RATE'!$A$30:$K$106,8,0)),"Check")</f>
        <v/>
      </c>
      <c r="AQ624" s="207" t="str">
        <f>IFERROR(IF(ISBLANK($D624),"",VLOOKUP($N624,'TABLE CHARGE RATE'!$A$30:$K$106,9,0)),"Check")</f>
        <v/>
      </c>
      <c r="AR624" s="207" t="str">
        <f>IFERROR(IF(ISBLANK($D624),"",VLOOKUP($N624,'TABLE CHARGE RATE'!$A$30:$K$106,10,0)),"Check")</f>
        <v/>
      </c>
      <c r="AS624" s="207" t="str">
        <f>IFERROR(IF(ISBLANK($D624),"",VLOOKUP($N624,'TABLE CHARGE RATE'!$A$30:$K$106,11,0)),"Check")</f>
        <v/>
      </c>
      <c r="AT624" s="207"/>
    </row>
    <row r="625" spans="1:46" x14ac:dyDescent="0.2">
      <c r="A625" s="207" t="str">
        <f t="shared" si="95"/>
        <v/>
      </c>
      <c r="B625" s="208" t="str">
        <f>IF(ISBLANK(D625),"",VLOOKUP(WEEKDAY($C625,1),INDEX!$J$2:$K$8,2,0))</f>
        <v/>
      </c>
      <c r="C625" s="209"/>
      <c r="D625" s="207"/>
      <c r="E625" s="207"/>
      <c r="F625" s="207"/>
      <c r="G625" s="207"/>
      <c r="H625" s="207"/>
      <c r="I625" s="207"/>
      <c r="J625" s="207"/>
      <c r="K625" s="207"/>
      <c r="L625" s="207"/>
      <c r="M625" s="207"/>
      <c r="N625" s="207"/>
      <c r="O625" s="207"/>
      <c r="P625" s="207"/>
      <c r="Q625" s="207"/>
      <c r="R625" s="207"/>
      <c r="S625" s="207"/>
      <c r="T625" s="207"/>
      <c r="U625" s="209"/>
      <c r="V625" s="207"/>
      <c r="W625" s="207"/>
      <c r="X625" s="209"/>
      <c r="Y625" s="209"/>
      <c r="Z625" s="207" t="str">
        <f t="shared" ca="1" si="90"/>
        <v/>
      </c>
      <c r="AA625" s="209" t="str">
        <f t="shared" si="94"/>
        <v/>
      </c>
      <c r="AB625" s="209"/>
      <c r="AC625" s="207" t="str">
        <f t="shared" ca="1" si="91"/>
        <v/>
      </c>
      <c r="AD625" s="207"/>
      <c r="AE625" s="207"/>
      <c r="AF625" s="208" t="str">
        <f>IF(ISBLANK(D625),"",VLOOKUP(F625,'SIZE CALCULATION'!$F:$G,2,0))</f>
        <v/>
      </c>
      <c r="AG625" s="207" t="str">
        <f t="shared" si="89"/>
        <v/>
      </c>
      <c r="AH625" s="207" t="str">
        <f t="shared" si="92"/>
        <v/>
      </c>
      <c r="AI625" s="210" t="str">
        <f>IF(ISBLANK(D625),"",VLOOKUP($A625,INDEX!$D$2:$F$13,3,0))</f>
        <v/>
      </c>
      <c r="AJ625" s="207" t="str">
        <f t="shared" si="93"/>
        <v/>
      </c>
      <c r="AK625" s="207"/>
      <c r="AL625" s="207"/>
      <c r="AM625" s="207" t="str">
        <f>IFERROR(IF(ISBLANK($D625),"",VLOOKUP($N625,'TABLE CHARGE RATE'!$A$30:$K$106,5,0)),"Check")</f>
        <v/>
      </c>
      <c r="AN625" s="207" t="str">
        <f>IFERROR(IF(ISBLANK($D625),"",VLOOKUP($N625,'TABLE CHARGE RATE'!$A$30:$K$106,6,0)),"Check")</f>
        <v/>
      </c>
      <c r="AO625" s="207" t="str">
        <f>IFERROR(IF(ISBLANK($D625),"",VLOOKUP($N625,'TABLE CHARGE RATE'!$A$30:$K$106,7,0)),"Check")</f>
        <v/>
      </c>
      <c r="AP625" s="207" t="str">
        <f>IFERROR(IF(ISBLANK($D625),"",VLOOKUP($N625,'TABLE CHARGE RATE'!$A$30:$K$106,8,0)),"Check")</f>
        <v/>
      </c>
      <c r="AQ625" s="207" t="str">
        <f>IFERROR(IF(ISBLANK($D625),"",VLOOKUP($N625,'TABLE CHARGE RATE'!$A$30:$K$106,9,0)),"Check")</f>
        <v/>
      </c>
      <c r="AR625" s="207" t="str">
        <f>IFERROR(IF(ISBLANK($D625),"",VLOOKUP($N625,'TABLE CHARGE RATE'!$A$30:$K$106,10,0)),"Check")</f>
        <v/>
      </c>
      <c r="AS625" s="207" t="str">
        <f>IFERROR(IF(ISBLANK($D625),"",VLOOKUP($N625,'TABLE CHARGE RATE'!$A$30:$K$106,11,0)),"Check")</f>
        <v/>
      </c>
      <c r="AT625" s="207"/>
    </row>
    <row r="626" spans="1:46" x14ac:dyDescent="0.2">
      <c r="A626" s="207" t="str">
        <f t="shared" si="95"/>
        <v/>
      </c>
      <c r="B626" s="208" t="str">
        <f>IF(ISBLANK(D626),"",VLOOKUP(WEEKDAY($C626,1),INDEX!$J$2:$K$8,2,0))</f>
        <v/>
      </c>
      <c r="C626" s="209"/>
      <c r="D626" s="207"/>
      <c r="E626" s="207"/>
      <c r="F626" s="207"/>
      <c r="G626" s="207"/>
      <c r="H626" s="207"/>
      <c r="I626" s="207"/>
      <c r="J626" s="207"/>
      <c r="K626" s="207"/>
      <c r="L626" s="207"/>
      <c r="M626" s="207"/>
      <c r="N626" s="207"/>
      <c r="O626" s="207"/>
      <c r="P626" s="207"/>
      <c r="Q626" s="207"/>
      <c r="R626" s="207"/>
      <c r="S626" s="207"/>
      <c r="T626" s="207"/>
      <c r="U626" s="209"/>
      <c r="V626" s="207"/>
      <c r="W626" s="207"/>
      <c r="X626" s="209"/>
      <c r="Y626" s="209"/>
      <c r="Z626" s="207" t="str">
        <f t="shared" ca="1" si="90"/>
        <v/>
      </c>
      <c r="AA626" s="209" t="str">
        <f t="shared" si="94"/>
        <v/>
      </c>
      <c r="AB626" s="209"/>
      <c r="AC626" s="207" t="str">
        <f t="shared" ca="1" si="91"/>
        <v/>
      </c>
      <c r="AD626" s="207"/>
      <c r="AE626" s="207"/>
      <c r="AF626" s="208" t="str">
        <f>IF(ISBLANK(D626),"",VLOOKUP(F626,'SIZE CALCULATION'!$F:$G,2,0))</f>
        <v/>
      </c>
      <c r="AG626" s="207" t="str">
        <f t="shared" si="89"/>
        <v/>
      </c>
      <c r="AH626" s="207" t="str">
        <f t="shared" si="92"/>
        <v/>
      </c>
      <c r="AI626" s="210" t="str">
        <f>IF(ISBLANK(D626),"",VLOOKUP($A626,INDEX!$D$2:$F$13,3,0))</f>
        <v/>
      </c>
      <c r="AJ626" s="207" t="str">
        <f t="shared" si="93"/>
        <v/>
      </c>
      <c r="AK626" s="207"/>
      <c r="AL626" s="207"/>
      <c r="AM626" s="207" t="str">
        <f>IFERROR(IF(ISBLANK($D626),"",VLOOKUP($N626,'TABLE CHARGE RATE'!$A$30:$K$106,5,0)),"Check")</f>
        <v/>
      </c>
      <c r="AN626" s="207" t="str">
        <f>IFERROR(IF(ISBLANK($D626),"",VLOOKUP($N626,'TABLE CHARGE RATE'!$A$30:$K$106,6,0)),"Check")</f>
        <v/>
      </c>
      <c r="AO626" s="207" t="str">
        <f>IFERROR(IF(ISBLANK($D626),"",VLOOKUP($N626,'TABLE CHARGE RATE'!$A$30:$K$106,7,0)),"Check")</f>
        <v/>
      </c>
      <c r="AP626" s="207" t="str">
        <f>IFERROR(IF(ISBLANK($D626),"",VLOOKUP($N626,'TABLE CHARGE RATE'!$A$30:$K$106,8,0)),"Check")</f>
        <v/>
      </c>
      <c r="AQ626" s="207" t="str">
        <f>IFERROR(IF(ISBLANK($D626),"",VLOOKUP($N626,'TABLE CHARGE RATE'!$A$30:$K$106,9,0)),"Check")</f>
        <v/>
      </c>
      <c r="AR626" s="207" t="str">
        <f>IFERROR(IF(ISBLANK($D626),"",VLOOKUP($N626,'TABLE CHARGE RATE'!$A$30:$K$106,10,0)),"Check")</f>
        <v/>
      </c>
      <c r="AS626" s="207" t="str">
        <f>IFERROR(IF(ISBLANK($D626),"",VLOOKUP($N626,'TABLE CHARGE RATE'!$A$30:$K$106,11,0)),"Check")</f>
        <v/>
      </c>
      <c r="AT626" s="207"/>
    </row>
    <row r="627" spans="1:46" x14ac:dyDescent="0.2">
      <c r="A627" s="207" t="str">
        <f t="shared" si="95"/>
        <v/>
      </c>
      <c r="B627" s="208" t="str">
        <f>IF(ISBLANK(D627),"",VLOOKUP(WEEKDAY($C627,1),INDEX!$J$2:$K$8,2,0))</f>
        <v/>
      </c>
      <c r="C627" s="209"/>
      <c r="D627" s="207"/>
      <c r="E627" s="207"/>
      <c r="F627" s="207"/>
      <c r="G627" s="207"/>
      <c r="H627" s="207"/>
      <c r="I627" s="207"/>
      <c r="J627" s="207"/>
      <c r="K627" s="207"/>
      <c r="L627" s="207"/>
      <c r="M627" s="207"/>
      <c r="N627" s="207"/>
      <c r="O627" s="207"/>
      <c r="P627" s="207"/>
      <c r="Q627" s="207"/>
      <c r="R627" s="207"/>
      <c r="S627" s="207"/>
      <c r="T627" s="207"/>
      <c r="U627" s="209"/>
      <c r="V627" s="207"/>
      <c r="W627" s="207"/>
      <c r="X627" s="209"/>
      <c r="Y627" s="209"/>
      <c r="Z627" s="207" t="str">
        <f t="shared" ca="1" si="90"/>
        <v/>
      </c>
      <c r="AA627" s="209" t="str">
        <f t="shared" si="94"/>
        <v/>
      </c>
      <c r="AB627" s="209"/>
      <c r="AC627" s="207" t="str">
        <f t="shared" ca="1" si="91"/>
        <v/>
      </c>
      <c r="AD627" s="207"/>
      <c r="AE627" s="207"/>
      <c r="AF627" s="208" t="str">
        <f>IF(ISBLANK(D627),"",VLOOKUP(F627,'SIZE CALCULATION'!$F:$G,2,0))</f>
        <v/>
      </c>
      <c r="AG627" s="207" t="str">
        <f t="shared" ref="AG627:AG690" si="96">IF(ISBLANK(D627),"",HLOOKUP($AF627,$AM$1:$AR$966,$AT627,0))</f>
        <v/>
      </c>
      <c r="AH627" s="207" t="str">
        <f t="shared" si="92"/>
        <v/>
      </c>
      <c r="AI627" s="210" t="str">
        <f>IF(ISBLANK(D627),"",VLOOKUP($A627,INDEX!$D$2:$F$13,3,0))</f>
        <v/>
      </c>
      <c r="AJ627" s="207" t="str">
        <f t="shared" si="93"/>
        <v/>
      </c>
      <c r="AK627" s="207"/>
      <c r="AL627" s="207"/>
      <c r="AM627" s="207" t="str">
        <f>IFERROR(IF(ISBLANK($D627),"",VLOOKUP($N627,'TABLE CHARGE RATE'!$A$30:$K$106,5,0)),"Check")</f>
        <v/>
      </c>
      <c r="AN627" s="207" t="str">
        <f>IFERROR(IF(ISBLANK($D627),"",VLOOKUP($N627,'TABLE CHARGE RATE'!$A$30:$K$106,6,0)),"Check")</f>
        <v/>
      </c>
      <c r="AO627" s="207" t="str">
        <f>IFERROR(IF(ISBLANK($D627),"",VLOOKUP($N627,'TABLE CHARGE RATE'!$A$30:$K$106,7,0)),"Check")</f>
        <v/>
      </c>
      <c r="AP627" s="207" t="str">
        <f>IFERROR(IF(ISBLANK($D627),"",VLOOKUP($N627,'TABLE CHARGE RATE'!$A$30:$K$106,8,0)),"Check")</f>
        <v/>
      </c>
      <c r="AQ627" s="207" t="str">
        <f>IFERROR(IF(ISBLANK($D627),"",VLOOKUP($N627,'TABLE CHARGE RATE'!$A$30:$K$106,9,0)),"Check")</f>
        <v/>
      </c>
      <c r="AR627" s="207" t="str">
        <f>IFERROR(IF(ISBLANK($D627),"",VLOOKUP($N627,'TABLE CHARGE RATE'!$A$30:$K$106,10,0)),"Check")</f>
        <v/>
      </c>
      <c r="AS627" s="207" t="str">
        <f>IFERROR(IF(ISBLANK($D627),"",VLOOKUP($N627,'TABLE CHARGE RATE'!$A$30:$K$106,11,0)),"Check")</f>
        <v/>
      </c>
      <c r="AT627" s="207"/>
    </row>
    <row r="628" spans="1:46" x14ac:dyDescent="0.2">
      <c r="A628" s="207" t="str">
        <f t="shared" si="95"/>
        <v/>
      </c>
      <c r="B628" s="208" t="str">
        <f>IF(ISBLANK(D628),"",VLOOKUP(WEEKDAY($C628,1),INDEX!$J$2:$K$8,2,0))</f>
        <v/>
      </c>
      <c r="C628" s="209"/>
      <c r="D628" s="207"/>
      <c r="E628" s="207"/>
      <c r="F628" s="207"/>
      <c r="G628" s="207"/>
      <c r="H628" s="207"/>
      <c r="I628" s="207"/>
      <c r="J628" s="207"/>
      <c r="K628" s="207"/>
      <c r="L628" s="207"/>
      <c r="M628" s="207"/>
      <c r="N628" s="207"/>
      <c r="O628" s="207"/>
      <c r="P628" s="207"/>
      <c r="Q628" s="207"/>
      <c r="R628" s="207"/>
      <c r="S628" s="207"/>
      <c r="T628" s="207"/>
      <c r="U628" s="209"/>
      <c r="V628" s="207"/>
      <c r="W628" s="207"/>
      <c r="X628" s="209"/>
      <c r="Y628" s="209"/>
      <c r="Z628" s="207" t="str">
        <f t="shared" ca="1" si="90"/>
        <v/>
      </c>
      <c r="AA628" s="209" t="str">
        <f t="shared" si="94"/>
        <v/>
      </c>
      <c r="AB628" s="209"/>
      <c r="AC628" s="207" t="str">
        <f t="shared" ca="1" si="91"/>
        <v/>
      </c>
      <c r="AD628" s="207"/>
      <c r="AE628" s="207"/>
      <c r="AF628" s="208" t="str">
        <f>IF(ISBLANK(D628),"",VLOOKUP(F628,'SIZE CALCULATION'!$F:$G,2,0))</f>
        <v/>
      </c>
      <c r="AG628" s="207" t="str">
        <f t="shared" si="96"/>
        <v/>
      </c>
      <c r="AH628" s="207" t="str">
        <f t="shared" si="92"/>
        <v/>
      </c>
      <c r="AI628" s="210" t="str">
        <f>IF(ISBLANK(D628),"",VLOOKUP($A628,INDEX!$D$2:$F$13,3,0))</f>
        <v/>
      </c>
      <c r="AJ628" s="207" t="str">
        <f t="shared" si="93"/>
        <v/>
      </c>
      <c r="AK628" s="207"/>
      <c r="AL628" s="207"/>
      <c r="AM628" s="207" t="str">
        <f>IFERROR(IF(ISBLANK($D628),"",VLOOKUP($N628,'TABLE CHARGE RATE'!$A$30:$K$106,5,0)),"Check")</f>
        <v/>
      </c>
      <c r="AN628" s="207" t="str">
        <f>IFERROR(IF(ISBLANK($D628),"",VLOOKUP($N628,'TABLE CHARGE RATE'!$A$30:$K$106,6,0)),"Check")</f>
        <v/>
      </c>
      <c r="AO628" s="207" t="str">
        <f>IFERROR(IF(ISBLANK($D628),"",VLOOKUP($N628,'TABLE CHARGE RATE'!$A$30:$K$106,7,0)),"Check")</f>
        <v/>
      </c>
      <c r="AP628" s="207" t="str">
        <f>IFERROR(IF(ISBLANK($D628),"",VLOOKUP($N628,'TABLE CHARGE RATE'!$A$30:$K$106,8,0)),"Check")</f>
        <v/>
      </c>
      <c r="AQ628" s="207" t="str">
        <f>IFERROR(IF(ISBLANK($D628),"",VLOOKUP($N628,'TABLE CHARGE RATE'!$A$30:$K$106,9,0)),"Check")</f>
        <v/>
      </c>
      <c r="AR628" s="207" t="str">
        <f>IFERROR(IF(ISBLANK($D628),"",VLOOKUP($N628,'TABLE CHARGE RATE'!$A$30:$K$106,10,0)),"Check")</f>
        <v/>
      </c>
      <c r="AS628" s="207" t="str">
        <f>IFERROR(IF(ISBLANK($D628),"",VLOOKUP($N628,'TABLE CHARGE RATE'!$A$30:$K$106,11,0)),"Check")</f>
        <v/>
      </c>
      <c r="AT628" s="207"/>
    </row>
    <row r="629" spans="1:46" x14ac:dyDescent="0.2">
      <c r="A629" s="207" t="str">
        <f t="shared" si="95"/>
        <v/>
      </c>
      <c r="B629" s="208" t="str">
        <f>IF(ISBLANK(D629),"",VLOOKUP(WEEKDAY($C629,1),INDEX!$J$2:$K$8,2,0))</f>
        <v/>
      </c>
      <c r="C629" s="209"/>
      <c r="D629" s="207"/>
      <c r="E629" s="207"/>
      <c r="F629" s="207"/>
      <c r="G629" s="207"/>
      <c r="H629" s="207"/>
      <c r="I629" s="207"/>
      <c r="J629" s="207"/>
      <c r="K629" s="207"/>
      <c r="L629" s="207"/>
      <c r="M629" s="207"/>
      <c r="N629" s="207"/>
      <c r="O629" s="207"/>
      <c r="P629" s="207"/>
      <c r="Q629" s="207"/>
      <c r="R629" s="207"/>
      <c r="S629" s="207"/>
      <c r="T629" s="207"/>
      <c r="U629" s="209"/>
      <c r="V629" s="207"/>
      <c r="W629" s="207"/>
      <c r="X629" s="209"/>
      <c r="Y629" s="209"/>
      <c r="Z629" s="207" t="str">
        <f t="shared" ca="1" si="90"/>
        <v/>
      </c>
      <c r="AA629" s="209" t="str">
        <f t="shared" si="94"/>
        <v/>
      </c>
      <c r="AB629" s="209"/>
      <c r="AC629" s="207" t="str">
        <f t="shared" ca="1" si="91"/>
        <v/>
      </c>
      <c r="AD629" s="207"/>
      <c r="AE629" s="207"/>
      <c r="AF629" s="208" t="str">
        <f>IF(ISBLANK(D629),"",VLOOKUP(F629,'SIZE CALCULATION'!$F:$G,2,0))</f>
        <v/>
      </c>
      <c r="AG629" s="207" t="str">
        <f t="shared" si="96"/>
        <v/>
      </c>
      <c r="AH629" s="207" t="str">
        <f t="shared" si="92"/>
        <v/>
      </c>
      <c r="AI629" s="210" t="str">
        <f>IF(ISBLANK(D629),"",VLOOKUP($A629,INDEX!$D$2:$F$13,3,0))</f>
        <v/>
      </c>
      <c r="AJ629" s="207" t="str">
        <f t="shared" si="93"/>
        <v/>
      </c>
      <c r="AK629" s="207"/>
      <c r="AL629" s="207"/>
      <c r="AM629" s="207" t="str">
        <f>IFERROR(IF(ISBLANK($D629),"",VLOOKUP($N629,'TABLE CHARGE RATE'!$A$30:$K$106,5,0)),"Check")</f>
        <v/>
      </c>
      <c r="AN629" s="207" t="str">
        <f>IFERROR(IF(ISBLANK($D629),"",VLOOKUP($N629,'TABLE CHARGE RATE'!$A$30:$K$106,6,0)),"Check")</f>
        <v/>
      </c>
      <c r="AO629" s="207" t="str">
        <f>IFERROR(IF(ISBLANK($D629),"",VLOOKUP($N629,'TABLE CHARGE RATE'!$A$30:$K$106,7,0)),"Check")</f>
        <v/>
      </c>
      <c r="AP629" s="207" t="str">
        <f>IFERROR(IF(ISBLANK($D629),"",VLOOKUP($N629,'TABLE CHARGE RATE'!$A$30:$K$106,8,0)),"Check")</f>
        <v/>
      </c>
      <c r="AQ629" s="207" t="str">
        <f>IFERROR(IF(ISBLANK($D629),"",VLOOKUP($N629,'TABLE CHARGE RATE'!$A$30:$K$106,9,0)),"Check")</f>
        <v/>
      </c>
      <c r="AR629" s="207" t="str">
        <f>IFERROR(IF(ISBLANK($D629),"",VLOOKUP($N629,'TABLE CHARGE RATE'!$A$30:$K$106,10,0)),"Check")</f>
        <v/>
      </c>
      <c r="AS629" s="207" t="str">
        <f>IFERROR(IF(ISBLANK($D629),"",VLOOKUP($N629,'TABLE CHARGE RATE'!$A$30:$K$106,11,0)),"Check")</f>
        <v/>
      </c>
      <c r="AT629" s="207"/>
    </row>
    <row r="630" spans="1:46" x14ac:dyDescent="0.2">
      <c r="A630" s="207" t="str">
        <f t="shared" si="95"/>
        <v/>
      </c>
      <c r="B630" s="208" t="str">
        <f>IF(ISBLANK(D630),"",VLOOKUP(WEEKDAY($C630,1),INDEX!$J$2:$K$8,2,0))</f>
        <v/>
      </c>
      <c r="C630" s="209"/>
      <c r="D630" s="207"/>
      <c r="E630" s="207"/>
      <c r="F630" s="207"/>
      <c r="G630" s="207"/>
      <c r="H630" s="207"/>
      <c r="I630" s="207"/>
      <c r="J630" s="207"/>
      <c r="K630" s="207"/>
      <c r="L630" s="207"/>
      <c r="M630" s="207"/>
      <c r="N630" s="207"/>
      <c r="O630" s="207"/>
      <c r="P630" s="207"/>
      <c r="Q630" s="207"/>
      <c r="R630" s="207"/>
      <c r="S630" s="207"/>
      <c r="T630" s="207"/>
      <c r="U630" s="209"/>
      <c r="V630" s="207"/>
      <c r="W630" s="207"/>
      <c r="X630" s="209"/>
      <c r="Y630" s="209"/>
      <c r="Z630" s="207" t="str">
        <f t="shared" ca="1" si="90"/>
        <v/>
      </c>
      <c r="AA630" s="209" t="str">
        <f t="shared" si="94"/>
        <v/>
      </c>
      <c r="AB630" s="209"/>
      <c r="AC630" s="207" t="str">
        <f t="shared" ca="1" si="91"/>
        <v/>
      </c>
      <c r="AD630" s="207"/>
      <c r="AE630" s="207"/>
      <c r="AF630" s="208" t="str">
        <f>IF(ISBLANK(D630),"",VLOOKUP(F630,'SIZE CALCULATION'!$F:$G,2,0))</f>
        <v/>
      </c>
      <c r="AG630" s="207" t="str">
        <f t="shared" si="96"/>
        <v/>
      </c>
      <c r="AH630" s="207" t="str">
        <f t="shared" si="92"/>
        <v/>
      </c>
      <c r="AI630" s="210" t="str">
        <f>IF(ISBLANK(D630),"",VLOOKUP($A630,INDEX!$D$2:$F$13,3,0))</f>
        <v/>
      </c>
      <c r="AJ630" s="207" t="str">
        <f t="shared" si="93"/>
        <v/>
      </c>
      <c r="AK630" s="207"/>
      <c r="AL630" s="207"/>
      <c r="AM630" s="207" t="str">
        <f>IFERROR(IF(ISBLANK($D630),"",VLOOKUP($N630,'TABLE CHARGE RATE'!$A$30:$K$106,5,0)),"Check")</f>
        <v/>
      </c>
      <c r="AN630" s="207" t="str">
        <f>IFERROR(IF(ISBLANK($D630),"",VLOOKUP($N630,'TABLE CHARGE RATE'!$A$30:$K$106,6,0)),"Check")</f>
        <v/>
      </c>
      <c r="AO630" s="207" t="str">
        <f>IFERROR(IF(ISBLANK($D630),"",VLOOKUP($N630,'TABLE CHARGE RATE'!$A$30:$K$106,7,0)),"Check")</f>
        <v/>
      </c>
      <c r="AP630" s="207" t="str">
        <f>IFERROR(IF(ISBLANK($D630),"",VLOOKUP($N630,'TABLE CHARGE RATE'!$A$30:$K$106,8,0)),"Check")</f>
        <v/>
      </c>
      <c r="AQ630" s="207" t="str">
        <f>IFERROR(IF(ISBLANK($D630),"",VLOOKUP($N630,'TABLE CHARGE RATE'!$A$30:$K$106,9,0)),"Check")</f>
        <v/>
      </c>
      <c r="AR630" s="207" t="str">
        <f>IFERROR(IF(ISBLANK($D630),"",VLOOKUP($N630,'TABLE CHARGE RATE'!$A$30:$K$106,10,0)),"Check")</f>
        <v/>
      </c>
      <c r="AS630" s="207" t="str">
        <f>IFERROR(IF(ISBLANK($D630),"",VLOOKUP($N630,'TABLE CHARGE RATE'!$A$30:$K$106,11,0)),"Check")</f>
        <v/>
      </c>
      <c r="AT630" s="207"/>
    </row>
    <row r="631" spans="1:46" x14ac:dyDescent="0.2">
      <c r="A631" s="207" t="str">
        <f t="shared" si="95"/>
        <v/>
      </c>
      <c r="B631" s="208" t="str">
        <f>IF(ISBLANK(D631),"",VLOOKUP(WEEKDAY($C631,1),INDEX!$J$2:$K$8,2,0))</f>
        <v/>
      </c>
      <c r="C631" s="209"/>
      <c r="D631" s="207"/>
      <c r="E631" s="207"/>
      <c r="F631" s="207"/>
      <c r="G631" s="207"/>
      <c r="H631" s="207"/>
      <c r="I631" s="207"/>
      <c r="J631" s="207"/>
      <c r="K631" s="207"/>
      <c r="L631" s="207"/>
      <c r="M631" s="207"/>
      <c r="N631" s="207"/>
      <c r="O631" s="207"/>
      <c r="P631" s="207"/>
      <c r="Q631" s="207"/>
      <c r="R631" s="207"/>
      <c r="S631" s="207"/>
      <c r="T631" s="207"/>
      <c r="U631" s="209"/>
      <c r="V631" s="207"/>
      <c r="W631" s="207"/>
      <c r="X631" s="209"/>
      <c r="Y631" s="209"/>
      <c r="Z631" s="207" t="str">
        <f t="shared" ca="1" si="90"/>
        <v/>
      </c>
      <c r="AA631" s="209" t="str">
        <f t="shared" si="94"/>
        <v/>
      </c>
      <c r="AB631" s="209"/>
      <c r="AC631" s="207" t="str">
        <f t="shared" ca="1" si="91"/>
        <v/>
      </c>
      <c r="AD631" s="207"/>
      <c r="AE631" s="207"/>
      <c r="AF631" s="208" t="str">
        <f>IF(ISBLANK(D631),"",VLOOKUP(F631,'SIZE CALCULATION'!$F:$G,2,0))</f>
        <v/>
      </c>
      <c r="AG631" s="207" t="str">
        <f t="shared" si="96"/>
        <v/>
      </c>
      <c r="AH631" s="207" t="str">
        <f t="shared" si="92"/>
        <v/>
      </c>
      <c r="AI631" s="210" t="str">
        <f>IF(ISBLANK(D631),"",VLOOKUP($A631,INDEX!$D$2:$F$13,3,0))</f>
        <v/>
      </c>
      <c r="AJ631" s="207" t="str">
        <f t="shared" si="93"/>
        <v/>
      </c>
      <c r="AK631" s="207"/>
      <c r="AL631" s="207"/>
      <c r="AM631" s="207" t="str">
        <f>IFERROR(IF(ISBLANK($D631),"",VLOOKUP($N631,'TABLE CHARGE RATE'!$A$30:$K$106,5,0)),"Check")</f>
        <v/>
      </c>
      <c r="AN631" s="207" t="str">
        <f>IFERROR(IF(ISBLANK($D631),"",VLOOKUP($N631,'TABLE CHARGE RATE'!$A$30:$K$106,6,0)),"Check")</f>
        <v/>
      </c>
      <c r="AO631" s="207" t="str">
        <f>IFERROR(IF(ISBLANK($D631),"",VLOOKUP($N631,'TABLE CHARGE RATE'!$A$30:$K$106,7,0)),"Check")</f>
        <v/>
      </c>
      <c r="AP631" s="207" t="str">
        <f>IFERROR(IF(ISBLANK($D631),"",VLOOKUP($N631,'TABLE CHARGE RATE'!$A$30:$K$106,8,0)),"Check")</f>
        <v/>
      </c>
      <c r="AQ631" s="207" t="str">
        <f>IFERROR(IF(ISBLANK($D631),"",VLOOKUP($N631,'TABLE CHARGE RATE'!$A$30:$K$106,9,0)),"Check")</f>
        <v/>
      </c>
      <c r="AR631" s="207" t="str">
        <f>IFERROR(IF(ISBLANK($D631),"",VLOOKUP($N631,'TABLE CHARGE RATE'!$A$30:$K$106,10,0)),"Check")</f>
        <v/>
      </c>
      <c r="AS631" s="207" t="str">
        <f>IFERROR(IF(ISBLANK($D631),"",VLOOKUP($N631,'TABLE CHARGE RATE'!$A$30:$K$106,11,0)),"Check")</f>
        <v/>
      </c>
      <c r="AT631" s="207"/>
    </row>
    <row r="632" spans="1:46" x14ac:dyDescent="0.2">
      <c r="A632" s="207" t="str">
        <f t="shared" si="95"/>
        <v/>
      </c>
      <c r="B632" s="208" t="str">
        <f>IF(ISBLANK(D632),"",VLOOKUP(WEEKDAY($C632,1),INDEX!$J$2:$K$8,2,0))</f>
        <v/>
      </c>
      <c r="C632" s="209"/>
      <c r="D632" s="207"/>
      <c r="E632" s="207"/>
      <c r="F632" s="207"/>
      <c r="G632" s="207"/>
      <c r="H632" s="207"/>
      <c r="I632" s="207"/>
      <c r="J632" s="207"/>
      <c r="K632" s="207"/>
      <c r="L632" s="207"/>
      <c r="M632" s="207"/>
      <c r="N632" s="207"/>
      <c r="O632" s="207"/>
      <c r="P632" s="207"/>
      <c r="Q632" s="207"/>
      <c r="R632" s="207"/>
      <c r="S632" s="207"/>
      <c r="T632" s="207"/>
      <c r="U632" s="209"/>
      <c r="V632" s="207"/>
      <c r="W632" s="207"/>
      <c r="X632" s="209"/>
      <c r="Y632" s="209"/>
      <c r="Z632" s="207" t="str">
        <f t="shared" ca="1" si="90"/>
        <v/>
      </c>
      <c r="AA632" s="209" t="str">
        <f t="shared" si="94"/>
        <v/>
      </c>
      <c r="AB632" s="209"/>
      <c r="AC632" s="207" t="str">
        <f t="shared" ca="1" si="91"/>
        <v/>
      </c>
      <c r="AD632" s="207"/>
      <c r="AE632" s="207"/>
      <c r="AF632" s="208" t="str">
        <f>IF(ISBLANK(D632),"",VLOOKUP(F632,'SIZE CALCULATION'!$F:$G,2,0))</f>
        <v/>
      </c>
      <c r="AG632" s="207" t="str">
        <f t="shared" si="96"/>
        <v/>
      </c>
      <c r="AH632" s="207" t="str">
        <f t="shared" si="92"/>
        <v/>
      </c>
      <c r="AI632" s="210" t="str">
        <f>IF(ISBLANK(D632),"",VLOOKUP($A632,INDEX!$D$2:$F$13,3,0))</f>
        <v/>
      </c>
      <c r="AJ632" s="207" t="str">
        <f t="shared" si="93"/>
        <v/>
      </c>
      <c r="AK632" s="207"/>
      <c r="AL632" s="207"/>
      <c r="AM632" s="207" t="str">
        <f>IFERROR(IF(ISBLANK($D632),"",VLOOKUP($N632,'TABLE CHARGE RATE'!$A$30:$K$106,5,0)),"Check")</f>
        <v/>
      </c>
      <c r="AN632" s="207" t="str">
        <f>IFERROR(IF(ISBLANK($D632),"",VLOOKUP($N632,'TABLE CHARGE RATE'!$A$30:$K$106,6,0)),"Check")</f>
        <v/>
      </c>
      <c r="AO632" s="207" t="str">
        <f>IFERROR(IF(ISBLANK($D632),"",VLOOKUP($N632,'TABLE CHARGE RATE'!$A$30:$K$106,7,0)),"Check")</f>
        <v/>
      </c>
      <c r="AP632" s="207" t="str">
        <f>IFERROR(IF(ISBLANK($D632),"",VLOOKUP($N632,'TABLE CHARGE RATE'!$A$30:$K$106,8,0)),"Check")</f>
        <v/>
      </c>
      <c r="AQ632" s="207" t="str">
        <f>IFERROR(IF(ISBLANK($D632),"",VLOOKUP($N632,'TABLE CHARGE RATE'!$A$30:$K$106,9,0)),"Check")</f>
        <v/>
      </c>
      <c r="AR632" s="207" t="str">
        <f>IFERROR(IF(ISBLANK($D632),"",VLOOKUP($N632,'TABLE CHARGE RATE'!$A$30:$K$106,10,0)),"Check")</f>
        <v/>
      </c>
      <c r="AS632" s="207" t="str">
        <f>IFERROR(IF(ISBLANK($D632),"",VLOOKUP($N632,'TABLE CHARGE RATE'!$A$30:$K$106,11,0)),"Check")</f>
        <v/>
      </c>
      <c r="AT632" s="207"/>
    </row>
    <row r="633" spans="1:46" x14ac:dyDescent="0.2">
      <c r="A633" s="207" t="str">
        <f t="shared" si="95"/>
        <v/>
      </c>
      <c r="B633" s="208" t="str">
        <f>IF(ISBLANK(D633),"",VLOOKUP(WEEKDAY($C633,1),INDEX!$J$2:$K$8,2,0))</f>
        <v/>
      </c>
      <c r="C633" s="209"/>
      <c r="D633" s="207"/>
      <c r="E633" s="207"/>
      <c r="F633" s="207"/>
      <c r="G633" s="207"/>
      <c r="H633" s="207"/>
      <c r="I633" s="207"/>
      <c r="J633" s="207"/>
      <c r="K633" s="207"/>
      <c r="L633" s="207"/>
      <c r="M633" s="207"/>
      <c r="N633" s="207"/>
      <c r="O633" s="207"/>
      <c r="P633" s="207"/>
      <c r="Q633" s="207"/>
      <c r="R633" s="207"/>
      <c r="S633" s="207"/>
      <c r="T633" s="207"/>
      <c r="U633" s="209"/>
      <c r="V633" s="207"/>
      <c r="W633" s="207"/>
      <c r="X633" s="209"/>
      <c r="Y633" s="209"/>
      <c r="Z633" s="207" t="str">
        <f t="shared" ca="1" si="90"/>
        <v/>
      </c>
      <c r="AA633" s="209" t="str">
        <f t="shared" si="94"/>
        <v/>
      </c>
      <c r="AB633" s="209"/>
      <c r="AC633" s="207" t="str">
        <f t="shared" ca="1" si="91"/>
        <v/>
      </c>
      <c r="AD633" s="207"/>
      <c r="AE633" s="207"/>
      <c r="AF633" s="208" t="str">
        <f>IF(ISBLANK(D633),"",VLOOKUP(F633,'SIZE CALCULATION'!$F:$G,2,0))</f>
        <v/>
      </c>
      <c r="AG633" s="207" t="str">
        <f t="shared" si="96"/>
        <v/>
      </c>
      <c r="AH633" s="207" t="str">
        <f t="shared" si="92"/>
        <v/>
      </c>
      <c r="AI633" s="210" t="str">
        <f>IF(ISBLANK(D633),"",VLOOKUP($A633,INDEX!$D$2:$F$13,3,0))</f>
        <v/>
      </c>
      <c r="AJ633" s="207" t="str">
        <f t="shared" si="93"/>
        <v/>
      </c>
      <c r="AK633" s="207"/>
      <c r="AL633" s="207"/>
      <c r="AM633" s="207" t="str">
        <f>IFERROR(IF(ISBLANK($D633),"",VLOOKUP($N633,'TABLE CHARGE RATE'!$A$30:$K$106,5,0)),"Check")</f>
        <v/>
      </c>
      <c r="AN633" s="207" t="str">
        <f>IFERROR(IF(ISBLANK($D633),"",VLOOKUP($N633,'TABLE CHARGE RATE'!$A$30:$K$106,6,0)),"Check")</f>
        <v/>
      </c>
      <c r="AO633" s="207" t="str">
        <f>IFERROR(IF(ISBLANK($D633),"",VLOOKUP($N633,'TABLE CHARGE RATE'!$A$30:$K$106,7,0)),"Check")</f>
        <v/>
      </c>
      <c r="AP633" s="207" t="str">
        <f>IFERROR(IF(ISBLANK($D633),"",VLOOKUP($N633,'TABLE CHARGE RATE'!$A$30:$K$106,8,0)),"Check")</f>
        <v/>
      </c>
      <c r="AQ633" s="207" t="str">
        <f>IFERROR(IF(ISBLANK($D633),"",VLOOKUP($N633,'TABLE CHARGE RATE'!$A$30:$K$106,9,0)),"Check")</f>
        <v/>
      </c>
      <c r="AR633" s="207" t="str">
        <f>IFERROR(IF(ISBLANK($D633),"",VLOOKUP($N633,'TABLE CHARGE RATE'!$A$30:$K$106,10,0)),"Check")</f>
        <v/>
      </c>
      <c r="AS633" s="207" t="str">
        <f>IFERROR(IF(ISBLANK($D633),"",VLOOKUP($N633,'TABLE CHARGE RATE'!$A$30:$K$106,11,0)),"Check")</f>
        <v/>
      </c>
      <c r="AT633" s="207"/>
    </row>
    <row r="634" spans="1:46" x14ac:dyDescent="0.2">
      <c r="A634" s="207" t="str">
        <f t="shared" si="95"/>
        <v/>
      </c>
      <c r="B634" s="208" t="str">
        <f>IF(ISBLANK(D634),"",VLOOKUP(WEEKDAY($C634,1),INDEX!$J$2:$K$8,2,0))</f>
        <v/>
      </c>
      <c r="C634" s="209"/>
      <c r="D634" s="207"/>
      <c r="E634" s="207"/>
      <c r="F634" s="207"/>
      <c r="G634" s="207"/>
      <c r="H634" s="207"/>
      <c r="I634" s="207"/>
      <c r="J634" s="207"/>
      <c r="K634" s="207"/>
      <c r="L634" s="207"/>
      <c r="M634" s="207"/>
      <c r="N634" s="207"/>
      <c r="O634" s="207"/>
      <c r="P634" s="207"/>
      <c r="Q634" s="207"/>
      <c r="R634" s="207"/>
      <c r="S634" s="207"/>
      <c r="T634" s="207"/>
      <c r="U634" s="209"/>
      <c r="V634" s="207"/>
      <c r="W634" s="207"/>
      <c r="X634" s="209"/>
      <c r="Y634" s="209"/>
      <c r="Z634" s="207" t="str">
        <f t="shared" ca="1" si="90"/>
        <v/>
      </c>
      <c r="AA634" s="209" t="str">
        <f t="shared" si="94"/>
        <v/>
      </c>
      <c r="AB634" s="209"/>
      <c r="AC634" s="207" t="str">
        <f t="shared" ca="1" si="91"/>
        <v/>
      </c>
      <c r="AD634" s="207"/>
      <c r="AE634" s="207"/>
      <c r="AF634" s="208" t="str">
        <f>IF(ISBLANK(D634),"",VLOOKUP(F634,'SIZE CALCULATION'!$F:$G,2,0))</f>
        <v/>
      </c>
      <c r="AG634" s="207" t="str">
        <f t="shared" si="96"/>
        <v/>
      </c>
      <c r="AH634" s="207" t="str">
        <f t="shared" si="92"/>
        <v/>
      </c>
      <c r="AI634" s="210" t="str">
        <f>IF(ISBLANK(D634),"",VLOOKUP($A634,INDEX!$D$2:$F$13,3,0))</f>
        <v/>
      </c>
      <c r="AJ634" s="207" t="str">
        <f t="shared" si="93"/>
        <v/>
      </c>
      <c r="AK634" s="207"/>
      <c r="AL634" s="207"/>
      <c r="AM634" s="207" t="str">
        <f>IFERROR(IF(ISBLANK($D634),"",VLOOKUP($N634,'TABLE CHARGE RATE'!$A$30:$K$106,5,0)),"Check")</f>
        <v/>
      </c>
      <c r="AN634" s="207" t="str">
        <f>IFERROR(IF(ISBLANK($D634),"",VLOOKUP($N634,'TABLE CHARGE RATE'!$A$30:$K$106,6,0)),"Check")</f>
        <v/>
      </c>
      <c r="AO634" s="207" t="str">
        <f>IFERROR(IF(ISBLANK($D634),"",VLOOKUP($N634,'TABLE CHARGE RATE'!$A$30:$K$106,7,0)),"Check")</f>
        <v/>
      </c>
      <c r="AP634" s="207" t="str">
        <f>IFERROR(IF(ISBLANK($D634),"",VLOOKUP($N634,'TABLE CHARGE RATE'!$A$30:$K$106,8,0)),"Check")</f>
        <v/>
      </c>
      <c r="AQ634" s="207" t="str">
        <f>IFERROR(IF(ISBLANK($D634),"",VLOOKUP($N634,'TABLE CHARGE RATE'!$A$30:$K$106,9,0)),"Check")</f>
        <v/>
      </c>
      <c r="AR634" s="207" t="str">
        <f>IFERROR(IF(ISBLANK($D634),"",VLOOKUP($N634,'TABLE CHARGE RATE'!$A$30:$K$106,10,0)),"Check")</f>
        <v/>
      </c>
      <c r="AS634" s="207" t="str">
        <f>IFERROR(IF(ISBLANK($D634),"",VLOOKUP($N634,'TABLE CHARGE RATE'!$A$30:$K$106,11,0)),"Check")</f>
        <v/>
      </c>
      <c r="AT634" s="207"/>
    </row>
    <row r="635" spans="1:46" x14ac:dyDescent="0.2">
      <c r="A635" s="207" t="str">
        <f t="shared" si="95"/>
        <v/>
      </c>
      <c r="B635" s="208" t="str">
        <f>IF(ISBLANK(D635),"",VLOOKUP(WEEKDAY($C635,1),INDEX!$J$2:$K$8,2,0))</f>
        <v/>
      </c>
      <c r="C635" s="209"/>
      <c r="D635" s="207"/>
      <c r="E635" s="207"/>
      <c r="F635" s="207"/>
      <c r="G635" s="207"/>
      <c r="H635" s="207"/>
      <c r="I635" s="207"/>
      <c r="J635" s="207"/>
      <c r="K635" s="207"/>
      <c r="L635" s="207"/>
      <c r="M635" s="207"/>
      <c r="N635" s="207"/>
      <c r="O635" s="207"/>
      <c r="P635" s="207"/>
      <c r="Q635" s="207"/>
      <c r="R635" s="207"/>
      <c r="S635" s="207"/>
      <c r="T635" s="207"/>
      <c r="U635" s="209"/>
      <c r="V635" s="207"/>
      <c r="W635" s="207"/>
      <c r="X635" s="209"/>
      <c r="Y635" s="209"/>
      <c r="Z635" s="207" t="str">
        <f t="shared" ca="1" si="90"/>
        <v/>
      </c>
      <c r="AA635" s="209" t="str">
        <f t="shared" si="94"/>
        <v/>
      </c>
      <c r="AB635" s="209"/>
      <c r="AC635" s="207" t="str">
        <f t="shared" ca="1" si="91"/>
        <v/>
      </c>
      <c r="AD635" s="207"/>
      <c r="AE635" s="207"/>
      <c r="AF635" s="208" t="str">
        <f>IF(ISBLANK(D635),"",VLOOKUP(F635,'SIZE CALCULATION'!$F:$G,2,0))</f>
        <v/>
      </c>
      <c r="AG635" s="207" t="str">
        <f t="shared" si="96"/>
        <v/>
      </c>
      <c r="AH635" s="207" t="str">
        <f t="shared" si="92"/>
        <v/>
      </c>
      <c r="AI635" s="210" t="str">
        <f>IF(ISBLANK(D635),"",VLOOKUP($A635,INDEX!$D$2:$F$13,3,0))</f>
        <v/>
      </c>
      <c r="AJ635" s="207" t="str">
        <f t="shared" si="93"/>
        <v/>
      </c>
      <c r="AK635" s="207"/>
      <c r="AL635" s="207"/>
      <c r="AM635" s="207" t="str">
        <f>IFERROR(IF(ISBLANK($D635),"",VLOOKUP($N635,'TABLE CHARGE RATE'!$A$30:$K$106,5,0)),"Check")</f>
        <v/>
      </c>
      <c r="AN635" s="207" t="str">
        <f>IFERROR(IF(ISBLANK($D635),"",VLOOKUP($N635,'TABLE CHARGE RATE'!$A$30:$K$106,6,0)),"Check")</f>
        <v/>
      </c>
      <c r="AO635" s="207" t="str">
        <f>IFERROR(IF(ISBLANK($D635),"",VLOOKUP($N635,'TABLE CHARGE RATE'!$A$30:$K$106,7,0)),"Check")</f>
        <v/>
      </c>
      <c r="AP635" s="207" t="str">
        <f>IFERROR(IF(ISBLANK($D635),"",VLOOKUP($N635,'TABLE CHARGE RATE'!$A$30:$K$106,8,0)),"Check")</f>
        <v/>
      </c>
      <c r="AQ635" s="207" t="str">
        <f>IFERROR(IF(ISBLANK($D635),"",VLOOKUP($N635,'TABLE CHARGE RATE'!$A$30:$K$106,9,0)),"Check")</f>
        <v/>
      </c>
      <c r="AR635" s="207" t="str">
        <f>IFERROR(IF(ISBLANK($D635),"",VLOOKUP($N635,'TABLE CHARGE RATE'!$A$30:$K$106,10,0)),"Check")</f>
        <v/>
      </c>
      <c r="AS635" s="207" t="str">
        <f>IFERROR(IF(ISBLANK($D635),"",VLOOKUP($N635,'TABLE CHARGE RATE'!$A$30:$K$106,11,0)),"Check")</f>
        <v/>
      </c>
      <c r="AT635" s="207"/>
    </row>
    <row r="636" spans="1:46" x14ac:dyDescent="0.2">
      <c r="A636" s="207" t="str">
        <f t="shared" si="95"/>
        <v/>
      </c>
      <c r="B636" s="208" t="str">
        <f>IF(ISBLANK(D636),"",VLOOKUP(WEEKDAY($C636,1),INDEX!$J$2:$K$8,2,0))</f>
        <v/>
      </c>
      <c r="C636" s="209"/>
      <c r="D636" s="207"/>
      <c r="E636" s="207"/>
      <c r="F636" s="207"/>
      <c r="G636" s="207"/>
      <c r="H636" s="207"/>
      <c r="I636" s="207"/>
      <c r="J636" s="207"/>
      <c r="K636" s="207"/>
      <c r="L636" s="207"/>
      <c r="M636" s="207"/>
      <c r="N636" s="207"/>
      <c r="O636" s="207"/>
      <c r="P636" s="207"/>
      <c r="Q636" s="207"/>
      <c r="R636" s="207"/>
      <c r="S636" s="207"/>
      <c r="T636" s="207"/>
      <c r="U636" s="209"/>
      <c r="V636" s="207"/>
      <c r="W636" s="207"/>
      <c r="X636" s="209"/>
      <c r="Y636" s="209"/>
      <c r="Z636" s="207" t="str">
        <f t="shared" ca="1" si="90"/>
        <v/>
      </c>
      <c r="AA636" s="209" t="str">
        <f t="shared" si="94"/>
        <v/>
      </c>
      <c r="AB636" s="209"/>
      <c r="AC636" s="207" t="str">
        <f t="shared" ca="1" si="91"/>
        <v/>
      </c>
      <c r="AD636" s="207"/>
      <c r="AE636" s="207"/>
      <c r="AF636" s="208" t="str">
        <f>IF(ISBLANK(D636),"",VLOOKUP(F636,'SIZE CALCULATION'!$F:$G,2,0))</f>
        <v/>
      </c>
      <c r="AG636" s="207" t="str">
        <f t="shared" si="96"/>
        <v/>
      </c>
      <c r="AH636" s="207" t="str">
        <f t="shared" si="92"/>
        <v/>
      </c>
      <c r="AI636" s="210" t="str">
        <f>IF(ISBLANK(D636),"",VLOOKUP($A636,INDEX!$D$2:$F$13,3,0))</f>
        <v/>
      </c>
      <c r="AJ636" s="207" t="str">
        <f t="shared" si="93"/>
        <v/>
      </c>
      <c r="AK636" s="207"/>
      <c r="AL636" s="207"/>
      <c r="AM636" s="207" t="str">
        <f>IFERROR(IF(ISBLANK($D636),"",VLOOKUP($N636,'TABLE CHARGE RATE'!$A$30:$K$106,5,0)),"Check")</f>
        <v/>
      </c>
      <c r="AN636" s="207" t="str">
        <f>IFERROR(IF(ISBLANK($D636),"",VLOOKUP($N636,'TABLE CHARGE RATE'!$A$30:$K$106,6,0)),"Check")</f>
        <v/>
      </c>
      <c r="AO636" s="207" t="str">
        <f>IFERROR(IF(ISBLANK($D636),"",VLOOKUP($N636,'TABLE CHARGE RATE'!$A$30:$K$106,7,0)),"Check")</f>
        <v/>
      </c>
      <c r="AP636" s="207" t="str">
        <f>IFERROR(IF(ISBLANK($D636),"",VLOOKUP($N636,'TABLE CHARGE RATE'!$A$30:$K$106,8,0)),"Check")</f>
        <v/>
      </c>
      <c r="AQ636" s="207" t="str">
        <f>IFERROR(IF(ISBLANK($D636),"",VLOOKUP($N636,'TABLE CHARGE RATE'!$A$30:$K$106,9,0)),"Check")</f>
        <v/>
      </c>
      <c r="AR636" s="207" t="str">
        <f>IFERROR(IF(ISBLANK($D636),"",VLOOKUP($N636,'TABLE CHARGE RATE'!$A$30:$K$106,10,0)),"Check")</f>
        <v/>
      </c>
      <c r="AS636" s="207" t="str">
        <f>IFERROR(IF(ISBLANK($D636),"",VLOOKUP($N636,'TABLE CHARGE RATE'!$A$30:$K$106,11,0)),"Check")</f>
        <v/>
      </c>
      <c r="AT636" s="207"/>
    </row>
    <row r="637" spans="1:46" x14ac:dyDescent="0.2">
      <c r="A637" s="207" t="str">
        <f t="shared" si="95"/>
        <v/>
      </c>
      <c r="B637" s="208" t="str">
        <f>IF(ISBLANK(D637),"",VLOOKUP(WEEKDAY($C637,1),INDEX!$J$2:$K$8,2,0))</f>
        <v/>
      </c>
      <c r="C637" s="209"/>
      <c r="D637" s="207"/>
      <c r="E637" s="207"/>
      <c r="F637" s="207"/>
      <c r="G637" s="207"/>
      <c r="H637" s="207"/>
      <c r="I637" s="207"/>
      <c r="J637" s="207"/>
      <c r="K637" s="207"/>
      <c r="L637" s="207"/>
      <c r="M637" s="207"/>
      <c r="N637" s="207"/>
      <c r="O637" s="207"/>
      <c r="P637" s="207"/>
      <c r="Q637" s="207"/>
      <c r="R637" s="207"/>
      <c r="S637" s="207"/>
      <c r="T637" s="207"/>
      <c r="U637" s="209"/>
      <c r="V637" s="207"/>
      <c r="W637" s="207"/>
      <c r="X637" s="209"/>
      <c r="Y637" s="209"/>
      <c r="Z637" s="207" t="str">
        <f t="shared" ca="1" si="90"/>
        <v/>
      </c>
      <c r="AA637" s="209" t="str">
        <f t="shared" si="94"/>
        <v/>
      </c>
      <c r="AB637" s="209"/>
      <c r="AC637" s="207" t="str">
        <f t="shared" ca="1" si="91"/>
        <v/>
      </c>
      <c r="AD637" s="207"/>
      <c r="AE637" s="207"/>
      <c r="AF637" s="208" t="str">
        <f>IF(ISBLANK(D637),"",VLOOKUP(F637,'SIZE CALCULATION'!$F:$G,2,0))</f>
        <v/>
      </c>
      <c r="AG637" s="207" t="str">
        <f t="shared" si="96"/>
        <v/>
      </c>
      <c r="AH637" s="207" t="str">
        <f t="shared" si="92"/>
        <v/>
      </c>
      <c r="AI637" s="210" t="str">
        <f>IF(ISBLANK(D637),"",VLOOKUP($A637,INDEX!$D$2:$F$13,3,0))</f>
        <v/>
      </c>
      <c r="AJ637" s="207" t="str">
        <f t="shared" si="93"/>
        <v/>
      </c>
      <c r="AK637" s="207"/>
      <c r="AL637" s="207"/>
      <c r="AM637" s="207" t="str">
        <f>IFERROR(IF(ISBLANK($D637),"",VLOOKUP($N637,'TABLE CHARGE RATE'!$A$30:$K$106,5,0)),"Check")</f>
        <v/>
      </c>
      <c r="AN637" s="207" t="str">
        <f>IFERROR(IF(ISBLANK($D637),"",VLOOKUP($N637,'TABLE CHARGE RATE'!$A$30:$K$106,6,0)),"Check")</f>
        <v/>
      </c>
      <c r="AO637" s="207" t="str">
        <f>IFERROR(IF(ISBLANK($D637),"",VLOOKUP($N637,'TABLE CHARGE RATE'!$A$30:$K$106,7,0)),"Check")</f>
        <v/>
      </c>
      <c r="AP637" s="207" t="str">
        <f>IFERROR(IF(ISBLANK($D637),"",VLOOKUP($N637,'TABLE CHARGE RATE'!$A$30:$K$106,8,0)),"Check")</f>
        <v/>
      </c>
      <c r="AQ637" s="207" t="str">
        <f>IFERROR(IF(ISBLANK($D637),"",VLOOKUP($N637,'TABLE CHARGE RATE'!$A$30:$K$106,9,0)),"Check")</f>
        <v/>
      </c>
      <c r="AR637" s="207" t="str">
        <f>IFERROR(IF(ISBLANK($D637),"",VLOOKUP($N637,'TABLE CHARGE RATE'!$A$30:$K$106,10,0)),"Check")</f>
        <v/>
      </c>
      <c r="AS637" s="207" t="str">
        <f>IFERROR(IF(ISBLANK($D637),"",VLOOKUP($N637,'TABLE CHARGE RATE'!$A$30:$K$106,11,0)),"Check")</f>
        <v/>
      </c>
      <c r="AT637" s="207"/>
    </row>
    <row r="638" spans="1:46" x14ac:dyDescent="0.2">
      <c r="A638" s="207" t="str">
        <f t="shared" si="95"/>
        <v/>
      </c>
      <c r="B638" s="208" t="str">
        <f>IF(ISBLANK(D638),"",VLOOKUP(WEEKDAY($C638,1),INDEX!$J$2:$K$8,2,0))</f>
        <v/>
      </c>
      <c r="C638" s="209"/>
      <c r="D638" s="207"/>
      <c r="E638" s="207"/>
      <c r="F638" s="207"/>
      <c r="G638" s="207"/>
      <c r="H638" s="207"/>
      <c r="I638" s="207"/>
      <c r="J638" s="207"/>
      <c r="K638" s="207"/>
      <c r="L638" s="207"/>
      <c r="M638" s="207"/>
      <c r="N638" s="207"/>
      <c r="O638" s="207"/>
      <c r="P638" s="207"/>
      <c r="Q638" s="207"/>
      <c r="R638" s="207"/>
      <c r="S638" s="207"/>
      <c r="T638" s="207"/>
      <c r="U638" s="209"/>
      <c r="V638" s="207"/>
      <c r="W638" s="207"/>
      <c r="X638" s="209"/>
      <c r="Y638" s="209"/>
      <c r="Z638" s="207" t="str">
        <f t="shared" ca="1" si="90"/>
        <v/>
      </c>
      <c r="AA638" s="209" t="str">
        <f t="shared" si="94"/>
        <v/>
      </c>
      <c r="AB638" s="209"/>
      <c r="AC638" s="207" t="str">
        <f t="shared" ca="1" si="91"/>
        <v/>
      </c>
      <c r="AD638" s="207"/>
      <c r="AE638" s="207"/>
      <c r="AF638" s="208" t="str">
        <f>IF(ISBLANK(D638),"",VLOOKUP(F638,'SIZE CALCULATION'!$F:$G,2,0))</f>
        <v/>
      </c>
      <c r="AG638" s="207" t="str">
        <f t="shared" si="96"/>
        <v/>
      </c>
      <c r="AH638" s="207" t="str">
        <f t="shared" si="92"/>
        <v/>
      </c>
      <c r="AI638" s="210" t="str">
        <f>IF(ISBLANK(D638),"",VLOOKUP($A638,INDEX!$D$2:$F$13,3,0))</f>
        <v/>
      </c>
      <c r="AJ638" s="207" t="str">
        <f t="shared" si="93"/>
        <v/>
      </c>
      <c r="AK638" s="207"/>
      <c r="AL638" s="207"/>
      <c r="AM638" s="207" t="str">
        <f>IFERROR(IF(ISBLANK($D638),"",VLOOKUP($N638,'TABLE CHARGE RATE'!$A$30:$K$106,5,0)),"Check")</f>
        <v/>
      </c>
      <c r="AN638" s="207" t="str">
        <f>IFERROR(IF(ISBLANK($D638),"",VLOOKUP($N638,'TABLE CHARGE RATE'!$A$30:$K$106,6,0)),"Check")</f>
        <v/>
      </c>
      <c r="AO638" s="207" t="str">
        <f>IFERROR(IF(ISBLANK($D638),"",VLOOKUP($N638,'TABLE CHARGE RATE'!$A$30:$K$106,7,0)),"Check")</f>
        <v/>
      </c>
      <c r="AP638" s="207" t="str">
        <f>IFERROR(IF(ISBLANK($D638),"",VLOOKUP($N638,'TABLE CHARGE RATE'!$A$30:$K$106,8,0)),"Check")</f>
        <v/>
      </c>
      <c r="AQ638" s="207" t="str">
        <f>IFERROR(IF(ISBLANK($D638),"",VLOOKUP($N638,'TABLE CHARGE RATE'!$A$30:$K$106,9,0)),"Check")</f>
        <v/>
      </c>
      <c r="AR638" s="207" t="str">
        <f>IFERROR(IF(ISBLANK($D638),"",VLOOKUP($N638,'TABLE CHARGE RATE'!$A$30:$K$106,10,0)),"Check")</f>
        <v/>
      </c>
      <c r="AS638" s="207" t="str">
        <f>IFERROR(IF(ISBLANK($D638),"",VLOOKUP($N638,'TABLE CHARGE RATE'!$A$30:$K$106,11,0)),"Check")</f>
        <v/>
      </c>
      <c r="AT638" s="207"/>
    </row>
    <row r="639" spans="1:46" x14ac:dyDescent="0.2">
      <c r="A639" s="207" t="str">
        <f t="shared" si="95"/>
        <v/>
      </c>
      <c r="B639" s="208" t="str">
        <f>IF(ISBLANK(D639),"",VLOOKUP(WEEKDAY($C639,1),INDEX!$J$2:$K$8,2,0))</f>
        <v/>
      </c>
      <c r="C639" s="209"/>
      <c r="D639" s="207"/>
      <c r="E639" s="207"/>
      <c r="F639" s="207"/>
      <c r="G639" s="207"/>
      <c r="H639" s="207"/>
      <c r="I639" s="207"/>
      <c r="J639" s="207"/>
      <c r="K639" s="207"/>
      <c r="L639" s="207"/>
      <c r="M639" s="207"/>
      <c r="N639" s="207"/>
      <c r="O639" s="207"/>
      <c r="P639" s="207"/>
      <c r="Q639" s="207"/>
      <c r="R639" s="207"/>
      <c r="S639" s="207"/>
      <c r="T639" s="207"/>
      <c r="U639" s="209"/>
      <c r="V639" s="207"/>
      <c r="W639" s="207"/>
      <c r="X639" s="209"/>
      <c r="Y639" s="209"/>
      <c r="Z639" s="207" t="str">
        <f t="shared" ca="1" si="90"/>
        <v/>
      </c>
      <c r="AA639" s="209" t="str">
        <f t="shared" si="94"/>
        <v/>
      </c>
      <c r="AB639" s="209"/>
      <c r="AC639" s="207" t="str">
        <f t="shared" ca="1" si="91"/>
        <v/>
      </c>
      <c r="AD639" s="207"/>
      <c r="AE639" s="207"/>
      <c r="AF639" s="208" t="str">
        <f>IF(ISBLANK(D639),"",VLOOKUP(F639,'SIZE CALCULATION'!$F:$G,2,0))</f>
        <v/>
      </c>
      <c r="AG639" s="207" t="str">
        <f t="shared" si="96"/>
        <v/>
      </c>
      <c r="AH639" s="207" t="str">
        <f t="shared" si="92"/>
        <v/>
      </c>
      <c r="AI639" s="210" t="str">
        <f>IF(ISBLANK(D639),"",VLOOKUP($A639,INDEX!$D$2:$F$13,3,0))</f>
        <v/>
      </c>
      <c r="AJ639" s="207" t="str">
        <f t="shared" si="93"/>
        <v/>
      </c>
      <c r="AK639" s="207"/>
      <c r="AL639" s="207"/>
      <c r="AM639" s="207" t="str">
        <f>IFERROR(IF(ISBLANK($D639),"",VLOOKUP($N639,'TABLE CHARGE RATE'!$A$30:$K$106,5,0)),"Check")</f>
        <v/>
      </c>
      <c r="AN639" s="207" t="str">
        <f>IFERROR(IF(ISBLANK($D639),"",VLOOKUP($N639,'TABLE CHARGE RATE'!$A$30:$K$106,6,0)),"Check")</f>
        <v/>
      </c>
      <c r="AO639" s="207" t="str">
        <f>IFERROR(IF(ISBLANK($D639),"",VLOOKUP($N639,'TABLE CHARGE RATE'!$A$30:$K$106,7,0)),"Check")</f>
        <v/>
      </c>
      <c r="AP639" s="207" t="str">
        <f>IFERROR(IF(ISBLANK($D639),"",VLOOKUP($N639,'TABLE CHARGE RATE'!$A$30:$K$106,8,0)),"Check")</f>
        <v/>
      </c>
      <c r="AQ639" s="207" t="str">
        <f>IFERROR(IF(ISBLANK($D639),"",VLOOKUP($N639,'TABLE CHARGE RATE'!$A$30:$K$106,9,0)),"Check")</f>
        <v/>
      </c>
      <c r="AR639" s="207" t="str">
        <f>IFERROR(IF(ISBLANK($D639),"",VLOOKUP($N639,'TABLE CHARGE RATE'!$A$30:$K$106,10,0)),"Check")</f>
        <v/>
      </c>
      <c r="AS639" s="207" t="str">
        <f>IFERROR(IF(ISBLANK($D639),"",VLOOKUP($N639,'TABLE CHARGE RATE'!$A$30:$K$106,11,0)),"Check")</f>
        <v/>
      </c>
      <c r="AT639" s="207"/>
    </row>
    <row r="640" spans="1:46" x14ac:dyDescent="0.2">
      <c r="A640" s="207" t="str">
        <f t="shared" si="95"/>
        <v/>
      </c>
      <c r="B640" s="208" t="str">
        <f>IF(ISBLANK(D640),"",VLOOKUP(WEEKDAY($C640,1),INDEX!$J$2:$K$8,2,0))</f>
        <v/>
      </c>
      <c r="C640" s="209"/>
      <c r="D640" s="207"/>
      <c r="E640" s="207"/>
      <c r="F640" s="207"/>
      <c r="G640" s="207"/>
      <c r="H640" s="207"/>
      <c r="I640" s="207"/>
      <c r="J640" s="207"/>
      <c r="K640" s="207"/>
      <c r="L640" s="207"/>
      <c r="M640" s="207"/>
      <c r="N640" s="207"/>
      <c r="O640" s="207"/>
      <c r="P640" s="207"/>
      <c r="Q640" s="207"/>
      <c r="R640" s="207"/>
      <c r="S640" s="207"/>
      <c r="T640" s="207"/>
      <c r="U640" s="209"/>
      <c r="V640" s="207"/>
      <c r="W640" s="207"/>
      <c r="X640" s="209"/>
      <c r="Y640" s="209"/>
      <c r="Z640" s="207" t="str">
        <f t="shared" ca="1" si="90"/>
        <v/>
      </c>
      <c r="AA640" s="209" t="str">
        <f t="shared" si="94"/>
        <v/>
      </c>
      <c r="AB640" s="209"/>
      <c r="AC640" s="207" t="str">
        <f t="shared" ca="1" si="91"/>
        <v/>
      </c>
      <c r="AD640" s="207"/>
      <c r="AE640" s="207"/>
      <c r="AF640" s="208" t="str">
        <f>IF(ISBLANK(D640),"",VLOOKUP(F640,'SIZE CALCULATION'!$F:$G,2,0))</f>
        <v/>
      </c>
      <c r="AG640" s="207" t="str">
        <f t="shared" si="96"/>
        <v/>
      </c>
      <c r="AH640" s="207" t="str">
        <f t="shared" si="92"/>
        <v/>
      </c>
      <c r="AI640" s="210" t="str">
        <f>IF(ISBLANK(D640),"",VLOOKUP($A640,INDEX!$D$2:$F$13,3,0))</f>
        <v/>
      </c>
      <c r="AJ640" s="207" t="str">
        <f t="shared" si="93"/>
        <v/>
      </c>
      <c r="AK640" s="207"/>
      <c r="AL640" s="207"/>
      <c r="AM640" s="207" t="str">
        <f>IFERROR(IF(ISBLANK($D640),"",VLOOKUP($N640,'TABLE CHARGE RATE'!$A$30:$K$106,5,0)),"Check")</f>
        <v/>
      </c>
      <c r="AN640" s="207" t="str">
        <f>IFERROR(IF(ISBLANK($D640),"",VLOOKUP($N640,'TABLE CHARGE RATE'!$A$30:$K$106,6,0)),"Check")</f>
        <v/>
      </c>
      <c r="AO640" s="207" t="str">
        <f>IFERROR(IF(ISBLANK($D640),"",VLOOKUP($N640,'TABLE CHARGE RATE'!$A$30:$K$106,7,0)),"Check")</f>
        <v/>
      </c>
      <c r="AP640" s="207" t="str">
        <f>IFERROR(IF(ISBLANK($D640),"",VLOOKUP($N640,'TABLE CHARGE RATE'!$A$30:$K$106,8,0)),"Check")</f>
        <v/>
      </c>
      <c r="AQ640" s="207" t="str">
        <f>IFERROR(IF(ISBLANK($D640),"",VLOOKUP($N640,'TABLE CHARGE RATE'!$A$30:$K$106,9,0)),"Check")</f>
        <v/>
      </c>
      <c r="AR640" s="207" t="str">
        <f>IFERROR(IF(ISBLANK($D640),"",VLOOKUP($N640,'TABLE CHARGE RATE'!$A$30:$K$106,10,0)),"Check")</f>
        <v/>
      </c>
      <c r="AS640" s="207" t="str">
        <f>IFERROR(IF(ISBLANK($D640),"",VLOOKUP($N640,'TABLE CHARGE RATE'!$A$30:$K$106,11,0)),"Check")</f>
        <v/>
      </c>
      <c r="AT640" s="207"/>
    </row>
    <row r="641" spans="1:46" x14ac:dyDescent="0.2">
      <c r="A641" s="207" t="str">
        <f t="shared" si="95"/>
        <v/>
      </c>
      <c r="B641" s="208" t="str">
        <f>IF(ISBLANK(D641),"",VLOOKUP(WEEKDAY($C641,1),INDEX!$J$2:$K$8,2,0))</f>
        <v/>
      </c>
      <c r="C641" s="209"/>
      <c r="D641" s="207"/>
      <c r="E641" s="207"/>
      <c r="F641" s="207"/>
      <c r="G641" s="207"/>
      <c r="H641" s="207"/>
      <c r="I641" s="207"/>
      <c r="J641" s="207"/>
      <c r="K641" s="207"/>
      <c r="L641" s="207"/>
      <c r="M641" s="207"/>
      <c r="N641" s="207"/>
      <c r="O641" s="207"/>
      <c r="P641" s="207"/>
      <c r="Q641" s="207"/>
      <c r="R641" s="207"/>
      <c r="S641" s="207"/>
      <c r="T641" s="207"/>
      <c r="U641" s="209"/>
      <c r="V641" s="207"/>
      <c r="W641" s="207"/>
      <c r="X641" s="209"/>
      <c r="Y641" s="209"/>
      <c r="Z641" s="207" t="str">
        <f t="shared" ca="1" si="90"/>
        <v/>
      </c>
      <c r="AA641" s="209" t="str">
        <f t="shared" si="94"/>
        <v/>
      </c>
      <c r="AB641" s="209"/>
      <c r="AC641" s="207" t="str">
        <f t="shared" ca="1" si="91"/>
        <v/>
      </c>
      <c r="AD641" s="207"/>
      <c r="AE641" s="207"/>
      <c r="AF641" s="208" t="str">
        <f>IF(ISBLANK(D641),"",VLOOKUP(F641,'SIZE CALCULATION'!$F:$G,2,0))</f>
        <v/>
      </c>
      <c r="AG641" s="207" t="str">
        <f t="shared" si="96"/>
        <v/>
      </c>
      <c r="AH641" s="207" t="str">
        <f t="shared" si="92"/>
        <v/>
      </c>
      <c r="AI641" s="210" t="str">
        <f>IF(ISBLANK(D641),"",VLOOKUP($A641,INDEX!$D$2:$F$13,3,0))</f>
        <v/>
      </c>
      <c r="AJ641" s="207" t="str">
        <f t="shared" si="93"/>
        <v/>
      </c>
      <c r="AK641" s="207"/>
      <c r="AL641" s="207"/>
      <c r="AM641" s="207" t="str">
        <f>IFERROR(IF(ISBLANK($D641),"",VLOOKUP($N641,'TABLE CHARGE RATE'!$A$30:$K$106,5,0)),"Check")</f>
        <v/>
      </c>
      <c r="AN641" s="207" t="str">
        <f>IFERROR(IF(ISBLANK($D641),"",VLOOKUP($N641,'TABLE CHARGE RATE'!$A$30:$K$106,6,0)),"Check")</f>
        <v/>
      </c>
      <c r="AO641" s="207" t="str">
        <f>IFERROR(IF(ISBLANK($D641),"",VLOOKUP($N641,'TABLE CHARGE RATE'!$A$30:$K$106,7,0)),"Check")</f>
        <v/>
      </c>
      <c r="AP641" s="207" t="str">
        <f>IFERROR(IF(ISBLANK($D641),"",VLOOKUP($N641,'TABLE CHARGE RATE'!$A$30:$K$106,8,0)),"Check")</f>
        <v/>
      </c>
      <c r="AQ641" s="207" t="str">
        <f>IFERROR(IF(ISBLANK($D641),"",VLOOKUP($N641,'TABLE CHARGE RATE'!$A$30:$K$106,9,0)),"Check")</f>
        <v/>
      </c>
      <c r="AR641" s="207" t="str">
        <f>IFERROR(IF(ISBLANK($D641),"",VLOOKUP($N641,'TABLE CHARGE RATE'!$A$30:$K$106,10,0)),"Check")</f>
        <v/>
      </c>
      <c r="AS641" s="207" t="str">
        <f>IFERROR(IF(ISBLANK($D641),"",VLOOKUP($N641,'TABLE CHARGE RATE'!$A$30:$K$106,11,0)),"Check")</f>
        <v/>
      </c>
      <c r="AT641" s="207"/>
    </row>
    <row r="642" spans="1:46" x14ac:dyDescent="0.2">
      <c r="A642" s="207" t="str">
        <f t="shared" si="95"/>
        <v/>
      </c>
      <c r="B642" s="208" t="str">
        <f>IF(ISBLANK(D642),"",VLOOKUP(WEEKDAY($C642,1),INDEX!$J$2:$K$8,2,0))</f>
        <v/>
      </c>
      <c r="C642" s="209"/>
      <c r="D642" s="207"/>
      <c r="E642" s="207"/>
      <c r="F642" s="207"/>
      <c r="G642" s="207"/>
      <c r="H642" s="207"/>
      <c r="I642" s="207"/>
      <c r="J642" s="207"/>
      <c r="K642" s="207"/>
      <c r="L642" s="207"/>
      <c r="M642" s="207"/>
      <c r="N642" s="207"/>
      <c r="O642" s="207"/>
      <c r="P642" s="207"/>
      <c r="Q642" s="207"/>
      <c r="R642" s="207"/>
      <c r="S642" s="207"/>
      <c r="T642" s="207"/>
      <c r="U642" s="209"/>
      <c r="V642" s="207"/>
      <c r="W642" s="207"/>
      <c r="X642" s="209"/>
      <c r="Y642" s="209"/>
      <c r="Z642" s="207" t="str">
        <f t="shared" ca="1" si="90"/>
        <v/>
      </c>
      <c r="AA642" s="209" t="str">
        <f t="shared" si="94"/>
        <v/>
      </c>
      <c r="AB642" s="209"/>
      <c r="AC642" s="207" t="str">
        <f t="shared" ca="1" si="91"/>
        <v/>
      </c>
      <c r="AD642" s="207"/>
      <c r="AE642" s="207"/>
      <c r="AF642" s="208" t="str">
        <f>IF(ISBLANK(D642),"",VLOOKUP(F642,'SIZE CALCULATION'!$F:$G,2,0))</f>
        <v/>
      </c>
      <c r="AG642" s="207" t="str">
        <f t="shared" si="96"/>
        <v/>
      </c>
      <c r="AH642" s="207" t="str">
        <f t="shared" si="92"/>
        <v/>
      </c>
      <c r="AI642" s="210" t="str">
        <f>IF(ISBLANK(D642),"",VLOOKUP($A642,INDEX!$D$2:$F$13,3,0))</f>
        <v/>
      </c>
      <c r="AJ642" s="207" t="str">
        <f t="shared" si="93"/>
        <v/>
      </c>
      <c r="AK642" s="207"/>
      <c r="AL642" s="207"/>
      <c r="AM642" s="207" t="str">
        <f>IFERROR(IF(ISBLANK($D642),"",VLOOKUP($N642,'TABLE CHARGE RATE'!$A$30:$K$106,5,0)),"Check")</f>
        <v/>
      </c>
      <c r="AN642" s="207" t="str">
        <f>IFERROR(IF(ISBLANK($D642),"",VLOOKUP($N642,'TABLE CHARGE RATE'!$A$30:$K$106,6,0)),"Check")</f>
        <v/>
      </c>
      <c r="AO642" s="207" t="str">
        <f>IFERROR(IF(ISBLANK($D642),"",VLOOKUP($N642,'TABLE CHARGE RATE'!$A$30:$K$106,7,0)),"Check")</f>
        <v/>
      </c>
      <c r="AP642" s="207" t="str">
        <f>IFERROR(IF(ISBLANK($D642),"",VLOOKUP($N642,'TABLE CHARGE RATE'!$A$30:$K$106,8,0)),"Check")</f>
        <v/>
      </c>
      <c r="AQ642" s="207" t="str">
        <f>IFERROR(IF(ISBLANK($D642),"",VLOOKUP($N642,'TABLE CHARGE RATE'!$A$30:$K$106,9,0)),"Check")</f>
        <v/>
      </c>
      <c r="AR642" s="207" t="str">
        <f>IFERROR(IF(ISBLANK($D642),"",VLOOKUP($N642,'TABLE CHARGE RATE'!$A$30:$K$106,10,0)),"Check")</f>
        <v/>
      </c>
      <c r="AS642" s="207" t="str">
        <f>IFERROR(IF(ISBLANK($D642),"",VLOOKUP($N642,'TABLE CHARGE RATE'!$A$30:$K$106,11,0)),"Check")</f>
        <v/>
      </c>
      <c r="AT642" s="207"/>
    </row>
    <row r="643" spans="1:46" x14ac:dyDescent="0.2">
      <c r="A643" s="207" t="str">
        <f t="shared" si="95"/>
        <v/>
      </c>
      <c r="B643" s="208" t="str">
        <f>IF(ISBLANK(D643),"",VLOOKUP(WEEKDAY($C643,1),INDEX!$J$2:$K$8,2,0))</f>
        <v/>
      </c>
      <c r="C643" s="209"/>
      <c r="D643" s="207"/>
      <c r="E643" s="207"/>
      <c r="F643" s="207"/>
      <c r="G643" s="207"/>
      <c r="H643" s="207"/>
      <c r="I643" s="207"/>
      <c r="J643" s="207"/>
      <c r="K643" s="207"/>
      <c r="L643" s="207"/>
      <c r="M643" s="207"/>
      <c r="N643" s="207"/>
      <c r="O643" s="207"/>
      <c r="P643" s="207"/>
      <c r="Q643" s="207"/>
      <c r="R643" s="207"/>
      <c r="S643" s="207"/>
      <c r="T643" s="207"/>
      <c r="U643" s="209"/>
      <c r="V643" s="207"/>
      <c r="W643" s="207"/>
      <c r="X643" s="209"/>
      <c r="Y643" s="209"/>
      <c r="Z643" s="207" t="str">
        <f t="shared" ca="1" si="90"/>
        <v/>
      </c>
      <c r="AA643" s="209" t="str">
        <f t="shared" si="94"/>
        <v/>
      </c>
      <c r="AB643" s="209"/>
      <c r="AC643" s="207" t="str">
        <f t="shared" ca="1" si="91"/>
        <v/>
      </c>
      <c r="AD643" s="207"/>
      <c r="AE643" s="207"/>
      <c r="AF643" s="208" t="str">
        <f>IF(ISBLANK(D643),"",VLOOKUP(F643,'SIZE CALCULATION'!$F:$G,2,0))</f>
        <v/>
      </c>
      <c r="AG643" s="207" t="str">
        <f t="shared" si="96"/>
        <v/>
      </c>
      <c r="AH643" s="207" t="str">
        <f t="shared" si="92"/>
        <v/>
      </c>
      <c r="AI643" s="210" t="str">
        <f>IF(ISBLANK(D643),"",VLOOKUP($A643,INDEX!$D$2:$F$13,3,0))</f>
        <v/>
      </c>
      <c r="AJ643" s="207" t="str">
        <f t="shared" si="93"/>
        <v/>
      </c>
      <c r="AK643" s="207"/>
      <c r="AL643" s="207"/>
      <c r="AM643" s="207" t="str">
        <f>IFERROR(IF(ISBLANK($D643),"",VLOOKUP($N643,'TABLE CHARGE RATE'!$A$30:$K$106,5,0)),"Check")</f>
        <v/>
      </c>
      <c r="AN643" s="207" t="str">
        <f>IFERROR(IF(ISBLANK($D643),"",VLOOKUP($N643,'TABLE CHARGE RATE'!$A$30:$K$106,6,0)),"Check")</f>
        <v/>
      </c>
      <c r="AO643" s="207" t="str">
        <f>IFERROR(IF(ISBLANK($D643),"",VLOOKUP($N643,'TABLE CHARGE RATE'!$A$30:$K$106,7,0)),"Check")</f>
        <v/>
      </c>
      <c r="AP643" s="207" t="str">
        <f>IFERROR(IF(ISBLANK($D643),"",VLOOKUP($N643,'TABLE CHARGE RATE'!$A$30:$K$106,8,0)),"Check")</f>
        <v/>
      </c>
      <c r="AQ643" s="207" t="str">
        <f>IFERROR(IF(ISBLANK($D643),"",VLOOKUP($N643,'TABLE CHARGE RATE'!$A$30:$K$106,9,0)),"Check")</f>
        <v/>
      </c>
      <c r="AR643" s="207" t="str">
        <f>IFERROR(IF(ISBLANK($D643),"",VLOOKUP($N643,'TABLE CHARGE RATE'!$A$30:$K$106,10,0)),"Check")</f>
        <v/>
      </c>
      <c r="AS643" s="207" t="str">
        <f>IFERROR(IF(ISBLANK($D643),"",VLOOKUP($N643,'TABLE CHARGE RATE'!$A$30:$K$106,11,0)),"Check")</f>
        <v/>
      </c>
      <c r="AT643" s="207"/>
    </row>
    <row r="644" spans="1:46" x14ac:dyDescent="0.2">
      <c r="A644" s="207" t="str">
        <f t="shared" si="95"/>
        <v/>
      </c>
      <c r="B644" s="208" t="str">
        <f>IF(ISBLANK(D644),"",VLOOKUP(WEEKDAY($C644,1),INDEX!$J$2:$K$8,2,0))</f>
        <v/>
      </c>
      <c r="C644" s="209"/>
      <c r="D644" s="207"/>
      <c r="E644" s="207"/>
      <c r="F644" s="207"/>
      <c r="G644" s="207"/>
      <c r="H644" s="207"/>
      <c r="I644" s="207"/>
      <c r="J644" s="207"/>
      <c r="K644" s="207"/>
      <c r="L644" s="207"/>
      <c r="M644" s="207"/>
      <c r="N644" s="207"/>
      <c r="O644" s="207"/>
      <c r="P644" s="207"/>
      <c r="Q644" s="207"/>
      <c r="R644" s="207"/>
      <c r="S644" s="207"/>
      <c r="T644" s="207"/>
      <c r="U644" s="209"/>
      <c r="V644" s="207"/>
      <c r="W644" s="207"/>
      <c r="X644" s="209"/>
      <c r="Y644" s="209"/>
      <c r="Z644" s="207" t="str">
        <f t="shared" ca="1" si="90"/>
        <v/>
      </c>
      <c r="AA644" s="209" t="str">
        <f t="shared" si="94"/>
        <v/>
      </c>
      <c r="AB644" s="209"/>
      <c r="AC644" s="207" t="str">
        <f t="shared" ca="1" si="91"/>
        <v/>
      </c>
      <c r="AD644" s="207"/>
      <c r="AE644" s="207"/>
      <c r="AF644" s="208" t="str">
        <f>IF(ISBLANK(D644),"",VLOOKUP(F644,'SIZE CALCULATION'!$F:$G,2,0))</f>
        <v/>
      </c>
      <c r="AG644" s="207" t="str">
        <f t="shared" si="96"/>
        <v/>
      </c>
      <c r="AH644" s="207" t="str">
        <f t="shared" si="92"/>
        <v/>
      </c>
      <c r="AI644" s="210" t="str">
        <f>IF(ISBLANK(D644),"",VLOOKUP($A644,INDEX!$D$2:$F$13,3,0))</f>
        <v/>
      </c>
      <c r="AJ644" s="207" t="str">
        <f t="shared" si="93"/>
        <v/>
      </c>
      <c r="AK644" s="207"/>
      <c r="AL644" s="207"/>
      <c r="AM644" s="207" t="str">
        <f>IFERROR(IF(ISBLANK($D644),"",VLOOKUP($N644,'TABLE CHARGE RATE'!$A$30:$K$106,5,0)),"Check")</f>
        <v/>
      </c>
      <c r="AN644" s="207" t="str">
        <f>IFERROR(IF(ISBLANK($D644),"",VLOOKUP($N644,'TABLE CHARGE RATE'!$A$30:$K$106,6,0)),"Check")</f>
        <v/>
      </c>
      <c r="AO644" s="207" t="str">
        <f>IFERROR(IF(ISBLANK($D644),"",VLOOKUP($N644,'TABLE CHARGE RATE'!$A$30:$K$106,7,0)),"Check")</f>
        <v/>
      </c>
      <c r="AP644" s="207" t="str">
        <f>IFERROR(IF(ISBLANK($D644),"",VLOOKUP($N644,'TABLE CHARGE RATE'!$A$30:$K$106,8,0)),"Check")</f>
        <v/>
      </c>
      <c r="AQ644" s="207" t="str">
        <f>IFERROR(IF(ISBLANK($D644),"",VLOOKUP($N644,'TABLE CHARGE RATE'!$A$30:$K$106,9,0)),"Check")</f>
        <v/>
      </c>
      <c r="AR644" s="207" t="str">
        <f>IFERROR(IF(ISBLANK($D644),"",VLOOKUP($N644,'TABLE CHARGE RATE'!$A$30:$K$106,10,0)),"Check")</f>
        <v/>
      </c>
      <c r="AS644" s="207" t="str">
        <f>IFERROR(IF(ISBLANK($D644),"",VLOOKUP($N644,'TABLE CHARGE RATE'!$A$30:$K$106,11,0)),"Check")</f>
        <v/>
      </c>
      <c r="AT644" s="207"/>
    </row>
    <row r="645" spans="1:46" x14ac:dyDescent="0.2">
      <c r="A645" s="207" t="str">
        <f t="shared" si="95"/>
        <v/>
      </c>
      <c r="B645" s="208" t="str">
        <f>IF(ISBLANK(D645),"",VLOOKUP(WEEKDAY($C645,1),INDEX!$J$2:$K$8,2,0))</f>
        <v/>
      </c>
      <c r="C645" s="209"/>
      <c r="D645" s="207"/>
      <c r="E645" s="207"/>
      <c r="F645" s="207"/>
      <c r="G645" s="207"/>
      <c r="H645" s="207"/>
      <c r="I645" s="207"/>
      <c r="J645" s="207"/>
      <c r="K645" s="207"/>
      <c r="L645" s="207"/>
      <c r="M645" s="207"/>
      <c r="N645" s="207"/>
      <c r="O645" s="207"/>
      <c r="P645" s="207"/>
      <c r="Q645" s="207"/>
      <c r="R645" s="207"/>
      <c r="S645" s="207"/>
      <c r="T645" s="207"/>
      <c r="U645" s="209"/>
      <c r="V645" s="207"/>
      <c r="W645" s="207"/>
      <c r="X645" s="209"/>
      <c r="Y645" s="209"/>
      <c r="Z645" s="207" t="str">
        <f t="shared" ref="Z645:Z708" ca="1" si="97">IF(ISBLANK(D645),"",IFERROR(IF(ISBLANK($AK645),IF(X645&gt;=TODAY(),"Delivery",IF(Y645-X645=0,1,0)),$AK645),""))</f>
        <v/>
      </c>
      <c r="AA645" s="209" t="str">
        <f t="shared" si="94"/>
        <v/>
      </c>
      <c r="AB645" s="209"/>
      <c r="AC645" s="207" t="str">
        <f t="shared" ref="AC645:AC708" ca="1" si="98">IF(ISBLANK(D645),"",IFERROR(IF(ISBLANK($AL645),IF(AA645&gt;=TODAY(),"Collecting",IF(AB645-AA645=0,1,0)),$AL645),""))</f>
        <v/>
      </c>
      <c r="AD645" s="207"/>
      <c r="AE645" s="207"/>
      <c r="AF645" s="208" t="str">
        <f>IF(ISBLANK(D645),"",VLOOKUP(F645,'SIZE CALCULATION'!$F:$G,2,0))</f>
        <v/>
      </c>
      <c r="AG645" s="207" t="str">
        <f t="shared" si="96"/>
        <v/>
      </c>
      <c r="AH645" s="207" t="str">
        <f t="shared" ref="AH645:AH708" si="99">IF(ISBLANK(D645),"",IFERROR(AG645*G645,0))</f>
        <v/>
      </c>
      <c r="AI645" s="210" t="str">
        <f>IF(ISBLANK(D645),"",VLOOKUP($A645,INDEX!$D$2:$F$13,3,0))</f>
        <v/>
      </c>
      <c r="AJ645" s="207" t="str">
        <f t="shared" ref="AJ645:AJ708" si="100">IF(ISBLANK(D645),"",AH645+(AH645*AI645))</f>
        <v/>
      </c>
      <c r="AK645" s="207"/>
      <c r="AL645" s="207"/>
      <c r="AM645" s="207" t="str">
        <f>IFERROR(IF(ISBLANK($D645),"",VLOOKUP($N645,'TABLE CHARGE RATE'!$A$30:$K$106,5,0)),"Check")</f>
        <v/>
      </c>
      <c r="AN645" s="207" t="str">
        <f>IFERROR(IF(ISBLANK($D645),"",VLOOKUP($N645,'TABLE CHARGE RATE'!$A$30:$K$106,6,0)),"Check")</f>
        <v/>
      </c>
      <c r="AO645" s="207" t="str">
        <f>IFERROR(IF(ISBLANK($D645),"",VLOOKUP($N645,'TABLE CHARGE RATE'!$A$30:$K$106,7,0)),"Check")</f>
        <v/>
      </c>
      <c r="AP645" s="207" t="str">
        <f>IFERROR(IF(ISBLANK($D645),"",VLOOKUP($N645,'TABLE CHARGE RATE'!$A$30:$K$106,8,0)),"Check")</f>
        <v/>
      </c>
      <c r="AQ645" s="207" t="str">
        <f>IFERROR(IF(ISBLANK($D645),"",VLOOKUP($N645,'TABLE CHARGE RATE'!$A$30:$K$106,9,0)),"Check")</f>
        <v/>
      </c>
      <c r="AR645" s="207" t="str">
        <f>IFERROR(IF(ISBLANK($D645),"",VLOOKUP($N645,'TABLE CHARGE RATE'!$A$30:$K$106,10,0)),"Check")</f>
        <v/>
      </c>
      <c r="AS645" s="207" t="str">
        <f>IFERROR(IF(ISBLANK($D645),"",VLOOKUP($N645,'TABLE CHARGE RATE'!$A$30:$K$106,11,0)),"Check")</f>
        <v/>
      </c>
      <c r="AT645" s="207"/>
    </row>
    <row r="646" spans="1:46" x14ac:dyDescent="0.2">
      <c r="A646" s="207" t="str">
        <f t="shared" si="95"/>
        <v/>
      </c>
      <c r="B646" s="208" t="str">
        <f>IF(ISBLANK(D646),"",VLOOKUP(WEEKDAY($C646,1),INDEX!$J$2:$K$8,2,0))</f>
        <v/>
      </c>
      <c r="C646" s="209"/>
      <c r="D646" s="207"/>
      <c r="E646" s="207"/>
      <c r="F646" s="207"/>
      <c r="G646" s="207"/>
      <c r="H646" s="207"/>
      <c r="I646" s="207"/>
      <c r="J646" s="207"/>
      <c r="K646" s="207"/>
      <c r="L646" s="207"/>
      <c r="M646" s="207"/>
      <c r="N646" s="207"/>
      <c r="O646" s="207"/>
      <c r="P646" s="207"/>
      <c r="Q646" s="207"/>
      <c r="R646" s="207"/>
      <c r="S646" s="207"/>
      <c r="T646" s="207"/>
      <c r="U646" s="209"/>
      <c r="V646" s="207"/>
      <c r="W646" s="207"/>
      <c r="X646" s="209"/>
      <c r="Y646" s="209"/>
      <c r="Z646" s="207" t="str">
        <f t="shared" ca="1" si="97"/>
        <v/>
      </c>
      <c r="AA646" s="209" t="str">
        <f t="shared" si="94"/>
        <v/>
      </c>
      <c r="AB646" s="209"/>
      <c r="AC646" s="207" t="str">
        <f t="shared" ca="1" si="98"/>
        <v/>
      </c>
      <c r="AD646" s="207"/>
      <c r="AE646" s="207"/>
      <c r="AF646" s="208" t="str">
        <f>IF(ISBLANK(D646),"",VLOOKUP(F646,'SIZE CALCULATION'!$F:$G,2,0))</f>
        <v/>
      </c>
      <c r="AG646" s="207" t="str">
        <f t="shared" si="96"/>
        <v/>
      </c>
      <c r="AH646" s="207" t="str">
        <f t="shared" si="99"/>
        <v/>
      </c>
      <c r="AI646" s="210" t="str">
        <f>IF(ISBLANK(D646),"",VLOOKUP($A646,INDEX!$D$2:$F$13,3,0))</f>
        <v/>
      </c>
      <c r="AJ646" s="207" t="str">
        <f t="shared" si="100"/>
        <v/>
      </c>
      <c r="AK646" s="207"/>
      <c r="AL646" s="207"/>
      <c r="AM646" s="207" t="str">
        <f>IFERROR(IF(ISBLANK($D646),"",VLOOKUP($N646,'TABLE CHARGE RATE'!$A$30:$K$106,5,0)),"Check")</f>
        <v/>
      </c>
      <c r="AN646" s="207" t="str">
        <f>IFERROR(IF(ISBLANK($D646),"",VLOOKUP($N646,'TABLE CHARGE RATE'!$A$30:$K$106,6,0)),"Check")</f>
        <v/>
      </c>
      <c r="AO646" s="207" t="str">
        <f>IFERROR(IF(ISBLANK($D646),"",VLOOKUP($N646,'TABLE CHARGE RATE'!$A$30:$K$106,7,0)),"Check")</f>
        <v/>
      </c>
      <c r="AP646" s="207" t="str">
        <f>IFERROR(IF(ISBLANK($D646),"",VLOOKUP($N646,'TABLE CHARGE RATE'!$A$30:$K$106,8,0)),"Check")</f>
        <v/>
      </c>
      <c r="AQ646" s="207" t="str">
        <f>IFERROR(IF(ISBLANK($D646),"",VLOOKUP($N646,'TABLE CHARGE RATE'!$A$30:$K$106,9,0)),"Check")</f>
        <v/>
      </c>
      <c r="AR646" s="207" t="str">
        <f>IFERROR(IF(ISBLANK($D646),"",VLOOKUP($N646,'TABLE CHARGE RATE'!$A$30:$K$106,10,0)),"Check")</f>
        <v/>
      </c>
      <c r="AS646" s="207" t="str">
        <f>IFERROR(IF(ISBLANK($D646),"",VLOOKUP($N646,'TABLE CHARGE RATE'!$A$30:$K$106,11,0)),"Check")</f>
        <v/>
      </c>
      <c r="AT646" s="207"/>
    </row>
    <row r="647" spans="1:46" x14ac:dyDescent="0.2">
      <c r="A647" s="207" t="str">
        <f t="shared" si="95"/>
        <v/>
      </c>
      <c r="B647" s="208" t="str">
        <f>IF(ISBLANK(D647),"",VLOOKUP(WEEKDAY($C647,1),INDEX!$J$2:$K$8,2,0))</f>
        <v/>
      </c>
      <c r="C647" s="209"/>
      <c r="D647" s="207"/>
      <c r="E647" s="207"/>
      <c r="F647" s="207"/>
      <c r="G647" s="207"/>
      <c r="H647" s="207"/>
      <c r="I647" s="207"/>
      <c r="J647" s="207"/>
      <c r="K647" s="207"/>
      <c r="L647" s="207"/>
      <c r="M647" s="207"/>
      <c r="N647" s="207"/>
      <c r="O647" s="207"/>
      <c r="P647" s="207"/>
      <c r="Q647" s="207"/>
      <c r="R647" s="207"/>
      <c r="S647" s="207"/>
      <c r="T647" s="207"/>
      <c r="U647" s="209"/>
      <c r="V647" s="207"/>
      <c r="W647" s="207"/>
      <c r="X647" s="209"/>
      <c r="Y647" s="209"/>
      <c r="Z647" s="207" t="str">
        <f t="shared" ca="1" si="97"/>
        <v/>
      </c>
      <c r="AA647" s="209" t="str">
        <f t="shared" si="94"/>
        <v/>
      </c>
      <c r="AB647" s="209"/>
      <c r="AC647" s="207" t="str">
        <f t="shared" ca="1" si="98"/>
        <v/>
      </c>
      <c r="AD647" s="207"/>
      <c r="AE647" s="207"/>
      <c r="AF647" s="208" t="str">
        <f>IF(ISBLANK(D647),"",VLOOKUP(F647,'SIZE CALCULATION'!$F:$G,2,0))</f>
        <v/>
      </c>
      <c r="AG647" s="207" t="str">
        <f t="shared" si="96"/>
        <v/>
      </c>
      <c r="AH647" s="207" t="str">
        <f t="shared" si="99"/>
        <v/>
      </c>
      <c r="AI647" s="210" t="str">
        <f>IF(ISBLANK(D647),"",VLOOKUP($A647,INDEX!$D$2:$F$13,3,0))</f>
        <v/>
      </c>
      <c r="AJ647" s="207" t="str">
        <f t="shared" si="100"/>
        <v/>
      </c>
      <c r="AK647" s="207"/>
      <c r="AL647" s="207"/>
      <c r="AM647" s="207" t="str">
        <f>IFERROR(IF(ISBLANK($D647),"",VLOOKUP($N647,'TABLE CHARGE RATE'!$A$30:$K$106,5,0)),"Check")</f>
        <v/>
      </c>
      <c r="AN647" s="207" t="str">
        <f>IFERROR(IF(ISBLANK($D647),"",VLOOKUP($N647,'TABLE CHARGE RATE'!$A$30:$K$106,6,0)),"Check")</f>
        <v/>
      </c>
      <c r="AO647" s="207" t="str">
        <f>IFERROR(IF(ISBLANK($D647),"",VLOOKUP($N647,'TABLE CHARGE RATE'!$A$30:$K$106,7,0)),"Check")</f>
        <v/>
      </c>
      <c r="AP647" s="207" t="str">
        <f>IFERROR(IF(ISBLANK($D647),"",VLOOKUP($N647,'TABLE CHARGE RATE'!$A$30:$K$106,8,0)),"Check")</f>
        <v/>
      </c>
      <c r="AQ647" s="207" t="str">
        <f>IFERROR(IF(ISBLANK($D647),"",VLOOKUP($N647,'TABLE CHARGE RATE'!$A$30:$K$106,9,0)),"Check")</f>
        <v/>
      </c>
      <c r="AR647" s="207" t="str">
        <f>IFERROR(IF(ISBLANK($D647),"",VLOOKUP($N647,'TABLE CHARGE RATE'!$A$30:$K$106,10,0)),"Check")</f>
        <v/>
      </c>
      <c r="AS647" s="207" t="str">
        <f>IFERROR(IF(ISBLANK($D647),"",VLOOKUP($N647,'TABLE CHARGE RATE'!$A$30:$K$106,11,0)),"Check")</f>
        <v/>
      </c>
      <c r="AT647" s="207"/>
    </row>
    <row r="648" spans="1:46" x14ac:dyDescent="0.2">
      <c r="A648" s="207" t="str">
        <f t="shared" si="95"/>
        <v/>
      </c>
      <c r="B648" s="208" t="str">
        <f>IF(ISBLANK(D648),"",VLOOKUP(WEEKDAY($C648,1),INDEX!$J$2:$K$8,2,0))</f>
        <v/>
      </c>
      <c r="C648" s="209"/>
      <c r="D648" s="207"/>
      <c r="E648" s="207"/>
      <c r="F648" s="207"/>
      <c r="G648" s="207"/>
      <c r="H648" s="207"/>
      <c r="I648" s="207"/>
      <c r="J648" s="207"/>
      <c r="K648" s="207"/>
      <c r="L648" s="207"/>
      <c r="M648" s="207"/>
      <c r="N648" s="207"/>
      <c r="O648" s="207"/>
      <c r="P648" s="207"/>
      <c r="Q648" s="207"/>
      <c r="R648" s="207"/>
      <c r="S648" s="207"/>
      <c r="T648" s="207"/>
      <c r="U648" s="209"/>
      <c r="V648" s="207"/>
      <c r="W648" s="207"/>
      <c r="X648" s="209"/>
      <c r="Y648" s="209"/>
      <c r="Z648" s="207" t="str">
        <f t="shared" ca="1" si="97"/>
        <v/>
      </c>
      <c r="AA648" s="209" t="str">
        <f t="shared" si="94"/>
        <v/>
      </c>
      <c r="AB648" s="209"/>
      <c r="AC648" s="207" t="str">
        <f t="shared" ca="1" si="98"/>
        <v/>
      </c>
      <c r="AD648" s="207"/>
      <c r="AE648" s="207"/>
      <c r="AF648" s="208" t="str">
        <f>IF(ISBLANK(D648),"",VLOOKUP(F648,'SIZE CALCULATION'!$F:$G,2,0))</f>
        <v/>
      </c>
      <c r="AG648" s="207" t="str">
        <f t="shared" si="96"/>
        <v/>
      </c>
      <c r="AH648" s="207" t="str">
        <f t="shared" si="99"/>
        <v/>
      </c>
      <c r="AI648" s="210" t="str">
        <f>IF(ISBLANK(D648),"",VLOOKUP($A648,INDEX!$D$2:$F$13,3,0))</f>
        <v/>
      </c>
      <c r="AJ648" s="207" t="str">
        <f t="shared" si="100"/>
        <v/>
      </c>
      <c r="AK648" s="207"/>
      <c r="AL648" s="207"/>
      <c r="AM648" s="207" t="str">
        <f>IFERROR(IF(ISBLANK($D648),"",VLOOKUP($N648,'TABLE CHARGE RATE'!$A$30:$K$106,5,0)),"Check")</f>
        <v/>
      </c>
      <c r="AN648" s="207" t="str">
        <f>IFERROR(IF(ISBLANK($D648),"",VLOOKUP($N648,'TABLE CHARGE RATE'!$A$30:$K$106,6,0)),"Check")</f>
        <v/>
      </c>
      <c r="AO648" s="207" t="str">
        <f>IFERROR(IF(ISBLANK($D648),"",VLOOKUP($N648,'TABLE CHARGE RATE'!$A$30:$K$106,7,0)),"Check")</f>
        <v/>
      </c>
      <c r="AP648" s="207" t="str">
        <f>IFERROR(IF(ISBLANK($D648),"",VLOOKUP($N648,'TABLE CHARGE RATE'!$A$30:$K$106,8,0)),"Check")</f>
        <v/>
      </c>
      <c r="AQ648" s="207" t="str">
        <f>IFERROR(IF(ISBLANK($D648),"",VLOOKUP($N648,'TABLE CHARGE RATE'!$A$30:$K$106,9,0)),"Check")</f>
        <v/>
      </c>
      <c r="AR648" s="207" t="str">
        <f>IFERROR(IF(ISBLANK($D648),"",VLOOKUP($N648,'TABLE CHARGE RATE'!$A$30:$K$106,10,0)),"Check")</f>
        <v/>
      </c>
      <c r="AS648" s="207" t="str">
        <f>IFERROR(IF(ISBLANK($D648),"",VLOOKUP($N648,'TABLE CHARGE RATE'!$A$30:$K$106,11,0)),"Check")</f>
        <v/>
      </c>
      <c r="AT648" s="207"/>
    </row>
    <row r="649" spans="1:46" x14ac:dyDescent="0.2">
      <c r="A649" s="207" t="str">
        <f t="shared" si="95"/>
        <v/>
      </c>
      <c r="B649" s="208" t="str">
        <f>IF(ISBLANK(D649),"",VLOOKUP(WEEKDAY($C649,1),INDEX!$J$2:$K$8,2,0))</f>
        <v/>
      </c>
      <c r="C649" s="209"/>
      <c r="D649" s="207"/>
      <c r="E649" s="207"/>
      <c r="F649" s="207"/>
      <c r="G649" s="207"/>
      <c r="H649" s="207"/>
      <c r="I649" s="207"/>
      <c r="J649" s="207"/>
      <c r="K649" s="207"/>
      <c r="L649" s="207"/>
      <c r="M649" s="207"/>
      <c r="N649" s="207"/>
      <c r="O649" s="207"/>
      <c r="P649" s="207"/>
      <c r="Q649" s="207"/>
      <c r="R649" s="207"/>
      <c r="S649" s="207"/>
      <c r="T649" s="207"/>
      <c r="U649" s="209"/>
      <c r="V649" s="207"/>
      <c r="W649" s="207"/>
      <c r="X649" s="209"/>
      <c r="Y649" s="209"/>
      <c r="Z649" s="207" t="str">
        <f t="shared" ca="1" si="97"/>
        <v/>
      </c>
      <c r="AA649" s="209" t="str">
        <f t="shared" si="94"/>
        <v/>
      </c>
      <c r="AB649" s="209"/>
      <c r="AC649" s="207" t="str">
        <f t="shared" ca="1" si="98"/>
        <v/>
      </c>
      <c r="AD649" s="207"/>
      <c r="AE649" s="207"/>
      <c r="AF649" s="208" t="str">
        <f>IF(ISBLANK(D649),"",VLOOKUP(F649,'SIZE CALCULATION'!$F:$G,2,0))</f>
        <v/>
      </c>
      <c r="AG649" s="207" t="str">
        <f t="shared" si="96"/>
        <v/>
      </c>
      <c r="AH649" s="207" t="str">
        <f t="shared" si="99"/>
        <v/>
      </c>
      <c r="AI649" s="210" t="str">
        <f>IF(ISBLANK(D649),"",VLOOKUP($A649,INDEX!$D$2:$F$13,3,0))</f>
        <v/>
      </c>
      <c r="AJ649" s="207" t="str">
        <f t="shared" si="100"/>
        <v/>
      </c>
      <c r="AK649" s="207"/>
      <c r="AL649" s="207"/>
      <c r="AM649" s="207" t="str">
        <f>IFERROR(IF(ISBLANK($D649),"",VLOOKUP($N649,'TABLE CHARGE RATE'!$A$30:$K$106,5,0)),"Check")</f>
        <v/>
      </c>
      <c r="AN649" s="207" t="str">
        <f>IFERROR(IF(ISBLANK($D649),"",VLOOKUP($N649,'TABLE CHARGE RATE'!$A$30:$K$106,6,0)),"Check")</f>
        <v/>
      </c>
      <c r="AO649" s="207" t="str">
        <f>IFERROR(IF(ISBLANK($D649),"",VLOOKUP($N649,'TABLE CHARGE RATE'!$A$30:$K$106,7,0)),"Check")</f>
        <v/>
      </c>
      <c r="AP649" s="207" t="str">
        <f>IFERROR(IF(ISBLANK($D649),"",VLOOKUP($N649,'TABLE CHARGE RATE'!$A$30:$K$106,8,0)),"Check")</f>
        <v/>
      </c>
      <c r="AQ649" s="207" t="str">
        <f>IFERROR(IF(ISBLANK($D649),"",VLOOKUP($N649,'TABLE CHARGE RATE'!$A$30:$K$106,9,0)),"Check")</f>
        <v/>
      </c>
      <c r="AR649" s="207" t="str">
        <f>IFERROR(IF(ISBLANK($D649),"",VLOOKUP($N649,'TABLE CHARGE RATE'!$A$30:$K$106,10,0)),"Check")</f>
        <v/>
      </c>
      <c r="AS649" s="207" t="str">
        <f>IFERROR(IF(ISBLANK($D649),"",VLOOKUP($N649,'TABLE CHARGE RATE'!$A$30:$K$106,11,0)),"Check")</f>
        <v/>
      </c>
      <c r="AT649" s="207"/>
    </row>
    <row r="650" spans="1:46" x14ac:dyDescent="0.2">
      <c r="A650" s="207" t="str">
        <f t="shared" si="95"/>
        <v/>
      </c>
      <c r="B650" s="208" t="str">
        <f>IF(ISBLANK(D650),"",VLOOKUP(WEEKDAY($C650,1),INDEX!$J$2:$K$8,2,0))</f>
        <v/>
      </c>
      <c r="C650" s="209"/>
      <c r="D650" s="207"/>
      <c r="E650" s="207"/>
      <c r="F650" s="207"/>
      <c r="G650" s="207"/>
      <c r="H650" s="207"/>
      <c r="I650" s="207"/>
      <c r="J650" s="207"/>
      <c r="K650" s="207"/>
      <c r="L650" s="207"/>
      <c r="M650" s="207"/>
      <c r="N650" s="207"/>
      <c r="O650" s="207"/>
      <c r="P650" s="207"/>
      <c r="Q650" s="207"/>
      <c r="R650" s="207"/>
      <c r="S650" s="207"/>
      <c r="T650" s="207"/>
      <c r="U650" s="209"/>
      <c r="V650" s="207"/>
      <c r="W650" s="207"/>
      <c r="X650" s="209"/>
      <c r="Y650" s="209"/>
      <c r="Z650" s="207" t="str">
        <f t="shared" ca="1" si="97"/>
        <v/>
      </c>
      <c r="AA650" s="209" t="str">
        <f t="shared" si="94"/>
        <v/>
      </c>
      <c r="AB650" s="209"/>
      <c r="AC650" s="207" t="str">
        <f t="shared" ca="1" si="98"/>
        <v/>
      </c>
      <c r="AD650" s="207"/>
      <c r="AE650" s="207"/>
      <c r="AF650" s="208" t="str">
        <f>IF(ISBLANK(D650),"",VLOOKUP(F650,'SIZE CALCULATION'!$F:$G,2,0))</f>
        <v/>
      </c>
      <c r="AG650" s="207" t="str">
        <f t="shared" si="96"/>
        <v/>
      </c>
      <c r="AH650" s="207" t="str">
        <f t="shared" si="99"/>
        <v/>
      </c>
      <c r="AI650" s="210" t="str">
        <f>IF(ISBLANK(D650),"",VLOOKUP($A650,INDEX!$D$2:$F$13,3,0))</f>
        <v/>
      </c>
      <c r="AJ650" s="207" t="str">
        <f t="shared" si="100"/>
        <v/>
      </c>
      <c r="AK650" s="207"/>
      <c r="AL650" s="207"/>
      <c r="AM650" s="207" t="str">
        <f>IFERROR(IF(ISBLANK($D650),"",VLOOKUP($N650,'TABLE CHARGE RATE'!$A$30:$K$106,5,0)),"Check")</f>
        <v/>
      </c>
      <c r="AN650" s="207" t="str">
        <f>IFERROR(IF(ISBLANK($D650),"",VLOOKUP($N650,'TABLE CHARGE RATE'!$A$30:$K$106,6,0)),"Check")</f>
        <v/>
      </c>
      <c r="AO650" s="207" t="str">
        <f>IFERROR(IF(ISBLANK($D650),"",VLOOKUP($N650,'TABLE CHARGE RATE'!$A$30:$K$106,7,0)),"Check")</f>
        <v/>
      </c>
      <c r="AP650" s="207" t="str">
        <f>IFERROR(IF(ISBLANK($D650),"",VLOOKUP($N650,'TABLE CHARGE RATE'!$A$30:$K$106,8,0)),"Check")</f>
        <v/>
      </c>
      <c r="AQ650" s="207" t="str">
        <f>IFERROR(IF(ISBLANK($D650),"",VLOOKUP($N650,'TABLE CHARGE RATE'!$A$30:$K$106,9,0)),"Check")</f>
        <v/>
      </c>
      <c r="AR650" s="207" t="str">
        <f>IFERROR(IF(ISBLANK($D650),"",VLOOKUP($N650,'TABLE CHARGE RATE'!$A$30:$K$106,10,0)),"Check")</f>
        <v/>
      </c>
      <c r="AS650" s="207" t="str">
        <f>IFERROR(IF(ISBLANK($D650),"",VLOOKUP($N650,'TABLE CHARGE RATE'!$A$30:$K$106,11,0)),"Check")</f>
        <v/>
      </c>
      <c r="AT650" s="207"/>
    </row>
    <row r="651" spans="1:46" x14ac:dyDescent="0.2">
      <c r="A651" s="207" t="str">
        <f t="shared" si="95"/>
        <v/>
      </c>
      <c r="B651" s="208" t="str">
        <f>IF(ISBLANK(D651),"",VLOOKUP(WEEKDAY($C651,1),INDEX!$J$2:$K$8,2,0))</f>
        <v/>
      </c>
      <c r="C651" s="209"/>
      <c r="D651" s="207"/>
      <c r="E651" s="207"/>
      <c r="F651" s="207"/>
      <c r="G651" s="207"/>
      <c r="H651" s="207"/>
      <c r="I651" s="207"/>
      <c r="J651" s="207"/>
      <c r="K651" s="207"/>
      <c r="L651" s="207"/>
      <c r="M651" s="207"/>
      <c r="N651" s="207"/>
      <c r="O651" s="207"/>
      <c r="P651" s="207"/>
      <c r="Q651" s="207"/>
      <c r="R651" s="207"/>
      <c r="S651" s="207"/>
      <c r="T651" s="207"/>
      <c r="U651" s="209"/>
      <c r="V651" s="207"/>
      <c r="W651" s="207"/>
      <c r="X651" s="209"/>
      <c r="Y651" s="209"/>
      <c r="Z651" s="207" t="str">
        <f t="shared" ca="1" si="97"/>
        <v/>
      </c>
      <c r="AA651" s="209" t="str">
        <f t="shared" si="94"/>
        <v/>
      </c>
      <c r="AB651" s="209"/>
      <c r="AC651" s="207" t="str">
        <f t="shared" ca="1" si="98"/>
        <v/>
      </c>
      <c r="AD651" s="207"/>
      <c r="AE651" s="207"/>
      <c r="AF651" s="208" t="str">
        <f>IF(ISBLANK(D651),"",VLOOKUP(F651,'SIZE CALCULATION'!$F:$G,2,0))</f>
        <v/>
      </c>
      <c r="AG651" s="207" t="str">
        <f t="shared" si="96"/>
        <v/>
      </c>
      <c r="AH651" s="207" t="str">
        <f t="shared" si="99"/>
        <v/>
      </c>
      <c r="AI651" s="210" t="str">
        <f>IF(ISBLANK(D651),"",VLOOKUP($A651,INDEX!$D$2:$F$13,3,0))</f>
        <v/>
      </c>
      <c r="AJ651" s="207" t="str">
        <f t="shared" si="100"/>
        <v/>
      </c>
      <c r="AK651" s="207"/>
      <c r="AL651" s="207"/>
      <c r="AM651" s="207" t="str">
        <f>IFERROR(IF(ISBLANK($D651),"",VLOOKUP($N651,'TABLE CHARGE RATE'!$A$30:$K$106,5,0)),"Check")</f>
        <v/>
      </c>
      <c r="AN651" s="207" t="str">
        <f>IFERROR(IF(ISBLANK($D651),"",VLOOKUP($N651,'TABLE CHARGE RATE'!$A$30:$K$106,6,0)),"Check")</f>
        <v/>
      </c>
      <c r="AO651" s="207" t="str">
        <f>IFERROR(IF(ISBLANK($D651),"",VLOOKUP($N651,'TABLE CHARGE RATE'!$A$30:$K$106,7,0)),"Check")</f>
        <v/>
      </c>
      <c r="AP651" s="207" t="str">
        <f>IFERROR(IF(ISBLANK($D651),"",VLOOKUP($N651,'TABLE CHARGE RATE'!$A$30:$K$106,8,0)),"Check")</f>
        <v/>
      </c>
      <c r="AQ651" s="207" t="str">
        <f>IFERROR(IF(ISBLANK($D651),"",VLOOKUP($N651,'TABLE CHARGE RATE'!$A$30:$K$106,9,0)),"Check")</f>
        <v/>
      </c>
      <c r="AR651" s="207" t="str">
        <f>IFERROR(IF(ISBLANK($D651),"",VLOOKUP($N651,'TABLE CHARGE RATE'!$A$30:$K$106,10,0)),"Check")</f>
        <v/>
      </c>
      <c r="AS651" s="207" t="str">
        <f>IFERROR(IF(ISBLANK($D651),"",VLOOKUP($N651,'TABLE CHARGE RATE'!$A$30:$K$106,11,0)),"Check")</f>
        <v/>
      </c>
      <c r="AT651" s="207"/>
    </row>
    <row r="652" spans="1:46" x14ac:dyDescent="0.2">
      <c r="A652" s="207" t="str">
        <f t="shared" si="95"/>
        <v/>
      </c>
      <c r="B652" s="208" t="str">
        <f>IF(ISBLANK(D652),"",VLOOKUP(WEEKDAY($C652,1),INDEX!$J$2:$K$8,2,0))</f>
        <v/>
      </c>
      <c r="C652" s="209"/>
      <c r="D652" s="207"/>
      <c r="E652" s="207"/>
      <c r="F652" s="207"/>
      <c r="G652" s="207"/>
      <c r="H652" s="207"/>
      <c r="I652" s="207"/>
      <c r="J652" s="207"/>
      <c r="K652" s="207"/>
      <c r="L652" s="207"/>
      <c r="M652" s="207"/>
      <c r="N652" s="207"/>
      <c r="O652" s="207"/>
      <c r="P652" s="207"/>
      <c r="Q652" s="207"/>
      <c r="R652" s="207"/>
      <c r="S652" s="207"/>
      <c r="T652" s="207"/>
      <c r="U652" s="209"/>
      <c r="V652" s="207"/>
      <c r="W652" s="207"/>
      <c r="X652" s="209"/>
      <c r="Y652" s="209"/>
      <c r="Z652" s="207" t="str">
        <f t="shared" ca="1" si="97"/>
        <v/>
      </c>
      <c r="AA652" s="209" t="str">
        <f t="shared" si="94"/>
        <v/>
      </c>
      <c r="AB652" s="209"/>
      <c r="AC652" s="207" t="str">
        <f t="shared" ca="1" si="98"/>
        <v/>
      </c>
      <c r="AD652" s="207"/>
      <c r="AE652" s="207"/>
      <c r="AF652" s="208" t="str">
        <f>IF(ISBLANK(D652),"",VLOOKUP(F652,'SIZE CALCULATION'!$F:$G,2,0))</f>
        <v/>
      </c>
      <c r="AG652" s="207" t="str">
        <f t="shared" si="96"/>
        <v/>
      </c>
      <c r="AH652" s="207" t="str">
        <f t="shared" si="99"/>
        <v/>
      </c>
      <c r="AI652" s="210" t="str">
        <f>IF(ISBLANK(D652),"",VLOOKUP($A652,INDEX!$D$2:$F$13,3,0))</f>
        <v/>
      </c>
      <c r="AJ652" s="207" t="str">
        <f t="shared" si="100"/>
        <v/>
      </c>
      <c r="AK652" s="207"/>
      <c r="AL652" s="207"/>
      <c r="AM652" s="207" t="str">
        <f>IFERROR(IF(ISBLANK($D652),"",VLOOKUP($N652,'TABLE CHARGE RATE'!$A$30:$K$106,5,0)),"Check")</f>
        <v/>
      </c>
      <c r="AN652" s="207" t="str">
        <f>IFERROR(IF(ISBLANK($D652),"",VLOOKUP($N652,'TABLE CHARGE RATE'!$A$30:$K$106,6,0)),"Check")</f>
        <v/>
      </c>
      <c r="AO652" s="207" t="str">
        <f>IFERROR(IF(ISBLANK($D652),"",VLOOKUP($N652,'TABLE CHARGE RATE'!$A$30:$K$106,7,0)),"Check")</f>
        <v/>
      </c>
      <c r="AP652" s="207" t="str">
        <f>IFERROR(IF(ISBLANK($D652),"",VLOOKUP($N652,'TABLE CHARGE RATE'!$A$30:$K$106,8,0)),"Check")</f>
        <v/>
      </c>
      <c r="AQ652" s="207" t="str">
        <f>IFERROR(IF(ISBLANK($D652),"",VLOOKUP($N652,'TABLE CHARGE RATE'!$A$30:$K$106,9,0)),"Check")</f>
        <v/>
      </c>
      <c r="AR652" s="207" t="str">
        <f>IFERROR(IF(ISBLANK($D652),"",VLOOKUP($N652,'TABLE CHARGE RATE'!$A$30:$K$106,10,0)),"Check")</f>
        <v/>
      </c>
      <c r="AS652" s="207" t="str">
        <f>IFERROR(IF(ISBLANK($D652),"",VLOOKUP($N652,'TABLE CHARGE RATE'!$A$30:$K$106,11,0)),"Check")</f>
        <v/>
      </c>
      <c r="AT652" s="207"/>
    </row>
    <row r="653" spans="1:46" x14ac:dyDescent="0.2">
      <c r="A653" s="207" t="str">
        <f t="shared" si="95"/>
        <v/>
      </c>
      <c r="B653" s="208" t="str">
        <f>IF(ISBLANK(D653),"",VLOOKUP(WEEKDAY($C653,1),INDEX!$J$2:$K$8,2,0))</f>
        <v/>
      </c>
      <c r="C653" s="209"/>
      <c r="D653" s="207"/>
      <c r="E653" s="207"/>
      <c r="F653" s="207"/>
      <c r="G653" s="207"/>
      <c r="H653" s="207"/>
      <c r="I653" s="207"/>
      <c r="J653" s="207"/>
      <c r="K653" s="207"/>
      <c r="L653" s="207"/>
      <c r="M653" s="207"/>
      <c r="N653" s="207"/>
      <c r="O653" s="207"/>
      <c r="P653" s="207"/>
      <c r="Q653" s="207"/>
      <c r="R653" s="207"/>
      <c r="S653" s="207"/>
      <c r="T653" s="207"/>
      <c r="U653" s="209"/>
      <c r="V653" s="207"/>
      <c r="W653" s="207"/>
      <c r="X653" s="209"/>
      <c r="Y653" s="209"/>
      <c r="Z653" s="207" t="str">
        <f t="shared" ca="1" si="97"/>
        <v/>
      </c>
      <c r="AA653" s="209" t="str">
        <f t="shared" si="94"/>
        <v/>
      </c>
      <c r="AB653" s="209"/>
      <c r="AC653" s="207" t="str">
        <f t="shared" ca="1" si="98"/>
        <v/>
      </c>
      <c r="AD653" s="207"/>
      <c r="AE653" s="207"/>
      <c r="AF653" s="208" t="str">
        <f>IF(ISBLANK(D653),"",VLOOKUP(F653,'SIZE CALCULATION'!$F:$G,2,0))</f>
        <v/>
      </c>
      <c r="AG653" s="207" t="str">
        <f t="shared" si="96"/>
        <v/>
      </c>
      <c r="AH653" s="207" t="str">
        <f t="shared" si="99"/>
        <v/>
      </c>
      <c r="AI653" s="210" t="str">
        <f>IF(ISBLANK(D653),"",VLOOKUP($A653,INDEX!$D$2:$F$13,3,0))</f>
        <v/>
      </c>
      <c r="AJ653" s="207" t="str">
        <f t="shared" si="100"/>
        <v/>
      </c>
      <c r="AK653" s="207"/>
      <c r="AL653" s="207"/>
      <c r="AM653" s="207" t="str">
        <f>IFERROR(IF(ISBLANK($D653),"",VLOOKUP($N653,'TABLE CHARGE RATE'!$A$30:$K$106,5,0)),"Check")</f>
        <v/>
      </c>
      <c r="AN653" s="207" t="str">
        <f>IFERROR(IF(ISBLANK($D653),"",VLOOKUP($N653,'TABLE CHARGE RATE'!$A$30:$K$106,6,0)),"Check")</f>
        <v/>
      </c>
      <c r="AO653" s="207" t="str">
        <f>IFERROR(IF(ISBLANK($D653),"",VLOOKUP($N653,'TABLE CHARGE RATE'!$A$30:$K$106,7,0)),"Check")</f>
        <v/>
      </c>
      <c r="AP653" s="207" t="str">
        <f>IFERROR(IF(ISBLANK($D653),"",VLOOKUP($N653,'TABLE CHARGE RATE'!$A$30:$K$106,8,0)),"Check")</f>
        <v/>
      </c>
      <c r="AQ653" s="207" t="str">
        <f>IFERROR(IF(ISBLANK($D653),"",VLOOKUP($N653,'TABLE CHARGE RATE'!$A$30:$K$106,9,0)),"Check")</f>
        <v/>
      </c>
      <c r="AR653" s="207" t="str">
        <f>IFERROR(IF(ISBLANK($D653),"",VLOOKUP($N653,'TABLE CHARGE RATE'!$A$30:$K$106,10,0)),"Check")</f>
        <v/>
      </c>
      <c r="AS653" s="207" t="str">
        <f>IFERROR(IF(ISBLANK($D653),"",VLOOKUP($N653,'TABLE CHARGE RATE'!$A$30:$K$106,11,0)),"Check")</f>
        <v/>
      </c>
      <c r="AT653" s="207"/>
    </row>
    <row r="654" spans="1:46" x14ac:dyDescent="0.2">
      <c r="A654" s="207" t="str">
        <f t="shared" si="95"/>
        <v/>
      </c>
      <c r="B654" s="208" t="str">
        <f>IF(ISBLANK(D654),"",VLOOKUP(WEEKDAY($C654,1),INDEX!$J$2:$K$8,2,0))</f>
        <v/>
      </c>
      <c r="C654" s="209"/>
      <c r="D654" s="207"/>
      <c r="E654" s="207"/>
      <c r="F654" s="207"/>
      <c r="G654" s="207"/>
      <c r="H654" s="207"/>
      <c r="I654" s="207"/>
      <c r="J654" s="207"/>
      <c r="K654" s="207"/>
      <c r="L654" s="207"/>
      <c r="M654" s="207"/>
      <c r="N654" s="207"/>
      <c r="O654" s="207"/>
      <c r="P654" s="207"/>
      <c r="Q654" s="207"/>
      <c r="R654" s="207"/>
      <c r="S654" s="207"/>
      <c r="T654" s="207"/>
      <c r="U654" s="209"/>
      <c r="V654" s="207"/>
      <c r="W654" s="207"/>
      <c r="X654" s="209"/>
      <c r="Y654" s="209"/>
      <c r="Z654" s="207" t="str">
        <f t="shared" ca="1" si="97"/>
        <v/>
      </c>
      <c r="AA654" s="209" t="str">
        <f t="shared" si="94"/>
        <v/>
      </c>
      <c r="AB654" s="209"/>
      <c r="AC654" s="207" t="str">
        <f t="shared" ca="1" si="98"/>
        <v/>
      </c>
      <c r="AD654" s="207"/>
      <c r="AE654" s="207"/>
      <c r="AF654" s="208" t="str">
        <f>IF(ISBLANK(D654),"",VLOOKUP(F654,'SIZE CALCULATION'!$F:$G,2,0))</f>
        <v/>
      </c>
      <c r="AG654" s="207" t="str">
        <f t="shared" si="96"/>
        <v/>
      </c>
      <c r="AH654" s="207" t="str">
        <f t="shared" si="99"/>
        <v/>
      </c>
      <c r="AI654" s="210" t="str">
        <f>IF(ISBLANK(D654),"",VLOOKUP($A654,INDEX!$D$2:$F$13,3,0))</f>
        <v/>
      </c>
      <c r="AJ654" s="207" t="str">
        <f t="shared" si="100"/>
        <v/>
      </c>
      <c r="AK654" s="207"/>
      <c r="AL654" s="207"/>
      <c r="AM654" s="207" t="str">
        <f>IFERROR(IF(ISBLANK($D654),"",VLOOKUP($N654,'TABLE CHARGE RATE'!$A$30:$K$106,5,0)),"Check")</f>
        <v/>
      </c>
      <c r="AN654" s="207" t="str">
        <f>IFERROR(IF(ISBLANK($D654),"",VLOOKUP($N654,'TABLE CHARGE RATE'!$A$30:$K$106,6,0)),"Check")</f>
        <v/>
      </c>
      <c r="AO654" s="207" t="str">
        <f>IFERROR(IF(ISBLANK($D654),"",VLOOKUP($N654,'TABLE CHARGE RATE'!$A$30:$K$106,7,0)),"Check")</f>
        <v/>
      </c>
      <c r="AP654" s="207" t="str">
        <f>IFERROR(IF(ISBLANK($D654),"",VLOOKUP($N654,'TABLE CHARGE RATE'!$A$30:$K$106,8,0)),"Check")</f>
        <v/>
      </c>
      <c r="AQ654" s="207" t="str">
        <f>IFERROR(IF(ISBLANK($D654),"",VLOOKUP($N654,'TABLE CHARGE RATE'!$A$30:$K$106,9,0)),"Check")</f>
        <v/>
      </c>
      <c r="AR654" s="207" t="str">
        <f>IFERROR(IF(ISBLANK($D654),"",VLOOKUP($N654,'TABLE CHARGE RATE'!$A$30:$K$106,10,0)),"Check")</f>
        <v/>
      </c>
      <c r="AS654" s="207" t="str">
        <f>IFERROR(IF(ISBLANK($D654),"",VLOOKUP($N654,'TABLE CHARGE RATE'!$A$30:$K$106,11,0)),"Check")</f>
        <v/>
      </c>
      <c r="AT654" s="207"/>
    </row>
    <row r="655" spans="1:46" x14ac:dyDescent="0.2">
      <c r="A655" s="207" t="str">
        <f t="shared" si="95"/>
        <v/>
      </c>
      <c r="B655" s="208" t="str">
        <f>IF(ISBLANK(D655),"",VLOOKUP(WEEKDAY($C655,1),INDEX!$J$2:$K$8,2,0))</f>
        <v/>
      </c>
      <c r="C655" s="209"/>
      <c r="D655" s="207"/>
      <c r="E655" s="207"/>
      <c r="F655" s="207"/>
      <c r="G655" s="207"/>
      <c r="H655" s="207"/>
      <c r="I655" s="207"/>
      <c r="J655" s="207"/>
      <c r="K655" s="207"/>
      <c r="L655" s="207"/>
      <c r="M655" s="207"/>
      <c r="N655" s="207"/>
      <c r="O655" s="207"/>
      <c r="P655" s="207"/>
      <c r="Q655" s="207"/>
      <c r="R655" s="207"/>
      <c r="S655" s="207"/>
      <c r="T655" s="207"/>
      <c r="U655" s="209"/>
      <c r="V655" s="207"/>
      <c r="W655" s="207"/>
      <c r="X655" s="209"/>
      <c r="Y655" s="209"/>
      <c r="Z655" s="207" t="str">
        <f t="shared" ca="1" si="97"/>
        <v/>
      </c>
      <c r="AA655" s="209" t="str">
        <f t="shared" si="94"/>
        <v/>
      </c>
      <c r="AB655" s="209"/>
      <c r="AC655" s="207" t="str">
        <f t="shared" ca="1" si="98"/>
        <v/>
      </c>
      <c r="AD655" s="207"/>
      <c r="AE655" s="207"/>
      <c r="AF655" s="208" t="str">
        <f>IF(ISBLANK(D655),"",VLOOKUP(F655,'SIZE CALCULATION'!$F:$G,2,0))</f>
        <v/>
      </c>
      <c r="AG655" s="207" t="str">
        <f t="shared" si="96"/>
        <v/>
      </c>
      <c r="AH655" s="207" t="str">
        <f t="shared" si="99"/>
        <v/>
      </c>
      <c r="AI655" s="210" t="str">
        <f>IF(ISBLANK(D655),"",VLOOKUP($A655,INDEX!$D$2:$F$13,3,0))</f>
        <v/>
      </c>
      <c r="AJ655" s="207" t="str">
        <f t="shared" si="100"/>
        <v/>
      </c>
      <c r="AK655" s="207"/>
      <c r="AL655" s="207"/>
      <c r="AM655" s="207" t="str">
        <f>IFERROR(IF(ISBLANK($D655),"",VLOOKUP($N655,'TABLE CHARGE RATE'!$A$30:$K$106,5,0)),"Check")</f>
        <v/>
      </c>
      <c r="AN655" s="207" t="str">
        <f>IFERROR(IF(ISBLANK($D655),"",VLOOKUP($N655,'TABLE CHARGE RATE'!$A$30:$K$106,6,0)),"Check")</f>
        <v/>
      </c>
      <c r="AO655" s="207" t="str">
        <f>IFERROR(IF(ISBLANK($D655),"",VLOOKUP($N655,'TABLE CHARGE RATE'!$A$30:$K$106,7,0)),"Check")</f>
        <v/>
      </c>
      <c r="AP655" s="207" t="str">
        <f>IFERROR(IF(ISBLANK($D655),"",VLOOKUP($N655,'TABLE CHARGE RATE'!$A$30:$K$106,8,0)),"Check")</f>
        <v/>
      </c>
      <c r="AQ655" s="207" t="str">
        <f>IFERROR(IF(ISBLANK($D655),"",VLOOKUP($N655,'TABLE CHARGE RATE'!$A$30:$K$106,9,0)),"Check")</f>
        <v/>
      </c>
      <c r="AR655" s="207" t="str">
        <f>IFERROR(IF(ISBLANK($D655),"",VLOOKUP($N655,'TABLE CHARGE RATE'!$A$30:$K$106,10,0)),"Check")</f>
        <v/>
      </c>
      <c r="AS655" s="207" t="str">
        <f>IFERROR(IF(ISBLANK($D655),"",VLOOKUP($N655,'TABLE CHARGE RATE'!$A$30:$K$106,11,0)),"Check")</f>
        <v/>
      </c>
      <c r="AT655" s="207"/>
    </row>
    <row r="656" spans="1:46" x14ac:dyDescent="0.2">
      <c r="A656" s="207" t="str">
        <f t="shared" si="95"/>
        <v/>
      </c>
      <c r="B656" s="208" t="str">
        <f>IF(ISBLANK(D656),"",VLOOKUP(WEEKDAY($C656,1),INDEX!$J$2:$K$8,2,0))</f>
        <v/>
      </c>
      <c r="C656" s="209"/>
      <c r="D656" s="207"/>
      <c r="E656" s="207"/>
      <c r="F656" s="207"/>
      <c r="G656" s="207"/>
      <c r="H656" s="207"/>
      <c r="I656" s="207"/>
      <c r="J656" s="207"/>
      <c r="K656" s="207"/>
      <c r="L656" s="207"/>
      <c r="M656" s="207"/>
      <c r="N656" s="207"/>
      <c r="O656" s="207"/>
      <c r="P656" s="207"/>
      <c r="Q656" s="207"/>
      <c r="R656" s="207"/>
      <c r="S656" s="207"/>
      <c r="T656" s="207"/>
      <c r="U656" s="209"/>
      <c r="V656" s="207"/>
      <c r="W656" s="207"/>
      <c r="X656" s="209"/>
      <c r="Y656" s="209"/>
      <c r="Z656" s="207" t="str">
        <f t="shared" ca="1" si="97"/>
        <v/>
      </c>
      <c r="AA656" s="209" t="str">
        <f t="shared" si="94"/>
        <v/>
      </c>
      <c r="AB656" s="209"/>
      <c r="AC656" s="207" t="str">
        <f t="shared" ca="1" si="98"/>
        <v/>
      </c>
      <c r="AD656" s="207"/>
      <c r="AE656" s="207"/>
      <c r="AF656" s="208" t="str">
        <f>IF(ISBLANK(D656),"",VLOOKUP(F656,'SIZE CALCULATION'!$F:$G,2,0))</f>
        <v/>
      </c>
      <c r="AG656" s="207" t="str">
        <f t="shared" si="96"/>
        <v/>
      </c>
      <c r="AH656" s="207" t="str">
        <f t="shared" si="99"/>
        <v/>
      </c>
      <c r="AI656" s="210" t="str">
        <f>IF(ISBLANK(D656),"",VLOOKUP($A656,INDEX!$D$2:$F$13,3,0))</f>
        <v/>
      </c>
      <c r="AJ656" s="207" t="str">
        <f t="shared" si="100"/>
        <v/>
      </c>
      <c r="AK656" s="207"/>
      <c r="AL656" s="207"/>
      <c r="AM656" s="207" t="str">
        <f>IFERROR(IF(ISBLANK($D656),"",VLOOKUP($N656,'TABLE CHARGE RATE'!$A$30:$K$106,5,0)),"Check")</f>
        <v/>
      </c>
      <c r="AN656" s="207" t="str">
        <f>IFERROR(IF(ISBLANK($D656),"",VLOOKUP($N656,'TABLE CHARGE RATE'!$A$30:$K$106,6,0)),"Check")</f>
        <v/>
      </c>
      <c r="AO656" s="207" t="str">
        <f>IFERROR(IF(ISBLANK($D656),"",VLOOKUP($N656,'TABLE CHARGE RATE'!$A$30:$K$106,7,0)),"Check")</f>
        <v/>
      </c>
      <c r="AP656" s="207" t="str">
        <f>IFERROR(IF(ISBLANK($D656),"",VLOOKUP($N656,'TABLE CHARGE RATE'!$A$30:$K$106,8,0)),"Check")</f>
        <v/>
      </c>
      <c r="AQ656" s="207" t="str">
        <f>IFERROR(IF(ISBLANK($D656),"",VLOOKUP($N656,'TABLE CHARGE RATE'!$A$30:$K$106,9,0)),"Check")</f>
        <v/>
      </c>
      <c r="AR656" s="207" t="str">
        <f>IFERROR(IF(ISBLANK($D656),"",VLOOKUP($N656,'TABLE CHARGE RATE'!$A$30:$K$106,10,0)),"Check")</f>
        <v/>
      </c>
      <c r="AS656" s="207" t="str">
        <f>IFERROR(IF(ISBLANK($D656),"",VLOOKUP($N656,'TABLE CHARGE RATE'!$A$30:$K$106,11,0)),"Check")</f>
        <v/>
      </c>
      <c r="AT656" s="207"/>
    </row>
    <row r="657" spans="1:46" x14ac:dyDescent="0.2">
      <c r="A657" s="207" t="str">
        <f t="shared" si="95"/>
        <v/>
      </c>
      <c r="B657" s="208" t="str">
        <f>IF(ISBLANK(D657),"",VLOOKUP(WEEKDAY($C657,1),INDEX!$J$2:$K$8,2,0))</f>
        <v/>
      </c>
      <c r="C657" s="209"/>
      <c r="D657" s="207"/>
      <c r="E657" s="207"/>
      <c r="F657" s="207"/>
      <c r="G657" s="207"/>
      <c r="H657" s="207"/>
      <c r="I657" s="207"/>
      <c r="J657" s="207"/>
      <c r="K657" s="207"/>
      <c r="L657" s="207"/>
      <c r="M657" s="207"/>
      <c r="N657" s="207"/>
      <c r="O657" s="207"/>
      <c r="P657" s="207"/>
      <c r="Q657" s="207"/>
      <c r="R657" s="207"/>
      <c r="S657" s="207"/>
      <c r="T657" s="207"/>
      <c r="U657" s="209"/>
      <c r="V657" s="207"/>
      <c r="W657" s="207"/>
      <c r="X657" s="209"/>
      <c r="Y657" s="209"/>
      <c r="Z657" s="207" t="str">
        <f t="shared" ca="1" si="97"/>
        <v/>
      </c>
      <c r="AA657" s="209" t="str">
        <f t="shared" si="94"/>
        <v/>
      </c>
      <c r="AB657" s="209"/>
      <c r="AC657" s="207" t="str">
        <f t="shared" ca="1" si="98"/>
        <v/>
      </c>
      <c r="AD657" s="207"/>
      <c r="AE657" s="207"/>
      <c r="AF657" s="208" t="str">
        <f>IF(ISBLANK(D657),"",VLOOKUP(F657,'SIZE CALCULATION'!$F:$G,2,0))</f>
        <v/>
      </c>
      <c r="AG657" s="207" t="str">
        <f t="shared" si="96"/>
        <v/>
      </c>
      <c r="AH657" s="207" t="str">
        <f t="shared" si="99"/>
        <v/>
      </c>
      <c r="AI657" s="210" t="str">
        <f>IF(ISBLANK(D657),"",VLOOKUP($A657,INDEX!$D$2:$F$13,3,0))</f>
        <v/>
      </c>
      <c r="AJ657" s="207" t="str">
        <f t="shared" si="100"/>
        <v/>
      </c>
      <c r="AK657" s="207"/>
      <c r="AL657" s="207"/>
      <c r="AM657" s="207" t="str">
        <f>IFERROR(IF(ISBLANK($D657),"",VLOOKUP($N657,'TABLE CHARGE RATE'!$A$30:$K$106,5,0)),"Check")</f>
        <v/>
      </c>
      <c r="AN657" s="207" t="str">
        <f>IFERROR(IF(ISBLANK($D657),"",VLOOKUP($N657,'TABLE CHARGE RATE'!$A$30:$K$106,6,0)),"Check")</f>
        <v/>
      </c>
      <c r="AO657" s="207" t="str">
        <f>IFERROR(IF(ISBLANK($D657),"",VLOOKUP($N657,'TABLE CHARGE RATE'!$A$30:$K$106,7,0)),"Check")</f>
        <v/>
      </c>
      <c r="AP657" s="207" t="str">
        <f>IFERROR(IF(ISBLANK($D657),"",VLOOKUP($N657,'TABLE CHARGE RATE'!$A$30:$K$106,8,0)),"Check")</f>
        <v/>
      </c>
      <c r="AQ657" s="207" t="str">
        <f>IFERROR(IF(ISBLANK($D657),"",VLOOKUP($N657,'TABLE CHARGE RATE'!$A$30:$K$106,9,0)),"Check")</f>
        <v/>
      </c>
      <c r="AR657" s="207" t="str">
        <f>IFERROR(IF(ISBLANK($D657),"",VLOOKUP($N657,'TABLE CHARGE RATE'!$A$30:$K$106,10,0)),"Check")</f>
        <v/>
      </c>
      <c r="AS657" s="207" t="str">
        <f>IFERROR(IF(ISBLANK($D657),"",VLOOKUP($N657,'TABLE CHARGE RATE'!$A$30:$K$106,11,0)),"Check")</f>
        <v/>
      </c>
      <c r="AT657" s="207"/>
    </row>
    <row r="658" spans="1:46" x14ac:dyDescent="0.2">
      <c r="A658" s="207" t="str">
        <f t="shared" si="95"/>
        <v/>
      </c>
      <c r="B658" s="208" t="str">
        <f>IF(ISBLANK(D658),"",VLOOKUP(WEEKDAY($C658,1),INDEX!$J$2:$K$8,2,0))</f>
        <v/>
      </c>
      <c r="C658" s="209"/>
      <c r="D658" s="207"/>
      <c r="E658" s="207"/>
      <c r="F658" s="207"/>
      <c r="G658" s="207"/>
      <c r="H658" s="207"/>
      <c r="I658" s="207"/>
      <c r="J658" s="207"/>
      <c r="K658" s="207"/>
      <c r="L658" s="207"/>
      <c r="M658" s="207"/>
      <c r="N658" s="207"/>
      <c r="O658" s="207"/>
      <c r="P658" s="207"/>
      <c r="Q658" s="207"/>
      <c r="R658" s="207"/>
      <c r="S658" s="207"/>
      <c r="T658" s="207"/>
      <c r="U658" s="209"/>
      <c r="V658" s="207"/>
      <c r="W658" s="207"/>
      <c r="X658" s="209"/>
      <c r="Y658" s="209"/>
      <c r="Z658" s="207" t="str">
        <f t="shared" ca="1" si="97"/>
        <v/>
      </c>
      <c r="AA658" s="209" t="str">
        <f t="shared" si="94"/>
        <v/>
      </c>
      <c r="AB658" s="209"/>
      <c r="AC658" s="207" t="str">
        <f t="shared" ca="1" si="98"/>
        <v/>
      </c>
      <c r="AD658" s="207"/>
      <c r="AE658" s="207"/>
      <c r="AF658" s="208" t="str">
        <f>IF(ISBLANK(D658),"",VLOOKUP(F658,'SIZE CALCULATION'!$F:$G,2,0))</f>
        <v/>
      </c>
      <c r="AG658" s="207" t="str">
        <f t="shared" si="96"/>
        <v/>
      </c>
      <c r="AH658" s="207" t="str">
        <f t="shared" si="99"/>
        <v/>
      </c>
      <c r="AI658" s="210" t="str">
        <f>IF(ISBLANK(D658),"",VLOOKUP($A658,INDEX!$D$2:$F$13,3,0))</f>
        <v/>
      </c>
      <c r="AJ658" s="207" t="str">
        <f t="shared" si="100"/>
        <v/>
      </c>
      <c r="AK658" s="207"/>
      <c r="AL658" s="207"/>
      <c r="AM658" s="207" t="str">
        <f>IFERROR(IF(ISBLANK($D658),"",VLOOKUP($N658,'TABLE CHARGE RATE'!$A$30:$K$106,5,0)),"Check")</f>
        <v/>
      </c>
      <c r="AN658" s="207" t="str">
        <f>IFERROR(IF(ISBLANK($D658),"",VLOOKUP($N658,'TABLE CHARGE RATE'!$A$30:$K$106,6,0)),"Check")</f>
        <v/>
      </c>
      <c r="AO658" s="207" t="str">
        <f>IFERROR(IF(ISBLANK($D658),"",VLOOKUP($N658,'TABLE CHARGE RATE'!$A$30:$K$106,7,0)),"Check")</f>
        <v/>
      </c>
      <c r="AP658" s="207" t="str">
        <f>IFERROR(IF(ISBLANK($D658),"",VLOOKUP($N658,'TABLE CHARGE RATE'!$A$30:$K$106,8,0)),"Check")</f>
        <v/>
      </c>
      <c r="AQ658" s="207" t="str">
        <f>IFERROR(IF(ISBLANK($D658),"",VLOOKUP($N658,'TABLE CHARGE RATE'!$A$30:$K$106,9,0)),"Check")</f>
        <v/>
      </c>
      <c r="AR658" s="207" t="str">
        <f>IFERROR(IF(ISBLANK($D658),"",VLOOKUP($N658,'TABLE CHARGE RATE'!$A$30:$K$106,10,0)),"Check")</f>
        <v/>
      </c>
      <c r="AS658" s="207" t="str">
        <f>IFERROR(IF(ISBLANK($D658),"",VLOOKUP($N658,'TABLE CHARGE RATE'!$A$30:$K$106,11,0)),"Check")</f>
        <v/>
      </c>
      <c r="AT658" s="207"/>
    </row>
    <row r="659" spans="1:46" x14ac:dyDescent="0.2">
      <c r="A659" s="207" t="str">
        <f t="shared" si="95"/>
        <v/>
      </c>
      <c r="B659" s="208" t="str">
        <f>IF(ISBLANK(D659),"",VLOOKUP(WEEKDAY($C659,1),INDEX!$J$2:$K$8,2,0))</f>
        <v/>
      </c>
      <c r="C659" s="209"/>
      <c r="D659" s="207"/>
      <c r="E659" s="207"/>
      <c r="F659" s="207"/>
      <c r="G659" s="207"/>
      <c r="H659" s="207"/>
      <c r="I659" s="207"/>
      <c r="J659" s="207"/>
      <c r="K659" s="207"/>
      <c r="L659" s="207"/>
      <c r="M659" s="207"/>
      <c r="N659" s="207"/>
      <c r="O659" s="207"/>
      <c r="P659" s="207"/>
      <c r="Q659" s="207"/>
      <c r="R659" s="207"/>
      <c r="S659" s="207"/>
      <c r="T659" s="207"/>
      <c r="U659" s="209"/>
      <c r="V659" s="207"/>
      <c r="W659" s="207"/>
      <c r="X659" s="209"/>
      <c r="Y659" s="209"/>
      <c r="Z659" s="207" t="str">
        <f t="shared" ca="1" si="97"/>
        <v/>
      </c>
      <c r="AA659" s="209" t="str">
        <f t="shared" si="94"/>
        <v/>
      </c>
      <c r="AB659" s="209"/>
      <c r="AC659" s="207" t="str">
        <f t="shared" ca="1" si="98"/>
        <v/>
      </c>
      <c r="AD659" s="207"/>
      <c r="AE659" s="207"/>
      <c r="AF659" s="208" t="str">
        <f>IF(ISBLANK(D659),"",VLOOKUP(F659,'SIZE CALCULATION'!$F:$G,2,0))</f>
        <v/>
      </c>
      <c r="AG659" s="207" t="str">
        <f t="shared" si="96"/>
        <v/>
      </c>
      <c r="AH659" s="207" t="str">
        <f t="shared" si="99"/>
        <v/>
      </c>
      <c r="AI659" s="210" t="str">
        <f>IF(ISBLANK(D659),"",VLOOKUP($A659,INDEX!$D$2:$F$13,3,0))</f>
        <v/>
      </c>
      <c r="AJ659" s="207" t="str">
        <f t="shared" si="100"/>
        <v/>
      </c>
      <c r="AK659" s="207"/>
      <c r="AL659" s="207"/>
      <c r="AM659" s="207" t="str">
        <f>IFERROR(IF(ISBLANK($D659),"",VLOOKUP($N659,'TABLE CHARGE RATE'!$A$30:$K$106,5,0)),"Check")</f>
        <v/>
      </c>
      <c r="AN659" s="207" t="str">
        <f>IFERROR(IF(ISBLANK($D659),"",VLOOKUP($N659,'TABLE CHARGE RATE'!$A$30:$K$106,6,0)),"Check")</f>
        <v/>
      </c>
      <c r="AO659" s="207" t="str">
        <f>IFERROR(IF(ISBLANK($D659),"",VLOOKUP($N659,'TABLE CHARGE RATE'!$A$30:$K$106,7,0)),"Check")</f>
        <v/>
      </c>
      <c r="AP659" s="207" t="str">
        <f>IFERROR(IF(ISBLANK($D659),"",VLOOKUP($N659,'TABLE CHARGE RATE'!$A$30:$K$106,8,0)),"Check")</f>
        <v/>
      </c>
      <c r="AQ659" s="207" t="str">
        <f>IFERROR(IF(ISBLANK($D659),"",VLOOKUP($N659,'TABLE CHARGE RATE'!$A$30:$K$106,9,0)),"Check")</f>
        <v/>
      </c>
      <c r="AR659" s="207" t="str">
        <f>IFERROR(IF(ISBLANK($D659),"",VLOOKUP($N659,'TABLE CHARGE RATE'!$A$30:$K$106,10,0)),"Check")</f>
        <v/>
      </c>
      <c r="AS659" s="207" t="str">
        <f>IFERROR(IF(ISBLANK($D659),"",VLOOKUP($N659,'TABLE CHARGE RATE'!$A$30:$K$106,11,0)),"Check")</f>
        <v/>
      </c>
      <c r="AT659" s="207"/>
    </row>
    <row r="660" spans="1:46" x14ac:dyDescent="0.2">
      <c r="A660" s="207" t="str">
        <f t="shared" si="95"/>
        <v/>
      </c>
      <c r="B660" s="208" t="str">
        <f>IF(ISBLANK(D660),"",VLOOKUP(WEEKDAY($C660,1),INDEX!$J$2:$K$8,2,0))</f>
        <v/>
      </c>
      <c r="C660" s="209"/>
      <c r="D660" s="207"/>
      <c r="E660" s="207"/>
      <c r="F660" s="207"/>
      <c r="G660" s="207"/>
      <c r="H660" s="207"/>
      <c r="I660" s="207"/>
      <c r="J660" s="207"/>
      <c r="K660" s="207"/>
      <c r="L660" s="207"/>
      <c r="M660" s="207"/>
      <c r="N660" s="207"/>
      <c r="O660" s="207"/>
      <c r="P660" s="207"/>
      <c r="Q660" s="207"/>
      <c r="R660" s="207"/>
      <c r="S660" s="207"/>
      <c r="T660" s="207"/>
      <c r="U660" s="209"/>
      <c r="V660" s="207"/>
      <c r="W660" s="207"/>
      <c r="X660" s="209"/>
      <c r="Y660" s="209"/>
      <c r="Z660" s="207" t="str">
        <f t="shared" ca="1" si="97"/>
        <v/>
      </c>
      <c r="AA660" s="209" t="str">
        <f t="shared" si="94"/>
        <v/>
      </c>
      <c r="AB660" s="209"/>
      <c r="AC660" s="207" t="str">
        <f t="shared" ca="1" si="98"/>
        <v/>
      </c>
      <c r="AD660" s="207"/>
      <c r="AE660" s="207"/>
      <c r="AF660" s="208" t="str">
        <f>IF(ISBLANK(D660),"",VLOOKUP(F660,'SIZE CALCULATION'!$F:$G,2,0))</f>
        <v/>
      </c>
      <c r="AG660" s="207" t="str">
        <f t="shared" si="96"/>
        <v/>
      </c>
      <c r="AH660" s="207" t="str">
        <f t="shared" si="99"/>
        <v/>
      </c>
      <c r="AI660" s="210" t="str">
        <f>IF(ISBLANK(D660),"",VLOOKUP($A660,INDEX!$D$2:$F$13,3,0))</f>
        <v/>
      </c>
      <c r="AJ660" s="207" t="str">
        <f t="shared" si="100"/>
        <v/>
      </c>
      <c r="AK660" s="207"/>
      <c r="AL660" s="207"/>
      <c r="AM660" s="207" t="str">
        <f>IFERROR(IF(ISBLANK($D660),"",VLOOKUP($N660,'TABLE CHARGE RATE'!$A$30:$K$106,5,0)),"Check")</f>
        <v/>
      </c>
      <c r="AN660" s="207" t="str">
        <f>IFERROR(IF(ISBLANK($D660),"",VLOOKUP($N660,'TABLE CHARGE RATE'!$A$30:$K$106,6,0)),"Check")</f>
        <v/>
      </c>
      <c r="AO660" s="207" t="str">
        <f>IFERROR(IF(ISBLANK($D660),"",VLOOKUP($N660,'TABLE CHARGE RATE'!$A$30:$K$106,7,0)),"Check")</f>
        <v/>
      </c>
      <c r="AP660" s="207" t="str">
        <f>IFERROR(IF(ISBLANK($D660),"",VLOOKUP($N660,'TABLE CHARGE RATE'!$A$30:$K$106,8,0)),"Check")</f>
        <v/>
      </c>
      <c r="AQ660" s="207" t="str">
        <f>IFERROR(IF(ISBLANK($D660),"",VLOOKUP($N660,'TABLE CHARGE RATE'!$A$30:$K$106,9,0)),"Check")</f>
        <v/>
      </c>
      <c r="AR660" s="207" t="str">
        <f>IFERROR(IF(ISBLANK($D660),"",VLOOKUP($N660,'TABLE CHARGE RATE'!$A$30:$K$106,10,0)),"Check")</f>
        <v/>
      </c>
      <c r="AS660" s="207" t="str">
        <f>IFERROR(IF(ISBLANK($D660),"",VLOOKUP($N660,'TABLE CHARGE RATE'!$A$30:$K$106,11,0)),"Check")</f>
        <v/>
      </c>
      <c r="AT660" s="207"/>
    </row>
    <row r="661" spans="1:46" x14ac:dyDescent="0.2">
      <c r="A661" s="207" t="str">
        <f t="shared" si="95"/>
        <v/>
      </c>
      <c r="B661" s="208" t="str">
        <f>IF(ISBLANK(D661),"",VLOOKUP(WEEKDAY($C661,1),INDEX!$J$2:$K$8,2,0))</f>
        <v/>
      </c>
      <c r="C661" s="209"/>
      <c r="D661" s="207"/>
      <c r="E661" s="207"/>
      <c r="F661" s="207"/>
      <c r="G661" s="207"/>
      <c r="H661" s="207"/>
      <c r="I661" s="207"/>
      <c r="J661" s="207"/>
      <c r="K661" s="207"/>
      <c r="L661" s="207"/>
      <c r="M661" s="207"/>
      <c r="N661" s="207"/>
      <c r="O661" s="207"/>
      <c r="P661" s="207"/>
      <c r="Q661" s="207"/>
      <c r="R661" s="207"/>
      <c r="S661" s="207"/>
      <c r="T661" s="207"/>
      <c r="U661" s="209"/>
      <c r="V661" s="207"/>
      <c r="W661" s="207"/>
      <c r="X661" s="209"/>
      <c r="Y661" s="209"/>
      <c r="Z661" s="207" t="str">
        <f t="shared" ca="1" si="97"/>
        <v/>
      </c>
      <c r="AA661" s="209" t="str">
        <f t="shared" si="94"/>
        <v/>
      </c>
      <c r="AB661" s="209"/>
      <c r="AC661" s="207" t="str">
        <f t="shared" ca="1" si="98"/>
        <v/>
      </c>
      <c r="AD661" s="207"/>
      <c r="AE661" s="207"/>
      <c r="AF661" s="208" t="str">
        <f>IF(ISBLANK(D661),"",VLOOKUP(F661,'SIZE CALCULATION'!$F:$G,2,0))</f>
        <v/>
      </c>
      <c r="AG661" s="207" t="str">
        <f t="shared" si="96"/>
        <v/>
      </c>
      <c r="AH661" s="207" t="str">
        <f t="shared" si="99"/>
        <v/>
      </c>
      <c r="AI661" s="210" t="str">
        <f>IF(ISBLANK(D661),"",VLOOKUP($A661,INDEX!$D$2:$F$13,3,0))</f>
        <v/>
      </c>
      <c r="AJ661" s="207" t="str">
        <f t="shared" si="100"/>
        <v/>
      </c>
      <c r="AK661" s="207"/>
      <c r="AL661" s="207"/>
      <c r="AM661" s="207" t="str">
        <f>IFERROR(IF(ISBLANK($D661),"",VLOOKUP($N661,'TABLE CHARGE RATE'!$A$30:$K$106,5,0)),"Check")</f>
        <v/>
      </c>
      <c r="AN661" s="207" t="str">
        <f>IFERROR(IF(ISBLANK($D661),"",VLOOKUP($N661,'TABLE CHARGE RATE'!$A$30:$K$106,6,0)),"Check")</f>
        <v/>
      </c>
      <c r="AO661" s="207" t="str">
        <f>IFERROR(IF(ISBLANK($D661),"",VLOOKUP($N661,'TABLE CHARGE RATE'!$A$30:$K$106,7,0)),"Check")</f>
        <v/>
      </c>
      <c r="AP661" s="207" t="str">
        <f>IFERROR(IF(ISBLANK($D661),"",VLOOKUP($N661,'TABLE CHARGE RATE'!$A$30:$K$106,8,0)),"Check")</f>
        <v/>
      </c>
      <c r="AQ661" s="207" t="str">
        <f>IFERROR(IF(ISBLANK($D661),"",VLOOKUP($N661,'TABLE CHARGE RATE'!$A$30:$K$106,9,0)),"Check")</f>
        <v/>
      </c>
      <c r="AR661" s="207" t="str">
        <f>IFERROR(IF(ISBLANK($D661),"",VLOOKUP($N661,'TABLE CHARGE RATE'!$A$30:$K$106,10,0)),"Check")</f>
        <v/>
      </c>
      <c r="AS661" s="207" t="str">
        <f>IFERROR(IF(ISBLANK($D661),"",VLOOKUP($N661,'TABLE CHARGE RATE'!$A$30:$K$106,11,0)),"Check")</f>
        <v/>
      </c>
      <c r="AT661" s="207"/>
    </row>
    <row r="662" spans="1:46" x14ac:dyDescent="0.2">
      <c r="A662" s="207" t="str">
        <f t="shared" si="95"/>
        <v/>
      </c>
      <c r="B662" s="208" t="str">
        <f>IF(ISBLANK(D662),"",VLOOKUP(WEEKDAY($C662,1),INDEX!$J$2:$K$8,2,0))</f>
        <v/>
      </c>
      <c r="C662" s="209"/>
      <c r="D662" s="207"/>
      <c r="E662" s="207"/>
      <c r="F662" s="207"/>
      <c r="G662" s="207"/>
      <c r="H662" s="207"/>
      <c r="I662" s="207"/>
      <c r="J662" s="207"/>
      <c r="K662" s="207"/>
      <c r="L662" s="207"/>
      <c r="M662" s="207"/>
      <c r="N662" s="207"/>
      <c r="O662" s="207"/>
      <c r="P662" s="207"/>
      <c r="Q662" s="207"/>
      <c r="R662" s="207"/>
      <c r="S662" s="207"/>
      <c r="T662" s="207"/>
      <c r="U662" s="209"/>
      <c r="V662" s="207"/>
      <c r="W662" s="207"/>
      <c r="X662" s="209"/>
      <c r="Y662" s="209"/>
      <c r="Z662" s="207" t="str">
        <f t="shared" ca="1" si="97"/>
        <v/>
      </c>
      <c r="AA662" s="209" t="str">
        <f t="shared" si="94"/>
        <v/>
      </c>
      <c r="AB662" s="209"/>
      <c r="AC662" s="207" t="str">
        <f t="shared" ca="1" si="98"/>
        <v/>
      </c>
      <c r="AD662" s="207"/>
      <c r="AE662" s="207"/>
      <c r="AF662" s="208" t="str">
        <f>IF(ISBLANK(D662),"",VLOOKUP(F662,'SIZE CALCULATION'!$F:$G,2,0))</f>
        <v/>
      </c>
      <c r="AG662" s="207" t="str">
        <f t="shared" si="96"/>
        <v/>
      </c>
      <c r="AH662" s="207" t="str">
        <f t="shared" si="99"/>
        <v/>
      </c>
      <c r="AI662" s="210" t="str">
        <f>IF(ISBLANK(D662),"",VLOOKUP($A662,INDEX!$D$2:$F$13,3,0))</f>
        <v/>
      </c>
      <c r="AJ662" s="207" t="str">
        <f t="shared" si="100"/>
        <v/>
      </c>
      <c r="AK662" s="207"/>
      <c r="AL662" s="207"/>
      <c r="AM662" s="207" t="str">
        <f>IFERROR(IF(ISBLANK($D662),"",VLOOKUP($N662,'TABLE CHARGE RATE'!$A$30:$K$106,5,0)),"Check")</f>
        <v/>
      </c>
      <c r="AN662" s="207" t="str">
        <f>IFERROR(IF(ISBLANK($D662),"",VLOOKUP($N662,'TABLE CHARGE RATE'!$A$30:$K$106,6,0)),"Check")</f>
        <v/>
      </c>
      <c r="AO662" s="207" t="str">
        <f>IFERROR(IF(ISBLANK($D662),"",VLOOKUP($N662,'TABLE CHARGE RATE'!$A$30:$K$106,7,0)),"Check")</f>
        <v/>
      </c>
      <c r="AP662" s="207" t="str">
        <f>IFERROR(IF(ISBLANK($D662),"",VLOOKUP($N662,'TABLE CHARGE RATE'!$A$30:$K$106,8,0)),"Check")</f>
        <v/>
      </c>
      <c r="AQ662" s="207" t="str">
        <f>IFERROR(IF(ISBLANK($D662),"",VLOOKUP($N662,'TABLE CHARGE RATE'!$A$30:$K$106,9,0)),"Check")</f>
        <v/>
      </c>
      <c r="AR662" s="207" t="str">
        <f>IFERROR(IF(ISBLANK($D662),"",VLOOKUP($N662,'TABLE CHARGE RATE'!$A$30:$K$106,10,0)),"Check")</f>
        <v/>
      </c>
      <c r="AS662" s="207" t="str">
        <f>IFERROR(IF(ISBLANK($D662),"",VLOOKUP($N662,'TABLE CHARGE RATE'!$A$30:$K$106,11,0)),"Check")</f>
        <v/>
      </c>
      <c r="AT662" s="207"/>
    </row>
    <row r="663" spans="1:46" x14ac:dyDescent="0.2">
      <c r="A663" s="207" t="str">
        <f t="shared" si="95"/>
        <v/>
      </c>
      <c r="B663" s="208" t="str">
        <f>IF(ISBLANK(D663),"",VLOOKUP(WEEKDAY($C663,1),INDEX!$J$2:$K$8,2,0))</f>
        <v/>
      </c>
      <c r="C663" s="209"/>
      <c r="D663" s="207"/>
      <c r="E663" s="207"/>
      <c r="F663" s="207"/>
      <c r="G663" s="207"/>
      <c r="H663" s="207"/>
      <c r="I663" s="207"/>
      <c r="J663" s="207"/>
      <c r="K663" s="207"/>
      <c r="L663" s="207"/>
      <c r="M663" s="207"/>
      <c r="N663" s="207"/>
      <c r="O663" s="207"/>
      <c r="P663" s="207"/>
      <c r="Q663" s="207"/>
      <c r="R663" s="207"/>
      <c r="S663" s="207"/>
      <c r="T663" s="207"/>
      <c r="U663" s="209"/>
      <c r="V663" s="207"/>
      <c r="W663" s="207"/>
      <c r="X663" s="209"/>
      <c r="Y663" s="209"/>
      <c r="Z663" s="207" t="str">
        <f t="shared" ca="1" si="97"/>
        <v/>
      </c>
      <c r="AA663" s="209" t="str">
        <f t="shared" si="94"/>
        <v/>
      </c>
      <c r="AB663" s="209"/>
      <c r="AC663" s="207" t="str">
        <f t="shared" ca="1" si="98"/>
        <v/>
      </c>
      <c r="AD663" s="207"/>
      <c r="AE663" s="207"/>
      <c r="AF663" s="208" t="str">
        <f>IF(ISBLANK(D663),"",VLOOKUP(F663,'SIZE CALCULATION'!$F:$G,2,0))</f>
        <v/>
      </c>
      <c r="AG663" s="207" t="str">
        <f t="shared" si="96"/>
        <v/>
      </c>
      <c r="AH663" s="207" t="str">
        <f t="shared" si="99"/>
        <v/>
      </c>
      <c r="AI663" s="210" t="str">
        <f>IF(ISBLANK(D663),"",VLOOKUP($A663,INDEX!$D$2:$F$13,3,0))</f>
        <v/>
      </c>
      <c r="AJ663" s="207" t="str">
        <f t="shared" si="100"/>
        <v/>
      </c>
      <c r="AK663" s="207"/>
      <c r="AL663" s="207"/>
      <c r="AM663" s="207" t="str">
        <f>IFERROR(IF(ISBLANK($D663),"",VLOOKUP($N663,'TABLE CHARGE RATE'!$A$30:$K$106,5,0)),"Check")</f>
        <v/>
      </c>
      <c r="AN663" s="207" t="str">
        <f>IFERROR(IF(ISBLANK($D663),"",VLOOKUP($N663,'TABLE CHARGE RATE'!$A$30:$K$106,6,0)),"Check")</f>
        <v/>
      </c>
      <c r="AO663" s="207" t="str">
        <f>IFERROR(IF(ISBLANK($D663),"",VLOOKUP($N663,'TABLE CHARGE RATE'!$A$30:$K$106,7,0)),"Check")</f>
        <v/>
      </c>
      <c r="AP663" s="207" t="str">
        <f>IFERROR(IF(ISBLANK($D663),"",VLOOKUP($N663,'TABLE CHARGE RATE'!$A$30:$K$106,8,0)),"Check")</f>
        <v/>
      </c>
      <c r="AQ663" s="207" t="str">
        <f>IFERROR(IF(ISBLANK($D663),"",VLOOKUP($N663,'TABLE CHARGE RATE'!$A$30:$K$106,9,0)),"Check")</f>
        <v/>
      </c>
      <c r="AR663" s="207" t="str">
        <f>IFERROR(IF(ISBLANK($D663),"",VLOOKUP($N663,'TABLE CHARGE RATE'!$A$30:$K$106,10,0)),"Check")</f>
        <v/>
      </c>
      <c r="AS663" s="207" t="str">
        <f>IFERROR(IF(ISBLANK($D663),"",VLOOKUP($N663,'TABLE CHARGE RATE'!$A$30:$K$106,11,0)),"Check")</f>
        <v/>
      </c>
      <c r="AT663" s="207"/>
    </row>
    <row r="664" spans="1:46" x14ac:dyDescent="0.2">
      <c r="A664" s="207" t="str">
        <f t="shared" si="95"/>
        <v/>
      </c>
      <c r="B664" s="208" t="str">
        <f>IF(ISBLANK(D664),"",VLOOKUP(WEEKDAY($C664,1),INDEX!$J$2:$K$8,2,0))</f>
        <v/>
      </c>
      <c r="C664" s="209"/>
      <c r="D664" s="207"/>
      <c r="E664" s="207"/>
      <c r="F664" s="207"/>
      <c r="G664" s="207"/>
      <c r="H664" s="207"/>
      <c r="I664" s="207"/>
      <c r="J664" s="207"/>
      <c r="K664" s="207"/>
      <c r="L664" s="207"/>
      <c r="M664" s="207"/>
      <c r="N664" s="207"/>
      <c r="O664" s="207"/>
      <c r="P664" s="207"/>
      <c r="Q664" s="207"/>
      <c r="R664" s="207"/>
      <c r="S664" s="207"/>
      <c r="T664" s="207"/>
      <c r="U664" s="209"/>
      <c r="V664" s="207"/>
      <c r="W664" s="207"/>
      <c r="X664" s="209"/>
      <c r="Y664" s="209"/>
      <c r="Z664" s="207" t="str">
        <f t="shared" ca="1" si="97"/>
        <v/>
      </c>
      <c r="AA664" s="209" t="str">
        <f t="shared" si="94"/>
        <v/>
      </c>
      <c r="AB664" s="209"/>
      <c r="AC664" s="207" t="str">
        <f t="shared" ca="1" si="98"/>
        <v/>
      </c>
      <c r="AD664" s="207"/>
      <c r="AE664" s="207"/>
      <c r="AF664" s="208" t="str">
        <f>IF(ISBLANK(D664),"",VLOOKUP(F664,'SIZE CALCULATION'!$F:$G,2,0))</f>
        <v/>
      </c>
      <c r="AG664" s="207" t="str">
        <f t="shared" si="96"/>
        <v/>
      </c>
      <c r="AH664" s="207" t="str">
        <f t="shared" si="99"/>
        <v/>
      </c>
      <c r="AI664" s="210" t="str">
        <f>IF(ISBLANK(D664),"",VLOOKUP($A664,INDEX!$D$2:$F$13,3,0))</f>
        <v/>
      </c>
      <c r="AJ664" s="207" t="str">
        <f t="shared" si="100"/>
        <v/>
      </c>
      <c r="AK664" s="207"/>
      <c r="AL664" s="207"/>
      <c r="AM664" s="207" t="str">
        <f>IFERROR(IF(ISBLANK($D664),"",VLOOKUP($N664,'TABLE CHARGE RATE'!$A$30:$K$106,5,0)),"Check")</f>
        <v/>
      </c>
      <c r="AN664" s="207" t="str">
        <f>IFERROR(IF(ISBLANK($D664),"",VLOOKUP($N664,'TABLE CHARGE RATE'!$A$30:$K$106,6,0)),"Check")</f>
        <v/>
      </c>
      <c r="AO664" s="207" t="str">
        <f>IFERROR(IF(ISBLANK($D664),"",VLOOKUP($N664,'TABLE CHARGE RATE'!$A$30:$K$106,7,0)),"Check")</f>
        <v/>
      </c>
      <c r="AP664" s="207" t="str">
        <f>IFERROR(IF(ISBLANK($D664),"",VLOOKUP($N664,'TABLE CHARGE RATE'!$A$30:$K$106,8,0)),"Check")</f>
        <v/>
      </c>
      <c r="AQ664" s="207" t="str">
        <f>IFERROR(IF(ISBLANK($D664),"",VLOOKUP($N664,'TABLE CHARGE RATE'!$A$30:$K$106,9,0)),"Check")</f>
        <v/>
      </c>
      <c r="AR664" s="207" t="str">
        <f>IFERROR(IF(ISBLANK($D664),"",VLOOKUP($N664,'TABLE CHARGE RATE'!$A$30:$K$106,10,0)),"Check")</f>
        <v/>
      </c>
      <c r="AS664" s="207" t="str">
        <f>IFERROR(IF(ISBLANK($D664),"",VLOOKUP($N664,'TABLE CHARGE RATE'!$A$30:$K$106,11,0)),"Check")</f>
        <v/>
      </c>
      <c r="AT664" s="207"/>
    </row>
    <row r="665" spans="1:46" x14ac:dyDescent="0.2">
      <c r="A665" s="207" t="str">
        <f t="shared" si="95"/>
        <v/>
      </c>
      <c r="B665" s="208" t="str">
        <f>IF(ISBLANK(D665),"",VLOOKUP(WEEKDAY($C665,1),INDEX!$J$2:$K$8,2,0))</f>
        <v/>
      </c>
      <c r="C665" s="209"/>
      <c r="D665" s="207"/>
      <c r="E665" s="207"/>
      <c r="F665" s="207"/>
      <c r="G665" s="207"/>
      <c r="H665" s="207"/>
      <c r="I665" s="207"/>
      <c r="J665" s="207"/>
      <c r="K665" s="207"/>
      <c r="L665" s="207"/>
      <c r="M665" s="207"/>
      <c r="N665" s="207"/>
      <c r="O665" s="207"/>
      <c r="P665" s="207"/>
      <c r="Q665" s="207"/>
      <c r="R665" s="207"/>
      <c r="S665" s="207"/>
      <c r="T665" s="207"/>
      <c r="U665" s="209"/>
      <c r="V665" s="207"/>
      <c r="W665" s="207"/>
      <c r="X665" s="209"/>
      <c r="Y665" s="209"/>
      <c r="Z665" s="207" t="str">
        <f t="shared" ca="1" si="97"/>
        <v/>
      </c>
      <c r="AA665" s="209" t="str">
        <f t="shared" si="94"/>
        <v/>
      </c>
      <c r="AB665" s="209"/>
      <c r="AC665" s="207" t="str">
        <f t="shared" ca="1" si="98"/>
        <v/>
      </c>
      <c r="AD665" s="207"/>
      <c r="AE665" s="207"/>
      <c r="AF665" s="208" t="str">
        <f>IF(ISBLANK(D665),"",VLOOKUP(F665,'SIZE CALCULATION'!$F:$G,2,0))</f>
        <v/>
      </c>
      <c r="AG665" s="207" t="str">
        <f t="shared" si="96"/>
        <v/>
      </c>
      <c r="AH665" s="207" t="str">
        <f t="shared" si="99"/>
        <v/>
      </c>
      <c r="AI665" s="210" t="str">
        <f>IF(ISBLANK(D665),"",VLOOKUP($A665,INDEX!$D$2:$F$13,3,0))</f>
        <v/>
      </c>
      <c r="AJ665" s="207" t="str">
        <f t="shared" si="100"/>
        <v/>
      </c>
      <c r="AK665" s="207"/>
      <c r="AL665" s="207"/>
      <c r="AM665" s="207" t="str">
        <f>IFERROR(IF(ISBLANK($D665),"",VLOOKUP($N665,'TABLE CHARGE RATE'!$A$30:$K$106,5,0)),"Check")</f>
        <v/>
      </c>
      <c r="AN665" s="207" t="str">
        <f>IFERROR(IF(ISBLANK($D665),"",VLOOKUP($N665,'TABLE CHARGE RATE'!$A$30:$K$106,6,0)),"Check")</f>
        <v/>
      </c>
      <c r="AO665" s="207" t="str">
        <f>IFERROR(IF(ISBLANK($D665),"",VLOOKUP($N665,'TABLE CHARGE RATE'!$A$30:$K$106,7,0)),"Check")</f>
        <v/>
      </c>
      <c r="AP665" s="207" t="str">
        <f>IFERROR(IF(ISBLANK($D665),"",VLOOKUP($N665,'TABLE CHARGE RATE'!$A$30:$K$106,8,0)),"Check")</f>
        <v/>
      </c>
      <c r="AQ665" s="207" t="str">
        <f>IFERROR(IF(ISBLANK($D665),"",VLOOKUP($N665,'TABLE CHARGE RATE'!$A$30:$K$106,9,0)),"Check")</f>
        <v/>
      </c>
      <c r="AR665" s="207" t="str">
        <f>IFERROR(IF(ISBLANK($D665),"",VLOOKUP($N665,'TABLE CHARGE RATE'!$A$30:$K$106,10,0)),"Check")</f>
        <v/>
      </c>
      <c r="AS665" s="207" t="str">
        <f>IFERROR(IF(ISBLANK($D665),"",VLOOKUP($N665,'TABLE CHARGE RATE'!$A$30:$K$106,11,0)),"Check")</f>
        <v/>
      </c>
      <c r="AT665" s="207"/>
    </row>
    <row r="666" spans="1:46" x14ac:dyDescent="0.2">
      <c r="A666" s="207" t="str">
        <f t="shared" si="95"/>
        <v/>
      </c>
      <c r="B666" s="208" t="str">
        <f>IF(ISBLANK(D666),"",VLOOKUP(WEEKDAY($C666,1),INDEX!$J$2:$K$8,2,0))</f>
        <v/>
      </c>
      <c r="C666" s="209"/>
      <c r="D666" s="207"/>
      <c r="E666" s="207"/>
      <c r="F666" s="207"/>
      <c r="G666" s="207"/>
      <c r="H666" s="207"/>
      <c r="I666" s="207"/>
      <c r="J666" s="207"/>
      <c r="K666" s="207"/>
      <c r="L666" s="207"/>
      <c r="M666" s="207"/>
      <c r="N666" s="207"/>
      <c r="O666" s="207"/>
      <c r="P666" s="207"/>
      <c r="Q666" s="207"/>
      <c r="R666" s="207"/>
      <c r="S666" s="207"/>
      <c r="T666" s="207"/>
      <c r="U666" s="209"/>
      <c r="V666" s="207"/>
      <c r="W666" s="207"/>
      <c r="X666" s="209"/>
      <c r="Y666" s="209"/>
      <c r="Z666" s="207" t="str">
        <f t="shared" ca="1" si="97"/>
        <v/>
      </c>
      <c r="AA666" s="209" t="str">
        <f t="shared" si="94"/>
        <v/>
      </c>
      <c r="AB666" s="209"/>
      <c r="AC666" s="207" t="str">
        <f t="shared" ca="1" si="98"/>
        <v/>
      </c>
      <c r="AD666" s="207"/>
      <c r="AE666" s="207"/>
      <c r="AF666" s="208" t="str">
        <f>IF(ISBLANK(D666),"",VLOOKUP(F666,'SIZE CALCULATION'!$F:$G,2,0))</f>
        <v/>
      </c>
      <c r="AG666" s="207" t="str">
        <f t="shared" si="96"/>
        <v/>
      </c>
      <c r="AH666" s="207" t="str">
        <f t="shared" si="99"/>
        <v/>
      </c>
      <c r="AI666" s="210" t="str">
        <f>IF(ISBLANK(D666),"",VLOOKUP($A666,INDEX!$D$2:$F$13,3,0))</f>
        <v/>
      </c>
      <c r="AJ666" s="207" t="str">
        <f t="shared" si="100"/>
        <v/>
      </c>
      <c r="AK666" s="207"/>
      <c r="AL666" s="207"/>
      <c r="AM666" s="207" t="str">
        <f>IFERROR(IF(ISBLANK($D666),"",VLOOKUP($N666,'TABLE CHARGE RATE'!$A$30:$K$106,5,0)),"Check")</f>
        <v/>
      </c>
      <c r="AN666" s="207" t="str">
        <f>IFERROR(IF(ISBLANK($D666),"",VLOOKUP($N666,'TABLE CHARGE RATE'!$A$30:$K$106,6,0)),"Check")</f>
        <v/>
      </c>
      <c r="AO666" s="207" t="str">
        <f>IFERROR(IF(ISBLANK($D666),"",VLOOKUP($N666,'TABLE CHARGE RATE'!$A$30:$K$106,7,0)),"Check")</f>
        <v/>
      </c>
      <c r="AP666" s="207" t="str">
        <f>IFERROR(IF(ISBLANK($D666),"",VLOOKUP($N666,'TABLE CHARGE RATE'!$A$30:$K$106,8,0)),"Check")</f>
        <v/>
      </c>
      <c r="AQ666" s="207" t="str">
        <f>IFERROR(IF(ISBLANK($D666),"",VLOOKUP($N666,'TABLE CHARGE RATE'!$A$30:$K$106,9,0)),"Check")</f>
        <v/>
      </c>
      <c r="AR666" s="207" t="str">
        <f>IFERROR(IF(ISBLANK($D666),"",VLOOKUP($N666,'TABLE CHARGE RATE'!$A$30:$K$106,10,0)),"Check")</f>
        <v/>
      </c>
      <c r="AS666" s="207" t="str">
        <f>IFERROR(IF(ISBLANK($D666),"",VLOOKUP($N666,'TABLE CHARGE RATE'!$A$30:$K$106,11,0)),"Check")</f>
        <v/>
      </c>
      <c r="AT666" s="207"/>
    </row>
    <row r="667" spans="1:46" x14ac:dyDescent="0.2">
      <c r="A667" s="207" t="str">
        <f t="shared" si="95"/>
        <v/>
      </c>
      <c r="B667" s="208" t="str">
        <f>IF(ISBLANK(D667),"",VLOOKUP(WEEKDAY($C667,1),INDEX!$J$2:$K$8,2,0))</f>
        <v/>
      </c>
      <c r="C667" s="209"/>
      <c r="D667" s="207"/>
      <c r="E667" s="207"/>
      <c r="F667" s="207"/>
      <c r="G667" s="207"/>
      <c r="H667" s="207"/>
      <c r="I667" s="207"/>
      <c r="J667" s="207"/>
      <c r="K667" s="207"/>
      <c r="L667" s="207"/>
      <c r="M667" s="207"/>
      <c r="N667" s="207"/>
      <c r="O667" s="207"/>
      <c r="P667" s="207"/>
      <c r="Q667" s="207"/>
      <c r="R667" s="207"/>
      <c r="S667" s="207"/>
      <c r="T667" s="207"/>
      <c r="U667" s="209"/>
      <c r="V667" s="207"/>
      <c r="W667" s="207"/>
      <c r="X667" s="209"/>
      <c r="Y667" s="209"/>
      <c r="Z667" s="207" t="str">
        <f t="shared" ca="1" si="97"/>
        <v/>
      </c>
      <c r="AA667" s="209" t="str">
        <f t="shared" si="94"/>
        <v/>
      </c>
      <c r="AB667" s="209"/>
      <c r="AC667" s="207" t="str">
        <f t="shared" ca="1" si="98"/>
        <v/>
      </c>
      <c r="AD667" s="207"/>
      <c r="AE667" s="207"/>
      <c r="AF667" s="208" t="str">
        <f>IF(ISBLANK(D667),"",VLOOKUP(F667,'SIZE CALCULATION'!$F:$G,2,0))</f>
        <v/>
      </c>
      <c r="AG667" s="207" t="str">
        <f t="shared" si="96"/>
        <v/>
      </c>
      <c r="AH667" s="207" t="str">
        <f t="shared" si="99"/>
        <v/>
      </c>
      <c r="AI667" s="210" t="str">
        <f>IF(ISBLANK(D667),"",VLOOKUP($A667,INDEX!$D$2:$F$13,3,0))</f>
        <v/>
      </c>
      <c r="AJ667" s="207" t="str">
        <f t="shared" si="100"/>
        <v/>
      </c>
      <c r="AK667" s="207"/>
      <c r="AL667" s="207"/>
      <c r="AM667" s="207" t="str">
        <f>IFERROR(IF(ISBLANK($D667),"",VLOOKUP($N667,'TABLE CHARGE RATE'!$A$30:$K$106,5,0)),"Check")</f>
        <v/>
      </c>
      <c r="AN667" s="207" t="str">
        <f>IFERROR(IF(ISBLANK($D667),"",VLOOKUP($N667,'TABLE CHARGE RATE'!$A$30:$K$106,6,0)),"Check")</f>
        <v/>
      </c>
      <c r="AO667" s="207" t="str">
        <f>IFERROR(IF(ISBLANK($D667),"",VLOOKUP($N667,'TABLE CHARGE RATE'!$A$30:$K$106,7,0)),"Check")</f>
        <v/>
      </c>
      <c r="AP667" s="207" t="str">
        <f>IFERROR(IF(ISBLANK($D667),"",VLOOKUP($N667,'TABLE CHARGE RATE'!$A$30:$K$106,8,0)),"Check")</f>
        <v/>
      </c>
      <c r="AQ667" s="207" t="str">
        <f>IFERROR(IF(ISBLANK($D667),"",VLOOKUP($N667,'TABLE CHARGE RATE'!$A$30:$K$106,9,0)),"Check")</f>
        <v/>
      </c>
      <c r="AR667" s="207" t="str">
        <f>IFERROR(IF(ISBLANK($D667),"",VLOOKUP($N667,'TABLE CHARGE RATE'!$A$30:$K$106,10,0)),"Check")</f>
        <v/>
      </c>
      <c r="AS667" s="207" t="str">
        <f>IFERROR(IF(ISBLANK($D667),"",VLOOKUP($N667,'TABLE CHARGE RATE'!$A$30:$K$106,11,0)),"Check")</f>
        <v/>
      </c>
      <c r="AT667" s="207"/>
    </row>
    <row r="668" spans="1:46" x14ac:dyDescent="0.2">
      <c r="A668" s="207" t="str">
        <f t="shared" si="95"/>
        <v/>
      </c>
      <c r="B668" s="208" t="str">
        <f>IF(ISBLANK(D668),"",VLOOKUP(WEEKDAY($C668,1),INDEX!$J$2:$K$8,2,0))</f>
        <v/>
      </c>
      <c r="C668" s="209"/>
      <c r="D668" s="207"/>
      <c r="E668" s="207"/>
      <c r="F668" s="207"/>
      <c r="G668" s="207"/>
      <c r="H668" s="207"/>
      <c r="I668" s="207"/>
      <c r="J668" s="207"/>
      <c r="K668" s="207"/>
      <c r="L668" s="207"/>
      <c r="M668" s="207"/>
      <c r="N668" s="207"/>
      <c r="O668" s="207"/>
      <c r="P668" s="207"/>
      <c r="Q668" s="207"/>
      <c r="R668" s="207"/>
      <c r="S668" s="207"/>
      <c r="T668" s="207"/>
      <c r="U668" s="209"/>
      <c r="V668" s="207"/>
      <c r="W668" s="207"/>
      <c r="X668" s="209"/>
      <c r="Y668" s="209"/>
      <c r="Z668" s="207" t="str">
        <f t="shared" ca="1" si="97"/>
        <v/>
      </c>
      <c r="AA668" s="209" t="str">
        <f t="shared" si="94"/>
        <v/>
      </c>
      <c r="AB668" s="209"/>
      <c r="AC668" s="207" t="str">
        <f t="shared" ca="1" si="98"/>
        <v/>
      </c>
      <c r="AD668" s="207"/>
      <c r="AE668" s="207"/>
      <c r="AF668" s="208" t="str">
        <f>IF(ISBLANK(D668),"",VLOOKUP(F668,'SIZE CALCULATION'!$F:$G,2,0))</f>
        <v/>
      </c>
      <c r="AG668" s="207" t="str">
        <f t="shared" si="96"/>
        <v/>
      </c>
      <c r="AH668" s="207" t="str">
        <f t="shared" si="99"/>
        <v/>
      </c>
      <c r="AI668" s="210" t="str">
        <f>IF(ISBLANK(D668),"",VLOOKUP($A668,INDEX!$D$2:$F$13,3,0))</f>
        <v/>
      </c>
      <c r="AJ668" s="207" t="str">
        <f t="shared" si="100"/>
        <v/>
      </c>
      <c r="AK668" s="207"/>
      <c r="AL668" s="207"/>
      <c r="AM668" s="207" t="str">
        <f>IFERROR(IF(ISBLANK($D668),"",VLOOKUP($N668,'TABLE CHARGE RATE'!$A$30:$K$106,5,0)),"Check")</f>
        <v/>
      </c>
      <c r="AN668" s="207" t="str">
        <f>IFERROR(IF(ISBLANK($D668),"",VLOOKUP($N668,'TABLE CHARGE RATE'!$A$30:$K$106,6,0)),"Check")</f>
        <v/>
      </c>
      <c r="AO668" s="207" t="str">
        <f>IFERROR(IF(ISBLANK($D668),"",VLOOKUP($N668,'TABLE CHARGE RATE'!$A$30:$K$106,7,0)),"Check")</f>
        <v/>
      </c>
      <c r="AP668" s="207" t="str">
        <f>IFERROR(IF(ISBLANK($D668),"",VLOOKUP($N668,'TABLE CHARGE RATE'!$A$30:$K$106,8,0)),"Check")</f>
        <v/>
      </c>
      <c r="AQ668" s="207" t="str">
        <f>IFERROR(IF(ISBLANK($D668),"",VLOOKUP($N668,'TABLE CHARGE RATE'!$A$30:$K$106,9,0)),"Check")</f>
        <v/>
      </c>
      <c r="AR668" s="207" t="str">
        <f>IFERROR(IF(ISBLANK($D668),"",VLOOKUP($N668,'TABLE CHARGE RATE'!$A$30:$K$106,10,0)),"Check")</f>
        <v/>
      </c>
      <c r="AS668" s="207" t="str">
        <f>IFERROR(IF(ISBLANK($D668),"",VLOOKUP($N668,'TABLE CHARGE RATE'!$A$30:$K$106,11,0)),"Check")</f>
        <v/>
      </c>
      <c r="AT668" s="207"/>
    </row>
    <row r="669" spans="1:46" x14ac:dyDescent="0.2">
      <c r="A669" s="207" t="str">
        <f t="shared" si="95"/>
        <v/>
      </c>
      <c r="B669" s="208" t="str">
        <f>IF(ISBLANK(D669),"",VLOOKUP(WEEKDAY($C669,1),INDEX!$J$2:$K$8,2,0))</f>
        <v/>
      </c>
      <c r="C669" s="209"/>
      <c r="D669" s="207"/>
      <c r="E669" s="207"/>
      <c r="F669" s="207"/>
      <c r="G669" s="207"/>
      <c r="H669" s="207"/>
      <c r="I669" s="207"/>
      <c r="J669" s="207"/>
      <c r="K669" s="207"/>
      <c r="L669" s="207"/>
      <c r="M669" s="207"/>
      <c r="N669" s="207"/>
      <c r="O669" s="207"/>
      <c r="P669" s="207"/>
      <c r="Q669" s="207"/>
      <c r="R669" s="207"/>
      <c r="S669" s="207"/>
      <c r="T669" s="207"/>
      <c r="U669" s="209"/>
      <c r="V669" s="207"/>
      <c r="W669" s="207"/>
      <c r="X669" s="209"/>
      <c r="Y669" s="209"/>
      <c r="Z669" s="207" t="str">
        <f t="shared" ca="1" si="97"/>
        <v/>
      </c>
      <c r="AA669" s="209" t="str">
        <f t="shared" si="94"/>
        <v/>
      </c>
      <c r="AB669" s="209"/>
      <c r="AC669" s="207" t="str">
        <f t="shared" ca="1" si="98"/>
        <v/>
      </c>
      <c r="AD669" s="207"/>
      <c r="AE669" s="207"/>
      <c r="AF669" s="208" t="str">
        <f>IF(ISBLANK(D669),"",VLOOKUP(F669,'SIZE CALCULATION'!$F:$G,2,0))</f>
        <v/>
      </c>
      <c r="AG669" s="207" t="str">
        <f t="shared" si="96"/>
        <v/>
      </c>
      <c r="AH669" s="207" t="str">
        <f t="shared" si="99"/>
        <v/>
      </c>
      <c r="AI669" s="210" t="str">
        <f>IF(ISBLANK(D669),"",VLOOKUP($A669,INDEX!$D$2:$F$13,3,0))</f>
        <v/>
      </c>
      <c r="AJ669" s="207" t="str">
        <f t="shared" si="100"/>
        <v/>
      </c>
      <c r="AK669" s="207"/>
      <c r="AL669" s="207"/>
      <c r="AM669" s="207" t="str">
        <f>IFERROR(IF(ISBLANK($D669),"",VLOOKUP($N669,'TABLE CHARGE RATE'!$A$30:$K$106,5,0)),"Check")</f>
        <v/>
      </c>
      <c r="AN669" s="207" t="str">
        <f>IFERROR(IF(ISBLANK($D669),"",VLOOKUP($N669,'TABLE CHARGE RATE'!$A$30:$K$106,6,0)),"Check")</f>
        <v/>
      </c>
      <c r="AO669" s="207" t="str">
        <f>IFERROR(IF(ISBLANK($D669),"",VLOOKUP($N669,'TABLE CHARGE RATE'!$A$30:$K$106,7,0)),"Check")</f>
        <v/>
      </c>
      <c r="AP669" s="207" t="str">
        <f>IFERROR(IF(ISBLANK($D669),"",VLOOKUP($N669,'TABLE CHARGE RATE'!$A$30:$K$106,8,0)),"Check")</f>
        <v/>
      </c>
      <c r="AQ669" s="207" t="str">
        <f>IFERROR(IF(ISBLANK($D669),"",VLOOKUP($N669,'TABLE CHARGE RATE'!$A$30:$K$106,9,0)),"Check")</f>
        <v/>
      </c>
      <c r="AR669" s="207" t="str">
        <f>IFERROR(IF(ISBLANK($D669),"",VLOOKUP($N669,'TABLE CHARGE RATE'!$A$30:$K$106,10,0)),"Check")</f>
        <v/>
      </c>
      <c r="AS669" s="207" t="str">
        <f>IFERROR(IF(ISBLANK($D669),"",VLOOKUP($N669,'TABLE CHARGE RATE'!$A$30:$K$106,11,0)),"Check")</f>
        <v/>
      </c>
      <c r="AT669" s="207"/>
    </row>
    <row r="670" spans="1:46" x14ac:dyDescent="0.2">
      <c r="A670" s="207" t="str">
        <f t="shared" si="95"/>
        <v/>
      </c>
      <c r="B670" s="208" t="str">
        <f>IF(ISBLANK(D670),"",VLOOKUP(WEEKDAY($C670,1),INDEX!$J$2:$K$8,2,0))</f>
        <v/>
      </c>
      <c r="C670" s="209"/>
      <c r="D670" s="207"/>
      <c r="E670" s="207"/>
      <c r="F670" s="207"/>
      <c r="G670" s="207"/>
      <c r="H670" s="207"/>
      <c r="I670" s="207"/>
      <c r="J670" s="207"/>
      <c r="K670" s="207"/>
      <c r="L670" s="207"/>
      <c r="M670" s="207"/>
      <c r="N670" s="207"/>
      <c r="O670" s="207"/>
      <c r="P670" s="207"/>
      <c r="Q670" s="207"/>
      <c r="R670" s="207"/>
      <c r="S670" s="207"/>
      <c r="T670" s="207"/>
      <c r="U670" s="209"/>
      <c r="V670" s="207"/>
      <c r="W670" s="207"/>
      <c r="X670" s="209"/>
      <c r="Y670" s="209"/>
      <c r="Z670" s="207" t="str">
        <f t="shared" ca="1" si="97"/>
        <v/>
      </c>
      <c r="AA670" s="209" t="str">
        <f t="shared" si="94"/>
        <v/>
      </c>
      <c r="AB670" s="209"/>
      <c r="AC670" s="207" t="str">
        <f t="shared" ca="1" si="98"/>
        <v/>
      </c>
      <c r="AD670" s="207"/>
      <c r="AE670" s="207"/>
      <c r="AF670" s="208" t="str">
        <f>IF(ISBLANK(D670),"",VLOOKUP(F670,'SIZE CALCULATION'!$F:$G,2,0))</f>
        <v/>
      </c>
      <c r="AG670" s="207" t="str">
        <f t="shared" si="96"/>
        <v/>
      </c>
      <c r="AH670" s="207" t="str">
        <f t="shared" si="99"/>
        <v/>
      </c>
      <c r="AI670" s="210" t="str">
        <f>IF(ISBLANK(D670),"",VLOOKUP($A670,INDEX!$D$2:$F$13,3,0))</f>
        <v/>
      </c>
      <c r="AJ670" s="207" t="str">
        <f t="shared" si="100"/>
        <v/>
      </c>
      <c r="AK670" s="207"/>
      <c r="AL670" s="207"/>
      <c r="AM670" s="207" t="str">
        <f>IFERROR(IF(ISBLANK($D670),"",VLOOKUP($N670,'TABLE CHARGE RATE'!$A$30:$K$106,5,0)),"Check")</f>
        <v/>
      </c>
      <c r="AN670" s="207" t="str">
        <f>IFERROR(IF(ISBLANK($D670),"",VLOOKUP($N670,'TABLE CHARGE RATE'!$A$30:$K$106,6,0)),"Check")</f>
        <v/>
      </c>
      <c r="AO670" s="207" t="str">
        <f>IFERROR(IF(ISBLANK($D670),"",VLOOKUP($N670,'TABLE CHARGE RATE'!$A$30:$K$106,7,0)),"Check")</f>
        <v/>
      </c>
      <c r="AP670" s="207" t="str">
        <f>IFERROR(IF(ISBLANK($D670),"",VLOOKUP($N670,'TABLE CHARGE RATE'!$A$30:$K$106,8,0)),"Check")</f>
        <v/>
      </c>
      <c r="AQ670" s="207" t="str">
        <f>IFERROR(IF(ISBLANK($D670),"",VLOOKUP($N670,'TABLE CHARGE RATE'!$A$30:$K$106,9,0)),"Check")</f>
        <v/>
      </c>
      <c r="AR670" s="207" t="str">
        <f>IFERROR(IF(ISBLANK($D670),"",VLOOKUP($N670,'TABLE CHARGE RATE'!$A$30:$K$106,10,0)),"Check")</f>
        <v/>
      </c>
      <c r="AS670" s="207" t="str">
        <f>IFERROR(IF(ISBLANK($D670),"",VLOOKUP($N670,'TABLE CHARGE RATE'!$A$30:$K$106,11,0)),"Check")</f>
        <v/>
      </c>
      <c r="AT670" s="207"/>
    </row>
    <row r="671" spans="1:46" x14ac:dyDescent="0.2">
      <c r="A671" s="207" t="str">
        <f t="shared" si="95"/>
        <v/>
      </c>
      <c r="B671" s="208" t="str">
        <f>IF(ISBLANK(D671),"",VLOOKUP(WEEKDAY($C671,1),INDEX!$J$2:$K$8,2,0))</f>
        <v/>
      </c>
      <c r="C671" s="209"/>
      <c r="D671" s="207"/>
      <c r="E671" s="207"/>
      <c r="F671" s="207"/>
      <c r="G671" s="207"/>
      <c r="H671" s="207"/>
      <c r="I671" s="207"/>
      <c r="J671" s="207"/>
      <c r="K671" s="207"/>
      <c r="L671" s="207"/>
      <c r="M671" s="207"/>
      <c r="N671" s="207"/>
      <c r="O671" s="207"/>
      <c r="P671" s="207"/>
      <c r="Q671" s="207"/>
      <c r="R671" s="207"/>
      <c r="S671" s="207"/>
      <c r="T671" s="207"/>
      <c r="U671" s="209"/>
      <c r="V671" s="207"/>
      <c r="W671" s="207"/>
      <c r="X671" s="209"/>
      <c r="Y671" s="209"/>
      <c r="Z671" s="207" t="str">
        <f t="shared" ca="1" si="97"/>
        <v/>
      </c>
      <c r="AA671" s="209" t="str">
        <f t="shared" si="94"/>
        <v/>
      </c>
      <c r="AB671" s="209"/>
      <c r="AC671" s="207" t="str">
        <f t="shared" ca="1" si="98"/>
        <v/>
      </c>
      <c r="AD671" s="207"/>
      <c r="AE671" s="207"/>
      <c r="AF671" s="208" t="str">
        <f>IF(ISBLANK(D671),"",VLOOKUP(F671,'SIZE CALCULATION'!$F:$G,2,0))</f>
        <v/>
      </c>
      <c r="AG671" s="207" t="str">
        <f t="shared" si="96"/>
        <v/>
      </c>
      <c r="AH671" s="207" t="str">
        <f t="shared" si="99"/>
        <v/>
      </c>
      <c r="AI671" s="210" t="str">
        <f>IF(ISBLANK(D671),"",VLOOKUP($A671,INDEX!$D$2:$F$13,3,0))</f>
        <v/>
      </c>
      <c r="AJ671" s="207" t="str">
        <f t="shared" si="100"/>
        <v/>
      </c>
      <c r="AK671" s="207"/>
      <c r="AL671" s="207"/>
      <c r="AM671" s="207" t="str">
        <f>IFERROR(IF(ISBLANK($D671),"",VLOOKUP($N671,'TABLE CHARGE RATE'!$A$30:$K$106,5,0)),"Check")</f>
        <v/>
      </c>
      <c r="AN671" s="207" t="str">
        <f>IFERROR(IF(ISBLANK($D671),"",VLOOKUP($N671,'TABLE CHARGE RATE'!$A$30:$K$106,6,0)),"Check")</f>
        <v/>
      </c>
      <c r="AO671" s="207" t="str">
        <f>IFERROR(IF(ISBLANK($D671),"",VLOOKUP($N671,'TABLE CHARGE RATE'!$A$30:$K$106,7,0)),"Check")</f>
        <v/>
      </c>
      <c r="AP671" s="207" t="str">
        <f>IFERROR(IF(ISBLANK($D671),"",VLOOKUP($N671,'TABLE CHARGE RATE'!$A$30:$K$106,8,0)),"Check")</f>
        <v/>
      </c>
      <c r="AQ671" s="207" t="str">
        <f>IFERROR(IF(ISBLANK($D671),"",VLOOKUP($N671,'TABLE CHARGE RATE'!$A$30:$K$106,9,0)),"Check")</f>
        <v/>
      </c>
      <c r="AR671" s="207" t="str">
        <f>IFERROR(IF(ISBLANK($D671),"",VLOOKUP($N671,'TABLE CHARGE RATE'!$A$30:$K$106,10,0)),"Check")</f>
        <v/>
      </c>
      <c r="AS671" s="207" t="str">
        <f>IFERROR(IF(ISBLANK($D671),"",VLOOKUP($N671,'TABLE CHARGE RATE'!$A$30:$K$106,11,0)),"Check")</f>
        <v/>
      </c>
      <c r="AT671" s="207"/>
    </row>
    <row r="672" spans="1:46" x14ac:dyDescent="0.2">
      <c r="A672" s="207" t="str">
        <f t="shared" si="95"/>
        <v/>
      </c>
      <c r="B672" s="208" t="str">
        <f>IF(ISBLANK(D672),"",VLOOKUP(WEEKDAY($C672,1),INDEX!$J$2:$K$8,2,0))</f>
        <v/>
      </c>
      <c r="C672" s="209"/>
      <c r="D672" s="207"/>
      <c r="E672" s="207"/>
      <c r="F672" s="207"/>
      <c r="G672" s="207"/>
      <c r="H672" s="207"/>
      <c r="I672" s="207"/>
      <c r="J672" s="207"/>
      <c r="K672" s="207"/>
      <c r="L672" s="207"/>
      <c r="M672" s="207"/>
      <c r="N672" s="207"/>
      <c r="O672" s="207"/>
      <c r="P672" s="207"/>
      <c r="Q672" s="207"/>
      <c r="R672" s="207"/>
      <c r="S672" s="207"/>
      <c r="T672" s="207"/>
      <c r="U672" s="209"/>
      <c r="V672" s="207"/>
      <c r="W672" s="207"/>
      <c r="X672" s="209"/>
      <c r="Y672" s="209"/>
      <c r="Z672" s="207" t="str">
        <f t="shared" ca="1" si="97"/>
        <v/>
      </c>
      <c r="AA672" s="209" t="str">
        <f t="shared" si="94"/>
        <v/>
      </c>
      <c r="AB672" s="209"/>
      <c r="AC672" s="207" t="str">
        <f t="shared" ca="1" si="98"/>
        <v/>
      </c>
      <c r="AD672" s="207"/>
      <c r="AE672" s="207"/>
      <c r="AF672" s="208" t="str">
        <f>IF(ISBLANK(D672),"",VLOOKUP(F672,'SIZE CALCULATION'!$F:$G,2,0))</f>
        <v/>
      </c>
      <c r="AG672" s="207" t="str">
        <f t="shared" si="96"/>
        <v/>
      </c>
      <c r="AH672" s="207" t="str">
        <f t="shared" si="99"/>
        <v/>
      </c>
      <c r="AI672" s="210" t="str">
        <f>IF(ISBLANK(D672),"",VLOOKUP($A672,INDEX!$D$2:$F$13,3,0))</f>
        <v/>
      </c>
      <c r="AJ672" s="207" t="str">
        <f t="shared" si="100"/>
        <v/>
      </c>
      <c r="AK672" s="207"/>
      <c r="AL672" s="207"/>
      <c r="AM672" s="207" t="str">
        <f>IFERROR(IF(ISBLANK($D672),"",VLOOKUP($N672,'TABLE CHARGE RATE'!$A$30:$K$106,5,0)),"Check")</f>
        <v/>
      </c>
      <c r="AN672" s="207" t="str">
        <f>IFERROR(IF(ISBLANK($D672),"",VLOOKUP($N672,'TABLE CHARGE RATE'!$A$30:$K$106,6,0)),"Check")</f>
        <v/>
      </c>
      <c r="AO672" s="207" t="str">
        <f>IFERROR(IF(ISBLANK($D672),"",VLOOKUP($N672,'TABLE CHARGE RATE'!$A$30:$K$106,7,0)),"Check")</f>
        <v/>
      </c>
      <c r="AP672" s="207" t="str">
        <f>IFERROR(IF(ISBLANK($D672),"",VLOOKUP($N672,'TABLE CHARGE RATE'!$A$30:$K$106,8,0)),"Check")</f>
        <v/>
      </c>
      <c r="AQ672" s="207" t="str">
        <f>IFERROR(IF(ISBLANK($D672),"",VLOOKUP($N672,'TABLE CHARGE RATE'!$A$30:$K$106,9,0)),"Check")</f>
        <v/>
      </c>
      <c r="AR672" s="207" t="str">
        <f>IFERROR(IF(ISBLANK($D672),"",VLOOKUP($N672,'TABLE CHARGE RATE'!$A$30:$K$106,10,0)),"Check")</f>
        <v/>
      </c>
      <c r="AS672" s="207" t="str">
        <f>IFERROR(IF(ISBLANK($D672),"",VLOOKUP($N672,'TABLE CHARGE RATE'!$A$30:$K$106,11,0)),"Check")</f>
        <v/>
      </c>
      <c r="AT672" s="207"/>
    </row>
    <row r="673" spans="1:46" x14ac:dyDescent="0.2">
      <c r="A673" s="207" t="str">
        <f t="shared" si="95"/>
        <v/>
      </c>
      <c r="B673" s="208" t="str">
        <f>IF(ISBLANK(D673),"",VLOOKUP(WEEKDAY($C673,1),INDEX!$J$2:$K$8,2,0))</f>
        <v/>
      </c>
      <c r="C673" s="209"/>
      <c r="D673" s="207"/>
      <c r="E673" s="207"/>
      <c r="F673" s="207"/>
      <c r="G673" s="207"/>
      <c r="H673" s="207"/>
      <c r="I673" s="207"/>
      <c r="J673" s="207"/>
      <c r="K673" s="207"/>
      <c r="L673" s="207"/>
      <c r="M673" s="207"/>
      <c r="N673" s="207"/>
      <c r="O673" s="207"/>
      <c r="P673" s="207"/>
      <c r="Q673" s="207"/>
      <c r="R673" s="207"/>
      <c r="S673" s="207"/>
      <c r="T673" s="207"/>
      <c r="U673" s="209"/>
      <c r="V673" s="207"/>
      <c r="W673" s="207"/>
      <c r="X673" s="209"/>
      <c r="Y673" s="209"/>
      <c r="Z673" s="207" t="str">
        <f t="shared" ca="1" si="97"/>
        <v/>
      </c>
      <c r="AA673" s="209" t="str">
        <f t="shared" ref="AA673:AA736" si="101">IF(ISBLANK(D673),"",Y673+10)</f>
        <v/>
      </c>
      <c r="AB673" s="209"/>
      <c r="AC673" s="207" t="str">
        <f t="shared" ca="1" si="98"/>
        <v/>
      </c>
      <c r="AD673" s="207"/>
      <c r="AE673" s="207"/>
      <c r="AF673" s="208" t="str">
        <f>IF(ISBLANK(D673),"",VLOOKUP(F673,'SIZE CALCULATION'!$F:$G,2,0))</f>
        <v/>
      </c>
      <c r="AG673" s="207" t="str">
        <f t="shared" si="96"/>
        <v/>
      </c>
      <c r="AH673" s="207" t="str">
        <f t="shared" si="99"/>
        <v/>
      </c>
      <c r="AI673" s="210" t="str">
        <f>IF(ISBLANK(D673),"",VLOOKUP($A673,INDEX!$D$2:$F$13,3,0))</f>
        <v/>
      </c>
      <c r="AJ673" s="207" t="str">
        <f t="shared" si="100"/>
        <v/>
      </c>
      <c r="AK673" s="207"/>
      <c r="AL673" s="207"/>
      <c r="AM673" s="207" t="str">
        <f>IFERROR(IF(ISBLANK($D673),"",VLOOKUP($N673,'TABLE CHARGE RATE'!$A$30:$K$106,5,0)),"Check")</f>
        <v/>
      </c>
      <c r="AN673" s="207" t="str">
        <f>IFERROR(IF(ISBLANK($D673),"",VLOOKUP($N673,'TABLE CHARGE RATE'!$A$30:$K$106,6,0)),"Check")</f>
        <v/>
      </c>
      <c r="AO673" s="207" t="str">
        <f>IFERROR(IF(ISBLANK($D673),"",VLOOKUP($N673,'TABLE CHARGE RATE'!$A$30:$K$106,7,0)),"Check")</f>
        <v/>
      </c>
      <c r="AP673" s="207" t="str">
        <f>IFERROR(IF(ISBLANK($D673),"",VLOOKUP($N673,'TABLE CHARGE RATE'!$A$30:$K$106,8,0)),"Check")</f>
        <v/>
      </c>
      <c r="AQ673" s="207" t="str">
        <f>IFERROR(IF(ISBLANK($D673),"",VLOOKUP($N673,'TABLE CHARGE RATE'!$A$30:$K$106,9,0)),"Check")</f>
        <v/>
      </c>
      <c r="AR673" s="207" t="str">
        <f>IFERROR(IF(ISBLANK($D673),"",VLOOKUP($N673,'TABLE CHARGE RATE'!$A$30:$K$106,10,0)),"Check")</f>
        <v/>
      </c>
      <c r="AS673" s="207" t="str">
        <f>IFERROR(IF(ISBLANK($D673),"",VLOOKUP($N673,'TABLE CHARGE RATE'!$A$30:$K$106,11,0)),"Check")</f>
        <v/>
      </c>
      <c r="AT673" s="207"/>
    </row>
    <row r="674" spans="1:46" x14ac:dyDescent="0.2">
      <c r="A674" s="207" t="str">
        <f t="shared" si="95"/>
        <v/>
      </c>
      <c r="B674" s="208" t="str">
        <f>IF(ISBLANK(D674),"",VLOOKUP(WEEKDAY($C674,1),INDEX!$J$2:$K$8,2,0))</f>
        <v/>
      </c>
      <c r="C674" s="209"/>
      <c r="D674" s="207"/>
      <c r="E674" s="207"/>
      <c r="F674" s="207"/>
      <c r="G674" s="207"/>
      <c r="H674" s="207"/>
      <c r="I674" s="207"/>
      <c r="J674" s="207"/>
      <c r="K674" s="207"/>
      <c r="L674" s="207"/>
      <c r="M674" s="207"/>
      <c r="N674" s="207"/>
      <c r="O674" s="207"/>
      <c r="P674" s="207"/>
      <c r="Q674" s="207"/>
      <c r="R674" s="207"/>
      <c r="S674" s="207"/>
      <c r="T674" s="207"/>
      <c r="U674" s="209"/>
      <c r="V674" s="207"/>
      <c r="W674" s="207"/>
      <c r="X674" s="209"/>
      <c r="Y674" s="209"/>
      <c r="Z674" s="207" t="str">
        <f t="shared" ca="1" si="97"/>
        <v/>
      </c>
      <c r="AA674" s="209" t="str">
        <f t="shared" si="101"/>
        <v/>
      </c>
      <c r="AB674" s="209"/>
      <c r="AC674" s="207" t="str">
        <f t="shared" ca="1" si="98"/>
        <v/>
      </c>
      <c r="AD674" s="207"/>
      <c r="AE674" s="207"/>
      <c r="AF674" s="208" t="str">
        <f>IF(ISBLANK(D674),"",VLOOKUP(F674,'SIZE CALCULATION'!$F:$G,2,0))</f>
        <v/>
      </c>
      <c r="AG674" s="207" t="str">
        <f t="shared" si="96"/>
        <v/>
      </c>
      <c r="AH674" s="207" t="str">
        <f t="shared" si="99"/>
        <v/>
      </c>
      <c r="AI674" s="210" t="str">
        <f>IF(ISBLANK(D674),"",VLOOKUP($A674,INDEX!$D$2:$F$13,3,0))</f>
        <v/>
      </c>
      <c r="AJ674" s="207" t="str">
        <f t="shared" si="100"/>
        <v/>
      </c>
      <c r="AK674" s="207"/>
      <c r="AL674" s="207"/>
      <c r="AM674" s="207" t="str">
        <f>IFERROR(IF(ISBLANK($D674),"",VLOOKUP($N674,'TABLE CHARGE RATE'!$A$30:$K$106,5,0)),"Check")</f>
        <v/>
      </c>
      <c r="AN674" s="207" t="str">
        <f>IFERROR(IF(ISBLANK($D674),"",VLOOKUP($N674,'TABLE CHARGE RATE'!$A$30:$K$106,6,0)),"Check")</f>
        <v/>
      </c>
      <c r="AO674" s="207" t="str">
        <f>IFERROR(IF(ISBLANK($D674),"",VLOOKUP($N674,'TABLE CHARGE RATE'!$A$30:$K$106,7,0)),"Check")</f>
        <v/>
      </c>
      <c r="AP674" s="207" t="str">
        <f>IFERROR(IF(ISBLANK($D674),"",VLOOKUP($N674,'TABLE CHARGE RATE'!$A$30:$K$106,8,0)),"Check")</f>
        <v/>
      </c>
      <c r="AQ674" s="207" t="str">
        <f>IFERROR(IF(ISBLANK($D674),"",VLOOKUP($N674,'TABLE CHARGE RATE'!$A$30:$K$106,9,0)),"Check")</f>
        <v/>
      </c>
      <c r="AR674" s="207" t="str">
        <f>IFERROR(IF(ISBLANK($D674),"",VLOOKUP($N674,'TABLE CHARGE RATE'!$A$30:$K$106,10,0)),"Check")</f>
        <v/>
      </c>
      <c r="AS674" s="207" t="str">
        <f>IFERROR(IF(ISBLANK($D674),"",VLOOKUP($N674,'TABLE CHARGE RATE'!$A$30:$K$106,11,0)),"Check")</f>
        <v/>
      </c>
      <c r="AT674" s="207"/>
    </row>
    <row r="675" spans="1:46" x14ac:dyDescent="0.2">
      <c r="A675" s="207" t="str">
        <f t="shared" si="95"/>
        <v/>
      </c>
      <c r="B675" s="208" t="str">
        <f>IF(ISBLANK(D675),"",VLOOKUP(WEEKDAY($C675,1),INDEX!$J$2:$K$8,2,0))</f>
        <v/>
      </c>
      <c r="C675" s="209"/>
      <c r="D675" s="207"/>
      <c r="E675" s="207"/>
      <c r="F675" s="207"/>
      <c r="G675" s="207"/>
      <c r="H675" s="207"/>
      <c r="I675" s="207"/>
      <c r="J675" s="207"/>
      <c r="K675" s="207"/>
      <c r="L675" s="207"/>
      <c r="M675" s="207"/>
      <c r="N675" s="207"/>
      <c r="O675" s="207"/>
      <c r="P675" s="207"/>
      <c r="Q675" s="207"/>
      <c r="R675" s="207"/>
      <c r="S675" s="207"/>
      <c r="T675" s="207"/>
      <c r="U675" s="209"/>
      <c r="V675" s="207"/>
      <c r="W675" s="207"/>
      <c r="X675" s="209"/>
      <c r="Y675" s="209"/>
      <c r="Z675" s="207" t="str">
        <f t="shared" ca="1" si="97"/>
        <v/>
      </c>
      <c r="AA675" s="209" t="str">
        <f t="shared" si="101"/>
        <v/>
      </c>
      <c r="AB675" s="209"/>
      <c r="AC675" s="207" t="str">
        <f t="shared" ca="1" si="98"/>
        <v/>
      </c>
      <c r="AD675" s="207"/>
      <c r="AE675" s="207"/>
      <c r="AF675" s="208" t="str">
        <f>IF(ISBLANK(D675),"",VLOOKUP(F675,'SIZE CALCULATION'!$F:$G,2,0))</f>
        <v/>
      </c>
      <c r="AG675" s="207" t="str">
        <f t="shared" si="96"/>
        <v/>
      </c>
      <c r="AH675" s="207" t="str">
        <f t="shared" si="99"/>
        <v/>
      </c>
      <c r="AI675" s="210" t="str">
        <f>IF(ISBLANK(D675),"",VLOOKUP($A675,INDEX!$D$2:$F$13,3,0))</f>
        <v/>
      </c>
      <c r="AJ675" s="207" t="str">
        <f t="shared" si="100"/>
        <v/>
      </c>
      <c r="AK675" s="207"/>
      <c r="AL675" s="207"/>
      <c r="AM675" s="207" t="str">
        <f>IFERROR(IF(ISBLANK($D675),"",VLOOKUP($N675,'TABLE CHARGE RATE'!$A$30:$K$106,5,0)),"Check")</f>
        <v/>
      </c>
      <c r="AN675" s="207" t="str">
        <f>IFERROR(IF(ISBLANK($D675),"",VLOOKUP($N675,'TABLE CHARGE RATE'!$A$30:$K$106,6,0)),"Check")</f>
        <v/>
      </c>
      <c r="AO675" s="207" t="str">
        <f>IFERROR(IF(ISBLANK($D675),"",VLOOKUP($N675,'TABLE CHARGE RATE'!$A$30:$K$106,7,0)),"Check")</f>
        <v/>
      </c>
      <c r="AP675" s="207" t="str">
        <f>IFERROR(IF(ISBLANK($D675),"",VLOOKUP($N675,'TABLE CHARGE RATE'!$A$30:$K$106,8,0)),"Check")</f>
        <v/>
      </c>
      <c r="AQ675" s="207" t="str">
        <f>IFERROR(IF(ISBLANK($D675),"",VLOOKUP($N675,'TABLE CHARGE RATE'!$A$30:$K$106,9,0)),"Check")</f>
        <v/>
      </c>
      <c r="AR675" s="207" t="str">
        <f>IFERROR(IF(ISBLANK($D675),"",VLOOKUP($N675,'TABLE CHARGE RATE'!$A$30:$K$106,10,0)),"Check")</f>
        <v/>
      </c>
      <c r="AS675" s="207" t="str">
        <f>IFERROR(IF(ISBLANK($D675),"",VLOOKUP($N675,'TABLE CHARGE RATE'!$A$30:$K$106,11,0)),"Check")</f>
        <v/>
      </c>
      <c r="AT675" s="207"/>
    </row>
    <row r="676" spans="1:46" x14ac:dyDescent="0.2">
      <c r="A676" s="207" t="str">
        <f t="shared" si="95"/>
        <v/>
      </c>
      <c r="B676" s="208" t="str">
        <f>IF(ISBLANK(D676),"",VLOOKUP(WEEKDAY($C676,1),INDEX!$J$2:$K$8,2,0))</f>
        <v/>
      </c>
      <c r="C676" s="209"/>
      <c r="D676" s="207"/>
      <c r="E676" s="207"/>
      <c r="F676" s="207"/>
      <c r="G676" s="207"/>
      <c r="H676" s="207"/>
      <c r="I676" s="207"/>
      <c r="J676" s="207"/>
      <c r="K676" s="207"/>
      <c r="L676" s="207"/>
      <c r="M676" s="207"/>
      <c r="N676" s="207"/>
      <c r="O676" s="207"/>
      <c r="P676" s="207"/>
      <c r="Q676" s="207"/>
      <c r="R676" s="207"/>
      <c r="S676" s="207"/>
      <c r="T676" s="207"/>
      <c r="U676" s="209"/>
      <c r="V676" s="207"/>
      <c r="W676" s="207"/>
      <c r="X676" s="209"/>
      <c r="Y676" s="209"/>
      <c r="Z676" s="207" t="str">
        <f t="shared" ca="1" si="97"/>
        <v/>
      </c>
      <c r="AA676" s="209" t="str">
        <f t="shared" si="101"/>
        <v/>
      </c>
      <c r="AB676" s="209"/>
      <c r="AC676" s="207" t="str">
        <f t="shared" ca="1" si="98"/>
        <v/>
      </c>
      <c r="AD676" s="207"/>
      <c r="AE676" s="207"/>
      <c r="AF676" s="208" t="str">
        <f>IF(ISBLANK(D676),"",VLOOKUP(F676,'SIZE CALCULATION'!$F:$G,2,0))</f>
        <v/>
      </c>
      <c r="AG676" s="207" t="str">
        <f t="shared" si="96"/>
        <v/>
      </c>
      <c r="AH676" s="207" t="str">
        <f t="shared" si="99"/>
        <v/>
      </c>
      <c r="AI676" s="210" t="str">
        <f>IF(ISBLANK(D676),"",VLOOKUP($A676,INDEX!$D$2:$F$13,3,0))</f>
        <v/>
      </c>
      <c r="AJ676" s="207" t="str">
        <f t="shared" si="100"/>
        <v/>
      </c>
      <c r="AK676" s="207"/>
      <c r="AL676" s="207"/>
      <c r="AM676" s="207" t="str">
        <f>IFERROR(IF(ISBLANK($D676),"",VLOOKUP($N676,'TABLE CHARGE RATE'!$A$30:$K$106,5,0)),"Check")</f>
        <v/>
      </c>
      <c r="AN676" s="207" t="str">
        <f>IFERROR(IF(ISBLANK($D676),"",VLOOKUP($N676,'TABLE CHARGE RATE'!$A$30:$K$106,6,0)),"Check")</f>
        <v/>
      </c>
      <c r="AO676" s="207" t="str">
        <f>IFERROR(IF(ISBLANK($D676),"",VLOOKUP($N676,'TABLE CHARGE RATE'!$A$30:$K$106,7,0)),"Check")</f>
        <v/>
      </c>
      <c r="AP676" s="207" t="str">
        <f>IFERROR(IF(ISBLANK($D676),"",VLOOKUP($N676,'TABLE CHARGE RATE'!$A$30:$K$106,8,0)),"Check")</f>
        <v/>
      </c>
      <c r="AQ676" s="207" t="str">
        <f>IFERROR(IF(ISBLANK($D676),"",VLOOKUP($N676,'TABLE CHARGE RATE'!$A$30:$K$106,9,0)),"Check")</f>
        <v/>
      </c>
      <c r="AR676" s="207" t="str">
        <f>IFERROR(IF(ISBLANK($D676),"",VLOOKUP($N676,'TABLE CHARGE RATE'!$A$30:$K$106,10,0)),"Check")</f>
        <v/>
      </c>
      <c r="AS676" s="207" t="str">
        <f>IFERROR(IF(ISBLANK($D676),"",VLOOKUP($N676,'TABLE CHARGE RATE'!$A$30:$K$106,11,0)),"Check")</f>
        <v/>
      </c>
      <c r="AT676" s="207"/>
    </row>
    <row r="677" spans="1:46" x14ac:dyDescent="0.2">
      <c r="A677" s="207" t="str">
        <f t="shared" si="95"/>
        <v/>
      </c>
      <c r="B677" s="208" t="str">
        <f>IF(ISBLANK(D677),"",VLOOKUP(WEEKDAY($C677,1),INDEX!$J$2:$K$8,2,0))</f>
        <v/>
      </c>
      <c r="C677" s="209"/>
      <c r="D677" s="207"/>
      <c r="E677" s="207"/>
      <c r="F677" s="207"/>
      <c r="G677" s="207"/>
      <c r="H677" s="207"/>
      <c r="I677" s="207"/>
      <c r="J677" s="207"/>
      <c r="K677" s="207"/>
      <c r="L677" s="207"/>
      <c r="M677" s="207"/>
      <c r="N677" s="207"/>
      <c r="O677" s="207"/>
      <c r="P677" s="207"/>
      <c r="Q677" s="207"/>
      <c r="R677" s="207"/>
      <c r="S677" s="207"/>
      <c r="T677" s="207"/>
      <c r="U677" s="209"/>
      <c r="V677" s="207"/>
      <c r="W677" s="207"/>
      <c r="X677" s="209"/>
      <c r="Y677" s="209"/>
      <c r="Z677" s="207" t="str">
        <f t="shared" ca="1" si="97"/>
        <v/>
      </c>
      <c r="AA677" s="209" t="str">
        <f t="shared" si="101"/>
        <v/>
      </c>
      <c r="AB677" s="209"/>
      <c r="AC677" s="207" t="str">
        <f t="shared" ca="1" si="98"/>
        <v/>
      </c>
      <c r="AD677" s="207"/>
      <c r="AE677" s="207"/>
      <c r="AF677" s="208" t="str">
        <f>IF(ISBLANK(D677),"",VLOOKUP(F677,'SIZE CALCULATION'!$F:$G,2,0))</f>
        <v/>
      </c>
      <c r="AG677" s="207" t="str">
        <f t="shared" si="96"/>
        <v/>
      </c>
      <c r="AH677" s="207" t="str">
        <f t="shared" si="99"/>
        <v/>
      </c>
      <c r="AI677" s="210" t="str">
        <f>IF(ISBLANK(D677),"",VLOOKUP($A677,INDEX!$D$2:$F$13,3,0))</f>
        <v/>
      </c>
      <c r="AJ677" s="207" t="str">
        <f t="shared" si="100"/>
        <v/>
      </c>
      <c r="AK677" s="207"/>
      <c r="AL677" s="207"/>
      <c r="AM677" s="207" t="str">
        <f>IFERROR(IF(ISBLANK($D677),"",VLOOKUP($N677,'TABLE CHARGE RATE'!$A$30:$K$106,5,0)),"Check")</f>
        <v/>
      </c>
      <c r="AN677" s="207" t="str">
        <f>IFERROR(IF(ISBLANK($D677),"",VLOOKUP($N677,'TABLE CHARGE RATE'!$A$30:$K$106,6,0)),"Check")</f>
        <v/>
      </c>
      <c r="AO677" s="207" t="str">
        <f>IFERROR(IF(ISBLANK($D677),"",VLOOKUP($N677,'TABLE CHARGE RATE'!$A$30:$K$106,7,0)),"Check")</f>
        <v/>
      </c>
      <c r="AP677" s="207" t="str">
        <f>IFERROR(IF(ISBLANK($D677),"",VLOOKUP($N677,'TABLE CHARGE RATE'!$A$30:$K$106,8,0)),"Check")</f>
        <v/>
      </c>
      <c r="AQ677" s="207" t="str">
        <f>IFERROR(IF(ISBLANK($D677),"",VLOOKUP($N677,'TABLE CHARGE RATE'!$A$30:$K$106,9,0)),"Check")</f>
        <v/>
      </c>
      <c r="AR677" s="207" t="str">
        <f>IFERROR(IF(ISBLANK($D677),"",VLOOKUP($N677,'TABLE CHARGE RATE'!$A$30:$K$106,10,0)),"Check")</f>
        <v/>
      </c>
      <c r="AS677" s="207" t="str">
        <f>IFERROR(IF(ISBLANK($D677),"",VLOOKUP($N677,'TABLE CHARGE RATE'!$A$30:$K$106,11,0)),"Check")</f>
        <v/>
      </c>
      <c r="AT677" s="207"/>
    </row>
    <row r="678" spans="1:46" x14ac:dyDescent="0.2">
      <c r="A678" s="207" t="str">
        <f t="shared" si="95"/>
        <v/>
      </c>
      <c r="B678" s="208" t="str">
        <f>IF(ISBLANK(D678),"",VLOOKUP(WEEKDAY($C678,1),INDEX!$J$2:$K$8,2,0))</f>
        <v/>
      </c>
      <c r="C678" s="209"/>
      <c r="D678" s="207"/>
      <c r="E678" s="207"/>
      <c r="F678" s="207"/>
      <c r="G678" s="207"/>
      <c r="H678" s="207"/>
      <c r="I678" s="207"/>
      <c r="J678" s="207"/>
      <c r="K678" s="207"/>
      <c r="L678" s="207"/>
      <c r="M678" s="207"/>
      <c r="N678" s="207"/>
      <c r="O678" s="207"/>
      <c r="P678" s="207"/>
      <c r="Q678" s="207"/>
      <c r="R678" s="207"/>
      <c r="S678" s="207"/>
      <c r="T678" s="207"/>
      <c r="U678" s="209"/>
      <c r="V678" s="207"/>
      <c r="W678" s="207"/>
      <c r="X678" s="209"/>
      <c r="Y678" s="209"/>
      <c r="Z678" s="207" t="str">
        <f t="shared" ca="1" si="97"/>
        <v/>
      </c>
      <c r="AA678" s="209" t="str">
        <f t="shared" si="101"/>
        <v/>
      </c>
      <c r="AB678" s="209"/>
      <c r="AC678" s="207" t="str">
        <f t="shared" ca="1" si="98"/>
        <v/>
      </c>
      <c r="AD678" s="207"/>
      <c r="AE678" s="207"/>
      <c r="AF678" s="208" t="str">
        <f>IF(ISBLANK(D678),"",VLOOKUP(F678,'SIZE CALCULATION'!$F:$G,2,0))</f>
        <v/>
      </c>
      <c r="AG678" s="207" t="str">
        <f t="shared" si="96"/>
        <v/>
      </c>
      <c r="AH678" s="207" t="str">
        <f t="shared" si="99"/>
        <v/>
      </c>
      <c r="AI678" s="210" t="str">
        <f>IF(ISBLANK(D678),"",VLOOKUP($A678,INDEX!$D$2:$F$13,3,0))</f>
        <v/>
      </c>
      <c r="AJ678" s="207" t="str">
        <f t="shared" si="100"/>
        <v/>
      </c>
      <c r="AK678" s="207"/>
      <c r="AL678" s="207"/>
      <c r="AM678" s="207" t="str">
        <f>IFERROR(IF(ISBLANK($D678),"",VLOOKUP($N678,'TABLE CHARGE RATE'!$A$30:$K$106,5,0)),"Check")</f>
        <v/>
      </c>
      <c r="AN678" s="207" t="str">
        <f>IFERROR(IF(ISBLANK($D678),"",VLOOKUP($N678,'TABLE CHARGE RATE'!$A$30:$K$106,6,0)),"Check")</f>
        <v/>
      </c>
      <c r="AO678" s="207" t="str">
        <f>IFERROR(IF(ISBLANK($D678),"",VLOOKUP($N678,'TABLE CHARGE RATE'!$A$30:$K$106,7,0)),"Check")</f>
        <v/>
      </c>
      <c r="AP678" s="207" t="str">
        <f>IFERROR(IF(ISBLANK($D678),"",VLOOKUP($N678,'TABLE CHARGE RATE'!$A$30:$K$106,8,0)),"Check")</f>
        <v/>
      </c>
      <c r="AQ678" s="207" t="str">
        <f>IFERROR(IF(ISBLANK($D678),"",VLOOKUP($N678,'TABLE CHARGE RATE'!$A$30:$K$106,9,0)),"Check")</f>
        <v/>
      </c>
      <c r="AR678" s="207" t="str">
        <f>IFERROR(IF(ISBLANK($D678),"",VLOOKUP($N678,'TABLE CHARGE RATE'!$A$30:$K$106,10,0)),"Check")</f>
        <v/>
      </c>
      <c r="AS678" s="207" t="str">
        <f>IFERROR(IF(ISBLANK($D678),"",VLOOKUP($N678,'TABLE CHARGE RATE'!$A$30:$K$106,11,0)),"Check")</f>
        <v/>
      </c>
      <c r="AT678" s="207"/>
    </row>
    <row r="679" spans="1:46" x14ac:dyDescent="0.2">
      <c r="A679" s="207" t="str">
        <f t="shared" si="95"/>
        <v/>
      </c>
      <c r="B679" s="208" t="str">
        <f>IF(ISBLANK(D679),"",VLOOKUP(WEEKDAY($C679,1),INDEX!$J$2:$K$8,2,0))</f>
        <v/>
      </c>
      <c r="C679" s="209"/>
      <c r="D679" s="207"/>
      <c r="E679" s="207"/>
      <c r="F679" s="207"/>
      <c r="G679" s="207"/>
      <c r="H679" s="207"/>
      <c r="I679" s="207"/>
      <c r="J679" s="207"/>
      <c r="K679" s="207"/>
      <c r="L679" s="207"/>
      <c r="M679" s="207"/>
      <c r="N679" s="207"/>
      <c r="O679" s="207"/>
      <c r="P679" s="207"/>
      <c r="Q679" s="207"/>
      <c r="R679" s="207"/>
      <c r="S679" s="207"/>
      <c r="T679" s="207"/>
      <c r="U679" s="209"/>
      <c r="V679" s="207"/>
      <c r="W679" s="207"/>
      <c r="X679" s="209"/>
      <c r="Y679" s="209"/>
      <c r="Z679" s="207" t="str">
        <f t="shared" ca="1" si="97"/>
        <v/>
      </c>
      <c r="AA679" s="209" t="str">
        <f t="shared" si="101"/>
        <v/>
      </c>
      <c r="AB679" s="209"/>
      <c r="AC679" s="207" t="str">
        <f t="shared" ca="1" si="98"/>
        <v/>
      </c>
      <c r="AD679" s="207"/>
      <c r="AE679" s="207"/>
      <c r="AF679" s="208" t="str">
        <f>IF(ISBLANK(D679),"",VLOOKUP(F679,'SIZE CALCULATION'!$F:$G,2,0))</f>
        <v/>
      </c>
      <c r="AG679" s="207" t="str">
        <f t="shared" si="96"/>
        <v/>
      </c>
      <c r="AH679" s="207" t="str">
        <f t="shared" si="99"/>
        <v/>
      </c>
      <c r="AI679" s="210" t="str">
        <f>IF(ISBLANK(D679),"",VLOOKUP($A679,INDEX!$D$2:$F$13,3,0))</f>
        <v/>
      </c>
      <c r="AJ679" s="207" t="str">
        <f t="shared" si="100"/>
        <v/>
      </c>
      <c r="AK679" s="207"/>
      <c r="AL679" s="207"/>
      <c r="AM679" s="207" t="str">
        <f>IFERROR(IF(ISBLANK($D679),"",VLOOKUP($N679,'TABLE CHARGE RATE'!$A$30:$K$106,5,0)),"Check")</f>
        <v/>
      </c>
      <c r="AN679" s="207" t="str">
        <f>IFERROR(IF(ISBLANK($D679),"",VLOOKUP($N679,'TABLE CHARGE RATE'!$A$30:$K$106,6,0)),"Check")</f>
        <v/>
      </c>
      <c r="AO679" s="207" t="str">
        <f>IFERROR(IF(ISBLANK($D679),"",VLOOKUP($N679,'TABLE CHARGE RATE'!$A$30:$K$106,7,0)),"Check")</f>
        <v/>
      </c>
      <c r="AP679" s="207" t="str">
        <f>IFERROR(IF(ISBLANK($D679),"",VLOOKUP($N679,'TABLE CHARGE RATE'!$A$30:$K$106,8,0)),"Check")</f>
        <v/>
      </c>
      <c r="AQ679" s="207" t="str">
        <f>IFERROR(IF(ISBLANK($D679),"",VLOOKUP($N679,'TABLE CHARGE RATE'!$A$30:$K$106,9,0)),"Check")</f>
        <v/>
      </c>
      <c r="AR679" s="207" t="str">
        <f>IFERROR(IF(ISBLANK($D679),"",VLOOKUP($N679,'TABLE CHARGE RATE'!$A$30:$K$106,10,0)),"Check")</f>
        <v/>
      </c>
      <c r="AS679" s="207" t="str">
        <f>IFERROR(IF(ISBLANK($D679),"",VLOOKUP($N679,'TABLE CHARGE RATE'!$A$30:$K$106,11,0)),"Check")</f>
        <v/>
      </c>
      <c r="AT679" s="207"/>
    </row>
    <row r="680" spans="1:46" x14ac:dyDescent="0.2">
      <c r="A680" s="207" t="str">
        <f t="shared" si="95"/>
        <v/>
      </c>
      <c r="B680" s="208" t="str">
        <f>IF(ISBLANK(D680),"",VLOOKUP(WEEKDAY($C680,1),INDEX!$J$2:$K$8,2,0))</f>
        <v/>
      </c>
      <c r="C680" s="209"/>
      <c r="D680" s="207"/>
      <c r="E680" s="207"/>
      <c r="F680" s="207"/>
      <c r="G680" s="207"/>
      <c r="H680" s="207"/>
      <c r="I680" s="207"/>
      <c r="J680" s="207"/>
      <c r="K680" s="207"/>
      <c r="L680" s="207"/>
      <c r="M680" s="207"/>
      <c r="N680" s="207"/>
      <c r="O680" s="207"/>
      <c r="P680" s="207"/>
      <c r="Q680" s="207"/>
      <c r="R680" s="207"/>
      <c r="S680" s="207"/>
      <c r="T680" s="207"/>
      <c r="U680" s="209"/>
      <c r="V680" s="207"/>
      <c r="W680" s="207"/>
      <c r="X680" s="209"/>
      <c r="Y680" s="209"/>
      <c r="Z680" s="207" t="str">
        <f t="shared" ca="1" si="97"/>
        <v/>
      </c>
      <c r="AA680" s="209" t="str">
        <f t="shared" si="101"/>
        <v/>
      </c>
      <c r="AB680" s="209"/>
      <c r="AC680" s="207" t="str">
        <f t="shared" ca="1" si="98"/>
        <v/>
      </c>
      <c r="AD680" s="207"/>
      <c r="AE680" s="207"/>
      <c r="AF680" s="208" t="str">
        <f>IF(ISBLANK(D680),"",VLOOKUP(F680,'SIZE CALCULATION'!$F:$G,2,0))</f>
        <v/>
      </c>
      <c r="AG680" s="207" t="str">
        <f t="shared" si="96"/>
        <v/>
      </c>
      <c r="AH680" s="207" t="str">
        <f t="shared" si="99"/>
        <v/>
      </c>
      <c r="AI680" s="210" t="str">
        <f>IF(ISBLANK(D680),"",VLOOKUP($A680,INDEX!$D$2:$F$13,3,0))</f>
        <v/>
      </c>
      <c r="AJ680" s="207" t="str">
        <f t="shared" si="100"/>
        <v/>
      </c>
      <c r="AK680" s="207"/>
      <c r="AL680" s="207"/>
      <c r="AM680" s="207" t="str">
        <f>IFERROR(IF(ISBLANK($D680),"",VLOOKUP($N680,'TABLE CHARGE RATE'!$A$30:$K$106,5,0)),"Check")</f>
        <v/>
      </c>
      <c r="AN680" s="207" t="str">
        <f>IFERROR(IF(ISBLANK($D680),"",VLOOKUP($N680,'TABLE CHARGE RATE'!$A$30:$K$106,6,0)),"Check")</f>
        <v/>
      </c>
      <c r="AO680" s="207" t="str">
        <f>IFERROR(IF(ISBLANK($D680),"",VLOOKUP($N680,'TABLE CHARGE RATE'!$A$30:$K$106,7,0)),"Check")</f>
        <v/>
      </c>
      <c r="AP680" s="207" t="str">
        <f>IFERROR(IF(ISBLANK($D680),"",VLOOKUP($N680,'TABLE CHARGE RATE'!$A$30:$K$106,8,0)),"Check")</f>
        <v/>
      </c>
      <c r="AQ680" s="207" t="str">
        <f>IFERROR(IF(ISBLANK($D680),"",VLOOKUP($N680,'TABLE CHARGE RATE'!$A$30:$K$106,9,0)),"Check")</f>
        <v/>
      </c>
      <c r="AR680" s="207" t="str">
        <f>IFERROR(IF(ISBLANK($D680),"",VLOOKUP($N680,'TABLE CHARGE RATE'!$A$30:$K$106,10,0)),"Check")</f>
        <v/>
      </c>
      <c r="AS680" s="207" t="str">
        <f>IFERROR(IF(ISBLANK($D680),"",VLOOKUP($N680,'TABLE CHARGE RATE'!$A$30:$K$106,11,0)),"Check")</f>
        <v/>
      </c>
      <c r="AT680" s="207"/>
    </row>
    <row r="681" spans="1:46" x14ac:dyDescent="0.2">
      <c r="A681" s="207" t="str">
        <f t="shared" si="95"/>
        <v/>
      </c>
      <c r="B681" s="208" t="str">
        <f>IF(ISBLANK(D681),"",VLOOKUP(WEEKDAY($C681,1),INDEX!$J$2:$K$8,2,0))</f>
        <v/>
      </c>
      <c r="C681" s="209"/>
      <c r="D681" s="207"/>
      <c r="E681" s="207"/>
      <c r="F681" s="207"/>
      <c r="G681" s="207"/>
      <c r="H681" s="207"/>
      <c r="I681" s="207"/>
      <c r="J681" s="207"/>
      <c r="K681" s="207"/>
      <c r="L681" s="207"/>
      <c r="M681" s="207"/>
      <c r="N681" s="207"/>
      <c r="O681" s="207"/>
      <c r="P681" s="207"/>
      <c r="Q681" s="207"/>
      <c r="R681" s="207"/>
      <c r="S681" s="207"/>
      <c r="T681" s="207"/>
      <c r="U681" s="209"/>
      <c r="V681" s="207"/>
      <c r="W681" s="207"/>
      <c r="X681" s="209"/>
      <c r="Y681" s="209"/>
      <c r="Z681" s="207" t="str">
        <f t="shared" ca="1" si="97"/>
        <v/>
      </c>
      <c r="AA681" s="209" t="str">
        <f t="shared" si="101"/>
        <v/>
      </c>
      <c r="AB681" s="209"/>
      <c r="AC681" s="207" t="str">
        <f t="shared" ca="1" si="98"/>
        <v/>
      </c>
      <c r="AD681" s="207"/>
      <c r="AE681" s="207"/>
      <c r="AF681" s="208" t="str">
        <f>IF(ISBLANK(D681),"",VLOOKUP(F681,'SIZE CALCULATION'!$F:$G,2,0))</f>
        <v/>
      </c>
      <c r="AG681" s="207" t="str">
        <f t="shared" si="96"/>
        <v/>
      </c>
      <c r="AH681" s="207" t="str">
        <f t="shared" si="99"/>
        <v/>
      </c>
      <c r="AI681" s="210" t="str">
        <f>IF(ISBLANK(D681),"",VLOOKUP($A681,INDEX!$D$2:$F$13,3,0))</f>
        <v/>
      </c>
      <c r="AJ681" s="207" t="str">
        <f t="shared" si="100"/>
        <v/>
      </c>
      <c r="AK681" s="207"/>
      <c r="AL681" s="207"/>
      <c r="AM681" s="207" t="str">
        <f>IFERROR(IF(ISBLANK($D681),"",VLOOKUP($N681,'TABLE CHARGE RATE'!$A$30:$K$106,5,0)),"Check")</f>
        <v/>
      </c>
      <c r="AN681" s="207" t="str">
        <f>IFERROR(IF(ISBLANK($D681),"",VLOOKUP($N681,'TABLE CHARGE RATE'!$A$30:$K$106,6,0)),"Check")</f>
        <v/>
      </c>
      <c r="AO681" s="207" t="str">
        <f>IFERROR(IF(ISBLANK($D681),"",VLOOKUP($N681,'TABLE CHARGE RATE'!$A$30:$K$106,7,0)),"Check")</f>
        <v/>
      </c>
      <c r="AP681" s="207" t="str">
        <f>IFERROR(IF(ISBLANK($D681),"",VLOOKUP($N681,'TABLE CHARGE RATE'!$A$30:$K$106,8,0)),"Check")</f>
        <v/>
      </c>
      <c r="AQ681" s="207" t="str">
        <f>IFERROR(IF(ISBLANK($D681),"",VLOOKUP($N681,'TABLE CHARGE RATE'!$A$30:$K$106,9,0)),"Check")</f>
        <v/>
      </c>
      <c r="AR681" s="207" t="str">
        <f>IFERROR(IF(ISBLANK($D681),"",VLOOKUP($N681,'TABLE CHARGE RATE'!$A$30:$K$106,10,0)),"Check")</f>
        <v/>
      </c>
      <c r="AS681" s="207" t="str">
        <f>IFERROR(IF(ISBLANK($D681),"",VLOOKUP($N681,'TABLE CHARGE RATE'!$A$30:$K$106,11,0)),"Check")</f>
        <v/>
      </c>
      <c r="AT681" s="207"/>
    </row>
    <row r="682" spans="1:46" x14ac:dyDescent="0.2">
      <c r="A682" s="207" t="str">
        <f t="shared" ref="A682:A745" si="102">IF(ISBLANK(D682),"",MONTH(C682))</f>
        <v/>
      </c>
      <c r="B682" s="208" t="str">
        <f>IF(ISBLANK(D682),"",VLOOKUP(WEEKDAY($C682,1),INDEX!$J$2:$K$8,2,0))</f>
        <v/>
      </c>
      <c r="C682" s="209"/>
      <c r="D682" s="207"/>
      <c r="E682" s="207"/>
      <c r="F682" s="207"/>
      <c r="G682" s="207"/>
      <c r="H682" s="207"/>
      <c r="I682" s="207"/>
      <c r="J682" s="207"/>
      <c r="K682" s="207"/>
      <c r="L682" s="207"/>
      <c r="M682" s="207"/>
      <c r="N682" s="207"/>
      <c r="O682" s="207"/>
      <c r="P682" s="207"/>
      <c r="Q682" s="207"/>
      <c r="R682" s="207"/>
      <c r="S682" s="207"/>
      <c r="T682" s="207"/>
      <c r="U682" s="209"/>
      <c r="V682" s="207"/>
      <c r="W682" s="207"/>
      <c r="X682" s="209"/>
      <c r="Y682" s="209"/>
      <c r="Z682" s="207" t="str">
        <f t="shared" ca="1" si="97"/>
        <v/>
      </c>
      <c r="AA682" s="209" t="str">
        <f t="shared" si="101"/>
        <v/>
      </c>
      <c r="AB682" s="209"/>
      <c r="AC682" s="207" t="str">
        <f t="shared" ca="1" si="98"/>
        <v/>
      </c>
      <c r="AD682" s="207"/>
      <c r="AE682" s="207"/>
      <c r="AF682" s="208" t="str">
        <f>IF(ISBLANK(D682),"",VLOOKUP(F682,'SIZE CALCULATION'!$F:$G,2,0))</f>
        <v/>
      </c>
      <c r="AG682" s="207" t="str">
        <f t="shared" si="96"/>
        <v/>
      </c>
      <c r="AH682" s="207" t="str">
        <f t="shared" si="99"/>
        <v/>
      </c>
      <c r="AI682" s="210" t="str">
        <f>IF(ISBLANK(D682),"",VLOOKUP($A682,INDEX!$D$2:$F$13,3,0))</f>
        <v/>
      </c>
      <c r="AJ682" s="207" t="str">
        <f t="shared" si="100"/>
        <v/>
      </c>
      <c r="AK682" s="207"/>
      <c r="AL682" s="207"/>
      <c r="AM682" s="207" t="str">
        <f>IFERROR(IF(ISBLANK($D682),"",VLOOKUP($N682,'TABLE CHARGE RATE'!$A$30:$K$106,5,0)),"Check")</f>
        <v/>
      </c>
      <c r="AN682" s="207" t="str">
        <f>IFERROR(IF(ISBLANK($D682),"",VLOOKUP($N682,'TABLE CHARGE RATE'!$A$30:$K$106,6,0)),"Check")</f>
        <v/>
      </c>
      <c r="AO682" s="207" t="str">
        <f>IFERROR(IF(ISBLANK($D682),"",VLOOKUP($N682,'TABLE CHARGE RATE'!$A$30:$K$106,7,0)),"Check")</f>
        <v/>
      </c>
      <c r="AP682" s="207" t="str">
        <f>IFERROR(IF(ISBLANK($D682),"",VLOOKUP($N682,'TABLE CHARGE RATE'!$A$30:$K$106,8,0)),"Check")</f>
        <v/>
      </c>
      <c r="AQ682" s="207" t="str">
        <f>IFERROR(IF(ISBLANK($D682),"",VLOOKUP($N682,'TABLE CHARGE RATE'!$A$30:$K$106,9,0)),"Check")</f>
        <v/>
      </c>
      <c r="AR682" s="207" t="str">
        <f>IFERROR(IF(ISBLANK($D682),"",VLOOKUP($N682,'TABLE CHARGE RATE'!$A$30:$K$106,10,0)),"Check")</f>
        <v/>
      </c>
      <c r="AS682" s="207" t="str">
        <f>IFERROR(IF(ISBLANK($D682),"",VLOOKUP($N682,'TABLE CHARGE RATE'!$A$30:$K$106,11,0)),"Check")</f>
        <v/>
      </c>
      <c r="AT682" s="207"/>
    </row>
    <row r="683" spans="1:46" x14ac:dyDescent="0.2">
      <c r="A683" s="207" t="str">
        <f t="shared" si="102"/>
        <v/>
      </c>
      <c r="B683" s="208" t="str">
        <f>IF(ISBLANK(D683),"",VLOOKUP(WEEKDAY($C683,1),INDEX!$J$2:$K$8,2,0))</f>
        <v/>
      </c>
      <c r="C683" s="209"/>
      <c r="D683" s="207"/>
      <c r="E683" s="207"/>
      <c r="F683" s="207"/>
      <c r="G683" s="207"/>
      <c r="H683" s="207"/>
      <c r="I683" s="207"/>
      <c r="J683" s="207"/>
      <c r="K683" s="207"/>
      <c r="L683" s="207"/>
      <c r="M683" s="207"/>
      <c r="N683" s="207"/>
      <c r="O683" s="207"/>
      <c r="P683" s="207"/>
      <c r="Q683" s="207"/>
      <c r="R683" s="207"/>
      <c r="S683" s="207"/>
      <c r="T683" s="207"/>
      <c r="U683" s="209"/>
      <c r="V683" s="207"/>
      <c r="W683" s="207"/>
      <c r="X683" s="209"/>
      <c r="Y683" s="209"/>
      <c r="Z683" s="207" t="str">
        <f t="shared" ca="1" si="97"/>
        <v/>
      </c>
      <c r="AA683" s="209" t="str">
        <f t="shared" si="101"/>
        <v/>
      </c>
      <c r="AB683" s="209"/>
      <c r="AC683" s="207" t="str">
        <f t="shared" ca="1" si="98"/>
        <v/>
      </c>
      <c r="AD683" s="207"/>
      <c r="AE683" s="207"/>
      <c r="AF683" s="208" t="str">
        <f>IF(ISBLANK(D683),"",VLOOKUP(F683,'SIZE CALCULATION'!$F:$G,2,0))</f>
        <v/>
      </c>
      <c r="AG683" s="207" t="str">
        <f t="shared" si="96"/>
        <v/>
      </c>
      <c r="AH683" s="207" t="str">
        <f t="shared" si="99"/>
        <v/>
      </c>
      <c r="AI683" s="210" t="str">
        <f>IF(ISBLANK(D683),"",VLOOKUP($A683,INDEX!$D$2:$F$13,3,0))</f>
        <v/>
      </c>
      <c r="AJ683" s="207" t="str">
        <f t="shared" si="100"/>
        <v/>
      </c>
      <c r="AK683" s="207"/>
      <c r="AL683" s="207"/>
      <c r="AM683" s="207" t="str">
        <f>IFERROR(IF(ISBLANK($D683),"",VLOOKUP($N683,'TABLE CHARGE RATE'!$A$30:$K$106,5,0)),"Check")</f>
        <v/>
      </c>
      <c r="AN683" s="207" t="str">
        <f>IFERROR(IF(ISBLANK($D683),"",VLOOKUP($N683,'TABLE CHARGE RATE'!$A$30:$K$106,6,0)),"Check")</f>
        <v/>
      </c>
      <c r="AO683" s="207" t="str">
        <f>IFERROR(IF(ISBLANK($D683),"",VLOOKUP($N683,'TABLE CHARGE RATE'!$A$30:$K$106,7,0)),"Check")</f>
        <v/>
      </c>
      <c r="AP683" s="207" t="str">
        <f>IFERROR(IF(ISBLANK($D683),"",VLOOKUP($N683,'TABLE CHARGE RATE'!$A$30:$K$106,8,0)),"Check")</f>
        <v/>
      </c>
      <c r="AQ683" s="207" t="str">
        <f>IFERROR(IF(ISBLANK($D683),"",VLOOKUP($N683,'TABLE CHARGE RATE'!$A$30:$K$106,9,0)),"Check")</f>
        <v/>
      </c>
      <c r="AR683" s="207" t="str">
        <f>IFERROR(IF(ISBLANK($D683),"",VLOOKUP($N683,'TABLE CHARGE RATE'!$A$30:$K$106,10,0)),"Check")</f>
        <v/>
      </c>
      <c r="AS683" s="207" t="str">
        <f>IFERROR(IF(ISBLANK($D683),"",VLOOKUP($N683,'TABLE CHARGE RATE'!$A$30:$K$106,11,0)),"Check")</f>
        <v/>
      </c>
      <c r="AT683" s="207"/>
    </row>
    <row r="684" spans="1:46" x14ac:dyDescent="0.2">
      <c r="A684" s="207" t="str">
        <f t="shared" si="102"/>
        <v/>
      </c>
      <c r="B684" s="208" t="str">
        <f>IF(ISBLANK(D684),"",VLOOKUP(WEEKDAY($C684,1),INDEX!$J$2:$K$8,2,0))</f>
        <v/>
      </c>
      <c r="C684" s="209"/>
      <c r="D684" s="207"/>
      <c r="E684" s="207"/>
      <c r="F684" s="207"/>
      <c r="G684" s="207"/>
      <c r="H684" s="207"/>
      <c r="I684" s="207"/>
      <c r="J684" s="207"/>
      <c r="K684" s="207"/>
      <c r="L684" s="207"/>
      <c r="M684" s="207"/>
      <c r="N684" s="207"/>
      <c r="O684" s="207"/>
      <c r="P684" s="207"/>
      <c r="Q684" s="207"/>
      <c r="R684" s="207"/>
      <c r="S684" s="207"/>
      <c r="T684" s="207"/>
      <c r="U684" s="209"/>
      <c r="V684" s="207"/>
      <c r="W684" s="207"/>
      <c r="X684" s="209"/>
      <c r="Y684" s="209"/>
      <c r="Z684" s="207" t="str">
        <f t="shared" ca="1" si="97"/>
        <v/>
      </c>
      <c r="AA684" s="209" t="str">
        <f t="shared" si="101"/>
        <v/>
      </c>
      <c r="AB684" s="209"/>
      <c r="AC684" s="207" t="str">
        <f t="shared" ca="1" si="98"/>
        <v/>
      </c>
      <c r="AD684" s="207"/>
      <c r="AE684" s="207"/>
      <c r="AF684" s="208" t="str">
        <f>IF(ISBLANK(D684),"",VLOOKUP(F684,'SIZE CALCULATION'!$F:$G,2,0))</f>
        <v/>
      </c>
      <c r="AG684" s="207" t="str">
        <f t="shared" si="96"/>
        <v/>
      </c>
      <c r="AH684" s="207" t="str">
        <f t="shared" si="99"/>
        <v/>
      </c>
      <c r="AI684" s="210" t="str">
        <f>IF(ISBLANK(D684),"",VLOOKUP($A684,INDEX!$D$2:$F$13,3,0))</f>
        <v/>
      </c>
      <c r="AJ684" s="207" t="str">
        <f t="shared" si="100"/>
        <v/>
      </c>
      <c r="AK684" s="207"/>
      <c r="AL684" s="207"/>
      <c r="AM684" s="207" t="str">
        <f>IFERROR(IF(ISBLANK($D684),"",VLOOKUP($N684,'TABLE CHARGE RATE'!$A$30:$K$106,5,0)),"Check")</f>
        <v/>
      </c>
      <c r="AN684" s="207" t="str">
        <f>IFERROR(IF(ISBLANK($D684),"",VLOOKUP($N684,'TABLE CHARGE RATE'!$A$30:$K$106,6,0)),"Check")</f>
        <v/>
      </c>
      <c r="AO684" s="207" t="str">
        <f>IFERROR(IF(ISBLANK($D684),"",VLOOKUP($N684,'TABLE CHARGE RATE'!$A$30:$K$106,7,0)),"Check")</f>
        <v/>
      </c>
      <c r="AP684" s="207" t="str">
        <f>IFERROR(IF(ISBLANK($D684),"",VLOOKUP($N684,'TABLE CHARGE RATE'!$A$30:$K$106,8,0)),"Check")</f>
        <v/>
      </c>
      <c r="AQ684" s="207" t="str">
        <f>IFERROR(IF(ISBLANK($D684),"",VLOOKUP($N684,'TABLE CHARGE RATE'!$A$30:$K$106,9,0)),"Check")</f>
        <v/>
      </c>
      <c r="AR684" s="207" t="str">
        <f>IFERROR(IF(ISBLANK($D684),"",VLOOKUP($N684,'TABLE CHARGE RATE'!$A$30:$K$106,10,0)),"Check")</f>
        <v/>
      </c>
      <c r="AS684" s="207" t="str">
        <f>IFERROR(IF(ISBLANK($D684),"",VLOOKUP($N684,'TABLE CHARGE RATE'!$A$30:$K$106,11,0)),"Check")</f>
        <v/>
      </c>
      <c r="AT684" s="207"/>
    </row>
    <row r="685" spans="1:46" x14ac:dyDescent="0.2">
      <c r="A685" s="207" t="str">
        <f t="shared" si="102"/>
        <v/>
      </c>
      <c r="B685" s="208" t="str">
        <f>IF(ISBLANK(D685),"",VLOOKUP(WEEKDAY($C685,1),INDEX!$J$2:$K$8,2,0))</f>
        <v/>
      </c>
      <c r="C685" s="209"/>
      <c r="D685" s="207"/>
      <c r="E685" s="207"/>
      <c r="F685" s="207"/>
      <c r="G685" s="207"/>
      <c r="H685" s="207"/>
      <c r="I685" s="207"/>
      <c r="J685" s="207"/>
      <c r="K685" s="207"/>
      <c r="L685" s="207"/>
      <c r="M685" s="207"/>
      <c r="N685" s="207"/>
      <c r="O685" s="207"/>
      <c r="P685" s="207"/>
      <c r="Q685" s="207"/>
      <c r="R685" s="207"/>
      <c r="S685" s="207"/>
      <c r="T685" s="207"/>
      <c r="U685" s="209"/>
      <c r="V685" s="207"/>
      <c r="W685" s="207"/>
      <c r="X685" s="209"/>
      <c r="Y685" s="209"/>
      <c r="Z685" s="207" t="str">
        <f t="shared" ca="1" si="97"/>
        <v/>
      </c>
      <c r="AA685" s="209" t="str">
        <f t="shared" si="101"/>
        <v/>
      </c>
      <c r="AB685" s="209"/>
      <c r="AC685" s="207" t="str">
        <f t="shared" ca="1" si="98"/>
        <v/>
      </c>
      <c r="AD685" s="207"/>
      <c r="AE685" s="207"/>
      <c r="AF685" s="208" t="str">
        <f>IF(ISBLANK(D685),"",VLOOKUP(F685,'SIZE CALCULATION'!$F:$G,2,0))</f>
        <v/>
      </c>
      <c r="AG685" s="207" t="str">
        <f t="shared" si="96"/>
        <v/>
      </c>
      <c r="AH685" s="207" t="str">
        <f t="shared" si="99"/>
        <v/>
      </c>
      <c r="AI685" s="210" t="str">
        <f>IF(ISBLANK(D685),"",VLOOKUP($A685,INDEX!$D$2:$F$13,3,0))</f>
        <v/>
      </c>
      <c r="AJ685" s="207" t="str">
        <f t="shared" si="100"/>
        <v/>
      </c>
      <c r="AK685" s="207"/>
      <c r="AL685" s="207"/>
      <c r="AM685" s="207" t="str">
        <f>IFERROR(IF(ISBLANK($D685),"",VLOOKUP($N685,'TABLE CHARGE RATE'!$A$30:$K$106,5,0)),"Check")</f>
        <v/>
      </c>
      <c r="AN685" s="207" t="str">
        <f>IFERROR(IF(ISBLANK($D685),"",VLOOKUP($N685,'TABLE CHARGE RATE'!$A$30:$K$106,6,0)),"Check")</f>
        <v/>
      </c>
      <c r="AO685" s="207" t="str">
        <f>IFERROR(IF(ISBLANK($D685),"",VLOOKUP($N685,'TABLE CHARGE RATE'!$A$30:$K$106,7,0)),"Check")</f>
        <v/>
      </c>
      <c r="AP685" s="207" t="str">
        <f>IFERROR(IF(ISBLANK($D685),"",VLOOKUP($N685,'TABLE CHARGE RATE'!$A$30:$K$106,8,0)),"Check")</f>
        <v/>
      </c>
      <c r="AQ685" s="207" t="str">
        <f>IFERROR(IF(ISBLANK($D685),"",VLOOKUP($N685,'TABLE CHARGE RATE'!$A$30:$K$106,9,0)),"Check")</f>
        <v/>
      </c>
      <c r="AR685" s="207" t="str">
        <f>IFERROR(IF(ISBLANK($D685),"",VLOOKUP($N685,'TABLE CHARGE RATE'!$A$30:$K$106,10,0)),"Check")</f>
        <v/>
      </c>
      <c r="AS685" s="207" t="str">
        <f>IFERROR(IF(ISBLANK($D685),"",VLOOKUP($N685,'TABLE CHARGE RATE'!$A$30:$K$106,11,0)),"Check")</f>
        <v/>
      </c>
      <c r="AT685" s="207"/>
    </row>
    <row r="686" spans="1:46" x14ac:dyDescent="0.2">
      <c r="A686" s="207" t="str">
        <f t="shared" si="102"/>
        <v/>
      </c>
      <c r="B686" s="208" t="str">
        <f>IF(ISBLANK(D686),"",VLOOKUP(WEEKDAY($C686,1),INDEX!$J$2:$K$8,2,0))</f>
        <v/>
      </c>
      <c r="C686" s="209"/>
      <c r="D686" s="207"/>
      <c r="E686" s="207"/>
      <c r="F686" s="207"/>
      <c r="G686" s="207"/>
      <c r="H686" s="207"/>
      <c r="I686" s="207"/>
      <c r="J686" s="207"/>
      <c r="K686" s="207"/>
      <c r="L686" s="207"/>
      <c r="M686" s="207"/>
      <c r="N686" s="207"/>
      <c r="O686" s="207"/>
      <c r="P686" s="207"/>
      <c r="Q686" s="207"/>
      <c r="R686" s="207"/>
      <c r="S686" s="207"/>
      <c r="T686" s="207"/>
      <c r="U686" s="209"/>
      <c r="V686" s="207"/>
      <c r="W686" s="207"/>
      <c r="X686" s="209"/>
      <c r="Y686" s="209"/>
      <c r="Z686" s="207" t="str">
        <f t="shared" ca="1" si="97"/>
        <v/>
      </c>
      <c r="AA686" s="209" t="str">
        <f t="shared" si="101"/>
        <v/>
      </c>
      <c r="AB686" s="209"/>
      <c r="AC686" s="207" t="str">
        <f t="shared" ca="1" si="98"/>
        <v/>
      </c>
      <c r="AD686" s="207"/>
      <c r="AE686" s="207"/>
      <c r="AF686" s="208" t="str">
        <f>IF(ISBLANK(D686),"",VLOOKUP(F686,'SIZE CALCULATION'!$F:$G,2,0))</f>
        <v/>
      </c>
      <c r="AG686" s="207" t="str">
        <f t="shared" si="96"/>
        <v/>
      </c>
      <c r="AH686" s="207" t="str">
        <f t="shared" si="99"/>
        <v/>
      </c>
      <c r="AI686" s="210" t="str">
        <f>IF(ISBLANK(D686),"",VLOOKUP($A686,INDEX!$D$2:$F$13,3,0))</f>
        <v/>
      </c>
      <c r="AJ686" s="207" t="str">
        <f t="shared" si="100"/>
        <v/>
      </c>
      <c r="AK686" s="207"/>
      <c r="AL686" s="207"/>
      <c r="AM686" s="207" t="str">
        <f>IFERROR(IF(ISBLANK($D686),"",VLOOKUP($N686,'TABLE CHARGE RATE'!$A$30:$K$106,5,0)),"Check")</f>
        <v/>
      </c>
      <c r="AN686" s="207" t="str">
        <f>IFERROR(IF(ISBLANK($D686),"",VLOOKUP($N686,'TABLE CHARGE RATE'!$A$30:$K$106,6,0)),"Check")</f>
        <v/>
      </c>
      <c r="AO686" s="207" t="str">
        <f>IFERROR(IF(ISBLANK($D686),"",VLOOKUP($N686,'TABLE CHARGE RATE'!$A$30:$K$106,7,0)),"Check")</f>
        <v/>
      </c>
      <c r="AP686" s="207" t="str">
        <f>IFERROR(IF(ISBLANK($D686),"",VLOOKUP($N686,'TABLE CHARGE RATE'!$A$30:$K$106,8,0)),"Check")</f>
        <v/>
      </c>
      <c r="AQ686" s="207" t="str">
        <f>IFERROR(IF(ISBLANK($D686),"",VLOOKUP($N686,'TABLE CHARGE RATE'!$A$30:$K$106,9,0)),"Check")</f>
        <v/>
      </c>
      <c r="AR686" s="207" t="str">
        <f>IFERROR(IF(ISBLANK($D686),"",VLOOKUP($N686,'TABLE CHARGE RATE'!$A$30:$K$106,10,0)),"Check")</f>
        <v/>
      </c>
      <c r="AS686" s="207" t="str">
        <f>IFERROR(IF(ISBLANK($D686),"",VLOOKUP($N686,'TABLE CHARGE RATE'!$A$30:$K$106,11,0)),"Check")</f>
        <v/>
      </c>
      <c r="AT686" s="207"/>
    </row>
    <row r="687" spans="1:46" x14ac:dyDescent="0.2">
      <c r="A687" s="207" t="str">
        <f t="shared" si="102"/>
        <v/>
      </c>
      <c r="B687" s="208" t="str">
        <f>IF(ISBLANK(D687),"",VLOOKUP(WEEKDAY($C687,1),INDEX!$J$2:$K$8,2,0))</f>
        <v/>
      </c>
      <c r="C687" s="209"/>
      <c r="D687" s="207"/>
      <c r="E687" s="207"/>
      <c r="F687" s="207"/>
      <c r="G687" s="207"/>
      <c r="H687" s="207"/>
      <c r="I687" s="207"/>
      <c r="J687" s="207"/>
      <c r="K687" s="207"/>
      <c r="L687" s="207"/>
      <c r="M687" s="207"/>
      <c r="N687" s="207"/>
      <c r="O687" s="207"/>
      <c r="P687" s="207"/>
      <c r="Q687" s="207"/>
      <c r="R687" s="207"/>
      <c r="S687" s="207"/>
      <c r="T687" s="207"/>
      <c r="U687" s="209"/>
      <c r="V687" s="207"/>
      <c r="W687" s="207"/>
      <c r="X687" s="209"/>
      <c r="Y687" s="209"/>
      <c r="Z687" s="207" t="str">
        <f t="shared" ca="1" si="97"/>
        <v/>
      </c>
      <c r="AA687" s="209" t="str">
        <f t="shared" si="101"/>
        <v/>
      </c>
      <c r="AB687" s="209"/>
      <c r="AC687" s="207" t="str">
        <f t="shared" ca="1" si="98"/>
        <v/>
      </c>
      <c r="AD687" s="207"/>
      <c r="AE687" s="207"/>
      <c r="AF687" s="208" t="str">
        <f>IF(ISBLANK(D687),"",VLOOKUP(F687,'SIZE CALCULATION'!$F:$G,2,0))</f>
        <v/>
      </c>
      <c r="AG687" s="207" t="str">
        <f t="shared" si="96"/>
        <v/>
      </c>
      <c r="AH687" s="207" t="str">
        <f t="shared" si="99"/>
        <v/>
      </c>
      <c r="AI687" s="210" t="str">
        <f>IF(ISBLANK(D687),"",VLOOKUP($A687,INDEX!$D$2:$F$13,3,0))</f>
        <v/>
      </c>
      <c r="AJ687" s="207" t="str">
        <f t="shared" si="100"/>
        <v/>
      </c>
      <c r="AK687" s="207"/>
      <c r="AL687" s="207"/>
      <c r="AM687" s="207" t="str">
        <f>IFERROR(IF(ISBLANK($D687),"",VLOOKUP($N687,'TABLE CHARGE RATE'!$A$30:$K$106,5,0)),"Check")</f>
        <v/>
      </c>
      <c r="AN687" s="207" t="str">
        <f>IFERROR(IF(ISBLANK($D687),"",VLOOKUP($N687,'TABLE CHARGE RATE'!$A$30:$K$106,6,0)),"Check")</f>
        <v/>
      </c>
      <c r="AO687" s="207" t="str">
        <f>IFERROR(IF(ISBLANK($D687),"",VLOOKUP($N687,'TABLE CHARGE RATE'!$A$30:$K$106,7,0)),"Check")</f>
        <v/>
      </c>
      <c r="AP687" s="207" t="str">
        <f>IFERROR(IF(ISBLANK($D687),"",VLOOKUP($N687,'TABLE CHARGE RATE'!$A$30:$K$106,8,0)),"Check")</f>
        <v/>
      </c>
      <c r="AQ687" s="207" t="str">
        <f>IFERROR(IF(ISBLANK($D687),"",VLOOKUP($N687,'TABLE CHARGE RATE'!$A$30:$K$106,9,0)),"Check")</f>
        <v/>
      </c>
      <c r="AR687" s="207" t="str">
        <f>IFERROR(IF(ISBLANK($D687),"",VLOOKUP($N687,'TABLE CHARGE RATE'!$A$30:$K$106,10,0)),"Check")</f>
        <v/>
      </c>
      <c r="AS687" s="207" t="str">
        <f>IFERROR(IF(ISBLANK($D687),"",VLOOKUP($N687,'TABLE CHARGE RATE'!$A$30:$K$106,11,0)),"Check")</f>
        <v/>
      </c>
      <c r="AT687" s="207"/>
    </row>
    <row r="688" spans="1:46" x14ac:dyDescent="0.2">
      <c r="A688" s="207" t="str">
        <f t="shared" si="102"/>
        <v/>
      </c>
      <c r="B688" s="208" t="str">
        <f>IF(ISBLANK(D688),"",VLOOKUP(WEEKDAY($C688,1),INDEX!$J$2:$K$8,2,0))</f>
        <v/>
      </c>
      <c r="C688" s="209"/>
      <c r="D688" s="207"/>
      <c r="E688" s="207"/>
      <c r="F688" s="207"/>
      <c r="G688" s="207"/>
      <c r="H688" s="207"/>
      <c r="I688" s="207"/>
      <c r="J688" s="207"/>
      <c r="K688" s="207"/>
      <c r="L688" s="207"/>
      <c r="M688" s="207"/>
      <c r="N688" s="207"/>
      <c r="O688" s="207"/>
      <c r="P688" s="207"/>
      <c r="Q688" s="207"/>
      <c r="R688" s="207"/>
      <c r="S688" s="207"/>
      <c r="T688" s="207"/>
      <c r="U688" s="209"/>
      <c r="V688" s="207"/>
      <c r="W688" s="207"/>
      <c r="X688" s="209"/>
      <c r="Y688" s="209"/>
      <c r="Z688" s="207" t="str">
        <f t="shared" ca="1" si="97"/>
        <v/>
      </c>
      <c r="AA688" s="209" t="str">
        <f t="shared" si="101"/>
        <v/>
      </c>
      <c r="AB688" s="209"/>
      <c r="AC688" s="207" t="str">
        <f t="shared" ca="1" si="98"/>
        <v/>
      </c>
      <c r="AD688" s="207"/>
      <c r="AE688" s="207"/>
      <c r="AF688" s="208" t="str">
        <f>IF(ISBLANK(D688),"",VLOOKUP(F688,'SIZE CALCULATION'!$F:$G,2,0))</f>
        <v/>
      </c>
      <c r="AG688" s="207" t="str">
        <f t="shared" si="96"/>
        <v/>
      </c>
      <c r="AH688" s="207" t="str">
        <f t="shared" si="99"/>
        <v/>
      </c>
      <c r="AI688" s="210" t="str">
        <f>IF(ISBLANK(D688),"",VLOOKUP($A688,INDEX!$D$2:$F$13,3,0))</f>
        <v/>
      </c>
      <c r="AJ688" s="207" t="str">
        <f t="shared" si="100"/>
        <v/>
      </c>
      <c r="AK688" s="207"/>
      <c r="AL688" s="207"/>
      <c r="AM688" s="207" t="str">
        <f>IFERROR(IF(ISBLANK($D688),"",VLOOKUP($N688,'TABLE CHARGE RATE'!$A$30:$K$106,5,0)),"Check")</f>
        <v/>
      </c>
      <c r="AN688" s="207" t="str">
        <f>IFERROR(IF(ISBLANK($D688),"",VLOOKUP($N688,'TABLE CHARGE RATE'!$A$30:$K$106,6,0)),"Check")</f>
        <v/>
      </c>
      <c r="AO688" s="207" t="str">
        <f>IFERROR(IF(ISBLANK($D688),"",VLOOKUP($N688,'TABLE CHARGE RATE'!$A$30:$K$106,7,0)),"Check")</f>
        <v/>
      </c>
      <c r="AP688" s="207" t="str">
        <f>IFERROR(IF(ISBLANK($D688),"",VLOOKUP($N688,'TABLE CHARGE RATE'!$A$30:$K$106,8,0)),"Check")</f>
        <v/>
      </c>
      <c r="AQ688" s="207" t="str">
        <f>IFERROR(IF(ISBLANK($D688),"",VLOOKUP($N688,'TABLE CHARGE RATE'!$A$30:$K$106,9,0)),"Check")</f>
        <v/>
      </c>
      <c r="AR688" s="207" t="str">
        <f>IFERROR(IF(ISBLANK($D688),"",VLOOKUP($N688,'TABLE CHARGE RATE'!$A$30:$K$106,10,0)),"Check")</f>
        <v/>
      </c>
      <c r="AS688" s="207" t="str">
        <f>IFERROR(IF(ISBLANK($D688),"",VLOOKUP($N688,'TABLE CHARGE RATE'!$A$30:$K$106,11,0)),"Check")</f>
        <v/>
      </c>
      <c r="AT688" s="207"/>
    </row>
    <row r="689" spans="1:46" x14ac:dyDescent="0.2">
      <c r="A689" s="207" t="str">
        <f t="shared" si="102"/>
        <v/>
      </c>
      <c r="B689" s="208" t="str">
        <f>IF(ISBLANK(D689),"",VLOOKUP(WEEKDAY($C689,1),INDEX!$J$2:$K$8,2,0))</f>
        <v/>
      </c>
      <c r="C689" s="209"/>
      <c r="D689" s="207"/>
      <c r="E689" s="207"/>
      <c r="F689" s="207"/>
      <c r="G689" s="207"/>
      <c r="H689" s="207"/>
      <c r="I689" s="207"/>
      <c r="J689" s="207"/>
      <c r="K689" s="207"/>
      <c r="L689" s="207"/>
      <c r="M689" s="207"/>
      <c r="N689" s="207"/>
      <c r="O689" s="207"/>
      <c r="P689" s="207"/>
      <c r="Q689" s="207"/>
      <c r="R689" s="207"/>
      <c r="S689" s="207"/>
      <c r="T689" s="207"/>
      <c r="U689" s="209"/>
      <c r="V689" s="207"/>
      <c r="W689" s="207"/>
      <c r="X689" s="209"/>
      <c r="Y689" s="209"/>
      <c r="Z689" s="207" t="str">
        <f t="shared" ca="1" si="97"/>
        <v/>
      </c>
      <c r="AA689" s="209" t="str">
        <f t="shared" si="101"/>
        <v/>
      </c>
      <c r="AB689" s="209"/>
      <c r="AC689" s="207" t="str">
        <f t="shared" ca="1" si="98"/>
        <v/>
      </c>
      <c r="AD689" s="207"/>
      <c r="AE689" s="207"/>
      <c r="AF689" s="208" t="str">
        <f>IF(ISBLANK(D689),"",VLOOKUP(F689,'SIZE CALCULATION'!$F:$G,2,0))</f>
        <v/>
      </c>
      <c r="AG689" s="207" t="str">
        <f t="shared" si="96"/>
        <v/>
      </c>
      <c r="AH689" s="207" t="str">
        <f t="shared" si="99"/>
        <v/>
      </c>
      <c r="AI689" s="210" t="str">
        <f>IF(ISBLANK(D689),"",VLOOKUP($A689,INDEX!$D$2:$F$13,3,0))</f>
        <v/>
      </c>
      <c r="AJ689" s="207" t="str">
        <f t="shared" si="100"/>
        <v/>
      </c>
      <c r="AK689" s="207"/>
      <c r="AL689" s="207"/>
      <c r="AM689" s="207" t="str">
        <f>IFERROR(IF(ISBLANK($D689),"",VLOOKUP($N689,'TABLE CHARGE RATE'!$A$30:$K$106,5,0)),"Check")</f>
        <v/>
      </c>
      <c r="AN689" s="207" t="str">
        <f>IFERROR(IF(ISBLANK($D689),"",VLOOKUP($N689,'TABLE CHARGE RATE'!$A$30:$K$106,6,0)),"Check")</f>
        <v/>
      </c>
      <c r="AO689" s="207" t="str">
        <f>IFERROR(IF(ISBLANK($D689),"",VLOOKUP($N689,'TABLE CHARGE RATE'!$A$30:$K$106,7,0)),"Check")</f>
        <v/>
      </c>
      <c r="AP689" s="207" t="str">
        <f>IFERROR(IF(ISBLANK($D689),"",VLOOKUP($N689,'TABLE CHARGE RATE'!$A$30:$K$106,8,0)),"Check")</f>
        <v/>
      </c>
      <c r="AQ689" s="207" t="str">
        <f>IFERROR(IF(ISBLANK($D689),"",VLOOKUP($N689,'TABLE CHARGE RATE'!$A$30:$K$106,9,0)),"Check")</f>
        <v/>
      </c>
      <c r="AR689" s="207" t="str">
        <f>IFERROR(IF(ISBLANK($D689),"",VLOOKUP($N689,'TABLE CHARGE RATE'!$A$30:$K$106,10,0)),"Check")</f>
        <v/>
      </c>
      <c r="AS689" s="207" t="str">
        <f>IFERROR(IF(ISBLANK($D689),"",VLOOKUP($N689,'TABLE CHARGE RATE'!$A$30:$K$106,11,0)),"Check")</f>
        <v/>
      </c>
      <c r="AT689" s="207"/>
    </row>
    <row r="690" spans="1:46" x14ac:dyDescent="0.2">
      <c r="A690" s="207" t="str">
        <f t="shared" si="102"/>
        <v/>
      </c>
      <c r="B690" s="208" t="str">
        <f>IF(ISBLANK(D690),"",VLOOKUP(WEEKDAY($C690,1),INDEX!$J$2:$K$8,2,0))</f>
        <v/>
      </c>
      <c r="C690" s="209"/>
      <c r="D690" s="207"/>
      <c r="E690" s="207"/>
      <c r="F690" s="207"/>
      <c r="G690" s="207"/>
      <c r="H690" s="207"/>
      <c r="I690" s="207"/>
      <c r="J690" s="207"/>
      <c r="K690" s="207"/>
      <c r="L690" s="207"/>
      <c r="M690" s="207"/>
      <c r="N690" s="207"/>
      <c r="O690" s="207"/>
      <c r="P690" s="207"/>
      <c r="Q690" s="207"/>
      <c r="R690" s="207"/>
      <c r="S690" s="207"/>
      <c r="T690" s="207"/>
      <c r="U690" s="209"/>
      <c r="V690" s="207"/>
      <c r="W690" s="207"/>
      <c r="X690" s="209"/>
      <c r="Y690" s="209"/>
      <c r="Z690" s="207" t="str">
        <f t="shared" ca="1" si="97"/>
        <v/>
      </c>
      <c r="AA690" s="209" t="str">
        <f t="shared" si="101"/>
        <v/>
      </c>
      <c r="AB690" s="209"/>
      <c r="AC690" s="207" t="str">
        <f t="shared" ca="1" si="98"/>
        <v/>
      </c>
      <c r="AD690" s="207"/>
      <c r="AE690" s="207"/>
      <c r="AF690" s="208" t="str">
        <f>IF(ISBLANK(D690),"",VLOOKUP(F690,'SIZE CALCULATION'!$F:$G,2,0))</f>
        <v/>
      </c>
      <c r="AG690" s="207" t="str">
        <f t="shared" si="96"/>
        <v/>
      </c>
      <c r="AH690" s="207" t="str">
        <f t="shared" si="99"/>
        <v/>
      </c>
      <c r="AI690" s="210" t="str">
        <f>IF(ISBLANK(D690),"",VLOOKUP($A690,INDEX!$D$2:$F$13,3,0))</f>
        <v/>
      </c>
      <c r="AJ690" s="207" t="str">
        <f t="shared" si="100"/>
        <v/>
      </c>
      <c r="AK690" s="207"/>
      <c r="AL690" s="207"/>
      <c r="AM690" s="207" t="str">
        <f>IFERROR(IF(ISBLANK($D690),"",VLOOKUP($N690,'TABLE CHARGE RATE'!$A$30:$K$106,5,0)),"Check")</f>
        <v/>
      </c>
      <c r="AN690" s="207" t="str">
        <f>IFERROR(IF(ISBLANK($D690),"",VLOOKUP($N690,'TABLE CHARGE RATE'!$A$30:$K$106,6,0)),"Check")</f>
        <v/>
      </c>
      <c r="AO690" s="207" t="str">
        <f>IFERROR(IF(ISBLANK($D690),"",VLOOKUP($N690,'TABLE CHARGE RATE'!$A$30:$K$106,7,0)),"Check")</f>
        <v/>
      </c>
      <c r="AP690" s="207" t="str">
        <f>IFERROR(IF(ISBLANK($D690),"",VLOOKUP($N690,'TABLE CHARGE RATE'!$A$30:$K$106,8,0)),"Check")</f>
        <v/>
      </c>
      <c r="AQ690" s="207" t="str">
        <f>IFERROR(IF(ISBLANK($D690),"",VLOOKUP($N690,'TABLE CHARGE RATE'!$A$30:$K$106,9,0)),"Check")</f>
        <v/>
      </c>
      <c r="AR690" s="207" t="str">
        <f>IFERROR(IF(ISBLANK($D690),"",VLOOKUP($N690,'TABLE CHARGE RATE'!$A$30:$K$106,10,0)),"Check")</f>
        <v/>
      </c>
      <c r="AS690" s="207" t="str">
        <f>IFERROR(IF(ISBLANK($D690),"",VLOOKUP($N690,'TABLE CHARGE RATE'!$A$30:$K$106,11,0)),"Check")</f>
        <v/>
      </c>
      <c r="AT690" s="207"/>
    </row>
    <row r="691" spans="1:46" x14ac:dyDescent="0.2">
      <c r="A691" s="207" t="str">
        <f t="shared" si="102"/>
        <v/>
      </c>
      <c r="B691" s="208" t="str">
        <f>IF(ISBLANK(D691),"",VLOOKUP(WEEKDAY($C691,1),INDEX!$J$2:$K$8,2,0))</f>
        <v/>
      </c>
      <c r="C691" s="209"/>
      <c r="D691" s="207"/>
      <c r="E691" s="207"/>
      <c r="F691" s="207"/>
      <c r="G691" s="207"/>
      <c r="H691" s="207"/>
      <c r="I691" s="207"/>
      <c r="J691" s="207"/>
      <c r="K691" s="207"/>
      <c r="L691" s="207"/>
      <c r="M691" s="207"/>
      <c r="N691" s="207"/>
      <c r="O691" s="207"/>
      <c r="P691" s="207"/>
      <c r="Q691" s="207"/>
      <c r="R691" s="207"/>
      <c r="S691" s="207"/>
      <c r="T691" s="207"/>
      <c r="U691" s="209"/>
      <c r="V691" s="207"/>
      <c r="W691" s="207"/>
      <c r="X691" s="209"/>
      <c r="Y691" s="209"/>
      <c r="Z691" s="207" t="str">
        <f t="shared" ca="1" si="97"/>
        <v/>
      </c>
      <c r="AA691" s="209" t="str">
        <f t="shared" si="101"/>
        <v/>
      </c>
      <c r="AB691" s="209"/>
      <c r="AC691" s="207" t="str">
        <f t="shared" ca="1" si="98"/>
        <v/>
      </c>
      <c r="AD691" s="207"/>
      <c r="AE691" s="207"/>
      <c r="AF691" s="208" t="str">
        <f>IF(ISBLANK(D691),"",VLOOKUP(F691,'SIZE CALCULATION'!$F:$G,2,0))</f>
        <v/>
      </c>
      <c r="AG691" s="207" t="str">
        <f t="shared" ref="AG691:AG754" si="103">IF(ISBLANK(D691),"",HLOOKUP($AF691,$AM$1:$AR$966,$AT691,0))</f>
        <v/>
      </c>
      <c r="AH691" s="207" t="str">
        <f t="shared" si="99"/>
        <v/>
      </c>
      <c r="AI691" s="210" t="str">
        <f>IF(ISBLANK(D691),"",VLOOKUP($A691,INDEX!$D$2:$F$13,3,0))</f>
        <v/>
      </c>
      <c r="AJ691" s="207" t="str">
        <f t="shared" si="100"/>
        <v/>
      </c>
      <c r="AK691" s="207"/>
      <c r="AL691" s="207"/>
      <c r="AM691" s="207" t="str">
        <f>IFERROR(IF(ISBLANK($D691),"",VLOOKUP($N691,'TABLE CHARGE RATE'!$A$30:$K$106,5,0)),"Check")</f>
        <v/>
      </c>
      <c r="AN691" s="207" t="str">
        <f>IFERROR(IF(ISBLANK($D691),"",VLOOKUP($N691,'TABLE CHARGE RATE'!$A$30:$K$106,6,0)),"Check")</f>
        <v/>
      </c>
      <c r="AO691" s="207" t="str">
        <f>IFERROR(IF(ISBLANK($D691),"",VLOOKUP($N691,'TABLE CHARGE RATE'!$A$30:$K$106,7,0)),"Check")</f>
        <v/>
      </c>
      <c r="AP691" s="207" t="str">
        <f>IFERROR(IF(ISBLANK($D691),"",VLOOKUP($N691,'TABLE CHARGE RATE'!$A$30:$K$106,8,0)),"Check")</f>
        <v/>
      </c>
      <c r="AQ691" s="207" t="str">
        <f>IFERROR(IF(ISBLANK($D691),"",VLOOKUP($N691,'TABLE CHARGE RATE'!$A$30:$K$106,9,0)),"Check")</f>
        <v/>
      </c>
      <c r="AR691" s="207" t="str">
        <f>IFERROR(IF(ISBLANK($D691),"",VLOOKUP($N691,'TABLE CHARGE RATE'!$A$30:$K$106,10,0)),"Check")</f>
        <v/>
      </c>
      <c r="AS691" s="207" t="str">
        <f>IFERROR(IF(ISBLANK($D691),"",VLOOKUP($N691,'TABLE CHARGE RATE'!$A$30:$K$106,11,0)),"Check")</f>
        <v/>
      </c>
      <c r="AT691" s="207"/>
    </row>
    <row r="692" spans="1:46" x14ac:dyDescent="0.2">
      <c r="A692" s="207" t="str">
        <f t="shared" si="102"/>
        <v/>
      </c>
      <c r="B692" s="208" t="str">
        <f>IF(ISBLANK(D692),"",VLOOKUP(WEEKDAY($C692,1),INDEX!$J$2:$K$8,2,0))</f>
        <v/>
      </c>
      <c r="C692" s="209"/>
      <c r="D692" s="207"/>
      <c r="E692" s="207"/>
      <c r="F692" s="207"/>
      <c r="G692" s="207"/>
      <c r="H692" s="207"/>
      <c r="I692" s="207"/>
      <c r="J692" s="207"/>
      <c r="K692" s="207"/>
      <c r="L692" s="207"/>
      <c r="M692" s="207"/>
      <c r="N692" s="207"/>
      <c r="O692" s="207"/>
      <c r="P692" s="207"/>
      <c r="Q692" s="207"/>
      <c r="R692" s="207"/>
      <c r="S692" s="207"/>
      <c r="T692" s="207"/>
      <c r="U692" s="209"/>
      <c r="V692" s="207"/>
      <c r="W692" s="207"/>
      <c r="X692" s="209"/>
      <c r="Y692" s="209"/>
      <c r="Z692" s="207" t="str">
        <f t="shared" ca="1" si="97"/>
        <v/>
      </c>
      <c r="AA692" s="209" t="str">
        <f t="shared" si="101"/>
        <v/>
      </c>
      <c r="AB692" s="209"/>
      <c r="AC692" s="207" t="str">
        <f t="shared" ca="1" si="98"/>
        <v/>
      </c>
      <c r="AD692" s="207"/>
      <c r="AE692" s="207"/>
      <c r="AF692" s="208" t="str">
        <f>IF(ISBLANK(D692),"",VLOOKUP(F692,'SIZE CALCULATION'!$F:$G,2,0))</f>
        <v/>
      </c>
      <c r="AG692" s="207" t="str">
        <f t="shared" si="103"/>
        <v/>
      </c>
      <c r="AH692" s="207" t="str">
        <f t="shared" si="99"/>
        <v/>
      </c>
      <c r="AI692" s="210" t="str">
        <f>IF(ISBLANK(D692),"",VLOOKUP($A692,INDEX!$D$2:$F$13,3,0))</f>
        <v/>
      </c>
      <c r="AJ692" s="207" t="str">
        <f t="shared" si="100"/>
        <v/>
      </c>
      <c r="AK692" s="207"/>
      <c r="AL692" s="207"/>
      <c r="AM692" s="207" t="str">
        <f>IFERROR(IF(ISBLANK($D692),"",VLOOKUP($N692,'TABLE CHARGE RATE'!$A$30:$K$106,5,0)),"Check")</f>
        <v/>
      </c>
      <c r="AN692" s="207" t="str">
        <f>IFERROR(IF(ISBLANK($D692),"",VLOOKUP($N692,'TABLE CHARGE RATE'!$A$30:$K$106,6,0)),"Check")</f>
        <v/>
      </c>
      <c r="AO692" s="207" t="str">
        <f>IFERROR(IF(ISBLANK($D692),"",VLOOKUP($N692,'TABLE CHARGE RATE'!$A$30:$K$106,7,0)),"Check")</f>
        <v/>
      </c>
      <c r="AP692" s="207" t="str">
        <f>IFERROR(IF(ISBLANK($D692),"",VLOOKUP($N692,'TABLE CHARGE RATE'!$A$30:$K$106,8,0)),"Check")</f>
        <v/>
      </c>
      <c r="AQ692" s="207" t="str">
        <f>IFERROR(IF(ISBLANK($D692),"",VLOOKUP($N692,'TABLE CHARGE RATE'!$A$30:$K$106,9,0)),"Check")</f>
        <v/>
      </c>
      <c r="AR692" s="207" t="str">
        <f>IFERROR(IF(ISBLANK($D692),"",VLOOKUP($N692,'TABLE CHARGE RATE'!$A$30:$K$106,10,0)),"Check")</f>
        <v/>
      </c>
      <c r="AS692" s="207" t="str">
        <f>IFERROR(IF(ISBLANK($D692),"",VLOOKUP($N692,'TABLE CHARGE RATE'!$A$30:$K$106,11,0)),"Check")</f>
        <v/>
      </c>
      <c r="AT692" s="207"/>
    </row>
    <row r="693" spans="1:46" x14ac:dyDescent="0.2">
      <c r="A693" s="207" t="str">
        <f t="shared" si="102"/>
        <v/>
      </c>
      <c r="B693" s="208" t="str">
        <f>IF(ISBLANK(D693),"",VLOOKUP(WEEKDAY($C693,1),INDEX!$J$2:$K$8,2,0))</f>
        <v/>
      </c>
      <c r="C693" s="209"/>
      <c r="D693" s="207"/>
      <c r="E693" s="207"/>
      <c r="F693" s="207"/>
      <c r="G693" s="207"/>
      <c r="H693" s="207"/>
      <c r="I693" s="207"/>
      <c r="J693" s="207"/>
      <c r="K693" s="207"/>
      <c r="L693" s="207"/>
      <c r="M693" s="207"/>
      <c r="N693" s="207"/>
      <c r="O693" s="207"/>
      <c r="P693" s="207"/>
      <c r="Q693" s="207"/>
      <c r="R693" s="207"/>
      <c r="S693" s="207"/>
      <c r="T693" s="207"/>
      <c r="U693" s="209"/>
      <c r="V693" s="207"/>
      <c r="W693" s="207"/>
      <c r="X693" s="209"/>
      <c r="Y693" s="209"/>
      <c r="Z693" s="207" t="str">
        <f t="shared" ca="1" si="97"/>
        <v/>
      </c>
      <c r="AA693" s="209" t="str">
        <f t="shared" si="101"/>
        <v/>
      </c>
      <c r="AB693" s="209"/>
      <c r="AC693" s="207" t="str">
        <f t="shared" ca="1" si="98"/>
        <v/>
      </c>
      <c r="AD693" s="207"/>
      <c r="AE693" s="207"/>
      <c r="AF693" s="208" t="str">
        <f>IF(ISBLANK(D693),"",VLOOKUP(F693,'SIZE CALCULATION'!$F:$G,2,0))</f>
        <v/>
      </c>
      <c r="AG693" s="207" t="str">
        <f t="shared" si="103"/>
        <v/>
      </c>
      <c r="AH693" s="207" t="str">
        <f t="shared" si="99"/>
        <v/>
      </c>
      <c r="AI693" s="210" t="str">
        <f>IF(ISBLANK(D693),"",VLOOKUP($A693,INDEX!$D$2:$F$13,3,0))</f>
        <v/>
      </c>
      <c r="AJ693" s="207" t="str">
        <f t="shared" si="100"/>
        <v/>
      </c>
      <c r="AK693" s="207"/>
      <c r="AL693" s="207"/>
      <c r="AM693" s="207" t="str">
        <f>IFERROR(IF(ISBLANK($D693),"",VLOOKUP($N693,'TABLE CHARGE RATE'!$A$30:$K$106,5,0)),"Check")</f>
        <v/>
      </c>
      <c r="AN693" s="207" t="str">
        <f>IFERROR(IF(ISBLANK($D693),"",VLOOKUP($N693,'TABLE CHARGE RATE'!$A$30:$K$106,6,0)),"Check")</f>
        <v/>
      </c>
      <c r="AO693" s="207" t="str">
        <f>IFERROR(IF(ISBLANK($D693),"",VLOOKUP($N693,'TABLE CHARGE RATE'!$A$30:$K$106,7,0)),"Check")</f>
        <v/>
      </c>
      <c r="AP693" s="207" t="str">
        <f>IFERROR(IF(ISBLANK($D693),"",VLOOKUP($N693,'TABLE CHARGE RATE'!$A$30:$K$106,8,0)),"Check")</f>
        <v/>
      </c>
      <c r="AQ693" s="207" t="str">
        <f>IFERROR(IF(ISBLANK($D693),"",VLOOKUP($N693,'TABLE CHARGE RATE'!$A$30:$K$106,9,0)),"Check")</f>
        <v/>
      </c>
      <c r="AR693" s="207" t="str">
        <f>IFERROR(IF(ISBLANK($D693),"",VLOOKUP($N693,'TABLE CHARGE RATE'!$A$30:$K$106,10,0)),"Check")</f>
        <v/>
      </c>
      <c r="AS693" s="207" t="str">
        <f>IFERROR(IF(ISBLANK($D693),"",VLOOKUP($N693,'TABLE CHARGE RATE'!$A$30:$K$106,11,0)),"Check")</f>
        <v/>
      </c>
      <c r="AT693" s="207"/>
    </row>
    <row r="694" spans="1:46" x14ac:dyDescent="0.2">
      <c r="A694" s="207" t="str">
        <f t="shared" si="102"/>
        <v/>
      </c>
      <c r="B694" s="208" t="str">
        <f>IF(ISBLANK(D694),"",VLOOKUP(WEEKDAY($C694,1),INDEX!$J$2:$K$8,2,0))</f>
        <v/>
      </c>
      <c r="C694" s="209"/>
      <c r="D694" s="207"/>
      <c r="E694" s="207"/>
      <c r="F694" s="207"/>
      <c r="G694" s="207"/>
      <c r="H694" s="207"/>
      <c r="I694" s="207"/>
      <c r="J694" s="207"/>
      <c r="K694" s="207"/>
      <c r="L694" s="207"/>
      <c r="M694" s="207"/>
      <c r="N694" s="207"/>
      <c r="O694" s="207"/>
      <c r="P694" s="207"/>
      <c r="Q694" s="207"/>
      <c r="R694" s="207"/>
      <c r="S694" s="207"/>
      <c r="T694" s="207"/>
      <c r="U694" s="209"/>
      <c r="V694" s="207"/>
      <c r="W694" s="207"/>
      <c r="X694" s="209"/>
      <c r="Y694" s="209"/>
      <c r="Z694" s="207" t="str">
        <f t="shared" ca="1" si="97"/>
        <v/>
      </c>
      <c r="AA694" s="209" t="str">
        <f t="shared" si="101"/>
        <v/>
      </c>
      <c r="AB694" s="209"/>
      <c r="AC694" s="207" t="str">
        <f t="shared" ca="1" si="98"/>
        <v/>
      </c>
      <c r="AD694" s="207"/>
      <c r="AE694" s="207"/>
      <c r="AF694" s="208" t="str">
        <f>IF(ISBLANK(D694),"",VLOOKUP(F694,'SIZE CALCULATION'!$F:$G,2,0))</f>
        <v/>
      </c>
      <c r="AG694" s="207" t="str">
        <f t="shared" si="103"/>
        <v/>
      </c>
      <c r="AH694" s="207" t="str">
        <f t="shared" si="99"/>
        <v/>
      </c>
      <c r="AI694" s="210" t="str">
        <f>IF(ISBLANK(D694),"",VLOOKUP($A694,INDEX!$D$2:$F$13,3,0))</f>
        <v/>
      </c>
      <c r="AJ694" s="207" t="str">
        <f t="shared" si="100"/>
        <v/>
      </c>
      <c r="AK694" s="207"/>
      <c r="AL694" s="207"/>
      <c r="AM694" s="207" t="str">
        <f>IFERROR(IF(ISBLANK($D694),"",VLOOKUP($N694,'TABLE CHARGE RATE'!$A$30:$K$106,5,0)),"Check")</f>
        <v/>
      </c>
      <c r="AN694" s="207" t="str">
        <f>IFERROR(IF(ISBLANK($D694),"",VLOOKUP($N694,'TABLE CHARGE RATE'!$A$30:$K$106,6,0)),"Check")</f>
        <v/>
      </c>
      <c r="AO694" s="207" t="str">
        <f>IFERROR(IF(ISBLANK($D694),"",VLOOKUP($N694,'TABLE CHARGE RATE'!$A$30:$K$106,7,0)),"Check")</f>
        <v/>
      </c>
      <c r="AP694" s="207" t="str">
        <f>IFERROR(IF(ISBLANK($D694),"",VLOOKUP($N694,'TABLE CHARGE RATE'!$A$30:$K$106,8,0)),"Check")</f>
        <v/>
      </c>
      <c r="AQ694" s="207" t="str">
        <f>IFERROR(IF(ISBLANK($D694),"",VLOOKUP($N694,'TABLE CHARGE RATE'!$A$30:$K$106,9,0)),"Check")</f>
        <v/>
      </c>
      <c r="AR694" s="207" t="str">
        <f>IFERROR(IF(ISBLANK($D694),"",VLOOKUP($N694,'TABLE CHARGE RATE'!$A$30:$K$106,10,0)),"Check")</f>
        <v/>
      </c>
      <c r="AS694" s="207" t="str">
        <f>IFERROR(IF(ISBLANK($D694),"",VLOOKUP($N694,'TABLE CHARGE RATE'!$A$30:$K$106,11,0)),"Check")</f>
        <v/>
      </c>
      <c r="AT694" s="207"/>
    </row>
    <row r="695" spans="1:46" x14ac:dyDescent="0.2">
      <c r="A695" s="207" t="str">
        <f t="shared" si="102"/>
        <v/>
      </c>
      <c r="B695" s="208" t="str">
        <f>IF(ISBLANK(D695),"",VLOOKUP(WEEKDAY($C695,1),INDEX!$J$2:$K$8,2,0))</f>
        <v/>
      </c>
      <c r="C695" s="209"/>
      <c r="D695" s="207"/>
      <c r="E695" s="207"/>
      <c r="F695" s="207"/>
      <c r="G695" s="207"/>
      <c r="H695" s="207"/>
      <c r="I695" s="207"/>
      <c r="J695" s="207"/>
      <c r="K695" s="207"/>
      <c r="L695" s="207"/>
      <c r="M695" s="207"/>
      <c r="N695" s="207"/>
      <c r="O695" s="207"/>
      <c r="P695" s="207"/>
      <c r="Q695" s="207"/>
      <c r="R695" s="207"/>
      <c r="S695" s="207"/>
      <c r="T695" s="207"/>
      <c r="U695" s="209"/>
      <c r="V695" s="207"/>
      <c r="W695" s="207"/>
      <c r="X695" s="209"/>
      <c r="Y695" s="209"/>
      <c r="Z695" s="207" t="str">
        <f t="shared" ca="1" si="97"/>
        <v/>
      </c>
      <c r="AA695" s="209" t="str">
        <f t="shared" si="101"/>
        <v/>
      </c>
      <c r="AB695" s="209"/>
      <c r="AC695" s="207" t="str">
        <f t="shared" ca="1" si="98"/>
        <v/>
      </c>
      <c r="AD695" s="207"/>
      <c r="AE695" s="207"/>
      <c r="AF695" s="208" t="str">
        <f>IF(ISBLANK(D695),"",VLOOKUP(F695,'SIZE CALCULATION'!$F:$G,2,0))</f>
        <v/>
      </c>
      <c r="AG695" s="207" t="str">
        <f t="shared" si="103"/>
        <v/>
      </c>
      <c r="AH695" s="207" t="str">
        <f t="shared" si="99"/>
        <v/>
      </c>
      <c r="AI695" s="210" t="str">
        <f>IF(ISBLANK(D695),"",VLOOKUP($A695,INDEX!$D$2:$F$13,3,0))</f>
        <v/>
      </c>
      <c r="AJ695" s="207" t="str">
        <f t="shared" si="100"/>
        <v/>
      </c>
      <c r="AK695" s="207"/>
      <c r="AL695" s="207"/>
      <c r="AM695" s="207" t="str">
        <f>IFERROR(IF(ISBLANK($D695),"",VLOOKUP($N695,'TABLE CHARGE RATE'!$A$30:$K$106,5,0)),"Check")</f>
        <v/>
      </c>
      <c r="AN695" s="207" t="str">
        <f>IFERROR(IF(ISBLANK($D695),"",VLOOKUP($N695,'TABLE CHARGE RATE'!$A$30:$K$106,6,0)),"Check")</f>
        <v/>
      </c>
      <c r="AO695" s="207" t="str">
        <f>IFERROR(IF(ISBLANK($D695),"",VLOOKUP($N695,'TABLE CHARGE RATE'!$A$30:$K$106,7,0)),"Check")</f>
        <v/>
      </c>
      <c r="AP695" s="207" t="str">
        <f>IFERROR(IF(ISBLANK($D695),"",VLOOKUP($N695,'TABLE CHARGE RATE'!$A$30:$K$106,8,0)),"Check")</f>
        <v/>
      </c>
      <c r="AQ695" s="207" t="str">
        <f>IFERROR(IF(ISBLANK($D695),"",VLOOKUP($N695,'TABLE CHARGE RATE'!$A$30:$K$106,9,0)),"Check")</f>
        <v/>
      </c>
      <c r="AR695" s="207" t="str">
        <f>IFERROR(IF(ISBLANK($D695),"",VLOOKUP($N695,'TABLE CHARGE RATE'!$A$30:$K$106,10,0)),"Check")</f>
        <v/>
      </c>
      <c r="AS695" s="207" t="str">
        <f>IFERROR(IF(ISBLANK($D695),"",VLOOKUP($N695,'TABLE CHARGE RATE'!$A$30:$K$106,11,0)),"Check")</f>
        <v/>
      </c>
      <c r="AT695" s="207"/>
    </row>
    <row r="696" spans="1:46" x14ac:dyDescent="0.2">
      <c r="A696" s="207" t="str">
        <f t="shared" si="102"/>
        <v/>
      </c>
      <c r="B696" s="208" t="str">
        <f>IF(ISBLANK(D696),"",VLOOKUP(WEEKDAY($C696,1),INDEX!$J$2:$K$8,2,0))</f>
        <v/>
      </c>
      <c r="C696" s="209"/>
      <c r="D696" s="207"/>
      <c r="E696" s="207"/>
      <c r="F696" s="207"/>
      <c r="G696" s="207"/>
      <c r="H696" s="207"/>
      <c r="I696" s="207"/>
      <c r="J696" s="207"/>
      <c r="K696" s="207"/>
      <c r="L696" s="207"/>
      <c r="M696" s="207"/>
      <c r="N696" s="207"/>
      <c r="O696" s="207"/>
      <c r="P696" s="207"/>
      <c r="Q696" s="207"/>
      <c r="R696" s="207"/>
      <c r="S696" s="207"/>
      <c r="T696" s="207"/>
      <c r="U696" s="209"/>
      <c r="V696" s="207"/>
      <c r="W696" s="207"/>
      <c r="X696" s="209"/>
      <c r="Y696" s="209"/>
      <c r="Z696" s="207" t="str">
        <f t="shared" ca="1" si="97"/>
        <v/>
      </c>
      <c r="AA696" s="209" t="str">
        <f t="shared" si="101"/>
        <v/>
      </c>
      <c r="AB696" s="209"/>
      <c r="AC696" s="207" t="str">
        <f t="shared" ca="1" si="98"/>
        <v/>
      </c>
      <c r="AD696" s="207"/>
      <c r="AE696" s="207"/>
      <c r="AF696" s="208" t="str">
        <f>IF(ISBLANK(D696),"",VLOOKUP(F696,'SIZE CALCULATION'!$F:$G,2,0))</f>
        <v/>
      </c>
      <c r="AG696" s="207" t="str">
        <f t="shared" si="103"/>
        <v/>
      </c>
      <c r="AH696" s="207" t="str">
        <f t="shared" si="99"/>
        <v/>
      </c>
      <c r="AI696" s="210" t="str">
        <f>IF(ISBLANK(D696),"",VLOOKUP($A696,INDEX!$D$2:$F$13,3,0))</f>
        <v/>
      </c>
      <c r="AJ696" s="207" t="str">
        <f t="shared" si="100"/>
        <v/>
      </c>
      <c r="AK696" s="207"/>
      <c r="AL696" s="207"/>
      <c r="AM696" s="207" t="str">
        <f>IFERROR(IF(ISBLANK($D696),"",VLOOKUP($N696,'TABLE CHARGE RATE'!$A$30:$K$106,5,0)),"Check")</f>
        <v/>
      </c>
      <c r="AN696" s="207" t="str">
        <f>IFERROR(IF(ISBLANK($D696),"",VLOOKUP($N696,'TABLE CHARGE RATE'!$A$30:$K$106,6,0)),"Check")</f>
        <v/>
      </c>
      <c r="AO696" s="207" t="str">
        <f>IFERROR(IF(ISBLANK($D696),"",VLOOKUP($N696,'TABLE CHARGE RATE'!$A$30:$K$106,7,0)),"Check")</f>
        <v/>
      </c>
      <c r="AP696" s="207" t="str">
        <f>IFERROR(IF(ISBLANK($D696),"",VLOOKUP($N696,'TABLE CHARGE RATE'!$A$30:$K$106,8,0)),"Check")</f>
        <v/>
      </c>
      <c r="AQ696" s="207" t="str">
        <f>IFERROR(IF(ISBLANK($D696),"",VLOOKUP($N696,'TABLE CHARGE RATE'!$A$30:$K$106,9,0)),"Check")</f>
        <v/>
      </c>
      <c r="AR696" s="207" t="str">
        <f>IFERROR(IF(ISBLANK($D696),"",VLOOKUP($N696,'TABLE CHARGE RATE'!$A$30:$K$106,10,0)),"Check")</f>
        <v/>
      </c>
      <c r="AS696" s="207" t="str">
        <f>IFERROR(IF(ISBLANK($D696),"",VLOOKUP($N696,'TABLE CHARGE RATE'!$A$30:$K$106,11,0)),"Check")</f>
        <v/>
      </c>
      <c r="AT696" s="207"/>
    </row>
    <row r="697" spans="1:46" x14ac:dyDescent="0.2">
      <c r="A697" s="207" t="str">
        <f t="shared" si="102"/>
        <v/>
      </c>
      <c r="B697" s="208" t="str">
        <f>IF(ISBLANK(D697),"",VLOOKUP(WEEKDAY($C697,1),INDEX!$J$2:$K$8,2,0))</f>
        <v/>
      </c>
      <c r="C697" s="209"/>
      <c r="D697" s="207"/>
      <c r="E697" s="207"/>
      <c r="F697" s="207"/>
      <c r="G697" s="207"/>
      <c r="H697" s="207"/>
      <c r="I697" s="207"/>
      <c r="J697" s="207"/>
      <c r="K697" s="207"/>
      <c r="L697" s="207"/>
      <c r="M697" s="207"/>
      <c r="N697" s="207"/>
      <c r="O697" s="207"/>
      <c r="P697" s="207"/>
      <c r="Q697" s="207"/>
      <c r="R697" s="207"/>
      <c r="S697" s="207"/>
      <c r="T697" s="207"/>
      <c r="U697" s="209"/>
      <c r="V697" s="207"/>
      <c r="W697" s="207"/>
      <c r="X697" s="209"/>
      <c r="Y697" s="209"/>
      <c r="Z697" s="207" t="str">
        <f t="shared" ca="1" si="97"/>
        <v/>
      </c>
      <c r="AA697" s="209" t="str">
        <f t="shared" si="101"/>
        <v/>
      </c>
      <c r="AB697" s="209"/>
      <c r="AC697" s="207" t="str">
        <f t="shared" ca="1" si="98"/>
        <v/>
      </c>
      <c r="AD697" s="207"/>
      <c r="AE697" s="207"/>
      <c r="AF697" s="208" t="str">
        <f>IF(ISBLANK(D697),"",VLOOKUP(F697,'SIZE CALCULATION'!$F:$G,2,0))</f>
        <v/>
      </c>
      <c r="AG697" s="207" t="str">
        <f t="shared" si="103"/>
        <v/>
      </c>
      <c r="AH697" s="207" t="str">
        <f t="shared" si="99"/>
        <v/>
      </c>
      <c r="AI697" s="210" t="str">
        <f>IF(ISBLANK(D697),"",VLOOKUP($A697,INDEX!$D$2:$F$13,3,0))</f>
        <v/>
      </c>
      <c r="AJ697" s="207" t="str">
        <f t="shared" si="100"/>
        <v/>
      </c>
      <c r="AK697" s="207"/>
      <c r="AL697" s="207"/>
      <c r="AM697" s="207" t="str">
        <f>IFERROR(IF(ISBLANK($D697),"",VLOOKUP($N697,'TABLE CHARGE RATE'!$A$30:$K$106,5,0)),"Check")</f>
        <v/>
      </c>
      <c r="AN697" s="207" t="str">
        <f>IFERROR(IF(ISBLANK($D697),"",VLOOKUP($N697,'TABLE CHARGE RATE'!$A$30:$K$106,6,0)),"Check")</f>
        <v/>
      </c>
      <c r="AO697" s="207" t="str">
        <f>IFERROR(IF(ISBLANK($D697),"",VLOOKUP($N697,'TABLE CHARGE RATE'!$A$30:$K$106,7,0)),"Check")</f>
        <v/>
      </c>
      <c r="AP697" s="207" t="str">
        <f>IFERROR(IF(ISBLANK($D697),"",VLOOKUP($N697,'TABLE CHARGE RATE'!$A$30:$K$106,8,0)),"Check")</f>
        <v/>
      </c>
      <c r="AQ697" s="207" t="str">
        <f>IFERROR(IF(ISBLANK($D697),"",VLOOKUP($N697,'TABLE CHARGE RATE'!$A$30:$K$106,9,0)),"Check")</f>
        <v/>
      </c>
      <c r="AR697" s="207" t="str">
        <f>IFERROR(IF(ISBLANK($D697),"",VLOOKUP($N697,'TABLE CHARGE RATE'!$A$30:$K$106,10,0)),"Check")</f>
        <v/>
      </c>
      <c r="AS697" s="207" t="str">
        <f>IFERROR(IF(ISBLANK($D697),"",VLOOKUP($N697,'TABLE CHARGE RATE'!$A$30:$K$106,11,0)),"Check")</f>
        <v/>
      </c>
      <c r="AT697" s="207"/>
    </row>
    <row r="698" spans="1:46" x14ac:dyDescent="0.2">
      <c r="A698" s="207" t="str">
        <f t="shared" si="102"/>
        <v/>
      </c>
      <c r="B698" s="208" t="str">
        <f>IF(ISBLANK(D698),"",VLOOKUP(WEEKDAY($C698,1),INDEX!$J$2:$K$8,2,0))</f>
        <v/>
      </c>
      <c r="C698" s="209"/>
      <c r="D698" s="207"/>
      <c r="E698" s="207"/>
      <c r="F698" s="207"/>
      <c r="G698" s="207"/>
      <c r="H698" s="207"/>
      <c r="I698" s="207"/>
      <c r="J698" s="207"/>
      <c r="K698" s="207"/>
      <c r="L698" s="207"/>
      <c r="M698" s="207"/>
      <c r="N698" s="207"/>
      <c r="O698" s="207"/>
      <c r="P698" s="207"/>
      <c r="Q698" s="207"/>
      <c r="R698" s="207"/>
      <c r="S698" s="207"/>
      <c r="T698" s="207"/>
      <c r="U698" s="209"/>
      <c r="V698" s="207"/>
      <c r="W698" s="207"/>
      <c r="X698" s="209"/>
      <c r="Y698" s="209"/>
      <c r="Z698" s="207" t="str">
        <f t="shared" ca="1" si="97"/>
        <v/>
      </c>
      <c r="AA698" s="209" t="str">
        <f t="shared" si="101"/>
        <v/>
      </c>
      <c r="AB698" s="209"/>
      <c r="AC698" s="207" t="str">
        <f t="shared" ca="1" si="98"/>
        <v/>
      </c>
      <c r="AD698" s="207"/>
      <c r="AE698" s="207"/>
      <c r="AF698" s="208" t="str">
        <f>IF(ISBLANK(D698),"",VLOOKUP(F698,'SIZE CALCULATION'!$F:$G,2,0))</f>
        <v/>
      </c>
      <c r="AG698" s="207" t="str">
        <f t="shared" si="103"/>
        <v/>
      </c>
      <c r="AH698" s="207" t="str">
        <f t="shared" si="99"/>
        <v/>
      </c>
      <c r="AI698" s="210" t="str">
        <f>IF(ISBLANK(D698),"",VLOOKUP($A698,INDEX!$D$2:$F$13,3,0))</f>
        <v/>
      </c>
      <c r="AJ698" s="207" t="str">
        <f t="shared" si="100"/>
        <v/>
      </c>
      <c r="AK698" s="207"/>
      <c r="AL698" s="207"/>
      <c r="AM698" s="207" t="str">
        <f>IFERROR(IF(ISBLANK($D698),"",VLOOKUP($N698,'TABLE CHARGE RATE'!$A$30:$K$106,5,0)),"Check")</f>
        <v/>
      </c>
      <c r="AN698" s="207" t="str">
        <f>IFERROR(IF(ISBLANK($D698),"",VLOOKUP($N698,'TABLE CHARGE RATE'!$A$30:$K$106,6,0)),"Check")</f>
        <v/>
      </c>
      <c r="AO698" s="207" t="str">
        <f>IFERROR(IF(ISBLANK($D698),"",VLOOKUP($N698,'TABLE CHARGE RATE'!$A$30:$K$106,7,0)),"Check")</f>
        <v/>
      </c>
      <c r="AP698" s="207" t="str">
        <f>IFERROR(IF(ISBLANK($D698),"",VLOOKUP($N698,'TABLE CHARGE RATE'!$A$30:$K$106,8,0)),"Check")</f>
        <v/>
      </c>
      <c r="AQ698" s="207" t="str">
        <f>IFERROR(IF(ISBLANK($D698),"",VLOOKUP($N698,'TABLE CHARGE RATE'!$A$30:$K$106,9,0)),"Check")</f>
        <v/>
      </c>
      <c r="AR698" s="207" t="str">
        <f>IFERROR(IF(ISBLANK($D698),"",VLOOKUP($N698,'TABLE CHARGE RATE'!$A$30:$K$106,10,0)),"Check")</f>
        <v/>
      </c>
      <c r="AS698" s="207" t="str">
        <f>IFERROR(IF(ISBLANK($D698),"",VLOOKUP($N698,'TABLE CHARGE RATE'!$A$30:$K$106,11,0)),"Check")</f>
        <v/>
      </c>
      <c r="AT698" s="207"/>
    </row>
    <row r="699" spans="1:46" x14ac:dyDescent="0.2">
      <c r="A699" s="207" t="str">
        <f t="shared" si="102"/>
        <v/>
      </c>
      <c r="B699" s="208" t="str">
        <f>IF(ISBLANK(D699),"",VLOOKUP(WEEKDAY($C699,1),INDEX!$J$2:$K$8,2,0))</f>
        <v/>
      </c>
      <c r="C699" s="209"/>
      <c r="D699" s="207"/>
      <c r="E699" s="207"/>
      <c r="F699" s="207"/>
      <c r="G699" s="207"/>
      <c r="H699" s="207"/>
      <c r="I699" s="207"/>
      <c r="J699" s="207"/>
      <c r="K699" s="207"/>
      <c r="L699" s="207"/>
      <c r="M699" s="207"/>
      <c r="N699" s="207"/>
      <c r="O699" s="207"/>
      <c r="P699" s="207"/>
      <c r="Q699" s="207"/>
      <c r="R699" s="207"/>
      <c r="S699" s="207"/>
      <c r="T699" s="207"/>
      <c r="U699" s="209"/>
      <c r="V699" s="207"/>
      <c r="W699" s="207"/>
      <c r="X699" s="209"/>
      <c r="Y699" s="209"/>
      <c r="Z699" s="207" t="str">
        <f t="shared" ca="1" si="97"/>
        <v/>
      </c>
      <c r="AA699" s="209" t="str">
        <f t="shared" si="101"/>
        <v/>
      </c>
      <c r="AB699" s="209"/>
      <c r="AC699" s="207" t="str">
        <f t="shared" ca="1" si="98"/>
        <v/>
      </c>
      <c r="AD699" s="207"/>
      <c r="AE699" s="207"/>
      <c r="AF699" s="208" t="str">
        <f>IF(ISBLANK(D699),"",VLOOKUP(F699,'SIZE CALCULATION'!$F:$G,2,0))</f>
        <v/>
      </c>
      <c r="AG699" s="207" t="str">
        <f t="shared" si="103"/>
        <v/>
      </c>
      <c r="AH699" s="207" t="str">
        <f t="shared" si="99"/>
        <v/>
      </c>
      <c r="AI699" s="210" t="str">
        <f>IF(ISBLANK(D699),"",VLOOKUP($A699,INDEX!$D$2:$F$13,3,0))</f>
        <v/>
      </c>
      <c r="AJ699" s="207" t="str">
        <f t="shared" si="100"/>
        <v/>
      </c>
      <c r="AK699" s="207"/>
      <c r="AL699" s="207"/>
      <c r="AM699" s="207" t="str">
        <f>IFERROR(IF(ISBLANK($D699),"",VLOOKUP($N699,'TABLE CHARGE RATE'!$A$30:$K$106,5,0)),"Check")</f>
        <v/>
      </c>
      <c r="AN699" s="207" t="str">
        <f>IFERROR(IF(ISBLANK($D699),"",VLOOKUP($N699,'TABLE CHARGE RATE'!$A$30:$K$106,6,0)),"Check")</f>
        <v/>
      </c>
      <c r="AO699" s="207" t="str">
        <f>IFERROR(IF(ISBLANK($D699),"",VLOOKUP($N699,'TABLE CHARGE RATE'!$A$30:$K$106,7,0)),"Check")</f>
        <v/>
      </c>
      <c r="AP699" s="207" t="str">
        <f>IFERROR(IF(ISBLANK($D699),"",VLOOKUP($N699,'TABLE CHARGE RATE'!$A$30:$K$106,8,0)),"Check")</f>
        <v/>
      </c>
      <c r="AQ699" s="207" t="str">
        <f>IFERROR(IF(ISBLANK($D699),"",VLOOKUP($N699,'TABLE CHARGE RATE'!$A$30:$K$106,9,0)),"Check")</f>
        <v/>
      </c>
      <c r="AR699" s="207" t="str">
        <f>IFERROR(IF(ISBLANK($D699),"",VLOOKUP($N699,'TABLE CHARGE RATE'!$A$30:$K$106,10,0)),"Check")</f>
        <v/>
      </c>
      <c r="AS699" s="207" t="str">
        <f>IFERROR(IF(ISBLANK($D699),"",VLOOKUP($N699,'TABLE CHARGE RATE'!$A$30:$K$106,11,0)),"Check")</f>
        <v/>
      </c>
      <c r="AT699" s="207"/>
    </row>
    <row r="700" spans="1:46" x14ac:dyDescent="0.2">
      <c r="A700" s="207" t="str">
        <f t="shared" si="102"/>
        <v/>
      </c>
      <c r="B700" s="208" t="str">
        <f>IF(ISBLANK(D700),"",VLOOKUP(WEEKDAY($C700,1),INDEX!$J$2:$K$8,2,0))</f>
        <v/>
      </c>
      <c r="C700" s="209"/>
      <c r="D700" s="207"/>
      <c r="E700" s="207"/>
      <c r="F700" s="207"/>
      <c r="G700" s="207"/>
      <c r="H700" s="207"/>
      <c r="I700" s="207"/>
      <c r="J700" s="207"/>
      <c r="K700" s="207"/>
      <c r="L700" s="207"/>
      <c r="M700" s="207"/>
      <c r="N700" s="207"/>
      <c r="O700" s="207"/>
      <c r="P700" s="207"/>
      <c r="Q700" s="207"/>
      <c r="R700" s="207"/>
      <c r="S700" s="207"/>
      <c r="T700" s="207"/>
      <c r="U700" s="209"/>
      <c r="V700" s="207"/>
      <c r="W700" s="207"/>
      <c r="X700" s="209"/>
      <c r="Y700" s="209"/>
      <c r="Z700" s="207" t="str">
        <f t="shared" ca="1" si="97"/>
        <v/>
      </c>
      <c r="AA700" s="209" t="str">
        <f t="shared" si="101"/>
        <v/>
      </c>
      <c r="AB700" s="209"/>
      <c r="AC700" s="207" t="str">
        <f t="shared" ca="1" si="98"/>
        <v/>
      </c>
      <c r="AD700" s="207"/>
      <c r="AE700" s="207"/>
      <c r="AF700" s="208" t="str">
        <f>IF(ISBLANK(D700),"",VLOOKUP(F700,'SIZE CALCULATION'!$F:$G,2,0))</f>
        <v/>
      </c>
      <c r="AG700" s="207" t="str">
        <f t="shared" si="103"/>
        <v/>
      </c>
      <c r="AH700" s="207" t="str">
        <f t="shared" si="99"/>
        <v/>
      </c>
      <c r="AI700" s="210" t="str">
        <f>IF(ISBLANK(D700),"",VLOOKUP($A700,INDEX!$D$2:$F$13,3,0))</f>
        <v/>
      </c>
      <c r="AJ700" s="207" t="str">
        <f t="shared" si="100"/>
        <v/>
      </c>
      <c r="AK700" s="207"/>
      <c r="AL700" s="207"/>
      <c r="AM700" s="207" t="str">
        <f>IFERROR(IF(ISBLANK($D700),"",VLOOKUP($N700,'TABLE CHARGE RATE'!$A$30:$K$106,5,0)),"Check")</f>
        <v/>
      </c>
      <c r="AN700" s="207" t="str">
        <f>IFERROR(IF(ISBLANK($D700),"",VLOOKUP($N700,'TABLE CHARGE RATE'!$A$30:$K$106,6,0)),"Check")</f>
        <v/>
      </c>
      <c r="AO700" s="207" t="str">
        <f>IFERROR(IF(ISBLANK($D700),"",VLOOKUP($N700,'TABLE CHARGE RATE'!$A$30:$K$106,7,0)),"Check")</f>
        <v/>
      </c>
      <c r="AP700" s="207" t="str">
        <f>IFERROR(IF(ISBLANK($D700),"",VLOOKUP($N700,'TABLE CHARGE RATE'!$A$30:$K$106,8,0)),"Check")</f>
        <v/>
      </c>
      <c r="AQ700" s="207" t="str">
        <f>IFERROR(IF(ISBLANK($D700),"",VLOOKUP($N700,'TABLE CHARGE RATE'!$A$30:$K$106,9,0)),"Check")</f>
        <v/>
      </c>
      <c r="AR700" s="207" t="str">
        <f>IFERROR(IF(ISBLANK($D700),"",VLOOKUP($N700,'TABLE CHARGE RATE'!$A$30:$K$106,10,0)),"Check")</f>
        <v/>
      </c>
      <c r="AS700" s="207" t="str">
        <f>IFERROR(IF(ISBLANK($D700),"",VLOOKUP($N700,'TABLE CHARGE RATE'!$A$30:$K$106,11,0)),"Check")</f>
        <v/>
      </c>
      <c r="AT700" s="207"/>
    </row>
    <row r="701" spans="1:46" x14ac:dyDescent="0.2">
      <c r="A701" s="207" t="str">
        <f t="shared" si="102"/>
        <v/>
      </c>
      <c r="B701" s="208" t="str">
        <f>IF(ISBLANK(D701),"",VLOOKUP(WEEKDAY($C701,1),INDEX!$J$2:$K$8,2,0))</f>
        <v/>
      </c>
      <c r="C701" s="209"/>
      <c r="D701" s="207"/>
      <c r="E701" s="207"/>
      <c r="F701" s="207"/>
      <c r="G701" s="207"/>
      <c r="H701" s="207"/>
      <c r="I701" s="207"/>
      <c r="J701" s="207"/>
      <c r="K701" s="207"/>
      <c r="L701" s="207"/>
      <c r="M701" s="207"/>
      <c r="N701" s="207"/>
      <c r="O701" s="207"/>
      <c r="P701" s="207"/>
      <c r="Q701" s="207"/>
      <c r="R701" s="207"/>
      <c r="S701" s="207"/>
      <c r="T701" s="207"/>
      <c r="U701" s="209"/>
      <c r="V701" s="207"/>
      <c r="W701" s="207"/>
      <c r="X701" s="209"/>
      <c r="Y701" s="209"/>
      <c r="Z701" s="207" t="str">
        <f t="shared" ca="1" si="97"/>
        <v/>
      </c>
      <c r="AA701" s="209" t="str">
        <f t="shared" si="101"/>
        <v/>
      </c>
      <c r="AB701" s="209"/>
      <c r="AC701" s="207" t="str">
        <f t="shared" ca="1" si="98"/>
        <v/>
      </c>
      <c r="AD701" s="207"/>
      <c r="AE701" s="207"/>
      <c r="AF701" s="208" t="str">
        <f>IF(ISBLANK(D701),"",VLOOKUP(F701,'SIZE CALCULATION'!$F:$G,2,0))</f>
        <v/>
      </c>
      <c r="AG701" s="207" t="str">
        <f t="shared" si="103"/>
        <v/>
      </c>
      <c r="AH701" s="207" t="str">
        <f t="shared" si="99"/>
        <v/>
      </c>
      <c r="AI701" s="210" t="str">
        <f>IF(ISBLANK(D701),"",VLOOKUP($A701,INDEX!$D$2:$F$13,3,0))</f>
        <v/>
      </c>
      <c r="AJ701" s="207" t="str">
        <f t="shared" si="100"/>
        <v/>
      </c>
      <c r="AK701" s="207"/>
      <c r="AL701" s="207"/>
      <c r="AM701" s="207" t="str">
        <f>IFERROR(IF(ISBLANK($D701),"",VLOOKUP($N701,'TABLE CHARGE RATE'!$A$30:$K$106,5,0)),"Check")</f>
        <v/>
      </c>
      <c r="AN701" s="207" t="str">
        <f>IFERROR(IF(ISBLANK($D701),"",VLOOKUP($N701,'TABLE CHARGE RATE'!$A$30:$K$106,6,0)),"Check")</f>
        <v/>
      </c>
      <c r="AO701" s="207" t="str">
        <f>IFERROR(IF(ISBLANK($D701),"",VLOOKUP($N701,'TABLE CHARGE RATE'!$A$30:$K$106,7,0)),"Check")</f>
        <v/>
      </c>
      <c r="AP701" s="207" t="str">
        <f>IFERROR(IF(ISBLANK($D701),"",VLOOKUP($N701,'TABLE CHARGE RATE'!$A$30:$K$106,8,0)),"Check")</f>
        <v/>
      </c>
      <c r="AQ701" s="207" t="str">
        <f>IFERROR(IF(ISBLANK($D701),"",VLOOKUP($N701,'TABLE CHARGE RATE'!$A$30:$K$106,9,0)),"Check")</f>
        <v/>
      </c>
      <c r="AR701" s="207" t="str">
        <f>IFERROR(IF(ISBLANK($D701),"",VLOOKUP($N701,'TABLE CHARGE RATE'!$A$30:$K$106,10,0)),"Check")</f>
        <v/>
      </c>
      <c r="AS701" s="207" t="str">
        <f>IFERROR(IF(ISBLANK($D701),"",VLOOKUP($N701,'TABLE CHARGE RATE'!$A$30:$K$106,11,0)),"Check")</f>
        <v/>
      </c>
      <c r="AT701" s="207"/>
    </row>
    <row r="702" spans="1:46" x14ac:dyDescent="0.2">
      <c r="A702" s="207" t="str">
        <f t="shared" si="102"/>
        <v/>
      </c>
      <c r="B702" s="208" t="str">
        <f>IF(ISBLANK(D702),"",VLOOKUP(WEEKDAY($C702,1),INDEX!$J$2:$K$8,2,0))</f>
        <v/>
      </c>
      <c r="C702" s="209"/>
      <c r="D702" s="207"/>
      <c r="E702" s="207"/>
      <c r="F702" s="207"/>
      <c r="G702" s="207"/>
      <c r="H702" s="207"/>
      <c r="I702" s="207"/>
      <c r="J702" s="207"/>
      <c r="K702" s="207"/>
      <c r="L702" s="207"/>
      <c r="M702" s="207"/>
      <c r="N702" s="207"/>
      <c r="O702" s="207"/>
      <c r="P702" s="207"/>
      <c r="Q702" s="207"/>
      <c r="R702" s="207"/>
      <c r="S702" s="207"/>
      <c r="T702" s="207"/>
      <c r="U702" s="209"/>
      <c r="V702" s="207"/>
      <c r="W702" s="207"/>
      <c r="X702" s="209"/>
      <c r="Y702" s="209"/>
      <c r="Z702" s="207" t="str">
        <f t="shared" ca="1" si="97"/>
        <v/>
      </c>
      <c r="AA702" s="209" t="str">
        <f t="shared" si="101"/>
        <v/>
      </c>
      <c r="AB702" s="209"/>
      <c r="AC702" s="207" t="str">
        <f t="shared" ca="1" si="98"/>
        <v/>
      </c>
      <c r="AD702" s="207"/>
      <c r="AE702" s="207"/>
      <c r="AF702" s="208" t="str">
        <f>IF(ISBLANK(D702),"",VLOOKUP(F702,'SIZE CALCULATION'!$F:$G,2,0))</f>
        <v/>
      </c>
      <c r="AG702" s="207" t="str">
        <f t="shared" si="103"/>
        <v/>
      </c>
      <c r="AH702" s="207" t="str">
        <f t="shared" si="99"/>
        <v/>
      </c>
      <c r="AI702" s="210" t="str">
        <f>IF(ISBLANK(D702),"",VLOOKUP($A702,INDEX!$D$2:$F$13,3,0))</f>
        <v/>
      </c>
      <c r="AJ702" s="207" t="str">
        <f t="shared" si="100"/>
        <v/>
      </c>
      <c r="AK702" s="207"/>
      <c r="AL702" s="207"/>
      <c r="AM702" s="207" t="str">
        <f>IFERROR(IF(ISBLANK($D702),"",VLOOKUP($N702,'TABLE CHARGE RATE'!$A$30:$K$106,5,0)),"Check")</f>
        <v/>
      </c>
      <c r="AN702" s="207" t="str">
        <f>IFERROR(IF(ISBLANK($D702),"",VLOOKUP($N702,'TABLE CHARGE RATE'!$A$30:$K$106,6,0)),"Check")</f>
        <v/>
      </c>
      <c r="AO702" s="207" t="str">
        <f>IFERROR(IF(ISBLANK($D702),"",VLOOKUP($N702,'TABLE CHARGE RATE'!$A$30:$K$106,7,0)),"Check")</f>
        <v/>
      </c>
      <c r="AP702" s="207" t="str">
        <f>IFERROR(IF(ISBLANK($D702),"",VLOOKUP($N702,'TABLE CHARGE RATE'!$A$30:$K$106,8,0)),"Check")</f>
        <v/>
      </c>
      <c r="AQ702" s="207" t="str">
        <f>IFERROR(IF(ISBLANK($D702),"",VLOOKUP($N702,'TABLE CHARGE RATE'!$A$30:$K$106,9,0)),"Check")</f>
        <v/>
      </c>
      <c r="AR702" s="207" t="str">
        <f>IFERROR(IF(ISBLANK($D702),"",VLOOKUP($N702,'TABLE CHARGE RATE'!$A$30:$K$106,10,0)),"Check")</f>
        <v/>
      </c>
      <c r="AS702" s="207" t="str">
        <f>IFERROR(IF(ISBLANK($D702),"",VLOOKUP($N702,'TABLE CHARGE RATE'!$A$30:$K$106,11,0)),"Check")</f>
        <v/>
      </c>
      <c r="AT702" s="207"/>
    </row>
    <row r="703" spans="1:46" x14ac:dyDescent="0.2">
      <c r="A703" s="207" t="str">
        <f t="shared" si="102"/>
        <v/>
      </c>
      <c r="B703" s="208" t="str">
        <f>IF(ISBLANK(D703),"",VLOOKUP(WEEKDAY($C703,1),INDEX!$J$2:$K$8,2,0))</f>
        <v/>
      </c>
      <c r="C703" s="209"/>
      <c r="D703" s="207"/>
      <c r="E703" s="207"/>
      <c r="F703" s="207"/>
      <c r="G703" s="207"/>
      <c r="H703" s="207"/>
      <c r="I703" s="207"/>
      <c r="J703" s="207"/>
      <c r="K703" s="207"/>
      <c r="L703" s="207"/>
      <c r="M703" s="207"/>
      <c r="N703" s="207"/>
      <c r="O703" s="207"/>
      <c r="P703" s="207"/>
      <c r="Q703" s="207"/>
      <c r="R703" s="207"/>
      <c r="S703" s="207"/>
      <c r="T703" s="207"/>
      <c r="U703" s="209"/>
      <c r="V703" s="207"/>
      <c r="W703" s="207"/>
      <c r="X703" s="209"/>
      <c r="Y703" s="209"/>
      <c r="Z703" s="207" t="str">
        <f t="shared" ca="1" si="97"/>
        <v/>
      </c>
      <c r="AA703" s="209" t="str">
        <f t="shared" si="101"/>
        <v/>
      </c>
      <c r="AB703" s="209"/>
      <c r="AC703" s="207" t="str">
        <f t="shared" ca="1" si="98"/>
        <v/>
      </c>
      <c r="AD703" s="207"/>
      <c r="AE703" s="207"/>
      <c r="AF703" s="208" t="str">
        <f>IF(ISBLANK(D703),"",VLOOKUP(F703,'SIZE CALCULATION'!$F:$G,2,0))</f>
        <v/>
      </c>
      <c r="AG703" s="207" t="str">
        <f t="shared" si="103"/>
        <v/>
      </c>
      <c r="AH703" s="207" t="str">
        <f t="shared" si="99"/>
        <v/>
      </c>
      <c r="AI703" s="210" t="str">
        <f>IF(ISBLANK(D703),"",VLOOKUP($A703,INDEX!$D$2:$F$13,3,0))</f>
        <v/>
      </c>
      <c r="AJ703" s="207" t="str">
        <f t="shared" si="100"/>
        <v/>
      </c>
      <c r="AK703" s="207"/>
      <c r="AL703" s="207"/>
      <c r="AM703" s="207" t="str">
        <f>IFERROR(IF(ISBLANK($D703),"",VLOOKUP($N703,'TABLE CHARGE RATE'!$A$30:$K$106,5,0)),"Check")</f>
        <v/>
      </c>
      <c r="AN703" s="207" t="str">
        <f>IFERROR(IF(ISBLANK($D703),"",VLOOKUP($N703,'TABLE CHARGE RATE'!$A$30:$K$106,6,0)),"Check")</f>
        <v/>
      </c>
      <c r="AO703" s="207" t="str">
        <f>IFERROR(IF(ISBLANK($D703),"",VLOOKUP($N703,'TABLE CHARGE RATE'!$A$30:$K$106,7,0)),"Check")</f>
        <v/>
      </c>
      <c r="AP703" s="207" t="str">
        <f>IFERROR(IF(ISBLANK($D703),"",VLOOKUP($N703,'TABLE CHARGE RATE'!$A$30:$K$106,8,0)),"Check")</f>
        <v/>
      </c>
      <c r="AQ703" s="207" t="str">
        <f>IFERROR(IF(ISBLANK($D703),"",VLOOKUP($N703,'TABLE CHARGE RATE'!$A$30:$K$106,9,0)),"Check")</f>
        <v/>
      </c>
      <c r="AR703" s="207" t="str">
        <f>IFERROR(IF(ISBLANK($D703),"",VLOOKUP($N703,'TABLE CHARGE RATE'!$A$30:$K$106,10,0)),"Check")</f>
        <v/>
      </c>
      <c r="AS703" s="207" t="str">
        <f>IFERROR(IF(ISBLANK($D703),"",VLOOKUP($N703,'TABLE CHARGE RATE'!$A$30:$K$106,11,0)),"Check")</f>
        <v/>
      </c>
      <c r="AT703" s="207"/>
    </row>
    <row r="704" spans="1:46" x14ac:dyDescent="0.2">
      <c r="A704" s="207" t="str">
        <f t="shared" si="102"/>
        <v/>
      </c>
      <c r="B704" s="208" t="str">
        <f>IF(ISBLANK(D704),"",VLOOKUP(WEEKDAY($C704,1),INDEX!$J$2:$K$8,2,0))</f>
        <v/>
      </c>
      <c r="C704" s="209"/>
      <c r="D704" s="207"/>
      <c r="E704" s="207"/>
      <c r="F704" s="207"/>
      <c r="G704" s="207"/>
      <c r="H704" s="207"/>
      <c r="I704" s="207"/>
      <c r="J704" s="207"/>
      <c r="K704" s="207"/>
      <c r="L704" s="207"/>
      <c r="M704" s="207"/>
      <c r="N704" s="207"/>
      <c r="O704" s="207"/>
      <c r="P704" s="207"/>
      <c r="Q704" s="207"/>
      <c r="R704" s="207"/>
      <c r="S704" s="207"/>
      <c r="T704" s="207"/>
      <c r="U704" s="209"/>
      <c r="V704" s="207"/>
      <c r="W704" s="207"/>
      <c r="X704" s="209"/>
      <c r="Y704" s="209"/>
      <c r="Z704" s="207" t="str">
        <f t="shared" ca="1" si="97"/>
        <v/>
      </c>
      <c r="AA704" s="209" t="str">
        <f t="shared" si="101"/>
        <v/>
      </c>
      <c r="AB704" s="209"/>
      <c r="AC704" s="207" t="str">
        <f t="shared" ca="1" si="98"/>
        <v/>
      </c>
      <c r="AD704" s="207"/>
      <c r="AE704" s="207"/>
      <c r="AF704" s="208" t="str">
        <f>IF(ISBLANK(D704),"",VLOOKUP(F704,'SIZE CALCULATION'!$F:$G,2,0))</f>
        <v/>
      </c>
      <c r="AG704" s="207" t="str">
        <f t="shared" si="103"/>
        <v/>
      </c>
      <c r="AH704" s="207" t="str">
        <f t="shared" si="99"/>
        <v/>
      </c>
      <c r="AI704" s="210" t="str">
        <f>IF(ISBLANK(D704),"",VLOOKUP($A704,INDEX!$D$2:$F$13,3,0))</f>
        <v/>
      </c>
      <c r="AJ704" s="207" t="str">
        <f t="shared" si="100"/>
        <v/>
      </c>
      <c r="AK704" s="207"/>
      <c r="AL704" s="207"/>
      <c r="AM704" s="207" t="str">
        <f>IFERROR(IF(ISBLANK($D704),"",VLOOKUP($N704,'TABLE CHARGE RATE'!$A$30:$K$106,5,0)),"Check")</f>
        <v/>
      </c>
      <c r="AN704" s="207" t="str">
        <f>IFERROR(IF(ISBLANK($D704),"",VLOOKUP($N704,'TABLE CHARGE RATE'!$A$30:$K$106,6,0)),"Check")</f>
        <v/>
      </c>
      <c r="AO704" s="207" t="str">
        <f>IFERROR(IF(ISBLANK($D704),"",VLOOKUP($N704,'TABLE CHARGE RATE'!$A$30:$K$106,7,0)),"Check")</f>
        <v/>
      </c>
      <c r="AP704" s="207" t="str">
        <f>IFERROR(IF(ISBLANK($D704),"",VLOOKUP($N704,'TABLE CHARGE RATE'!$A$30:$K$106,8,0)),"Check")</f>
        <v/>
      </c>
      <c r="AQ704" s="207" t="str">
        <f>IFERROR(IF(ISBLANK($D704),"",VLOOKUP($N704,'TABLE CHARGE RATE'!$A$30:$K$106,9,0)),"Check")</f>
        <v/>
      </c>
      <c r="AR704" s="207" t="str">
        <f>IFERROR(IF(ISBLANK($D704),"",VLOOKUP($N704,'TABLE CHARGE RATE'!$A$30:$K$106,10,0)),"Check")</f>
        <v/>
      </c>
      <c r="AS704" s="207" t="str">
        <f>IFERROR(IF(ISBLANK($D704),"",VLOOKUP($N704,'TABLE CHARGE RATE'!$A$30:$K$106,11,0)),"Check")</f>
        <v/>
      </c>
      <c r="AT704" s="207"/>
    </row>
    <row r="705" spans="1:46" x14ac:dyDescent="0.2">
      <c r="A705" s="207" t="str">
        <f t="shared" si="102"/>
        <v/>
      </c>
      <c r="B705" s="208" t="str">
        <f>IF(ISBLANK(D705),"",VLOOKUP(WEEKDAY($C705,1),INDEX!$J$2:$K$8,2,0))</f>
        <v/>
      </c>
      <c r="C705" s="209"/>
      <c r="D705" s="207"/>
      <c r="E705" s="207"/>
      <c r="F705" s="207"/>
      <c r="G705" s="207"/>
      <c r="H705" s="207"/>
      <c r="I705" s="207"/>
      <c r="J705" s="207"/>
      <c r="K705" s="207"/>
      <c r="L705" s="207"/>
      <c r="M705" s="207"/>
      <c r="N705" s="207"/>
      <c r="O705" s="207"/>
      <c r="P705" s="207"/>
      <c r="Q705" s="207"/>
      <c r="R705" s="207"/>
      <c r="S705" s="207"/>
      <c r="T705" s="207"/>
      <c r="U705" s="209"/>
      <c r="V705" s="207"/>
      <c r="W705" s="207"/>
      <c r="X705" s="209"/>
      <c r="Y705" s="209"/>
      <c r="Z705" s="207" t="str">
        <f t="shared" ca="1" si="97"/>
        <v/>
      </c>
      <c r="AA705" s="209" t="str">
        <f t="shared" si="101"/>
        <v/>
      </c>
      <c r="AB705" s="209"/>
      <c r="AC705" s="207" t="str">
        <f t="shared" ca="1" si="98"/>
        <v/>
      </c>
      <c r="AD705" s="207"/>
      <c r="AE705" s="207"/>
      <c r="AF705" s="208" t="str">
        <f>IF(ISBLANK(D705),"",VLOOKUP(F705,'SIZE CALCULATION'!$F:$G,2,0))</f>
        <v/>
      </c>
      <c r="AG705" s="207" t="str">
        <f t="shared" si="103"/>
        <v/>
      </c>
      <c r="AH705" s="207" t="str">
        <f t="shared" si="99"/>
        <v/>
      </c>
      <c r="AI705" s="210" t="str">
        <f>IF(ISBLANK(D705),"",VLOOKUP($A705,INDEX!$D$2:$F$13,3,0))</f>
        <v/>
      </c>
      <c r="AJ705" s="207" t="str">
        <f t="shared" si="100"/>
        <v/>
      </c>
      <c r="AK705" s="207"/>
      <c r="AL705" s="207"/>
      <c r="AM705" s="207" t="str">
        <f>IFERROR(IF(ISBLANK($D705),"",VLOOKUP($N705,'TABLE CHARGE RATE'!$A$30:$K$106,5,0)),"Check")</f>
        <v/>
      </c>
      <c r="AN705" s="207" t="str">
        <f>IFERROR(IF(ISBLANK($D705),"",VLOOKUP($N705,'TABLE CHARGE RATE'!$A$30:$K$106,6,0)),"Check")</f>
        <v/>
      </c>
      <c r="AO705" s="207" t="str">
        <f>IFERROR(IF(ISBLANK($D705),"",VLOOKUP($N705,'TABLE CHARGE RATE'!$A$30:$K$106,7,0)),"Check")</f>
        <v/>
      </c>
      <c r="AP705" s="207" t="str">
        <f>IFERROR(IF(ISBLANK($D705),"",VLOOKUP($N705,'TABLE CHARGE RATE'!$A$30:$K$106,8,0)),"Check")</f>
        <v/>
      </c>
      <c r="AQ705" s="207" t="str">
        <f>IFERROR(IF(ISBLANK($D705),"",VLOOKUP($N705,'TABLE CHARGE RATE'!$A$30:$K$106,9,0)),"Check")</f>
        <v/>
      </c>
      <c r="AR705" s="207" t="str">
        <f>IFERROR(IF(ISBLANK($D705),"",VLOOKUP($N705,'TABLE CHARGE RATE'!$A$30:$K$106,10,0)),"Check")</f>
        <v/>
      </c>
      <c r="AS705" s="207" t="str">
        <f>IFERROR(IF(ISBLANK($D705),"",VLOOKUP($N705,'TABLE CHARGE RATE'!$A$30:$K$106,11,0)),"Check")</f>
        <v/>
      </c>
      <c r="AT705" s="207"/>
    </row>
    <row r="706" spans="1:46" x14ac:dyDescent="0.2">
      <c r="A706" s="207" t="str">
        <f t="shared" si="102"/>
        <v/>
      </c>
      <c r="B706" s="208" t="str">
        <f>IF(ISBLANK(D706),"",VLOOKUP(WEEKDAY($C706,1),INDEX!$J$2:$K$8,2,0))</f>
        <v/>
      </c>
      <c r="C706" s="209"/>
      <c r="D706" s="207"/>
      <c r="E706" s="207"/>
      <c r="F706" s="207"/>
      <c r="G706" s="207"/>
      <c r="H706" s="207"/>
      <c r="I706" s="207"/>
      <c r="J706" s="207"/>
      <c r="K706" s="207"/>
      <c r="L706" s="207"/>
      <c r="M706" s="207"/>
      <c r="N706" s="207"/>
      <c r="O706" s="207"/>
      <c r="P706" s="207"/>
      <c r="Q706" s="207"/>
      <c r="R706" s="207"/>
      <c r="S706" s="207"/>
      <c r="T706" s="207"/>
      <c r="U706" s="209"/>
      <c r="V706" s="207"/>
      <c r="W706" s="207"/>
      <c r="X706" s="209"/>
      <c r="Y706" s="209"/>
      <c r="Z706" s="207" t="str">
        <f t="shared" ca="1" si="97"/>
        <v/>
      </c>
      <c r="AA706" s="209" t="str">
        <f t="shared" si="101"/>
        <v/>
      </c>
      <c r="AB706" s="209"/>
      <c r="AC706" s="207" t="str">
        <f t="shared" ca="1" si="98"/>
        <v/>
      </c>
      <c r="AD706" s="207"/>
      <c r="AE706" s="207"/>
      <c r="AF706" s="208" t="str">
        <f>IF(ISBLANK(D706),"",VLOOKUP(F706,'SIZE CALCULATION'!$F:$G,2,0))</f>
        <v/>
      </c>
      <c r="AG706" s="207" t="str">
        <f t="shared" si="103"/>
        <v/>
      </c>
      <c r="AH706" s="207" t="str">
        <f t="shared" si="99"/>
        <v/>
      </c>
      <c r="AI706" s="210" t="str">
        <f>IF(ISBLANK(D706),"",VLOOKUP($A706,INDEX!$D$2:$F$13,3,0))</f>
        <v/>
      </c>
      <c r="AJ706" s="207" t="str">
        <f t="shared" si="100"/>
        <v/>
      </c>
      <c r="AK706" s="207"/>
      <c r="AL706" s="207"/>
      <c r="AM706" s="207" t="str">
        <f>IFERROR(IF(ISBLANK($D706),"",VLOOKUP($N706,'TABLE CHARGE RATE'!$A$30:$K$106,5,0)),"Check")</f>
        <v/>
      </c>
      <c r="AN706" s="207" t="str">
        <f>IFERROR(IF(ISBLANK($D706),"",VLOOKUP($N706,'TABLE CHARGE RATE'!$A$30:$K$106,6,0)),"Check")</f>
        <v/>
      </c>
      <c r="AO706" s="207" t="str">
        <f>IFERROR(IF(ISBLANK($D706),"",VLOOKUP($N706,'TABLE CHARGE RATE'!$A$30:$K$106,7,0)),"Check")</f>
        <v/>
      </c>
      <c r="AP706" s="207" t="str">
        <f>IFERROR(IF(ISBLANK($D706),"",VLOOKUP($N706,'TABLE CHARGE RATE'!$A$30:$K$106,8,0)),"Check")</f>
        <v/>
      </c>
      <c r="AQ706" s="207" t="str">
        <f>IFERROR(IF(ISBLANK($D706),"",VLOOKUP($N706,'TABLE CHARGE RATE'!$A$30:$K$106,9,0)),"Check")</f>
        <v/>
      </c>
      <c r="AR706" s="207" t="str">
        <f>IFERROR(IF(ISBLANK($D706),"",VLOOKUP($N706,'TABLE CHARGE RATE'!$A$30:$K$106,10,0)),"Check")</f>
        <v/>
      </c>
      <c r="AS706" s="207" t="str">
        <f>IFERROR(IF(ISBLANK($D706),"",VLOOKUP($N706,'TABLE CHARGE RATE'!$A$30:$K$106,11,0)),"Check")</f>
        <v/>
      </c>
      <c r="AT706" s="207"/>
    </row>
    <row r="707" spans="1:46" x14ac:dyDescent="0.2">
      <c r="A707" s="207" t="str">
        <f t="shared" si="102"/>
        <v/>
      </c>
      <c r="B707" s="208" t="str">
        <f>IF(ISBLANK(D707),"",VLOOKUP(WEEKDAY($C707,1),INDEX!$J$2:$K$8,2,0))</f>
        <v/>
      </c>
      <c r="C707" s="209"/>
      <c r="D707" s="207"/>
      <c r="E707" s="207"/>
      <c r="F707" s="207"/>
      <c r="G707" s="207"/>
      <c r="H707" s="207"/>
      <c r="I707" s="207"/>
      <c r="J707" s="207"/>
      <c r="K707" s="207"/>
      <c r="L707" s="207"/>
      <c r="M707" s="207"/>
      <c r="N707" s="207"/>
      <c r="O707" s="207"/>
      <c r="P707" s="207"/>
      <c r="Q707" s="207"/>
      <c r="R707" s="207"/>
      <c r="S707" s="207"/>
      <c r="T707" s="207"/>
      <c r="U707" s="209"/>
      <c r="V707" s="207"/>
      <c r="W707" s="207"/>
      <c r="X707" s="209"/>
      <c r="Y707" s="209"/>
      <c r="Z707" s="207" t="str">
        <f t="shared" ca="1" si="97"/>
        <v/>
      </c>
      <c r="AA707" s="209" t="str">
        <f t="shared" si="101"/>
        <v/>
      </c>
      <c r="AB707" s="209"/>
      <c r="AC707" s="207" t="str">
        <f t="shared" ca="1" si="98"/>
        <v/>
      </c>
      <c r="AD707" s="207"/>
      <c r="AE707" s="207"/>
      <c r="AF707" s="208" t="str">
        <f>IF(ISBLANK(D707),"",VLOOKUP(F707,'SIZE CALCULATION'!$F:$G,2,0))</f>
        <v/>
      </c>
      <c r="AG707" s="207" t="str">
        <f t="shared" si="103"/>
        <v/>
      </c>
      <c r="AH707" s="207" t="str">
        <f t="shared" si="99"/>
        <v/>
      </c>
      <c r="AI707" s="210" t="str">
        <f>IF(ISBLANK(D707),"",VLOOKUP($A707,INDEX!$D$2:$F$13,3,0))</f>
        <v/>
      </c>
      <c r="AJ707" s="207" t="str">
        <f t="shared" si="100"/>
        <v/>
      </c>
      <c r="AK707" s="207"/>
      <c r="AL707" s="207"/>
      <c r="AM707" s="207" t="str">
        <f>IFERROR(IF(ISBLANK($D707),"",VLOOKUP($N707,'TABLE CHARGE RATE'!$A$30:$K$106,5,0)),"Check")</f>
        <v/>
      </c>
      <c r="AN707" s="207" t="str">
        <f>IFERROR(IF(ISBLANK($D707),"",VLOOKUP($N707,'TABLE CHARGE RATE'!$A$30:$K$106,6,0)),"Check")</f>
        <v/>
      </c>
      <c r="AO707" s="207" t="str">
        <f>IFERROR(IF(ISBLANK($D707),"",VLOOKUP($N707,'TABLE CHARGE RATE'!$A$30:$K$106,7,0)),"Check")</f>
        <v/>
      </c>
      <c r="AP707" s="207" t="str">
        <f>IFERROR(IF(ISBLANK($D707),"",VLOOKUP($N707,'TABLE CHARGE RATE'!$A$30:$K$106,8,0)),"Check")</f>
        <v/>
      </c>
      <c r="AQ707" s="207" t="str">
        <f>IFERROR(IF(ISBLANK($D707),"",VLOOKUP($N707,'TABLE CHARGE RATE'!$A$30:$K$106,9,0)),"Check")</f>
        <v/>
      </c>
      <c r="AR707" s="207" t="str">
        <f>IFERROR(IF(ISBLANK($D707),"",VLOOKUP($N707,'TABLE CHARGE RATE'!$A$30:$K$106,10,0)),"Check")</f>
        <v/>
      </c>
      <c r="AS707" s="207" t="str">
        <f>IFERROR(IF(ISBLANK($D707),"",VLOOKUP($N707,'TABLE CHARGE RATE'!$A$30:$K$106,11,0)),"Check")</f>
        <v/>
      </c>
      <c r="AT707" s="207"/>
    </row>
    <row r="708" spans="1:46" x14ac:dyDescent="0.2">
      <c r="A708" s="207" t="str">
        <f t="shared" si="102"/>
        <v/>
      </c>
      <c r="B708" s="208" t="str">
        <f>IF(ISBLANK(D708),"",VLOOKUP(WEEKDAY($C708,1),INDEX!$J$2:$K$8,2,0))</f>
        <v/>
      </c>
      <c r="C708" s="209"/>
      <c r="D708" s="207"/>
      <c r="E708" s="207"/>
      <c r="F708" s="207"/>
      <c r="G708" s="207"/>
      <c r="H708" s="207"/>
      <c r="I708" s="207"/>
      <c r="J708" s="207"/>
      <c r="K708" s="207"/>
      <c r="L708" s="207"/>
      <c r="M708" s="207"/>
      <c r="N708" s="207"/>
      <c r="O708" s="207"/>
      <c r="P708" s="207"/>
      <c r="Q708" s="207"/>
      <c r="R708" s="207"/>
      <c r="S708" s="207"/>
      <c r="T708" s="207"/>
      <c r="U708" s="209"/>
      <c r="V708" s="207"/>
      <c r="W708" s="207"/>
      <c r="X708" s="209"/>
      <c r="Y708" s="209"/>
      <c r="Z708" s="207" t="str">
        <f t="shared" ca="1" si="97"/>
        <v/>
      </c>
      <c r="AA708" s="209" t="str">
        <f t="shared" si="101"/>
        <v/>
      </c>
      <c r="AB708" s="209"/>
      <c r="AC708" s="207" t="str">
        <f t="shared" ca="1" si="98"/>
        <v/>
      </c>
      <c r="AD708" s="207"/>
      <c r="AE708" s="207"/>
      <c r="AF708" s="208" t="str">
        <f>IF(ISBLANK(D708),"",VLOOKUP(F708,'SIZE CALCULATION'!$F:$G,2,0))</f>
        <v/>
      </c>
      <c r="AG708" s="207" t="str">
        <f t="shared" si="103"/>
        <v/>
      </c>
      <c r="AH708" s="207" t="str">
        <f t="shared" si="99"/>
        <v/>
      </c>
      <c r="AI708" s="210" t="str">
        <f>IF(ISBLANK(D708),"",VLOOKUP($A708,INDEX!$D$2:$F$13,3,0))</f>
        <v/>
      </c>
      <c r="AJ708" s="207" t="str">
        <f t="shared" si="100"/>
        <v/>
      </c>
      <c r="AK708" s="207"/>
      <c r="AL708" s="207"/>
      <c r="AM708" s="207" t="str">
        <f>IFERROR(IF(ISBLANK($D708),"",VLOOKUP($N708,'TABLE CHARGE RATE'!$A$30:$K$106,5,0)),"Check")</f>
        <v/>
      </c>
      <c r="AN708" s="207" t="str">
        <f>IFERROR(IF(ISBLANK($D708),"",VLOOKUP($N708,'TABLE CHARGE RATE'!$A$30:$K$106,6,0)),"Check")</f>
        <v/>
      </c>
      <c r="AO708" s="207" t="str">
        <f>IFERROR(IF(ISBLANK($D708),"",VLOOKUP($N708,'TABLE CHARGE RATE'!$A$30:$K$106,7,0)),"Check")</f>
        <v/>
      </c>
      <c r="AP708" s="207" t="str">
        <f>IFERROR(IF(ISBLANK($D708),"",VLOOKUP($N708,'TABLE CHARGE RATE'!$A$30:$K$106,8,0)),"Check")</f>
        <v/>
      </c>
      <c r="AQ708" s="207" t="str">
        <f>IFERROR(IF(ISBLANK($D708),"",VLOOKUP($N708,'TABLE CHARGE RATE'!$A$30:$K$106,9,0)),"Check")</f>
        <v/>
      </c>
      <c r="AR708" s="207" t="str">
        <f>IFERROR(IF(ISBLANK($D708),"",VLOOKUP($N708,'TABLE CHARGE RATE'!$A$30:$K$106,10,0)),"Check")</f>
        <v/>
      </c>
      <c r="AS708" s="207" t="str">
        <f>IFERROR(IF(ISBLANK($D708),"",VLOOKUP($N708,'TABLE CHARGE RATE'!$A$30:$K$106,11,0)),"Check")</f>
        <v/>
      </c>
      <c r="AT708" s="207"/>
    </row>
    <row r="709" spans="1:46" x14ac:dyDescent="0.2">
      <c r="A709" s="207" t="str">
        <f t="shared" si="102"/>
        <v/>
      </c>
      <c r="B709" s="208" t="str">
        <f>IF(ISBLANK(D709),"",VLOOKUP(WEEKDAY($C709,1),INDEX!$J$2:$K$8,2,0))</f>
        <v/>
      </c>
      <c r="C709" s="209"/>
      <c r="D709" s="207"/>
      <c r="E709" s="207"/>
      <c r="F709" s="207"/>
      <c r="G709" s="207"/>
      <c r="H709" s="207"/>
      <c r="I709" s="207"/>
      <c r="J709" s="207"/>
      <c r="K709" s="207"/>
      <c r="L709" s="207"/>
      <c r="M709" s="207"/>
      <c r="N709" s="207"/>
      <c r="O709" s="207"/>
      <c r="P709" s="207"/>
      <c r="Q709" s="207"/>
      <c r="R709" s="207"/>
      <c r="S709" s="207"/>
      <c r="T709" s="207"/>
      <c r="U709" s="209"/>
      <c r="V709" s="207"/>
      <c r="W709" s="207"/>
      <c r="X709" s="209"/>
      <c r="Y709" s="209"/>
      <c r="Z709" s="207" t="str">
        <f t="shared" ref="Z709:Z772" ca="1" si="104">IF(ISBLANK(D709),"",IFERROR(IF(ISBLANK($AK709),IF(X709&gt;=TODAY(),"Delivery",IF(Y709-X709=0,1,0)),$AK709),""))</f>
        <v/>
      </c>
      <c r="AA709" s="209" t="str">
        <f t="shared" si="101"/>
        <v/>
      </c>
      <c r="AB709" s="209"/>
      <c r="AC709" s="207" t="str">
        <f t="shared" ref="AC709:AC772" ca="1" si="105">IF(ISBLANK(D709),"",IFERROR(IF(ISBLANK($AL709),IF(AA709&gt;=TODAY(),"Collecting",IF(AB709-AA709=0,1,0)),$AL709),""))</f>
        <v/>
      </c>
      <c r="AD709" s="207"/>
      <c r="AE709" s="207"/>
      <c r="AF709" s="208" t="str">
        <f>IF(ISBLANK(D709),"",VLOOKUP(F709,'SIZE CALCULATION'!$F:$G,2,0))</f>
        <v/>
      </c>
      <c r="AG709" s="207" t="str">
        <f t="shared" si="103"/>
        <v/>
      </c>
      <c r="AH709" s="207" t="str">
        <f t="shared" ref="AH709:AH772" si="106">IF(ISBLANK(D709),"",IFERROR(AG709*G709,0))</f>
        <v/>
      </c>
      <c r="AI709" s="210" t="str">
        <f>IF(ISBLANK(D709),"",VLOOKUP($A709,INDEX!$D$2:$F$13,3,0))</f>
        <v/>
      </c>
      <c r="AJ709" s="207" t="str">
        <f t="shared" ref="AJ709:AJ772" si="107">IF(ISBLANK(D709),"",AH709+(AH709*AI709))</f>
        <v/>
      </c>
      <c r="AK709" s="207"/>
      <c r="AL709" s="207"/>
      <c r="AM709" s="207" t="str">
        <f>IFERROR(IF(ISBLANK($D709),"",VLOOKUP($N709,'TABLE CHARGE RATE'!$A$30:$K$106,5,0)),"Check")</f>
        <v/>
      </c>
      <c r="AN709" s="207" t="str">
        <f>IFERROR(IF(ISBLANK($D709),"",VLOOKUP($N709,'TABLE CHARGE RATE'!$A$30:$K$106,6,0)),"Check")</f>
        <v/>
      </c>
      <c r="AO709" s="207" t="str">
        <f>IFERROR(IF(ISBLANK($D709),"",VLOOKUP($N709,'TABLE CHARGE RATE'!$A$30:$K$106,7,0)),"Check")</f>
        <v/>
      </c>
      <c r="AP709" s="207" t="str">
        <f>IFERROR(IF(ISBLANK($D709),"",VLOOKUP($N709,'TABLE CHARGE RATE'!$A$30:$K$106,8,0)),"Check")</f>
        <v/>
      </c>
      <c r="AQ709" s="207" t="str">
        <f>IFERROR(IF(ISBLANK($D709),"",VLOOKUP($N709,'TABLE CHARGE RATE'!$A$30:$K$106,9,0)),"Check")</f>
        <v/>
      </c>
      <c r="AR709" s="207" t="str">
        <f>IFERROR(IF(ISBLANK($D709),"",VLOOKUP($N709,'TABLE CHARGE RATE'!$A$30:$K$106,10,0)),"Check")</f>
        <v/>
      </c>
      <c r="AS709" s="207" t="str">
        <f>IFERROR(IF(ISBLANK($D709),"",VLOOKUP($N709,'TABLE CHARGE RATE'!$A$30:$K$106,11,0)),"Check")</f>
        <v/>
      </c>
      <c r="AT709" s="207"/>
    </row>
    <row r="710" spans="1:46" x14ac:dyDescent="0.2">
      <c r="A710" s="207" t="str">
        <f t="shared" si="102"/>
        <v/>
      </c>
      <c r="B710" s="208" t="str">
        <f>IF(ISBLANK(D710),"",VLOOKUP(WEEKDAY($C710,1),INDEX!$J$2:$K$8,2,0))</f>
        <v/>
      </c>
      <c r="C710" s="209"/>
      <c r="D710" s="207"/>
      <c r="E710" s="207"/>
      <c r="F710" s="207"/>
      <c r="G710" s="207"/>
      <c r="H710" s="207"/>
      <c r="I710" s="207"/>
      <c r="J710" s="207"/>
      <c r="K710" s="207"/>
      <c r="L710" s="207"/>
      <c r="M710" s="207"/>
      <c r="N710" s="207"/>
      <c r="O710" s="207"/>
      <c r="P710" s="207"/>
      <c r="Q710" s="207"/>
      <c r="R710" s="207"/>
      <c r="S710" s="207"/>
      <c r="T710" s="207"/>
      <c r="U710" s="209"/>
      <c r="V710" s="207"/>
      <c r="W710" s="207"/>
      <c r="X710" s="209"/>
      <c r="Y710" s="209"/>
      <c r="Z710" s="207" t="str">
        <f t="shared" ca="1" si="104"/>
        <v/>
      </c>
      <c r="AA710" s="209" t="str">
        <f t="shared" si="101"/>
        <v/>
      </c>
      <c r="AB710" s="209"/>
      <c r="AC710" s="207" t="str">
        <f t="shared" ca="1" si="105"/>
        <v/>
      </c>
      <c r="AD710" s="207"/>
      <c r="AE710" s="207"/>
      <c r="AF710" s="208" t="str">
        <f>IF(ISBLANK(D710),"",VLOOKUP(F710,'SIZE CALCULATION'!$F:$G,2,0))</f>
        <v/>
      </c>
      <c r="AG710" s="207" t="str">
        <f t="shared" si="103"/>
        <v/>
      </c>
      <c r="AH710" s="207" t="str">
        <f t="shared" si="106"/>
        <v/>
      </c>
      <c r="AI710" s="210" t="str">
        <f>IF(ISBLANK(D710),"",VLOOKUP($A710,INDEX!$D$2:$F$13,3,0))</f>
        <v/>
      </c>
      <c r="AJ710" s="207" t="str">
        <f t="shared" si="107"/>
        <v/>
      </c>
      <c r="AK710" s="207"/>
      <c r="AL710" s="207"/>
      <c r="AM710" s="207" t="str">
        <f>IFERROR(IF(ISBLANK($D710),"",VLOOKUP($N710,'TABLE CHARGE RATE'!$A$30:$K$106,5,0)),"Check")</f>
        <v/>
      </c>
      <c r="AN710" s="207" t="str">
        <f>IFERROR(IF(ISBLANK($D710),"",VLOOKUP($N710,'TABLE CHARGE RATE'!$A$30:$K$106,6,0)),"Check")</f>
        <v/>
      </c>
      <c r="AO710" s="207" t="str">
        <f>IFERROR(IF(ISBLANK($D710),"",VLOOKUP($N710,'TABLE CHARGE RATE'!$A$30:$K$106,7,0)),"Check")</f>
        <v/>
      </c>
      <c r="AP710" s="207" t="str">
        <f>IFERROR(IF(ISBLANK($D710),"",VLOOKUP($N710,'TABLE CHARGE RATE'!$A$30:$K$106,8,0)),"Check")</f>
        <v/>
      </c>
      <c r="AQ710" s="207" t="str">
        <f>IFERROR(IF(ISBLANK($D710),"",VLOOKUP($N710,'TABLE CHARGE RATE'!$A$30:$K$106,9,0)),"Check")</f>
        <v/>
      </c>
      <c r="AR710" s="207" t="str">
        <f>IFERROR(IF(ISBLANK($D710),"",VLOOKUP($N710,'TABLE CHARGE RATE'!$A$30:$K$106,10,0)),"Check")</f>
        <v/>
      </c>
      <c r="AS710" s="207" t="str">
        <f>IFERROR(IF(ISBLANK($D710),"",VLOOKUP($N710,'TABLE CHARGE RATE'!$A$30:$K$106,11,0)),"Check")</f>
        <v/>
      </c>
      <c r="AT710" s="207"/>
    </row>
    <row r="711" spans="1:46" x14ac:dyDescent="0.2">
      <c r="A711" s="207" t="str">
        <f t="shared" si="102"/>
        <v/>
      </c>
      <c r="B711" s="208" t="str">
        <f>IF(ISBLANK(D711),"",VLOOKUP(WEEKDAY($C711,1),INDEX!$J$2:$K$8,2,0))</f>
        <v/>
      </c>
      <c r="C711" s="209"/>
      <c r="D711" s="207"/>
      <c r="E711" s="207"/>
      <c r="F711" s="207"/>
      <c r="G711" s="207"/>
      <c r="H711" s="207"/>
      <c r="I711" s="207"/>
      <c r="J711" s="207"/>
      <c r="K711" s="207"/>
      <c r="L711" s="207"/>
      <c r="M711" s="207"/>
      <c r="N711" s="207"/>
      <c r="O711" s="207"/>
      <c r="P711" s="207"/>
      <c r="Q711" s="207"/>
      <c r="R711" s="207"/>
      <c r="S711" s="207"/>
      <c r="T711" s="207"/>
      <c r="U711" s="209"/>
      <c r="V711" s="207"/>
      <c r="W711" s="207"/>
      <c r="X711" s="209"/>
      <c r="Y711" s="209"/>
      <c r="Z711" s="207" t="str">
        <f t="shared" ca="1" si="104"/>
        <v/>
      </c>
      <c r="AA711" s="209" t="str">
        <f t="shared" si="101"/>
        <v/>
      </c>
      <c r="AB711" s="209"/>
      <c r="AC711" s="207" t="str">
        <f t="shared" ca="1" si="105"/>
        <v/>
      </c>
      <c r="AD711" s="207"/>
      <c r="AE711" s="207"/>
      <c r="AF711" s="208" t="str">
        <f>IF(ISBLANK(D711),"",VLOOKUP(F711,'SIZE CALCULATION'!$F:$G,2,0))</f>
        <v/>
      </c>
      <c r="AG711" s="207" t="str">
        <f t="shared" si="103"/>
        <v/>
      </c>
      <c r="AH711" s="207" t="str">
        <f t="shared" si="106"/>
        <v/>
      </c>
      <c r="AI711" s="210" t="str">
        <f>IF(ISBLANK(D711),"",VLOOKUP($A711,INDEX!$D$2:$F$13,3,0))</f>
        <v/>
      </c>
      <c r="AJ711" s="207" t="str">
        <f t="shared" si="107"/>
        <v/>
      </c>
      <c r="AK711" s="207"/>
      <c r="AL711" s="207"/>
      <c r="AM711" s="207" t="str">
        <f>IFERROR(IF(ISBLANK($D711),"",VLOOKUP($N711,'TABLE CHARGE RATE'!$A$30:$K$106,5,0)),"Check")</f>
        <v/>
      </c>
      <c r="AN711" s="207" t="str">
        <f>IFERROR(IF(ISBLANK($D711),"",VLOOKUP($N711,'TABLE CHARGE RATE'!$A$30:$K$106,6,0)),"Check")</f>
        <v/>
      </c>
      <c r="AO711" s="207" t="str">
        <f>IFERROR(IF(ISBLANK($D711),"",VLOOKUP($N711,'TABLE CHARGE RATE'!$A$30:$K$106,7,0)),"Check")</f>
        <v/>
      </c>
      <c r="AP711" s="207" t="str">
        <f>IFERROR(IF(ISBLANK($D711),"",VLOOKUP($N711,'TABLE CHARGE RATE'!$A$30:$K$106,8,0)),"Check")</f>
        <v/>
      </c>
      <c r="AQ711" s="207" t="str">
        <f>IFERROR(IF(ISBLANK($D711),"",VLOOKUP($N711,'TABLE CHARGE RATE'!$A$30:$K$106,9,0)),"Check")</f>
        <v/>
      </c>
      <c r="AR711" s="207" t="str">
        <f>IFERROR(IF(ISBLANK($D711),"",VLOOKUP($N711,'TABLE CHARGE RATE'!$A$30:$K$106,10,0)),"Check")</f>
        <v/>
      </c>
      <c r="AS711" s="207" t="str">
        <f>IFERROR(IF(ISBLANK($D711),"",VLOOKUP($N711,'TABLE CHARGE RATE'!$A$30:$K$106,11,0)),"Check")</f>
        <v/>
      </c>
      <c r="AT711" s="207"/>
    </row>
    <row r="712" spans="1:46" x14ac:dyDescent="0.2">
      <c r="A712" s="207" t="str">
        <f t="shared" si="102"/>
        <v/>
      </c>
      <c r="B712" s="208" t="str">
        <f>IF(ISBLANK(D712),"",VLOOKUP(WEEKDAY($C712,1),INDEX!$J$2:$K$8,2,0))</f>
        <v/>
      </c>
      <c r="C712" s="209"/>
      <c r="D712" s="207"/>
      <c r="E712" s="207"/>
      <c r="F712" s="207"/>
      <c r="G712" s="207"/>
      <c r="H712" s="207"/>
      <c r="I712" s="207"/>
      <c r="J712" s="207"/>
      <c r="K712" s="207"/>
      <c r="L712" s="207"/>
      <c r="M712" s="207"/>
      <c r="N712" s="207"/>
      <c r="O712" s="207"/>
      <c r="P712" s="207"/>
      <c r="Q712" s="207"/>
      <c r="R712" s="207"/>
      <c r="S712" s="207"/>
      <c r="T712" s="207"/>
      <c r="U712" s="209"/>
      <c r="V712" s="207"/>
      <c r="W712" s="207"/>
      <c r="X712" s="209"/>
      <c r="Y712" s="209"/>
      <c r="Z712" s="207" t="str">
        <f t="shared" ca="1" si="104"/>
        <v/>
      </c>
      <c r="AA712" s="209" t="str">
        <f t="shared" si="101"/>
        <v/>
      </c>
      <c r="AB712" s="209"/>
      <c r="AC712" s="207" t="str">
        <f t="shared" ca="1" si="105"/>
        <v/>
      </c>
      <c r="AD712" s="207"/>
      <c r="AE712" s="207"/>
      <c r="AF712" s="208" t="str">
        <f>IF(ISBLANK(D712),"",VLOOKUP(F712,'SIZE CALCULATION'!$F:$G,2,0))</f>
        <v/>
      </c>
      <c r="AG712" s="207" t="str">
        <f t="shared" si="103"/>
        <v/>
      </c>
      <c r="AH712" s="207" t="str">
        <f t="shared" si="106"/>
        <v/>
      </c>
      <c r="AI712" s="210" t="str">
        <f>IF(ISBLANK(D712),"",VLOOKUP($A712,INDEX!$D$2:$F$13,3,0))</f>
        <v/>
      </c>
      <c r="AJ712" s="207" t="str">
        <f t="shared" si="107"/>
        <v/>
      </c>
      <c r="AK712" s="207"/>
      <c r="AL712" s="207"/>
      <c r="AM712" s="207" t="str">
        <f>IFERROR(IF(ISBLANK($D712),"",VLOOKUP($N712,'TABLE CHARGE RATE'!$A$30:$K$106,5,0)),"Check")</f>
        <v/>
      </c>
      <c r="AN712" s="207" t="str">
        <f>IFERROR(IF(ISBLANK($D712),"",VLOOKUP($N712,'TABLE CHARGE RATE'!$A$30:$K$106,6,0)),"Check")</f>
        <v/>
      </c>
      <c r="AO712" s="207" t="str">
        <f>IFERROR(IF(ISBLANK($D712),"",VLOOKUP($N712,'TABLE CHARGE RATE'!$A$30:$K$106,7,0)),"Check")</f>
        <v/>
      </c>
      <c r="AP712" s="207" t="str">
        <f>IFERROR(IF(ISBLANK($D712),"",VLOOKUP($N712,'TABLE CHARGE RATE'!$A$30:$K$106,8,0)),"Check")</f>
        <v/>
      </c>
      <c r="AQ712" s="207" t="str">
        <f>IFERROR(IF(ISBLANK($D712),"",VLOOKUP($N712,'TABLE CHARGE RATE'!$A$30:$K$106,9,0)),"Check")</f>
        <v/>
      </c>
      <c r="AR712" s="207" t="str">
        <f>IFERROR(IF(ISBLANK($D712),"",VLOOKUP($N712,'TABLE CHARGE RATE'!$A$30:$K$106,10,0)),"Check")</f>
        <v/>
      </c>
      <c r="AS712" s="207" t="str">
        <f>IFERROR(IF(ISBLANK($D712),"",VLOOKUP($N712,'TABLE CHARGE RATE'!$A$30:$K$106,11,0)),"Check")</f>
        <v/>
      </c>
      <c r="AT712" s="207"/>
    </row>
    <row r="713" spans="1:46" x14ac:dyDescent="0.2">
      <c r="A713" s="207" t="str">
        <f t="shared" si="102"/>
        <v/>
      </c>
      <c r="B713" s="208" t="str">
        <f>IF(ISBLANK(D713),"",VLOOKUP(WEEKDAY($C713,1),INDEX!$J$2:$K$8,2,0))</f>
        <v/>
      </c>
      <c r="C713" s="209"/>
      <c r="D713" s="207"/>
      <c r="E713" s="207"/>
      <c r="F713" s="207"/>
      <c r="G713" s="207"/>
      <c r="H713" s="207"/>
      <c r="I713" s="207"/>
      <c r="J713" s="207"/>
      <c r="K713" s="207"/>
      <c r="L713" s="207"/>
      <c r="M713" s="207"/>
      <c r="N713" s="207"/>
      <c r="O713" s="207"/>
      <c r="P713" s="207"/>
      <c r="Q713" s="207"/>
      <c r="R713" s="207"/>
      <c r="S713" s="207"/>
      <c r="T713" s="207"/>
      <c r="U713" s="209"/>
      <c r="V713" s="207"/>
      <c r="W713" s="207"/>
      <c r="X713" s="209"/>
      <c r="Y713" s="209"/>
      <c r="Z713" s="207" t="str">
        <f t="shared" ca="1" si="104"/>
        <v/>
      </c>
      <c r="AA713" s="209" t="str">
        <f t="shared" si="101"/>
        <v/>
      </c>
      <c r="AB713" s="209"/>
      <c r="AC713" s="207" t="str">
        <f t="shared" ca="1" si="105"/>
        <v/>
      </c>
      <c r="AD713" s="207"/>
      <c r="AE713" s="207"/>
      <c r="AF713" s="208" t="str">
        <f>IF(ISBLANK(D713),"",VLOOKUP(F713,'SIZE CALCULATION'!$F:$G,2,0))</f>
        <v/>
      </c>
      <c r="AG713" s="207" t="str">
        <f t="shared" si="103"/>
        <v/>
      </c>
      <c r="AH713" s="207" t="str">
        <f t="shared" si="106"/>
        <v/>
      </c>
      <c r="AI713" s="210" t="str">
        <f>IF(ISBLANK(D713),"",VLOOKUP($A713,INDEX!$D$2:$F$13,3,0))</f>
        <v/>
      </c>
      <c r="AJ713" s="207" t="str">
        <f t="shared" si="107"/>
        <v/>
      </c>
      <c r="AK713" s="207"/>
      <c r="AL713" s="207"/>
      <c r="AM713" s="207" t="str">
        <f>IFERROR(IF(ISBLANK($D713),"",VLOOKUP($N713,'TABLE CHARGE RATE'!$A$30:$K$106,5,0)),"Check")</f>
        <v/>
      </c>
      <c r="AN713" s="207" t="str">
        <f>IFERROR(IF(ISBLANK($D713),"",VLOOKUP($N713,'TABLE CHARGE RATE'!$A$30:$K$106,6,0)),"Check")</f>
        <v/>
      </c>
      <c r="AO713" s="207" t="str">
        <f>IFERROR(IF(ISBLANK($D713),"",VLOOKUP($N713,'TABLE CHARGE RATE'!$A$30:$K$106,7,0)),"Check")</f>
        <v/>
      </c>
      <c r="AP713" s="207" t="str">
        <f>IFERROR(IF(ISBLANK($D713),"",VLOOKUP($N713,'TABLE CHARGE RATE'!$A$30:$K$106,8,0)),"Check")</f>
        <v/>
      </c>
      <c r="AQ713" s="207" t="str">
        <f>IFERROR(IF(ISBLANK($D713),"",VLOOKUP($N713,'TABLE CHARGE RATE'!$A$30:$K$106,9,0)),"Check")</f>
        <v/>
      </c>
      <c r="AR713" s="207" t="str">
        <f>IFERROR(IF(ISBLANK($D713),"",VLOOKUP($N713,'TABLE CHARGE RATE'!$A$30:$K$106,10,0)),"Check")</f>
        <v/>
      </c>
      <c r="AS713" s="207" t="str">
        <f>IFERROR(IF(ISBLANK($D713),"",VLOOKUP($N713,'TABLE CHARGE RATE'!$A$30:$K$106,11,0)),"Check")</f>
        <v/>
      </c>
      <c r="AT713" s="207"/>
    </row>
    <row r="714" spans="1:46" x14ac:dyDescent="0.2">
      <c r="A714" s="207" t="str">
        <f t="shared" si="102"/>
        <v/>
      </c>
      <c r="B714" s="208" t="str">
        <f>IF(ISBLANK(D714),"",VLOOKUP(WEEKDAY($C714,1),INDEX!$J$2:$K$8,2,0))</f>
        <v/>
      </c>
      <c r="C714" s="209"/>
      <c r="D714" s="207"/>
      <c r="E714" s="207"/>
      <c r="F714" s="207"/>
      <c r="G714" s="207"/>
      <c r="H714" s="207"/>
      <c r="I714" s="207"/>
      <c r="J714" s="207"/>
      <c r="K714" s="207"/>
      <c r="L714" s="207"/>
      <c r="M714" s="207"/>
      <c r="N714" s="207"/>
      <c r="O714" s="207"/>
      <c r="P714" s="207"/>
      <c r="Q714" s="207"/>
      <c r="R714" s="207"/>
      <c r="S714" s="207"/>
      <c r="T714" s="207"/>
      <c r="U714" s="209"/>
      <c r="V714" s="207"/>
      <c r="W714" s="207"/>
      <c r="X714" s="209"/>
      <c r="Y714" s="209"/>
      <c r="Z714" s="207" t="str">
        <f t="shared" ca="1" si="104"/>
        <v/>
      </c>
      <c r="AA714" s="209" t="str">
        <f t="shared" si="101"/>
        <v/>
      </c>
      <c r="AB714" s="209"/>
      <c r="AC714" s="207" t="str">
        <f t="shared" ca="1" si="105"/>
        <v/>
      </c>
      <c r="AD714" s="207"/>
      <c r="AE714" s="207"/>
      <c r="AF714" s="208" t="str">
        <f>IF(ISBLANK(D714),"",VLOOKUP(F714,'SIZE CALCULATION'!$F:$G,2,0))</f>
        <v/>
      </c>
      <c r="AG714" s="207" t="str">
        <f t="shared" si="103"/>
        <v/>
      </c>
      <c r="AH714" s="207" t="str">
        <f t="shared" si="106"/>
        <v/>
      </c>
      <c r="AI714" s="210" t="str">
        <f>IF(ISBLANK(D714),"",VLOOKUP($A714,INDEX!$D$2:$F$13,3,0))</f>
        <v/>
      </c>
      <c r="AJ714" s="207" t="str">
        <f t="shared" si="107"/>
        <v/>
      </c>
      <c r="AK714" s="207"/>
      <c r="AL714" s="207"/>
      <c r="AM714" s="207" t="str">
        <f>IFERROR(IF(ISBLANK($D714),"",VLOOKUP($N714,'TABLE CHARGE RATE'!$A$30:$K$106,5,0)),"Check")</f>
        <v/>
      </c>
      <c r="AN714" s="207" t="str">
        <f>IFERROR(IF(ISBLANK($D714),"",VLOOKUP($N714,'TABLE CHARGE RATE'!$A$30:$K$106,6,0)),"Check")</f>
        <v/>
      </c>
      <c r="AO714" s="207" t="str">
        <f>IFERROR(IF(ISBLANK($D714),"",VLOOKUP($N714,'TABLE CHARGE RATE'!$A$30:$K$106,7,0)),"Check")</f>
        <v/>
      </c>
      <c r="AP714" s="207" t="str">
        <f>IFERROR(IF(ISBLANK($D714),"",VLOOKUP($N714,'TABLE CHARGE RATE'!$A$30:$K$106,8,0)),"Check")</f>
        <v/>
      </c>
      <c r="AQ714" s="207" t="str">
        <f>IFERROR(IF(ISBLANK($D714),"",VLOOKUP($N714,'TABLE CHARGE RATE'!$A$30:$K$106,9,0)),"Check")</f>
        <v/>
      </c>
      <c r="AR714" s="207" t="str">
        <f>IFERROR(IF(ISBLANK($D714),"",VLOOKUP($N714,'TABLE CHARGE RATE'!$A$30:$K$106,10,0)),"Check")</f>
        <v/>
      </c>
      <c r="AS714" s="207" t="str">
        <f>IFERROR(IF(ISBLANK($D714),"",VLOOKUP($N714,'TABLE CHARGE RATE'!$A$30:$K$106,11,0)),"Check")</f>
        <v/>
      </c>
      <c r="AT714" s="207"/>
    </row>
    <row r="715" spans="1:46" x14ac:dyDescent="0.2">
      <c r="A715" s="207" t="str">
        <f t="shared" si="102"/>
        <v/>
      </c>
      <c r="B715" s="208" t="str">
        <f>IF(ISBLANK(D715),"",VLOOKUP(WEEKDAY($C715,1),INDEX!$J$2:$K$8,2,0))</f>
        <v/>
      </c>
      <c r="C715" s="209"/>
      <c r="D715" s="207"/>
      <c r="E715" s="207"/>
      <c r="F715" s="207"/>
      <c r="G715" s="207"/>
      <c r="H715" s="207"/>
      <c r="I715" s="207"/>
      <c r="J715" s="207"/>
      <c r="K715" s="207"/>
      <c r="L715" s="207"/>
      <c r="M715" s="207"/>
      <c r="N715" s="207"/>
      <c r="O715" s="207"/>
      <c r="P715" s="207"/>
      <c r="Q715" s="207"/>
      <c r="R715" s="207"/>
      <c r="S715" s="207"/>
      <c r="T715" s="207"/>
      <c r="U715" s="209"/>
      <c r="V715" s="207"/>
      <c r="W715" s="207"/>
      <c r="X715" s="209"/>
      <c r="Y715" s="209"/>
      <c r="Z715" s="207" t="str">
        <f t="shared" ca="1" si="104"/>
        <v/>
      </c>
      <c r="AA715" s="209" t="str">
        <f t="shared" si="101"/>
        <v/>
      </c>
      <c r="AB715" s="209"/>
      <c r="AC715" s="207" t="str">
        <f t="shared" ca="1" si="105"/>
        <v/>
      </c>
      <c r="AD715" s="207"/>
      <c r="AE715" s="207"/>
      <c r="AF715" s="208" t="str">
        <f>IF(ISBLANK(D715),"",VLOOKUP(F715,'SIZE CALCULATION'!$F:$G,2,0))</f>
        <v/>
      </c>
      <c r="AG715" s="207" t="str">
        <f t="shared" si="103"/>
        <v/>
      </c>
      <c r="AH715" s="207" t="str">
        <f t="shared" si="106"/>
        <v/>
      </c>
      <c r="AI715" s="210" t="str">
        <f>IF(ISBLANK(D715),"",VLOOKUP($A715,INDEX!$D$2:$F$13,3,0))</f>
        <v/>
      </c>
      <c r="AJ715" s="207" t="str">
        <f t="shared" si="107"/>
        <v/>
      </c>
      <c r="AK715" s="207"/>
      <c r="AL715" s="207"/>
      <c r="AM715" s="207" t="str">
        <f>IFERROR(IF(ISBLANK($D715),"",VLOOKUP($N715,'TABLE CHARGE RATE'!$A$30:$K$106,5,0)),"Check")</f>
        <v/>
      </c>
      <c r="AN715" s="207" t="str">
        <f>IFERROR(IF(ISBLANK($D715),"",VLOOKUP($N715,'TABLE CHARGE RATE'!$A$30:$K$106,6,0)),"Check")</f>
        <v/>
      </c>
      <c r="AO715" s="207" t="str">
        <f>IFERROR(IF(ISBLANK($D715),"",VLOOKUP($N715,'TABLE CHARGE RATE'!$A$30:$K$106,7,0)),"Check")</f>
        <v/>
      </c>
      <c r="AP715" s="207" t="str">
        <f>IFERROR(IF(ISBLANK($D715),"",VLOOKUP($N715,'TABLE CHARGE RATE'!$A$30:$K$106,8,0)),"Check")</f>
        <v/>
      </c>
      <c r="AQ715" s="207" t="str">
        <f>IFERROR(IF(ISBLANK($D715),"",VLOOKUP($N715,'TABLE CHARGE RATE'!$A$30:$K$106,9,0)),"Check")</f>
        <v/>
      </c>
      <c r="AR715" s="207" t="str">
        <f>IFERROR(IF(ISBLANK($D715),"",VLOOKUP($N715,'TABLE CHARGE RATE'!$A$30:$K$106,10,0)),"Check")</f>
        <v/>
      </c>
      <c r="AS715" s="207" t="str">
        <f>IFERROR(IF(ISBLANK($D715),"",VLOOKUP($N715,'TABLE CHARGE RATE'!$A$30:$K$106,11,0)),"Check")</f>
        <v/>
      </c>
      <c r="AT715" s="207"/>
    </row>
    <row r="716" spans="1:46" x14ac:dyDescent="0.2">
      <c r="A716" s="207" t="str">
        <f t="shared" si="102"/>
        <v/>
      </c>
      <c r="B716" s="208" t="str">
        <f>IF(ISBLANK(D716),"",VLOOKUP(WEEKDAY($C716,1),INDEX!$J$2:$K$8,2,0))</f>
        <v/>
      </c>
      <c r="C716" s="209"/>
      <c r="D716" s="207"/>
      <c r="E716" s="207"/>
      <c r="F716" s="207"/>
      <c r="G716" s="207"/>
      <c r="H716" s="207"/>
      <c r="I716" s="207"/>
      <c r="J716" s="207"/>
      <c r="K716" s="207"/>
      <c r="L716" s="207"/>
      <c r="M716" s="207"/>
      <c r="N716" s="207"/>
      <c r="O716" s="207"/>
      <c r="P716" s="207"/>
      <c r="Q716" s="207"/>
      <c r="R716" s="207"/>
      <c r="S716" s="207"/>
      <c r="T716" s="207"/>
      <c r="U716" s="209"/>
      <c r="V716" s="207"/>
      <c r="W716" s="207"/>
      <c r="X716" s="209"/>
      <c r="Y716" s="209"/>
      <c r="Z716" s="207" t="str">
        <f t="shared" ca="1" si="104"/>
        <v/>
      </c>
      <c r="AA716" s="209" t="str">
        <f t="shared" si="101"/>
        <v/>
      </c>
      <c r="AB716" s="209"/>
      <c r="AC716" s="207" t="str">
        <f t="shared" ca="1" si="105"/>
        <v/>
      </c>
      <c r="AD716" s="207"/>
      <c r="AE716" s="207"/>
      <c r="AF716" s="208" t="str">
        <f>IF(ISBLANK(D716),"",VLOOKUP(F716,'SIZE CALCULATION'!$F:$G,2,0))</f>
        <v/>
      </c>
      <c r="AG716" s="207" t="str">
        <f t="shared" si="103"/>
        <v/>
      </c>
      <c r="AH716" s="207" t="str">
        <f t="shared" si="106"/>
        <v/>
      </c>
      <c r="AI716" s="210" t="str">
        <f>IF(ISBLANK(D716),"",VLOOKUP($A716,INDEX!$D$2:$F$13,3,0))</f>
        <v/>
      </c>
      <c r="AJ716" s="207" t="str">
        <f t="shared" si="107"/>
        <v/>
      </c>
      <c r="AK716" s="207"/>
      <c r="AL716" s="207"/>
      <c r="AM716" s="207" t="str">
        <f>IFERROR(IF(ISBLANK($D716),"",VLOOKUP($N716,'TABLE CHARGE RATE'!$A$30:$K$106,5,0)),"Check")</f>
        <v/>
      </c>
      <c r="AN716" s="207" t="str">
        <f>IFERROR(IF(ISBLANK($D716),"",VLOOKUP($N716,'TABLE CHARGE RATE'!$A$30:$K$106,6,0)),"Check")</f>
        <v/>
      </c>
      <c r="AO716" s="207" t="str">
        <f>IFERROR(IF(ISBLANK($D716),"",VLOOKUP($N716,'TABLE CHARGE RATE'!$A$30:$K$106,7,0)),"Check")</f>
        <v/>
      </c>
      <c r="AP716" s="207" t="str">
        <f>IFERROR(IF(ISBLANK($D716),"",VLOOKUP($N716,'TABLE CHARGE RATE'!$A$30:$K$106,8,0)),"Check")</f>
        <v/>
      </c>
      <c r="AQ716" s="207" t="str">
        <f>IFERROR(IF(ISBLANK($D716),"",VLOOKUP($N716,'TABLE CHARGE RATE'!$A$30:$K$106,9,0)),"Check")</f>
        <v/>
      </c>
      <c r="AR716" s="207" t="str">
        <f>IFERROR(IF(ISBLANK($D716),"",VLOOKUP($N716,'TABLE CHARGE RATE'!$A$30:$K$106,10,0)),"Check")</f>
        <v/>
      </c>
      <c r="AS716" s="207" t="str">
        <f>IFERROR(IF(ISBLANK($D716),"",VLOOKUP($N716,'TABLE CHARGE RATE'!$A$30:$K$106,11,0)),"Check")</f>
        <v/>
      </c>
      <c r="AT716" s="207"/>
    </row>
    <row r="717" spans="1:46" x14ac:dyDescent="0.2">
      <c r="A717" s="207" t="str">
        <f t="shared" si="102"/>
        <v/>
      </c>
      <c r="B717" s="208" t="str">
        <f>IF(ISBLANK(D717),"",VLOOKUP(WEEKDAY($C717,1),INDEX!$J$2:$K$8,2,0))</f>
        <v/>
      </c>
      <c r="C717" s="209"/>
      <c r="D717" s="207"/>
      <c r="E717" s="207"/>
      <c r="F717" s="207"/>
      <c r="G717" s="207"/>
      <c r="H717" s="207"/>
      <c r="I717" s="207"/>
      <c r="J717" s="207"/>
      <c r="K717" s="207"/>
      <c r="L717" s="207"/>
      <c r="M717" s="207"/>
      <c r="N717" s="207"/>
      <c r="O717" s="207"/>
      <c r="P717" s="207"/>
      <c r="Q717" s="207"/>
      <c r="R717" s="207"/>
      <c r="S717" s="207"/>
      <c r="T717" s="207"/>
      <c r="U717" s="209"/>
      <c r="V717" s="207"/>
      <c r="W717" s="207"/>
      <c r="X717" s="209"/>
      <c r="Y717" s="209"/>
      <c r="Z717" s="207" t="str">
        <f t="shared" ca="1" si="104"/>
        <v/>
      </c>
      <c r="AA717" s="209" t="str">
        <f t="shared" si="101"/>
        <v/>
      </c>
      <c r="AB717" s="209"/>
      <c r="AC717" s="207" t="str">
        <f t="shared" ca="1" si="105"/>
        <v/>
      </c>
      <c r="AD717" s="207"/>
      <c r="AE717" s="207"/>
      <c r="AF717" s="208" t="str">
        <f>IF(ISBLANK(D717),"",VLOOKUP(F717,'SIZE CALCULATION'!$F:$G,2,0))</f>
        <v/>
      </c>
      <c r="AG717" s="207" t="str">
        <f t="shared" si="103"/>
        <v/>
      </c>
      <c r="AH717" s="207" t="str">
        <f t="shared" si="106"/>
        <v/>
      </c>
      <c r="AI717" s="210" t="str">
        <f>IF(ISBLANK(D717),"",VLOOKUP($A717,INDEX!$D$2:$F$13,3,0))</f>
        <v/>
      </c>
      <c r="AJ717" s="207" t="str">
        <f t="shared" si="107"/>
        <v/>
      </c>
      <c r="AK717" s="207"/>
      <c r="AL717" s="207"/>
      <c r="AM717" s="207" t="str">
        <f>IFERROR(IF(ISBLANK($D717),"",VLOOKUP($N717,'TABLE CHARGE RATE'!$A$30:$K$106,5,0)),"Check")</f>
        <v/>
      </c>
      <c r="AN717" s="207" t="str">
        <f>IFERROR(IF(ISBLANK($D717),"",VLOOKUP($N717,'TABLE CHARGE RATE'!$A$30:$K$106,6,0)),"Check")</f>
        <v/>
      </c>
      <c r="AO717" s="207" t="str">
        <f>IFERROR(IF(ISBLANK($D717),"",VLOOKUP($N717,'TABLE CHARGE RATE'!$A$30:$K$106,7,0)),"Check")</f>
        <v/>
      </c>
      <c r="AP717" s="207" t="str">
        <f>IFERROR(IF(ISBLANK($D717),"",VLOOKUP($N717,'TABLE CHARGE RATE'!$A$30:$K$106,8,0)),"Check")</f>
        <v/>
      </c>
      <c r="AQ717" s="207" t="str">
        <f>IFERROR(IF(ISBLANK($D717),"",VLOOKUP($N717,'TABLE CHARGE RATE'!$A$30:$K$106,9,0)),"Check")</f>
        <v/>
      </c>
      <c r="AR717" s="207" t="str">
        <f>IFERROR(IF(ISBLANK($D717),"",VLOOKUP($N717,'TABLE CHARGE RATE'!$A$30:$K$106,10,0)),"Check")</f>
        <v/>
      </c>
      <c r="AS717" s="207" t="str">
        <f>IFERROR(IF(ISBLANK($D717),"",VLOOKUP($N717,'TABLE CHARGE RATE'!$A$30:$K$106,11,0)),"Check")</f>
        <v/>
      </c>
      <c r="AT717" s="207"/>
    </row>
    <row r="718" spans="1:46" x14ac:dyDescent="0.2">
      <c r="A718" s="207" t="str">
        <f t="shared" si="102"/>
        <v/>
      </c>
      <c r="B718" s="208" t="str">
        <f>IF(ISBLANK(D718),"",VLOOKUP(WEEKDAY($C718,1),INDEX!$J$2:$K$8,2,0))</f>
        <v/>
      </c>
      <c r="C718" s="209"/>
      <c r="D718" s="207"/>
      <c r="E718" s="207"/>
      <c r="F718" s="207"/>
      <c r="G718" s="207"/>
      <c r="H718" s="207"/>
      <c r="I718" s="207"/>
      <c r="J718" s="207"/>
      <c r="K718" s="207"/>
      <c r="L718" s="207"/>
      <c r="M718" s="207"/>
      <c r="N718" s="207"/>
      <c r="O718" s="207"/>
      <c r="P718" s="207"/>
      <c r="Q718" s="207"/>
      <c r="R718" s="207"/>
      <c r="S718" s="207"/>
      <c r="T718" s="207"/>
      <c r="U718" s="209"/>
      <c r="V718" s="207"/>
      <c r="W718" s="207"/>
      <c r="X718" s="209"/>
      <c r="Y718" s="209"/>
      <c r="Z718" s="207" t="str">
        <f t="shared" ca="1" si="104"/>
        <v/>
      </c>
      <c r="AA718" s="209" t="str">
        <f t="shared" si="101"/>
        <v/>
      </c>
      <c r="AB718" s="209"/>
      <c r="AC718" s="207" t="str">
        <f t="shared" ca="1" si="105"/>
        <v/>
      </c>
      <c r="AD718" s="207"/>
      <c r="AE718" s="207"/>
      <c r="AF718" s="208" t="str">
        <f>IF(ISBLANK(D718),"",VLOOKUP(F718,'SIZE CALCULATION'!$F:$G,2,0))</f>
        <v/>
      </c>
      <c r="AG718" s="207" t="str">
        <f t="shared" si="103"/>
        <v/>
      </c>
      <c r="AH718" s="207" t="str">
        <f t="shared" si="106"/>
        <v/>
      </c>
      <c r="AI718" s="210" t="str">
        <f>IF(ISBLANK(D718),"",VLOOKUP($A718,INDEX!$D$2:$F$13,3,0))</f>
        <v/>
      </c>
      <c r="AJ718" s="207" t="str">
        <f t="shared" si="107"/>
        <v/>
      </c>
      <c r="AK718" s="207"/>
      <c r="AL718" s="207"/>
      <c r="AM718" s="207" t="str">
        <f>IFERROR(IF(ISBLANK($D718),"",VLOOKUP($N718,'TABLE CHARGE RATE'!$A$30:$K$106,5,0)),"Check")</f>
        <v/>
      </c>
      <c r="AN718" s="207" t="str">
        <f>IFERROR(IF(ISBLANK($D718),"",VLOOKUP($N718,'TABLE CHARGE RATE'!$A$30:$K$106,6,0)),"Check")</f>
        <v/>
      </c>
      <c r="AO718" s="207" t="str">
        <f>IFERROR(IF(ISBLANK($D718),"",VLOOKUP($N718,'TABLE CHARGE RATE'!$A$30:$K$106,7,0)),"Check")</f>
        <v/>
      </c>
      <c r="AP718" s="207" t="str">
        <f>IFERROR(IF(ISBLANK($D718),"",VLOOKUP($N718,'TABLE CHARGE RATE'!$A$30:$K$106,8,0)),"Check")</f>
        <v/>
      </c>
      <c r="AQ718" s="207" t="str">
        <f>IFERROR(IF(ISBLANK($D718),"",VLOOKUP($N718,'TABLE CHARGE RATE'!$A$30:$K$106,9,0)),"Check")</f>
        <v/>
      </c>
      <c r="AR718" s="207" t="str">
        <f>IFERROR(IF(ISBLANK($D718),"",VLOOKUP($N718,'TABLE CHARGE RATE'!$A$30:$K$106,10,0)),"Check")</f>
        <v/>
      </c>
      <c r="AS718" s="207" t="str">
        <f>IFERROR(IF(ISBLANK($D718),"",VLOOKUP($N718,'TABLE CHARGE RATE'!$A$30:$K$106,11,0)),"Check")</f>
        <v/>
      </c>
      <c r="AT718" s="207"/>
    </row>
    <row r="719" spans="1:46" x14ac:dyDescent="0.2">
      <c r="A719" s="207" t="str">
        <f t="shared" si="102"/>
        <v/>
      </c>
      <c r="B719" s="208" t="str">
        <f>IF(ISBLANK(D719),"",VLOOKUP(WEEKDAY($C719,1),INDEX!$J$2:$K$8,2,0))</f>
        <v/>
      </c>
      <c r="C719" s="209"/>
      <c r="D719" s="207"/>
      <c r="E719" s="207"/>
      <c r="F719" s="207"/>
      <c r="G719" s="207"/>
      <c r="H719" s="207"/>
      <c r="I719" s="207"/>
      <c r="J719" s="207"/>
      <c r="K719" s="207"/>
      <c r="L719" s="207"/>
      <c r="M719" s="207"/>
      <c r="N719" s="207"/>
      <c r="O719" s="207"/>
      <c r="P719" s="207"/>
      <c r="Q719" s="207"/>
      <c r="R719" s="207"/>
      <c r="S719" s="207"/>
      <c r="T719" s="207"/>
      <c r="U719" s="209"/>
      <c r="V719" s="207"/>
      <c r="W719" s="207"/>
      <c r="X719" s="209"/>
      <c r="Y719" s="209"/>
      <c r="Z719" s="207" t="str">
        <f t="shared" ca="1" si="104"/>
        <v/>
      </c>
      <c r="AA719" s="209" t="str">
        <f t="shared" si="101"/>
        <v/>
      </c>
      <c r="AB719" s="209"/>
      <c r="AC719" s="207" t="str">
        <f t="shared" ca="1" si="105"/>
        <v/>
      </c>
      <c r="AD719" s="207"/>
      <c r="AE719" s="207"/>
      <c r="AF719" s="208" t="str">
        <f>IF(ISBLANK(D719),"",VLOOKUP(F719,'SIZE CALCULATION'!$F:$G,2,0))</f>
        <v/>
      </c>
      <c r="AG719" s="207" t="str">
        <f t="shared" si="103"/>
        <v/>
      </c>
      <c r="AH719" s="207" t="str">
        <f t="shared" si="106"/>
        <v/>
      </c>
      <c r="AI719" s="210" t="str">
        <f>IF(ISBLANK(D719),"",VLOOKUP($A719,INDEX!$D$2:$F$13,3,0))</f>
        <v/>
      </c>
      <c r="AJ719" s="207" t="str">
        <f t="shared" si="107"/>
        <v/>
      </c>
      <c r="AK719" s="207"/>
      <c r="AL719" s="207"/>
      <c r="AM719" s="207" t="str">
        <f>IFERROR(IF(ISBLANK($D719),"",VLOOKUP($N719,'TABLE CHARGE RATE'!$A$30:$K$106,5,0)),"Check")</f>
        <v/>
      </c>
      <c r="AN719" s="207" t="str">
        <f>IFERROR(IF(ISBLANK($D719),"",VLOOKUP($N719,'TABLE CHARGE RATE'!$A$30:$K$106,6,0)),"Check")</f>
        <v/>
      </c>
      <c r="AO719" s="207" t="str">
        <f>IFERROR(IF(ISBLANK($D719),"",VLOOKUP($N719,'TABLE CHARGE RATE'!$A$30:$K$106,7,0)),"Check")</f>
        <v/>
      </c>
      <c r="AP719" s="207" t="str">
        <f>IFERROR(IF(ISBLANK($D719),"",VLOOKUP($N719,'TABLE CHARGE RATE'!$A$30:$K$106,8,0)),"Check")</f>
        <v/>
      </c>
      <c r="AQ719" s="207" t="str">
        <f>IFERROR(IF(ISBLANK($D719),"",VLOOKUP($N719,'TABLE CHARGE RATE'!$A$30:$K$106,9,0)),"Check")</f>
        <v/>
      </c>
      <c r="AR719" s="207" t="str">
        <f>IFERROR(IF(ISBLANK($D719),"",VLOOKUP($N719,'TABLE CHARGE RATE'!$A$30:$K$106,10,0)),"Check")</f>
        <v/>
      </c>
      <c r="AS719" s="207" t="str">
        <f>IFERROR(IF(ISBLANK($D719),"",VLOOKUP($N719,'TABLE CHARGE RATE'!$A$30:$K$106,11,0)),"Check")</f>
        <v/>
      </c>
      <c r="AT719" s="207"/>
    </row>
    <row r="720" spans="1:46" x14ac:dyDescent="0.2">
      <c r="A720" s="207" t="str">
        <f t="shared" si="102"/>
        <v/>
      </c>
      <c r="B720" s="208" t="str">
        <f>IF(ISBLANK(D720),"",VLOOKUP(WEEKDAY($C720,1),INDEX!$J$2:$K$8,2,0))</f>
        <v/>
      </c>
      <c r="C720" s="209"/>
      <c r="D720" s="207"/>
      <c r="E720" s="207"/>
      <c r="F720" s="207"/>
      <c r="G720" s="207"/>
      <c r="H720" s="207"/>
      <c r="I720" s="207"/>
      <c r="J720" s="207"/>
      <c r="K720" s="207"/>
      <c r="L720" s="207"/>
      <c r="M720" s="207"/>
      <c r="N720" s="207"/>
      <c r="O720" s="207"/>
      <c r="P720" s="207"/>
      <c r="Q720" s="207"/>
      <c r="R720" s="207"/>
      <c r="S720" s="207"/>
      <c r="T720" s="207"/>
      <c r="U720" s="209"/>
      <c r="V720" s="207"/>
      <c r="W720" s="207"/>
      <c r="X720" s="209"/>
      <c r="Y720" s="209"/>
      <c r="Z720" s="207" t="str">
        <f t="shared" ca="1" si="104"/>
        <v/>
      </c>
      <c r="AA720" s="209" t="str">
        <f t="shared" si="101"/>
        <v/>
      </c>
      <c r="AB720" s="209"/>
      <c r="AC720" s="207" t="str">
        <f t="shared" ca="1" si="105"/>
        <v/>
      </c>
      <c r="AD720" s="207"/>
      <c r="AE720" s="207"/>
      <c r="AF720" s="208" t="str">
        <f>IF(ISBLANK(D720),"",VLOOKUP(F720,'SIZE CALCULATION'!$F:$G,2,0))</f>
        <v/>
      </c>
      <c r="AG720" s="207" t="str">
        <f t="shared" si="103"/>
        <v/>
      </c>
      <c r="AH720" s="207" t="str">
        <f t="shared" si="106"/>
        <v/>
      </c>
      <c r="AI720" s="210" t="str">
        <f>IF(ISBLANK(D720),"",VLOOKUP($A720,INDEX!$D$2:$F$13,3,0))</f>
        <v/>
      </c>
      <c r="AJ720" s="207" t="str">
        <f t="shared" si="107"/>
        <v/>
      </c>
      <c r="AK720" s="207"/>
      <c r="AL720" s="207"/>
      <c r="AM720" s="207" t="str">
        <f>IFERROR(IF(ISBLANK($D720),"",VLOOKUP($N720,'TABLE CHARGE RATE'!$A$30:$K$106,5,0)),"Check")</f>
        <v/>
      </c>
      <c r="AN720" s="207" t="str">
        <f>IFERROR(IF(ISBLANK($D720),"",VLOOKUP($N720,'TABLE CHARGE RATE'!$A$30:$K$106,6,0)),"Check")</f>
        <v/>
      </c>
      <c r="AO720" s="207" t="str">
        <f>IFERROR(IF(ISBLANK($D720),"",VLOOKUP($N720,'TABLE CHARGE RATE'!$A$30:$K$106,7,0)),"Check")</f>
        <v/>
      </c>
      <c r="AP720" s="207" t="str">
        <f>IFERROR(IF(ISBLANK($D720),"",VLOOKUP($N720,'TABLE CHARGE RATE'!$A$30:$K$106,8,0)),"Check")</f>
        <v/>
      </c>
      <c r="AQ720" s="207" t="str">
        <f>IFERROR(IF(ISBLANK($D720),"",VLOOKUP($N720,'TABLE CHARGE RATE'!$A$30:$K$106,9,0)),"Check")</f>
        <v/>
      </c>
      <c r="AR720" s="207" t="str">
        <f>IFERROR(IF(ISBLANK($D720),"",VLOOKUP($N720,'TABLE CHARGE RATE'!$A$30:$K$106,10,0)),"Check")</f>
        <v/>
      </c>
      <c r="AS720" s="207" t="str">
        <f>IFERROR(IF(ISBLANK($D720),"",VLOOKUP($N720,'TABLE CHARGE RATE'!$A$30:$K$106,11,0)),"Check")</f>
        <v/>
      </c>
      <c r="AT720" s="207"/>
    </row>
    <row r="721" spans="1:46" x14ac:dyDescent="0.2">
      <c r="A721" s="207" t="str">
        <f t="shared" si="102"/>
        <v/>
      </c>
      <c r="B721" s="208" t="str">
        <f>IF(ISBLANK(D721),"",VLOOKUP(WEEKDAY($C721,1),INDEX!$J$2:$K$8,2,0))</f>
        <v/>
      </c>
      <c r="C721" s="209"/>
      <c r="D721" s="207"/>
      <c r="E721" s="207"/>
      <c r="F721" s="207"/>
      <c r="G721" s="207"/>
      <c r="H721" s="207"/>
      <c r="I721" s="207"/>
      <c r="J721" s="207"/>
      <c r="K721" s="207"/>
      <c r="L721" s="207"/>
      <c r="M721" s="207"/>
      <c r="N721" s="207"/>
      <c r="O721" s="207"/>
      <c r="P721" s="207"/>
      <c r="Q721" s="207"/>
      <c r="R721" s="207"/>
      <c r="S721" s="207"/>
      <c r="T721" s="207"/>
      <c r="U721" s="209"/>
      <c r="V721" s="207"/>
      <c r="W721" s="207"/>
      <c r="X721" s="209"/>
      <c r="Y721" s="209"/>
      <c r="Z721" s="207" t="str">
        <f t="shared" ca="1" si="104"/>
        <v/>
      </c>
      <c r="AA721" s="209" t="str">
        <f t="shared" si="101"/>
        <v/>
      </c>
      <c r="AB721" s="209"/>
      <c r="AC721" s="207" t="str">
        <f t="shared" ca="1" si="105"/>
        <v/>
      </c>
      <c r="AD721" s="207"/>
      <c r="AE721" s="207"/>
      <c r="AF721" s="208" t="str">
        <f>IF(ISBLANK(D721),"",VLOOKUP(F721,'SIZE CALCULATION'!$F:$G,2,0))</f>
        <v/>
      </c>
      <c r="AG721" s="207" t="str">
        <f t="shared" si="103"/>
        <v/>
      </c>
      <c r="AH721" s="207" t="str">
        <f t="shared" si="106"/>
        <v/>
      </c>
      <c r="AI721" s="210" t="str">
        <f>IF(ISBLANK(D721),"",VLOOKUP($A721,INDEX!$D$2:$F$13,3,0))</f>
        <v/>
      </c>
      <c r="AJ721" s="207" t="str">
        <f t="shared" si="107"/>
        <v/>
      </c>
      <c r="AK721" s="207"/>
      <c r="AL721" s="207"/>
      <c r="AM721" s="207" t="str">
        <f>IFERROR(IF(ISBLANK($D721),"",VLOOKUP($N721,'TABLE CHARGE RATE'!$A$30:$K$106,5,0)),"Check")</f>
        <v/>
      </c>
      <c r="AN721" s="207" t="str">
        <f>IFERROR(IF(ISBLANK($D721),"",VLOOKUP($N721,'TABLE CHARGE RATE'!$A$30:$K$106,6,0)),"Check")</f>
        <v/>
      </c>
      <c r="AO721" s="207" t="str">
        <f>IFERROR(IF(ISBLANK($D721),"",VLOOKUP($N721,'TABLE CHARGE RATE'!$A$30:$K$106,7,0)),"Check")</f>
        <v/>
      </c>
      <c r="AP721" s="207" t="str">
        <f>IFERROR(IF(ISBLANK($D721),"",VLOOKUP($N721,'TABLE CHARGE RATE'!$A$30:$K$106,8,0)),"Check")</f>
        <v/>
      </c>
      <c r="AQ721" s="207" t="str">
        <f>IFERROR(IF(ISBLANK($D721),"",VLOOKUP($N721,'TABLE CHARGE RATE'!$A$30:$K$106,9,0)),"Check")</f>
        <v/>
      </c>
      <c r="AR721" s="207" t="str">
        <f>IFERROR(IF(ISBLANK($D721),"",VLOOKUP($N721,'TABLE CHARGE RATE'!$A$30:$K$106,10,0)),"Check")</f>
        <v/>
      </c>
      <c r="AS721" s="207" t="str">
        <f>IFERROR(IF(ISBLANK($D721),"",VLOOKUP($N721,'TABLE CHARGE RATE'!$A$30:$K$106,11,0)),"Check")</f>
        <v/>
      </c>
      <c r="AT721" s="207"/>
    </row>
    <row r="722" spans="1:46" x14ac:dyDescent="0.2">
      <c r="A722" s="207" t="str">
        <f t="shared" si="102"/>
        <v/>
      </c>
      <c r="B722" s="208" t="str">
        <f>IF(ISBLANK(D722),"",VLOOKUP(WEEKDAY($C722,1),INDEX!$J$2:$K$8,2,0))</f>
        <v/>
      </c>
      <c r="C722" s="209"/>
      <c r="D722" s="207"/>
      <c r="E722" s="207"/>
      <c r="F722" s="207"/>
      <c r="G722" s="207"/>
      <c r="H722" s="207"/>
      <c r="I722" s="207"/>
      <c r="J722" s="207"/>
      <c r="K722" s="207"/>
      <c r="L722" s="207"/>
      <c r="M722" s="207"/>
      <c r="N722" s="207"/>
      <c r="O722" s="207"/>
      <c r="P722" s="207"/>
      <c r="Q722" s="207"/>
      <c r="R722" s="207"/>
      <c r="S722" s="207"/>
      <c r="T722" s="207"/>
      <c r="U722" s="209"/>
      <c r="V722" s="207"/>
      <c r="W722" s="207"/>
      <c r="X722" s="209"/>
      <c r="Y722" s="209"/>
      <c r="Z722" s="207" t="str">
        <f t="shared" ca="1" si="104"/>
        <v/>
      </c>
      <c r="AA722" s="209" t="str">
        <f t="shared" si="101"/>
        <v/>
      </c>
      <c r="AB722" s="209"/>
      <c r="AC722" s="207" t="str">
        <f t="shared" ca="1" si="105"/>
        <v/>
      </c>
      <c r="AD722" s="207"/>
      <c r="AE722" s="207"/>
      <c r="AF722" s="208" t="str">
        <f>IF(ISBLANK(D722),"",VLOOKUP(F722,'SIZE CALCULATION'!$F:$G,2,0))</f>
        <v/>
      </c>
      <c r="AG722" s="207" t="str">
        <f t="shared" si="103"/>
        <v/>
      </c>
      <c r="AH722" s="207" t="str">
        <f t="shared" si="106"/>
        <v/>
      </c>
      <c r="AI722" s="210" t="str">
        <f>IF(ISBLANK(D722),"",VLOOKUP($A722,INDEX!$D$2:$F$13,3,0))</f>
        <v/>
      </c>
      <c r="AJ722" s="207" t="str">
        <f t="shared" si="107"/>
        <v/>
      </c>
      <c r="AK722" s="207"/>
      <c r="AL722" s="207"/>
      <c r="AM722" s="207" t="str">
        <f>IFERROR(IF(ISBLANK($D722),"",VLOOKUP($N722,'TABLE CHARGE RATE'!$A$30:$K$106,5,0)),"Check")</f>
        <v/>
      </c>
      <c r="AN722" s="207" t="str">
        <f>IFERROR(IF(ISBLANK($D722),"",VLOOKUP($N722,'TABLE CHARGE RATE'!$A$30:$K$106,6,0)),"Check")</f>
        <v/>
      </c>
      <c r="AO722" s="207" t="str">
        <f>IFERROR(IF(ISBLANK($D722),"",VLOOKUP($N722,'TABLE CHARGE RATE'!$A$30:$K$106,7,0)),"Check")</f>
        <v/>
      </c>
      <c r="AP722" s="207" t="str">
        <f>IFERROR(IF(ISBLANK($D722),"",VLOOKUP($N722,'TABLE CHARGE RATE'!$A$30:$K$106,8,0)),"Check")</f>
        <v/>
      </c>
      <c r="AQ722" s="207" t="str">
        <f>IFERROR(IF(ISBLANK($D722),"",VLOOKUP($N722,'TABLE CHARGE RATE'!$A$30:$K$106,9,0)),"Check")</f>
        <v/>
      </c>
      <c r="AR722" s="207" t="str">
        <f>IFERROR(IF(ISBLANK($D722),"",VLOOKUP($N722,'TABLE CHARGE RATE'!$A$30:$K$106,10,0)),"Check")</f>
        <v/>
      </c>
      <c r="AS722" s="207" t="str">
        <f>IFERROR(IF(ISBLANK($D722),"",VLOOKUP($N722,'TABLE CHARGE RATE'!$A$30:$K$106,11,0)),"Check")</f>
        <v/>
      </c>
      <c r="AT722" s="207"/>
    </row>
    <row r="723" spans="1:46" x14ac:dyDescent="0.2">
      <c r="A723" s="207" t="str">
        <f t="shared" si="102"/>
        <v/>
      </c>
      <c r="B723" s="208" t="str">
        <f>IF(ISBLANK(D723),"",VLOOKUP(WEEKDAY($C723,1),INDEX!$J$2:$K$8,2,0))</f>
        <v/>
      </c>
      <c r="C723" s="209"/>
      <c r="D723" s="207"/>
      <c r="E723" s="207"/>
      <c r="F723" s="207"/>
      <c r="G723" s="207"/>
      <c r="H723" s="207"/>
      <c r="I723" s="207"/>
      <c r="J723" s="207"/>
      <c r="K723" s="207"/>
      <c r="L723" s="207"/>
      <c r="M723" s="207"/>
      <c r="N723" s="207"/>
      <c r="O723" s="207"/>
      <c r="P723" s="207"/>
      <c r="Q723" s="207"/>
      <c r="R723" s="207"/>
      <c r="S723" s="207"/>
      <c r="T723" s="207"/>
      <c r="U723" s="209"/>
      <c r="V723" s="207"/>
      <c r="W723" s="207"/>
      <c r="X723" s="209"/>
      <c r="Y723" s="209"/>
      <c r="Z723" s="207" t="str">
        <f t="shared" ca="1" si="104"/>
        <v/>
      </c>
      <c r="AA723" s="209" t="str">
        <f t="shared" si="101"/>
        <v/>
      </c>
      <c r="AB723" s="209"/>
      <c r="AC723" s="207" t="str">
        <f t="shared" ca="1" si="105"/>
        <v/>
      </c>
      <c r="AD723" s="207"/>
      <c r="AE723" s="207"/>
      <c r="AF723" s="208" t="str">
        <f>IF(ISBLANK(D723),"",VLOOKUP(F723,'SIZE CALCULATION'!$F:$G,2,0))</f>
        <v/>
      </c>
      <c r="AG723" s="207" t="str">
        <f t="shared" si="103"/>
        <v/>
      </c>
      <c r="AH723" s="207" t="str">
        <f t="shared" si="106"/>
        <v/>
      </c>
      <c r="AI723" s="210" t="str">
        <f>IF(ISBLANK(D723),"",VLOOKUP($A723,INDEX!$D$2:$F$13,3,0))</f>
        <v/>
      </c>
      <c r="AJ723" s="207" t="str">
        <f t="shared" si="107"/>
        <v/>
      </c>
      <c r="AK723" s="207"/>
      <c r="AL723" s="207"/>
      <c r="AM723" s="207" t="str">
        <f>IFERROR(IF(ISBLANK($D723),"",VLOOKUP($N723,'TABLE CHARGE RATE'!$A$30:$K$106,5,0)),"Check")</f>
        <v/>
      </c>
      <c r="AN723" s="207" t="str">
        <f>IFERROR(IF(ISBLANK($D723),"",VLOOKUP($N723,'TABLE CHARGE RATE'!$A$30:$K$106,6,0)),"Check")</f>
        <v/>
      </c>
      <c r="AO723" s="207" t="str">
        <f>IFERROR(IF(ISBLANK($D723),"",VLOOKUP($N723,'TABLE CHARGE RATE'!$A$30:$K$106,7,0)),"Check")</f>
        <v/>
      </c>
      <c r="AP723" s="207" t="str">
        <f>IFERROR(IF(ISBLANK($D723),"",VLOOKUP($N723,'TABLE CHARGE RATE'!$A$30:$K$106,8,0)),"Check")</f>
        <v/>
      </c>
      <c r="AQ723" s="207" t="str">
        <f>IFERROR(IF(ISBLANK($D723),"",VLOOKUP($N723,'TABLE CHARGE RATE'!$A$30:$K$106,9,0)),"Check")</f>
        <v/>
      </c>
      <c r="AR723" s="207" t="str">
        <f>IFERROR(IF(ISBLANK($D723),"",VLOOKUP($N723,'TABLE CHARGE RATE'!$A$30:$K$106,10,0)),"Check")</f>
        <v/>
      </c>
      <c r="AS723" s="207" t="str">
        <f>IFERROR(IF(ISBLANK($D723),"",VLOOKUP($N723,'TABLE CHARGE RATE'!$A$30:$K$106,11,0)),"Check")</f>
        <v/>
      </c>
      <c r="AT723" s="207"/>
    </row>
    <row r="724" spans="1:46" x14ac:dyDescent="0.2">
      <c r="A724" s="207" t="str">
        <f t="shared" si="102"/>
        <v/>
      </c>
      <c r="B724" s="208" t="str">
        <f>IF(ISBLANK(D724),"",VLOOKUP(WEEKDAY($C724,1),INDEX!$J$2:$K$8,2,0))</f>
        <v/>
      </c>
      <c r="C724" s="209"/>
      <c r="D724" s="207"/>
      <c r="E724" s="207"/>
      <c r="F724" s="207"/>
      <c r="G724" s="207"/>
      <c r="H724" s="207"/>
      <c r="I724" s="207"/>
      <c r="J724" s="207"/>
      <c r="K724" s="207"/>
      <c r="L724" s="207"/>
      <c r="M724" s="207"/>
      <c r="N724" s="207"/>
      <c r="O724" s="207"/>
      <c r="P724" s="207"/>
      <c r="Q724" s="207"/>
      <c r="R724" s="207"/>
      <c r="S724" s="207"/>
      <c r="T724" s="207"/>
      <c r="U724" s="209"/>
      <c r="V724" s="207"/>
      <c r="W724" s="207"/>
      <c r="X724" s="209"/>
      <c r="Y724" s="209"/>
      <c r="Z724" s="207" t="str">
        <f t="shared" ca="1" si="104"/>
        <v/>
      </c>
      <c r="AA724" s="209" t="str">
        <f t="shared" si="101"/>
        <v/>
      </c>
      <c r="AB724" s="209"/>
      <c r="AC724" s="207" t="str">
        <f t="shared" ca="1" si="105"/>
        <v/>
      </c>
      <c r="AD724" s="207"/>
      <c r="AE724" s="207"/>
      <c r="AF724" s="208" t="str">
        <f>IF(ISBLANK(D724),"",VLOOKUP(F724,'SIZE CALCULATION'!$F:$G,2,0))</f>
        <v/>
      </c>
      <c r="AG724" s="207" t="str">
        <f t="shared" si="103"/>
        <v/>
      </c>
      <c r="AH724" s="207" t="str">
        <f t="shared" si="106"/>
        <v/>
      </c>
      <c r="AI724" s="210" t="str">
        <f>IF(ISBLANK(D724),"",VLOOKUP($A724,INDEX!$D$2:$F$13,3,0))</f>
        <v/>
      </c>
      <c r="AJ724" s="207" t="str">
        <f t="shared" si="107"/>
        <v/>
      </c>
      <c r="AK724" s="207"/>
      <c r="AL724" s="207"/>
      <c r="AM724" s="207" t="str">
        <f>IFERROR(IF(ISBLANK($D724),"",VLOOKUP($N724,'TABLE CHARGE RATE'!$A$30:$K$106,5,0)),"Check")</f>
        <v/>
      </c>
      <c r="AN724" s="207" t="str">
        <f>IFERROR(IF(ISBLANK($D724),"",VLOOKUP($N724,'TABLE CHARGE RATE'!$A$30:$K$106,6,0)),"Check")</f>
        <v/>
      </c>
      <c r="AO724" s="207" t="str">
        <f>IFERROR(IF(ISBLANK($D724),"",VLOOKUP($N724,'TABLE CHARGE RATE'!$A$30:$K$106,7,0)),"Check")</f>
        <v/>
      </c>
      <c r="AP724" s="207" t="str">
        <f>IFERROR(IF(ISBLANK($D724),"",VLOOKUP($N724,'TABLE CHARGE RATE'!$A$30:$K$106,8,0)),"Check")</f>
        <v/>
      </c>
      <c r="AQ724" s="207" t="str">
        <f>IFERROR(IF(ISBLANK($D724),"",VLOOKUP($N724,'TABLE CHARGE RATE'!$A$30:$K$106,9,0)),"Check")</f>
        <v/>
      </c>
      <c r="AR724" s="207" t="str">
        <f>IFERROR(IF(ISBLANK($D724),"",VLOOKUP($N724,'TABLE CHARGE RATE'!$A$30:$K$106,10,0)),"Check")</f>
        <v/>
      </c>
      <c r="AS724" s="207" t="str">
        <f>IFERROR(IF(ISBLANK($D724),"",VLOOKUP($N724,'TABLE CHARGE RATE'!$A$30:$K$106,11,0)),"Check")</f>
        <v/>
      </c>
      <c r="AT724" s="207"/>
    </row>
    <row r="725" spans="1:46" x14ac:dyDescent="0.2">
      <c r="A725" s="207" t="str">
        <f t="shared" si="102"/>
        <v/>
      </c>
      <c r="B725" s="208" t="str">
        <f>IF(ISBLANK(D725),"",VLOOKUP(WEEKDAY($C725,1),INDEX!$J$2:$K$8,2,0))</f>
        <v/>
      </c>
      <c r="C725" s="209"/>
      <c r="D725" s="207"/>
      <c r="E725" s="207"/>
      <c r="F725" s="207"/>
      <c r="G725" s="207"/>
      <c r="H725" s="207"/>
      <c r="I725" s="207"/>
      <c r="J725" s="207"/>
      <c r="K725" s="207"/>
      <c r="L725" s="207"/>
      <c r="M725" s="207"/>
      <c r="N725" s="207"/>
      <c r="O725" s="207"/>
      <c r="P725" s="207"/>
      <c r="Q725" s="207"/>
      <c r="R725" s="207"/>
      <c r="S725" s="207"/>
      <c r="T725" s="207"/>
      <c r="U725" s="209"/>
      <c r="V725" s="207"/>
      <c r="W725" s="207"/>
      <c r="X725" s="209"/>
      <c r="Y725" s="209"/>
      <c r="Z725" s="207" t="str">
        <f t="shared" ca="1" si="104"/>
        <v/>
      </c>
      <c r="AA725" s="209" t="str">
        <f t="shared" si="101"/>
        <v/>
      </c>
      <c r="AB725" s="209"/>
      <c r="AC725" s="207" t="str">
        <f t="shared" ca="1" si="105"/>
        <v/>
      </c>
      <c r="AD725" s="207"/>
      <c r="AE725" s="207"/>
      <c r="AF725" s="208" t="str">
        <f>IF(ISBLANK(D725),"",VLOOKUP(F725,'SIZE CALCULATION'!$F:$G,2,0))</f>
        <v/>
      </c>
      <c r="AG725" s="207" t="str">
        <f t="shared" si="103"/>
        <v/>
      </c>
      <c r="AH725" s="207" t="str">
        <f t="shared" si="106"/>
        <v/>
      </c>
      <c r="AI725" s="210" t="str">
        <f>IF(ISBLANK(D725),"",VLOOKUP($A725,INDEX!$D$2:$F$13,3,0))</f>
        <v/>
      </c>
      <c r="AJ725" s="207" t="str">
        <f t="shared" si="107"/>
        <v/>
      </c>
      <c r="AK725" s="207"/>
      <c r="AL725" s="207"/>
      <c r="AM725" s="207" t="str">
        <f>IFERROR(IF(ISBLANK($D725),"",VLOOKUP($N725,'TABLE CHARGE RATE'!$A$30:$K$106,5,0)),"Check")</f>
        <v/>
      </c>
      <c r="AN725" s="207" t="str">
        <f>IFERROR(IF(ISBLANK($D725),"",VLOOKUP($N725,'TABLE CHARGE RATE'!$A$30:$K$106,6,0)),"Check")</f>
        <v/>
      </c>
      <c r="AO725" s="207" t="str">
        <f>IFERROR(IF(ISBLANK($D725),"",VLOOKUP($N725,'TABLE CHARGE RATE'!$A$30:$K$106,7,0)),"Check")</f>
        <v/>
      </c>
      <c r="AP725" s="207" t="str">
        <f>IFERROR(IF(ISBLANK($D725),"",VLOOKUP($N725,'TABLE CHARGE RATE'!$A$30:$K$106,8,0)),"Check")</f>
        <v/>
      </c>
      <c r="AQ725" s="207" t="str">
        <f>IFERROR(IF(ISBLANK($D725),"",VLOOKUP($N725,'TABLE CHARGE RATE'!$A$30:$K$106,9,0)),"Check")</f>
        <v/>
      </c>
      <c r="AR725" s="207" t="str">
        <f>IFERROR(IF(ISBLANK($D725),"",VLOOKUP($N725,'TABLE CHARGE RATE'!$A$30:$K$106,10,0)),"Check")</f>
        <v/>
      </c>
      <c r="AS725" s="207" t="str">
        <f>IFERROR(IF(ISBLANK($D725),"",VLOOKUP($N725,'TABLE CHARGE RATE'!$A$30:$K$106,11,0)),"Check")</f>
        <v/>
      </c>
      <c r="AT725" s="207"/>
    </row>
    <row r="726" spans="1:46" x14ac:dyDescent="0.2">
      <c r="A726" s="207" t="str">
        <f t="shared" si="102"/>
        <v/>
      </c>
      <c r="B726" s="208" t="str">
        <f>IF(ISBLANK(D726),"",VLOOKUP(WEEKDAY($C726,1),INDEX!$J$2:$K$8,2,0))</f>
        <v/>
      </c>
      <c r="C726" s="209"/>
      <c r="D726" s="207"/>
      <c r="E726" s="207"/>
      <c r="F726" s="207"/>
      <c r="G726" s="207"/>
      <c r="H726" s="207"/>
      <c r="I726" s="207"/>
      <c r="J726" s="207"/>
      <c r="K726" s="207"/>
      <c r="L726" s="207"/>
      <c r="M726" s="207"/>
      <c r="N726" s="207"/>
      <c r="O726" s="207"/>
      <c r="P726" s="207"/>
      <c r="Q726" s="207"/>
      <c r="R726" s="207"/>
      <c r="S726" s="207"/>
      <c r="T726" s="207"/>
      <c r="U726" s="209"/>
      <c r="V726" s="207"/>
      <c r="W726" s="207"/>
      <c r="X726" s="209"/>
      <c r="Y726" s="209"/>
      <c r="Z726" s="207" t="str">
        <f t="shared" ca="1" si="104"/>
        <v/>
      </c>
      <c r="AA726" s="209" t="str">
        <f t="shared" si="101"/>
        <v/>
      </c>
      <c r="AB726" s="209"/>
      <c r="AC726" s="207" t="str">
        <f t="shared" ca="1" si="105"/>
        <v/>
      </c>
      <c r="AD726" s="207"/>
      <c r="AE726" s="207"/>
      <c r="AF726" s="208" t="str">
        <f>IF(ISBLANK(D726),"",VLOOKUP(F726,'SIZE CALCULATION'!$F:$G,2,0))</f>
        <v/>
      </c>
      <c r="AG726" s="207" t="str">
        <f t="shared" si="103"/>
        <v/>
      </c>
      <c r="AH726" s="207" t="str">
        <f t="shared" si="106"/>
        <v/>
      </c>
      <c r="AI726" s="210" t="str">
        <f>IF(ISBLANK(D726),"",VLOOKUP($A726,INDEX!$D$2:$F$13,3,0))</f>
        <v/>
      </c>
      <c r="AJ726" s="207" t="str">
        <f t="shared" si="107"/>
        <v/>
      </c>
      <c r="AK726" s="207"/>
      <c r="AL726" s="207"/>
      <c r="AM726" s="207" t="str">
        <f>IFERROR(IF(ISBLANK($D726),"",VLOOKUP($N726,'TABLE CHARGE RATE'!$A$30:$K$106,5,0)),"Check")</f>
        <v/>
      </c>
      <c r="AN726" s="207" t="str">
        <f>IFERROR(IF(ISBLANK($D726),"",VLOOKUP($N726,'TABLE CHARGE RATE'!$A$30:$K$106,6,0)),"Check")</f>
        <v/>
      </c>
      <c r="AO726" s="207" t="str">
        <f>IFERROR(IF(ISBLANK($D726),"",VLOOKUP($N726,'TABLE CHARGE RATE'!$A$30:$K$106,7,0)),"Check")</f>
        <v/>
      </c>
      <c r="AP726" s="207" t="str">
        <f>IFERROR(IF(ISBLANK($D726),"",VLOOKUP($N726,'TABLE CHARGE RATE'!$A$30:$K$106,8,0)),"Check")</f>
        <v/>
      </c>
      <c r="AQ726" s="207" t="str">
        <f>IFERROR(IF(ISBLANK($D726),"",VLOOKUP($N726,'TABLE CHARGE RATE'!$A$30:$K$106,9,0)),"Check")</f>
        <v/>
      </c>
      <c r="AR726" s="207" t="str">
        <f>IFERROR(IF(ISBLANK($D726),"",VLOOKUP($N726,'TABLE CHARGE RATE'!$A$30:$K$106,10,0)),"Check")</f>
        <v/>
      </c>
      <c r="AS726" s="207" t="str">
        <f>IFERROR(IF(ISBLANK($D726),"",VLOOKUP($N726,'TABLE CHARGE RATE'!$A$30:$K$106,11,0)),"Check")</f>
        <v/>
      </c>
      <c r="AT726" s="207"/>
    </row>
    <row r="727" spans="1:46" x14ac:dyDescent="0.2">
      <c r="A727" s="207" t="str">
        <f t="shared" si="102"/>
        <v/>
      </c>
      <c r="B727" s="208" t="str">
        <f>IF(ISBLANK(D727),"",VLOOKUP(WEEKDAY($C727,1),INDEX!$J$2:$K$8,2,0))</f>
        <v/>
      </c>
      <c r="C727" s="209"/>
      <c r="D727" s="207"/>
      <c r="E727" s="207"/>
      <c r="F727" s="207"/>
      <c r="G727" s="207"/>
      <c r="H727" s="207"/>
      <c r="I727" s="207"/>
      <c r="J727" s="207"/>
      <c r="K727" s="207"/>
      <c r="L727" s="207"/>
      <c r="M727" s="207"/>
      <c r="N727" s="207"/>
      <c r="O727" s="207"/>
      <c r="P727" s="207"/>
      <c r="Q727" s="207"/>
      <c r="R727" s="207"/>
      <c r="S727" s="207"/>
      <c r="T727" s="207"/>
      <c r="U727" s="209"/>
      <c r="V727" s="207"/>
      <c r="W727" s="207"/>
      <c r="X727" s="209"/>
      <c r="Y727" s="209"/>
      <c r="Z727" s="207" t="str">
        <f t="shared" ca="1" si="104"/>
        <v/>
      </c>
      <c r="AA727" s="209" t="str">
        <f t="shared" si="101"/>
        <v/>
      </c>
      <c r="AB727" s="209"/>
      <c r="AC727" s="207" t="str">
        <f t="shared" ca="1" si="105"/>
        <v/>
      </c>
      <c r="AD727" s="207"/>
      <c r="AE727" s="207"/>
      <c r="AF727" s="208" t="str">
        <f>IF(ISBLANK(D727),"",VLOOKUP(F727,'SIZE CALCULATION'!$F:$G,2,0))</f>
        <v/>
      </c>
      <c r="AG727" s="207" t="str">
        <f t="shared" si="103"/>
        <v/>
      </c>
      <c r="AH727" s="207" t="str">
        <f t="shared" si="106"/>
        <v/>
      </c>
      <c r="AI727" s="210" t="str">
        <f>IF(ISBLANK(D727),"",VLOOKUP($A727,INDEX!$D$2:$F$13,3,0))</f>
        <v/>
      </c>
      <c r="AJ727" s="207" t="str">
        <f t="shared" si="107"/>
        <v/>
      </c>
      <c r="AK727" s="207"/>
      <c r="AL727" s="207"/>
      <c r="AM727" s="207" t="str">
        <f>IFERROR(IF(ISBLANK($D727),"",VLOOKUP($N727,'TABLE CHARGE RATE'!$A$30:$K$106,5,0)),"Check")</f>
        <v/>
      </c>
      <c r="AN727" s="207" t="str">
        <f>IFERROR(IF(ISBLANK($D727),"",VLOOKUP($N727,'TABLE CHARGE RATE'!$A$30:$K$106,6,0)),"Check")</f>
        <v/>
      </c>
      <c r="AO727" s="207" t="str">
        <f>IFERROR(IF(ISBLANK($D727),"",VLOOKUP($N727,'TABLE CHARGE RATE'!$A$30:$K$106,7,0)),"Check")</f>
        <v/>
      </c>
      <c r="AP727" s="207" t="str">
        <f>IFERROR(IF(ISBLANK($D727),"",VLOOKUP($N727,'TABLE CHARGE RATE'!$A$30:$K$106,8,0)),"Check")</f>
        <v/>
      </c>
      <c r="AQ727" s="207" t="str">
        <f>IFERROR(IF(ISBLANK($D727),"",VLOOKUP($N727,'TABLE CHARGE RATE'!$A$30:$K$106,9,0)),"Check")</f>
        <v/>
      </c>
      <c r="AR727" s="207" t="str">
        <f>IFERROR(IF(ISBLANK($D727),"",VLOOKUP($N727,'TABLE CHARGE RATE'!$A$30:$K$106,10,0)),"Check")</f>
        <v/>
      </c>
      <c r="AS727" s="207" t="str">
        <f>IFERROR(IF(ISBLANK($D727),"",VLOOKUP($N727,'TABLE CHARGE RATE'!$A$30:$K$106,11,0)),"Check")</f>
        <v/>
      </c>
      <c r="AT727" s="207"/>
    </row>
    <row r="728" spans="1:46" x14ac:dyDescent="0.2">
      <c r="A728" s="207" t="str">
        <f t="shared" si="102"/>
        <v/>
      </c>
      <c r="B728" s="208" t="str">
        <f>IF(ISBLANK(D728),"",VLOOKUP(WEEKDAY($C728,1),INDEX!$J$2:$K$8,2,0))</f>
        <v/>
      </c>
      <c r="C728" s="209"/>
      <c r="D728" s="207"/>
      <c r="E728" s="207"/>
      <c r="F728" s="207"/>
      <c r="G728" s="207"/>
      <c r="H728" s="207"/>
      <c r="I728" s="207"/>
      <c r="J728" s="207"/>
      <c r="K728" s="207"/>
      <c r="L728" s="207"/>
      <c r="M728" s="207"/>
      <c r="N728" s="207"/>
      <c r="O728" s="207"/>
      <c r="P728" s="207"/>
      <c r="Q728" s="207"/>
      <c r="R728" s="207"/>
      <c r="S728" s="207"/>
      <c r="T728" s="207"/>
      <c r="U728" s="209"/>
      <c r="V728" s="207"/>
      <c r="W728" s="207"/>
      <c r="X728" s="209"/>
      <c r="Y728" s="209"/>
      <c r="Z728" s="207" t="str">
        <f t="shared" ca="1" si="104"/>
        <v/>
      </c>
      <c r="AA728" s="209" t="str">
        <f t="shared" si="101"/>
        <v/>
      </c>
      <c r="AB728" s="209"/>
      <c r="AC728" s="207" t="str">
        <f t="shared" ca="1" si="105"/>
        <v/>
      </c>
      <c r="AD728" s="207"/>
      <c r="AE728" s="207"/>
      <c r="AF728" s="208" t="str">
        <f>IF(ISBLANK(D728),"",VLOOKUP(F728,'SIZE CALCULATION'!$F:$G,2,0))</f>
        <v/>
      </c>
      <c r="AG728" s="207" t="str">
        <f t="shared" si="103"/>
        <v/>
      </c>
      <c r="AH728" s="207" t="str">
        <f t="shared" si="106"/>
        <v/>
      </c>
      <c r="AI728" s="210" t="str">
        <f>IF(ISBLANK(D728),"",VLOOKUP($A728,INDEX!$D$2:$F$13,3,0))</f>
        <v/>
      </c>
      <c r="AJ728" s="207" t="str">
        <f t="shared" si="107"/>
        <v/>
      </c>
      <c r="AK728" s="207"/>
      <c r="AL728" s="207"/>
      <c r="AM728" s="207" t="str">
        <f>IFERROR(IF(ISBLANK($D728),"",VLOOKUP($N728,'TABLE CHARGE RATE'!$A$30:$K$106,5,0)),"Check")</f>
        <v/>
      </c>
      <c r="AN728" s="207" t="str">
        <f>IFERROR(IF(ISBLANK($D728),"",VLOOKUP($N728,'TABLE CHARGE RATE'!$A$30:$K$106,6,0)),"Check")</f>
        <v/>
      </c>
      <c r="AO728" s="207" t="str">
        <f>IFERROR(IF(ISBLANK($D728),"",VLOOKUP($N728,'TABLE CHARGE RATE'!$A$30:$K$106,7,0)),"Check")</f>
        <v/>
      </c>
      <c r="AP728" s="207" t="str">
        <f>IFERROR(IF(ISBLANK($D728),"",VLOOKUP($N728,'TABLE CHARGE RATE'!$A$30:$K$106,8,0)),"Check")</f>
        <v/>
      </c>
      <c r="AQ728" s="207" t="str">
        <f>IFERROR(IF(ISBLANK($D728),"",VLOOKUP($N728,'TABLE CHARGE RATE'!$A$30:$K$106,9,0)),"Check")</f>
        <v/>
      </c>
      <c r="AR728" s="207" t="str">
        <f>IFERROR(IF(ISBLANK($D728),"",VLOOKUP($N728,'TABLE CHARGE RATE'!$A$30:$K$106,10,0)),"Check")</f>
        <v/>
      </c>
      <c r="AS728" s="207" t="str">
        <f>IFERROR(IF(ISBLANK($D728),"",VLOOKUP($N728,'TABLE CHARGE RATE'!$A$30:$K$106,11,0)),"Check")</f>
        <v/>
      </c>
      <c r="AT728" s="207"/>
    </row>
    <row r="729" spans="1:46" x14ac:dyDescent="0.2">
      <c r="A729" s="207" t="str">
        <f t="shared" si="102"/>
        <v/>
      </c>
      <c r="B729" s="208" t="str">
        <f>IF(ISBLANK(D729),"",VLOOKUP(WEEKDAY($C729,1),INDEX!$J$2:$K$8,2,0))</f>
        <v/>
      </c>
      <c r="C729" s="209"/>
      <c r="D729" s="207"/>
      <c r="E729" s="207"/>
      <c r="F729" s="207"/>
      <c r="G729" s="207"/>
      <c r="H729" s="207"/>
      <c r="I729" s="207"/>
      <c r="J729" s="207"/>
      <c r="K729" s="207"/>
      <c r="L729" s="207"/>
      <c r="M729" s="207"/>
      <c r="N729" s="207"/>
      <c r="O729" s="207"/>
      <c r="P729" s="207"/>
      <c r="Q729" s="207"/>
      <c r="R729" s="207"/>
      <c r="S729" s="207"/>
      <c r="T729" s="207"/>
      <c r="U729" s="209"/>
      <c r="V729" s="207"/>
      <c r="W729" s="207"/>
      <c r="X729" s="209"/>
      <c r="Y729" s="209"/>
      <c r="Z729" s="207" t="str">
        <f t="shared" ca="1" si="104"/>
        <v/>
      </c>
      <c r="AA729" s="209" t="str">
        <f t="shared" si="101"/>
        <v/>
      </c>
      <c r="AB729" s="209"/>
      <c r="AC729" s="207" t="str">
        <f t="shared" ca="1" si="105"/>
        <v/>
      </c>
      <c r="AD729" s="207"/>
      <c r="AE729" s="207"/>
      <c r="AF729" s="208" t="str">
        <f>IF(ISBLANK(D729),"",VLOOKUP(F729,'SIZE CALCULATION'!$F:$G,2,0))</f>
        <v/>
      </c>
      <c r="AG729" s="207" t="str">
        <f t="shared" si="103"/>
        <v/>
      </c>
      <c r="AH729" s="207" t="str">
        <f t="shared" si="106"/>
        <v/>
      </c>
      <c r="AI729" s="210" t="str">
        <f>IF(ISBLANK(D729),"",VLOOKUP($A729,INDEX!$D$2:$F$13,3,0))</f>
        <v/>
      </c>
      <c r="AJ729" s="207" t="str">
        <f t="shared" si="107"/>
        <v/>
      </c>
      <c r="AK729" s="207"/>
      <c r="AL729" s="207"/>
      <c r="AM729" s="207" t="str">
        <f>IFERROR(IF(ISBLANK($D729),"",VLOOKUP($N729,'TABLE CHARGE RATE'!$A$30:$K$106,5,0)),"Check")</f>
        <v/>
      </c>
      <c r="AN729" s="207" t="str">
        <f>IFERROR(IF(ISBLANK($D729),"",VLOOKUP($N729,'TABLE CHARGE RATE'!$A$30:$K$106,6,0)),"Check")</f>
        <v/>
      </c>
      <c r="AO729" s="207" t="str">
        <f>IFERROR(IF(ISBLANK($D729),"",VLOOKUP($N729,'TABLE CHARGE RATE'!$A$30:$K$106,7,0)),"Check")</f>
        <v/>
      </c>
      <c r="AP729" s="207" t="str">
        <f>IFERROR(IF(ISBLANK($D729),"",VLOOKUP($N729,'TABLE CHARGE RATE'!$A$30:$K$106,8,0)),"Check")</f>
        <v/>
      </c>
      <c r="AQ729" s="207" t="str">
        <f>IFERROR(IF(ISBLANK($D729),"",VLOOKUP($N729,'TABLE CHARGE RATE'!$A$30:$K$106,9,0)),"Check")</f>
        <v/>
      </c>
      <c r="AR729" s="207" t="str">
        <f>IFERROR(IF(ISBLANK($D729),"",VLOOKUP($N729,'TABLE CHARGE RATE'!$A$30:$K$106,10,0)),"Check")</f>
        <v/>
      </c>
      <c r="AS729" s="207" t="str">
        <f>IFERROR(IF(ISBLANK($D729),"",VLOOKUP($N729,'TABLE CHARGE RATE'!$A$30:$K$106,11,0)),"Check")</f>
        <v/>
      </c>
      <c r="AT729" s="207"/>
    </row>
    <row r="730" spans="1:46" x14ac:dyDescent="0.2">
      <c r="A730" s="207" t="str">
        <f t="shared" si="102"/>
        <v/>
      </c>
      <c r="B730" s="208" t="str">
        <f>IF(ISBLANK(D730),"",VLOOKUP(WEEKDAY($C730,1),INDEX!$J$2:$K$8,2,0))</f>
        <v/>
      </c>
      <c r="C730" s="209"/>
      <c r="D730" s="207"/>
      <c r="E730" s="207"/>
      <c r="F730" s="207"/>
      <c r="G730" s="207"/>
      <c r="H730" s="207"/>
      <c r="I730" s="207"/>
      <c r="J730" s="207"/>
      <c r="K730" s="207"/>
      <c r="L730" s="207"/>
      <c r="M730" s="207"/>
      <c r="N730" s="207"/>
      <c r="O730" s="207"/>
      <c r="P730" s="207"/>
      <c r="Q730" s="207"/>
      <c r="R730" s="207"/>
      <c r="S730" s="207"/>
      <c r="T730" s="207"/>
      <c r="U730" s="209"/>
      <c r="V730" s="207"/>
      <c r="W730" s="207"/>
      <c r="X730" s="209"/>
      <c r="Y730" s="209"/>
      <c r="Z730" s="207" t="str">
        <f t="shared" ca="1" si="104"/>
        <v/>
      </c>
      <c r="AA730" s="209" t="str">
        <f t="shared" si="101"/>
        <v/>
      </c>
      <c r="AB730" s="209"/>
      <c r="AC730" s="207" t="str">
        <f t="shared" ca="1" si="105"/>
        <v/>
      </c>
      <c r="AD730" s="207"/>
      <c r="AE730" s="207"/>
      <c r="AF730" s="208" t="str">
        <f>IF(ISBLANK(D730),"",VLOOKUP(F730,'SIZE CALCULATION'!$F:$G,2,0))</f>
        <v/>
      </c>
      <c r="AG730" s="207" t="str">
        <f t="shared" si="103"/>
        <v/>
      </c>
      <c r="AH730" s="207" t="str">
        <f t="shared" si="106"/>
        <v/>
      </c>
      <c r="AI730" s="210" t="str">
        <f>IF(ISBLANK(D730),"",VLOOKUP($A730,INDEX!$D$2:$F$13,3,0))</f>
        <v/>
      </c>
      <c r="AJ730" s="207" t="str">
        <f t="shared" si="107"/>
        <v/>
      </c>
      <c r="AK730" s="207"/>
      <c r="AL730" s="207"/>
      <c r="AM730" s="207" t="str">
        <f>IFERROR(IF(ISBLANK($D730),"",VLOOKUP($N730,'TABLE CHARGE RATE'!$A$30:$K$106,5,0)),"Check")</f>
        <v/>
      </c>
      <c r="AN730" s="207" t="str">
        <f>IFERROR(IF(ISBLANK($D730),"",VLOOKUP($N730,'TABLE CHARGE RATE'!$A$30:$K$106,6,0)),"Check")</f>
        <v/>
      </c>
      <c r="AO730" s="207" t="str">
        <f>IFERROR(IF(ISBLANK($D730),"",VLOOKUP($N730,'TABLE CHARGE RATE'!$A$30:$K$106,7,0)),"Check")</f>
        <v/>
      </c>
      <c r="AP730" s="207" t="str">
        <f>IFERROR(IF(ISBLANK($D730),"",VLOOKUP($N730,'TABLE CHARGE RATE'!$A$30:$K$106,8,0)),"Check")</f>
        <v/>
      </c>
      <c r="AQ730" s="207" t="str">
        <f>IFERROR(IF(ISBLANK($D730),"",VLOOKUP($N730,'TABLE CHARGE RATE'!$A$30:$K$106,9,0)),"Check")</f>
        <v/>
      </c>
      <c r="AR730" s="207" t="str">
        <f>IFERROR(IF(ISBLANK($D730),"",VLOOKUP($N730,'TABLE CHARGE RATE'!$A$30:$K$106,10,0)),"Check")</f>
        <v/>
      </c>
      <c r="AS730" s="207" t="str">
        <f>IFERROR(IF(ISBLANK($D730),"",VLOOKUP($N730,'TABLE CHARGE RATE'!$A$30:$K$106,11,0)),"Check")</f>
        <v/>
      </c>
      <c r="AT730" s="207"/>
    </row>
    <row r="731" spans="1:46" x14ac:dyDescent="0.2">
      <c r="A731" s="207" t="str">
        <f t="shared" si="102"/>
        <v/>
      </c>
      <c r="B731" s="208" t="str">
        <f>IF(ISBLANK(D731),"",VLOOKUP(WEEKDAY($C731,1),INDEX!$J$2:$K$8,2,0))</f>
        <v/>
      </c>
      <c r="C731" s="209"/>
      <c r="D731" s="207"/>
      <c r="E731" s="207"/>
      <c r="F731" s="207"/>
      <c r="G731" s="207"/>
      <c r="H731" s="207"/>
      <c r="I731" s="207"/>
      <c r="J731" s="207"/>
      <c r="K731" s="207"/>
      <c r="L731" s="207"/>
      <c r="M731" s="207"/>
      <c r="N731" s="207"/>
      <c r="O731" s="207"/>
      <c r="P731" s="207"/>
      <c r="Q731" s="207"/>
      <c r="R731" s="207"/>
      <c r="S731" s="207"/>
      <c r="T731" s="207"/>
      <c r="U731" s="209"/>
      <c r="V731" s="207"/>
      <c r="W731" s="207"/>
      <c r="X731" s="209"/>
      <c r="Y731" s="209"/>
      <c r="Z731" s="207" t="str">
        <f t="shared" ca="1" si="104"/>
        <v/>
      </c>
      <c r="AA731" s="209" t="str">
        <f t="shared" si="101"/>
        <v/>
      </c>
      <c r="AB731" s="209"/>
      <c r="AC731" s="207" t="str">
        <f t="shared" ca="1" si="105"/>
        <v/>
      </c>
      <c r="AD731" s="207"/>
      <c r="AE731" s="207"/>
      <c r="AF731" s="208" t="str">
        <f>IF(ISBLANK(D731),"",VLOOKUP(F731,'SIZE CALCULATION'!$F:$G,2,0))</f>
        <v/>
      </c>
      <c r="AG731" s="207" t="str">
        <f t="shared" si="103"/>
        <v/>
      </c>
      <c r="AH731" s="207" t="str">
        <f t="shared" si="106"/>
        <v/>
      </c>
      <c r="AI731" s="210" t="str">
        <f>IF(ISBLANK(D731),"",VLOOKUP($A731,INDEX!$D$2:$F$13,3,0))</f>
        <v/>
      </c>
      <c r="AJ731" s="207" t="str">
        <f t="shared" si="107"/>
        <v/>
      </c>
      <c r="AK731" s="207"/>
      <c r="AL731" s="207"/>
      <c r="AM731" s="207" t="str">
        <f>IFERROR(IF(ISBLANK($D731),"",VLOOKUP($N731,'TABLE CHARGE RATE'!$A$30:$K$106,5,0)),"Check")</f>
        <v/>
      </c>
      <c r="AN731" s="207" t="str">
        <f>IFERROR(IF(ISBLANK($D731),"",VLOOKUP($N731,'TABLE CHARGE RATE'!$A$30:$K$106,6,0)),"Check")</f>
        <v/>
      </c>
      <c r="AO731" s="207" t="str">
        <f>IFERROR(IF(ISBLANK($D731),"",VLOOKUP($N731,'TABLE CHARGE RATE'!$A$30:$K$106,7,0)),"Check")</f>
        <v/>
      </c>
      <c r="AP731" s="207" t="str">
        <f>IFERROR(IF(ISBLANK($D731),"",VLOOKUP($N731,'TABLE CHARGE RATE'!$A$30:$K$106,8,0)),"Check")</f>
        <v/>
      </c>
      <c r="AQ731" s="207" t="str">
        <f>IFERROR(IF(ISBLANK($D731),"",VLOOKUP($N731,'TABLE CHARGE RATE'!$A$30:$K$106,9,0)),"Check")</f>
        <v/>
      </c>
      <c r="AR731" s="207" t="str">
        <f>IFERROR(IF(ISBLANK($D731),"",VLOOKUP($N731,'TABLE CHARGE RATE'!$A$30:$K$106,10,0)),"Check")</f>
        <v/>
      </c>
      <c r="AS731" s="207" t="str">
        <f>IFERROR(IF(ISBLANK($D731),"",VLOOKUP($N731,'TABLE CHARGE RATE'!$A$30:$K$106,11,0)),"Check")</f>
        <v/>
      </c>
      <c r="AT731" s="207"/>
    </row>
    <row r="732" spans="1:46" x14ac:dyDescent="0.2">
      <c r="A732" s="207" t="str">
        <f t="shared" si="102"/>
        <v/>
      </c>
      <c r="B732" s="208" t="str">
        <f>IF(ISBLANK(D732),"",VLOOKUP(WEEKDAY($C732,1),INDEX!$J$2:$K$8,2,0))</f>
        <v/>
      </c>
      <c r="C732" s="209"/>
      <c r="D732" s="207"/>
      <c r="E732" s="207"/>
      <c r="F732" s="207"/>
      <c r="G732" s="207"/>
      <c r="H732" s="207"/>
      <c r="I732" s="207"/>
      <c r="J732" s="207"/>
      <c r="K732" s="207"/>
      <c r="L732" s="207"/>
      <c r="M732" s="207"/>
      <c r="N732" s="207"/>
      <c r="O732" s="207"/>
      <c r="P732" s="207"/>
      <c r="Q732" s="207"/>
      <c r="R732" s="207"/>
      <c r="S732" s="207"/>
      <c r="T732" s="207"/>
      <c r="U732" s="209"/>
      <c r="V732" s="207"/>
      <c r="W732" s="207"/>
      <c r="X732" s="209"/>
      <c r="Y732" s="209"/>
      <c r="Z732" s="207" t="str">
        <f t="shared" ca="1" si="104"/>
        <v/>
      </c>
      <c r="AA732" s="209" t="str">
        <f t="shared" si="101"/>
        <v/>
      </c>
      <c r="AB732" s="209"/>
      <c r="AC732" s="207" t="str">
        <f t="shared" ca="1" si="105"/>
        <v/>
      </c>
      <c r="AD732" s="207"/>
      <c r="AE732" s="207"/>
      <c r="AF732" s="208" t="str">
        <f>IF(ISBLANK(D732),"",VLOOKUP(F732,'SIZE CALCULATION'!$F:$G,2,0))</f>
        <v/>
      </c>
      <c r="AG732" s="207" t="str">
        <f t="shared" si="103"/>
        <v/>
      </c>
      <c r="AH732" s="207" t="str">
        <f t="shared" si="106"/>
        <v/>
      </c>
      <c r="AI732" s="210" t="str">
        <f>IF(ISBLANK(D732),"",VLOOKUP($A732,INDEX!$D$2:$F$13,3,0))</f>
        <v/>
      </c>
      <c r="AJ732" s="207" t="str">
        <f t="shared" si="107"/>
        <v/>
      </c>
      <c r="AK732" s="207"/>
      <c r="AL732" s="207"/>
      <c r="AM732" s="207" t="str">
        <f>IFERROR(IF(ISBLANK($D732),"",VLOOKUP($N732,'TABLE CHARGE RATE'!$A$30:$K$106,5,0)),"Check")</f>
        <v/>
      </c>
      <c r="AN732" s="207" t="str">
        <f>IFERROR(IF(ISBLANK($D732),"",VLOOKUP($N732,'TABLE CHARGE RATE'!$A$30:$K$106,6,0)),"Check")</f>
        <v/>
      </c>
      <c r="AO732" s="207" t="str">
        <f>IFERROR(IF(ISBLANK($D732),"",VLOOKUP($N732,'TABLE CHARGE RATE'!$A$30:$K$106,7,0)),"Check")</f>
        <v/>
      </c>
      <c r="AP732" s="207" t="str">
        <f>IFERROR(IF(ISBLANK($D732),"",VLOOKUP($N732,'TABLE CHARGE RATE'!$A$30:$K$106,8,0)),"Check")</f>
        <v/>
      </c>
      <c r="AQ732" s="207" t="str">
        <f>IFERROR(IF(ISBLANK($D732),"",VLOOKUP($N732,'TABLE CHARGE RATE'!$A$30:$K$106,9,0)),"Check")</f>
        <v/>
      </c>
      <c r="AR732" s="207" t="str">
        <f>IFERROR(IF(ISBLANK($D732),"",VLOOKUP($N732,'TABLE CHARGE RATE'!$A$30:$K$106,10,0)),"Check")</f>
        <v/>
      </c>
      <c r="AS732" s="207" t="str">
        <f>IFERROR(IF(ISBLANK($D732),"",VLOOKUP($N732,'TABLE CHARGE RATE'!$A$30:$K$106,11,0)),"Check")</f>
        <v/>
      </c>
      <c r="AT732" s="207"/>
    </row>
    <row r="733" spans="1:46" x14ac:dyDescent="0.2">
      <c r="A733" s="207" t="str">
        <f t="shared" si="102"/>
        <v/>
      </c>
      <c r="B733" s="208" t="str">
        <f>IF(ISBLANK(D733),"",VLOOKUP(WEEKDAY($C733,1),INDEX!$J$2:$K$8,2,0))</f>
        <v/>
      </c>
      <c r="C733" s="209"/>
      <c r="D733" s="207"/>
      <c r="E733" s="207"/>
      <c r="F733" s="207"/>
      <c r="G733" s="207"/>
      <c r="H733" s="207"/>
      <c r="I733" s="207"/>
      <c r="J733" s="207"/>
      <c r="K733" s="207"/>
      <c r="L733" s="207"/>
      <c r="M733" s="207"/>
      <c r="N733" s="207"/>
      <c r="O733" s="207"/>
      <c r="P733" s="207"/>
      <c r="Q733" s="207"/>
      <c r="R733" s="207"/>
      <c r="S733" s="207"/>
      <c r="T733" s="207"/>
      <c r="U733" s="209"/>
      <c r="V733" s="207"/>
      <c r="W733" s="207"/>
      <c r="X733" s="209"/>
      <c r="Y733" s="209"/>
      <c r="Z733" s="207" t="str">
        <f t="shared" ca="1" si="104"/>
        <v/>
      </c>
      <c r="AA733" s="209" t="str">
        <f t="shared" si="101"/>
        <v/>
      </c>
      <c r="AB733" s="209"/>
      <c r="AC733" s="207" t="str">
        <f t="shared" ca="1" si="105"/>
        <v/>
      </c>
      <c r="AD733" s="207"/>
      <c r="AE733" s="207"/>
      <c r="AF733" s="208" t="str">
        <f>IF(ISBLANK(D733),"",VLOOKUP(F733,'SIZE CALCULATION'!$F:$G,2,0))</f>
        <v/>
      </c>
      <c r="AG733" s="207" t="str">
        <f t="shared" si="103"/>
        <v/>
      </c>
      <c r="AH733" s="207" t="str">
        <f t="shared" si="106"/>
        <v/>
      </c>
      <c r="AI733" s="210" t="str">
        <f>IF(ISBLANK(D733),"",VLOOKUP($A733,INDEX!$D$2:$F$13,3,0))</f>
        <v/>
      </c>
      <c r="AJ733" s="207" t="str">
        <f t="shared" si="107"/>
        <v/>
      </c>
      <c r="AK733" s="207"/>
      <c r="AL733" s="207"/>
      <c r="AM733" s="207" t="str">
        <f>IFERROR(IF(ISBLANK($D733),"",VLOOKUP($N733,'TABLE CHARGE RATE'!$A$30:$K$106,5,0)),"Check")</f>
        <v/>
      </c>
      <c r="AN733" s="207" t="str">
        <f>IFERROR(IF(ISBLANK($D733),"",VLOOKUP($N733,'TABLE CHARGE RATE'!$A$30:$K$106,6,0)),"Check")</f>
        <v/>
      </c>
      <c r="AO733" s="207" t="str">
        <f>IFERROR(IF(ISBLANK($D733),"",VLOOKUP($N733,'TABLE CHARGE RATE'!$A$30:$K$106,7,0)),"Check")</f>
        <v/>
      </c>
      <c r="AP733" s="207" t="str">
        <f>IFERROR(IF(ISBLANK($D733),"",VLOOKUP($N733,'TABLE CHARGE RATE'!$A$30:$K$106,8,0)),"Check")</f>
        <v/>
      </c>
      <c r="AQ733" s="207" t="str">
        <f>IFERROR(IF(ISBLANK($D733),"",VLOOKUP($N733,'TABLE CHARGE RATE'!$A$30:$K$106,9,0)),"Check")</f>
        <v/>
      </c>
      <c r="AR733" s="207" t="str">
        <f>IFERROR(IF(ISBLANK($D733),"",VLOOKUP($N733,'TABLE CHARGE RATE'!$A$30:$K$106,10,0)),"Check")</f>
        <v/>
      </c>
      <c r="AS733" s="207" t="str">
        <f>IFERROR(IF(ISBLANK($D733),"",VLOOKUP($N733,'TABLE CHARGE RATE'!$A$30:$K$106,11,0)),"Check")</f>
        <v/>
      </c>
      <c r="AT733" s="207"/>
    </row>
    <row r="734" spans="1:46" x14ac:dyDescent="0.2">
      <c r="A734" s="207" t="str">
        <f t="shared" si="102"/>
        <v/>
      </c>
      <c r="B734" s="208" t="str">
        <f>IF(ISBLANK(D734),"",VLOOKUP(WEEKDAY($C734,1),INDEX!$J$2:$K$8,2,0))</f>
        <v/>
      </c>
      <c r="C734" s="209"/>
      <c r="D734" s="207"/>
      <c r="E734" s="207"/>
      <c r="F734" s="207"/>
      <c r="G734" s="207"/>
      <c r="H734" s="207"/>
      <c r="I734" s="207"/>
      <c r="J734" s="207"/>
      <c r="K734" s="207"/>
      <c r="L734" s="207"/>
      <c r="M734" s="207"/>
      <c r="N734" s="207"/>
      <c r="O734" s="207"/>
      <c r="P734" s="207"/>
      <c r="Q734" s="207"/>
      <c r="R734" s="207"/>
      <c r="S734" s="207"/>
      <c r="T734" s="207"/>
      <c r="U734" s="209"/>
      <c r="V734" s="207"/>
      <c r="W734" s="207"/>
      <c r="X734" s="209"/>
      <c r="Y734" s="209"/>
      <c r="Z734" s="207" t="str">
        <f t="shared" ca="1" si="104"/>
        <v/>
      </c>
      <c r="AA734" s="209" t="str">
        <f t="shared" si="101"/>
        <v/>
      </c>
      <c r="AB734" s="209"/>
      <c r="AC734" s="207" t="str">
        <f t="shared" ca="1" si="105"/>
        <v/>
      </c>
      <c r="AD734" s="207"/>
      <c r="AE734" s="207"/>
      <c r="AF734" s="208" t="str">
        <f>IF(ISBLANK(D734),"",VLOOKUP(F734,'SIZE CALCULATION'!$F:$G,2,0))</f>
        <v/>
      </c>
      <c r="AG734" s="207" t="str">
        <f t="shared" si="103"/>
        <v/>
      </c>
      <c r="AH734" s="207" t="str">
        <f t="shared" si="106"/>
        <v/>
      </c>
      <c r="AI734" s="210" t="str">
        <f>IF(ISBLANK(D734),"",VLOOKUP($A734,INDEX!$D$2:$F$13,3,0))</f>
        <v/>
      </c>
      <c r="AJ734" s="207" t="str">
        <f t="shared" si="107"/>
        <v/>
      </c>
      <c r="AK734" s="207"/>
      <c r="AL734" s="207"/>
      <c r="AM734" s="207" t="str">
        <f>IFERROR(IF(ISBLANK($D734),"",VLOOKUP($N734,'TABLE CHARGE RATE'!$A$30:$K$106,5,0)),"Check")</f>
        <v/>
      </c>
      <c r="AN734" s="207" t="str">
        <f>IFERROR(IF(ISBLANK($D734),"",VLOOKUP($N734,'TABLE CHARGE RATE'!$A$30:$K$106,6,0)),"Check")</f>
        <v/>
      </c>
      <c r="AO734" s="207" t="str">
        <f>IFERROR(IF(ISBLANK($D734),"",VLOOKUP($N734,'TABLE CHARGE RATE'!$A$30:$K$106,7,0)),"Check")</f>
        <v/>
      </c>
      <c r="AP734" s="207" t="str">
        <f>IFERROR(IF(ISBLANK($D734),"",VLOOKUP($N734,'TABLE CHARGE RATE'!$A$30:$K$106,8,0)),"Check")</f>
        <v/>
      </c>
      <c r="AQ734" s="207" t="str">
        <f>IFERROR(IF(ISBLANK($D734),"",VLOOKUP($N734,'TABLE CHARGE RATE'!$A$30:$K$106,9,0)),"Check")</f>
        <v/>
      </c>
      <c r="AR734" s="207" t="str">
        <f>IFERROR(IF(ISBLANK($D734),"",VLOOKUP($N734,'TABLE CHARGE RATE'!$A$30:$K$106,10,0)),"Check")</f>
        <v/>
      </c>
      <c r="AS734" s="207" t="str">
        <f>IFERROR(IF(ISBLANK($D734),"",VLOOKUP($N734,'TABLE CHARGE RATE'!$A$30:$K$106,11,0)),"Check")</f>
        <v/>
      </c>
      <c r="AT734" s="207"/>
    </row>
    <row r="735" spans="1:46" x14ac:dyDescent="0.2">
      <c r="A735" s="207" t="str">
        <f t="shared" si="102"/>
        <v/>
      </c>
      <c r="B735" s="208" t="str">
        <f>IF(ISBLANK(D735),"",VLOOKUP(WEEKDAY($C735,1),INDEX!$J$2:$K$8,2,0))</f>
        <v/>
      </c>
      <c r="C735" s="209"/>
      <c r="D735" s="207"/>
      <c r="E735" s="207"/>
      <c r="F735" s="207"/>
      <c r="G735" s="207"/>
      <c r="H735" s="207"/>
      <c r="I735" s="207"/>
      <c r="J735" s="207"/>
      <c r="K735" s="207"/>
      <c r="L735" s="207"/>
      <c r="M735" s="207"/>
      <c r="N735" s="207"/>
      <c r="O735" s="207"/>
      <c r="P735" s="207"/>
      <c r="Q735" s="207"/>
      <c r="R735" s="207"/>
      <c r="S735" s="207"/>
      <c r="T735" s="207"/>
      <c r="U735" s="209"/>
      <c r="V735" s="207"/>
      <c r="W735" s="207"/>
      <c r="X735" s="209"/>
      <c r="Y735" s="209"/>
      <c r="Z735" s="207" t="str">
        <f t="shared" ca="1" si="104"/>
        <v/>
      </c>
      <c r="AA735" s="209" t="str">
        <f t="shared" si="101"/>
        <v/>
      </c>
      <c r="AB735" s="209"/>
      <c r="AC735" s="207" t="str">
        <f t="shared" ca="1" si="105"/>
        <v/>
      </c>
      <c r="AD735" s="207"/>
      <c r="AE735" s="207"/>
      <c r="AF735" s="208" t="str">
        <f>IF(ISBLANK(D735),"",VLOOKUP(F735,'SIZE CALCULATION'!$F:$G,2,0))</f>
        <v/>
      </c>
      <c r="AG735" s="207" t="str">
        <f t="shared" si="103"/>
        <v/>
      </c>
      <c r="AH735" s="207" t="str">
        <f t="shared" si="106"/>
        <v/>
      </c>
      <c r="AI735" s="210" t="str">
        <f>IF(ISBLANK(D735),"",VLOOKUP($A735,INDEX!$D$2:$F$13,3,0))</f>
        <v/>
      </c>
      <c r="AJ735" s="207" t="str">
        <f t="shared" si="107"/>
        <v/>
      </c>
      <c r="AK735" s="207"/>
      <c r="AL735" s="207"/>
      <c r="AM735" s="207" t="str">
        <f>IFERROR(IF(ISBLANK($D735),"",VLOOKUP($N735,'TABLE CHARGE RATE'!$A$30:$K$106,5,0)),"Check")</f>
        <v/>
      </c>
      <c r="AN735" s="207" t="str">
        <f>IFERROR(IF(ISBLANK($D735),"",VLOOKUP($N735,'TABLE CHARGE RATE'!$A$30:$K$106,6,0)),"Check")</f>
        <v/>
      </c>
      <c r="AO735" s="207" t="str">
        <f>IFERROR(IF(ISBLANK($D735),"",VLOOKUP($N735,'TABLE CHARGE RATE'!$A$30:$K$106,7,0)),"Check")</f>
        <v/>
      </c>
      <c r="AP735" s="207" t="str">
        <f>IFERROR(IF(ISBLANK($D735),"",VLOOKUP($N735,'TABLE CHARGE RATE'!$A$30:$K$106,8,0)),"Check")</f>
        <v/>
      </c>
      <c r="AQ735" s="207" t="str">
        <f>IFERROR(IF(ISBLANK($D735),"",VLOOKUP($N735,'TABLE CHARGE RATE'!$A$30:$K$106,9,0)),"Check")</f>
        <v/>
      </c>
      <c r="AR735" s="207" t="str">
        <f>IFERROR(IF(ISBLANK($D735),"",VLOOKUP($N735,'TABLE CHARGE RATE'!$A$30:$K$106,10,0)),"Check")</f>
        <v/>
      </c>
      <c r="AS735" s="207" t="str">
        <f>IFERROR(IF(ISBLANK($D735),"",VLOOKUP($N735,'TABLE CHARGE RATE'!$A$30:$K$106,11,0)),"Check")</f>
        <v/>
      </c>
      <c r="AT735" s="207"/>
    </row>
    <row r="736" spans="1:46" x14ac:dyDescent="0.2">
      <c r="A736" s="207" t="str">
        <f t="shared" si="102"/>
        <v/>
      </c>
      <c r="B736" s="208" t="str">
        <f>IF(ISBLANK(D736),"",VLOOKUP(WEEKDAY($C736,1),INDEX!$J$2:$K$8,2,0))</f>
        <v/>
      </c>
      <c r="C736" s="209"/>
      <c r="D736" s="207"/>
      <c r="E736" s="207"/>
      <c r="F736" s="207"/>
      <c r="G736" s="207"/>
      <c r="H736" s="207"/>
      <c r="I736" s="207"/>
      <c r="J736" s="207"/>
      <c r="K736" s="207"/>
      <c r="L736" s="207"/>
      <c r="M736" s="207"/>
      <c r="N736" s="207"/>
      <c r="O736" s="207"/>
      <c r="P736" s="207"/>
      <c r="Q736" s="207"/>
      <c r="R736" s="207"/>
      <c r="S736" s="207"/>
      <c r="T736" s="207"/>
      <c r="U736" s="209"/>
      <c r="V736" s="207"/>
      <c r="W736" s="207"/>
      <c r="X736" s="209"/>
      <c r="Y736" s="209"/>
      <c r="Z736" s="207" t="str">
        <f t="shared" ca="1" si="104"/>
        <v/>
      </c>
      <c r="AA736" s="209" t="str">
        <f t="shared" si="101"/>
        <v/>
      </c>
      <c r="AB736" s="209"/>
      <c r="AC736" s="207" t="str">
        <f t="shared" ca="1" si="105"/>
        <v/>
      </c>
      <c r="AD736" s="207"/>
      <c r="AE736" s="207"/>
      <c r="AF736" s="208" t="str">
        <f>IF(ISBLANK(D736),"",VLOOKUP(F736,'SIZE CALCULATION'!$F:$G,2,0))</f>
        <v/>
      </c>
      <c r="AG736" s="207" t="str">
        <f t="shared" si="103"/>
        <v/>
      </c>
      <c r="AH736" s="207" t="str">
        <f t="shared" si="106"/>
        <v/>
      </c>
      <c r="AI736" s="210" t="str">
        <f>IF(ISBLANK(D736),"",VLOOKUP($A736,INDEX!$D$2:$F$13,3,0))</f>
        <v/>
      </c>
      <c r="AJ736" s="207" t="str">
        <f t="shared" si="107"/>
        <v/>
      </c>
      <c r="AK736" s="207"/>
      <c r="AL736" s="207"/>
      <c r="AM736" s="207" t="str">
        <f>IFERROR(IF(ISBLANK($D736),"",VLOOKUP($N736,'TABLE CHARGE RATE'!$A$30:$K$106,5,0)),"Check")</f>
        <v/>
      </c>
      <c r="AN736" s="207" t="str">
        <f>IFERROR(IF(ISBLANK($D736),"",VLOOKUP($N736,'TABLE CHARGE RATE'!$A$30:$K$106,6,0)),"Check")</f>
        <v/>
      </c>
      <c r="AO736" s="207" t="str">
        <f>IFERROR(IF(ISBLANK($D736),"",VLOOKUP($N736,'TABLE CHARGE RATE'!$A$30:$K$106,7,0)),"Check")</f>
        <v/>
      </c>
      <c r="AP736" s="207" t="str">
        <f>IFERROR(IF(ISBLANK($D736),"",VLOOKUP($N736,'TABLE CHARGE RATE'!$A$30:$K$106,8,0)),"Check")</f>
        <v/>
      </c>
      <c r="AQ736" s="207" t="str">
        <f>IFERROR(IF(ISBLANK($D736),"",VLOOKUP($N736,'TABLE CHARGE RATE'!$A$30:$K$106,9,0)),"Check")</f>
        <v/>
      </c>
      <c r="AR736" s="207" t="str">
        <f>IFERROR(IF(ISBLANK($D736),"",VLOOKUP($N736,'TABLE CHARGE RATE'!$A$30:$K$106,10,0)),"Check")</f>
        <v/>
      </c>
      <c r="AS736" s="207" t="str">
        <f>IFERROR(IF(ISBLANK($D736),"",VLOOKUP($N736,'TABLE CHARGE RATE'!$A$30:$K$106,11,0)),"Check")</f>
        <v/>
      </c>
      <c r="AT736" s="207"/>
    </row>
    <row r="737" spans="1:46" x14ac:dyDescent="0.2">
      <c r="A737" s="207" t="str">
        <f t="shared" si="102"/>
        <v/>
      </c>
      <c r="B737" s="208" t="str">
        <f>IF(ISBLANK(D737),"",VLOOKUP(WEEKDAY($C737,1),INDEX!$J$2:$K$8,2,0))</f>
        <v/>
      </c>
      <c r="C737" s="209"/>
      <c r="D737" s="207"/>
      <c r="E737" s="207"/>
      <c r="F737" s="207"/>
      <c r="G737" s="207"/>
      <c r="H737" s="207"/>
      <c r="I737" s="207"/>
      <c r="J737" s="207"/>
      <c r="K737" s="207"/>
      <c r="L737" s="207"/>
      <c r="M737" s="207"/>
      <c r="N737" s="207"/>
      <c r="O737" s="207"/>
      <c r="P737" s="207"/>
      <c r="Q737" s="207"/>
      <c r="R737" s="207"/>
      <c r="S737" s="207"/>
      <c r="T737" s="207"/>
      <c r="U737" s="209"/>
      <c r="V737" s="207"/>
      <c r="W737" s="207"/>
      <c r="X737" s="209"/>
      <c r="Y737" s="209"/>
      <c r="Z737" s="207" t="str">
        <f t="shared" ca="1" si="104"/>
        <v/>
      </c>
      <c r="AA737" s="209" t="str">
        <f t="shared" ref="AA737:AA800" si="108">IF(ISBLANK(D737),"",Y737+10)</f>
        <v/>
      </c>
      <c r="AB737" s="209"/>
      <c r="AC737" s="207" t="str">
        <f t="shared" ca="1" si="105"/>
        <v/>
      </c>
      <c r="AD737" s="207"/>
      <c r="AE737" s="207"/>
      <c r="AF737" s="208" t="str">
        <f>IF(ISBLANK(D737),"",VLOOKUP(F737,'SIZE CALCULATION'!$F:$G,2,0))</f>
        <v/>
      </c>
      <c r="AG737" s="207" t="str">
        <f t="shared" si="103"/>
        <v/>
      </c>
      <c r="AH737" s="207" t="str">
        <f t="shared" si="106"/>
        <v/>
      </c>
      <c r="AI737" s="210" t="str">
        <f>IF(ISBLANK(D737),"",VLOOKUP($A737,INDEX!$D$2:$F$13,3,0))</f>
        <v/>
      </c>
      <c r="AJ737" s="207" t="str">
        <f t="shared" si="107"/>
        <v/>
      </c>
      <c r="AK737" s="207"/>
      <c r="AL737" s="207"/>
      <c r="AM737" s="207" t="str">
        <f>IFERROR(IF(ISBLANK($D737),"",VLOOKUP($N737,'TABLE CHARGE RATE'!$A$30:$K$106,5,0)),"Check")</f>
        <v/>
      </c>
      <c r="AN737" s="207" t="str">
        <f>IFERROR(IF(ISBLANK($D737),"",VLOOKUP($N737,'TABLE CHARGE RATE'!$A$30:$K$106,6,0)),"Check")</f>
        <v/>
      </c>
      <c r="AO737" s="207" t="str">
        <f>IFERROR(IF(ISBLANK($D737),"",VLOOKUP($N737,'TABLE CHARGE RATE'!$A$30:$K$106,7,0)),"Check")</f>
        <v/>
      </c>
      <c r="AP737" s="207" t="str">
        <f>IFERROR(IF(ISBLANK($D737),"",VLOOKUP($N737,'TABLE CHARGE RATE'!$A$30:$K$106,8,0)),"Check")</f>
        <v/>
      </c>
      <c r="AQ737" s="207" t="str">
        <f>IFERROR(IF(ISBLANK($D737),"",VLOOKUP($N737,'TABLE CHARGE RATE'!$A$30:$K$106,9,0)),"Check")</f>
        <v/>
      </c>
      <c r="AR737" s="207" t="str">
        <f>IFERROR(IF(ISBLANK($D737),"",VLOOKUP($N737,'TABLE CHARGE RATE'!$A$30:$K$106,10,0)),"Check")</f>
        <v/>
      </c>
      <c r="AS737" s="207" t="str">
        <f>IFERROR(IF(ISBLANK($D737),"",VLOOKUP($N737,'TABLE CHARGE RATE'!$A$30:$K$106,11,0)),"Check")</f>
        <v/>
      </c>
      <c r="AT737" s="207"/>
    </row>
    <row r="738" spans="1:46" x14ac:dyDescent="0.2">
      <c r="A738" s="207" t="str">
        <f t="shared" si="102"/>
        <v/>
      </c>
      <c r="B738" s="208" t="str">
        <f>IF(ISBLANK(D738),"",VLOOKUP(WEEKDAY($C738,1),INDEX!$J$2:$K$8,2,0))</f>
        <v/>
      </c>
      <c r="C738" s="209"/>
      <c r="D738" s="207"/>
      <c r="E738" s="207"/>
      <c r="F738" s="207"/>
      <c r="G738" s="207"/>
      <c r="H738" s="207"/>
      <c r="I738" s="207"/>
      <c r="J738" s="207"/>
      <c r="K738" s="207"/>
      <c r="L738" s="207"/>
      <c r="M738" s="207"/>
      <c r="N738" s="207"/>
      <c r="O738" s="207"/>
      <c r="P738" s="207"/>
      <c r="Q738" s="207"/>
      <c r="R738" s="207"/>
      <c r="S738" s="207"/>
      <c r="T738" s="207"/>
      <c r="U738" s="209"/>
      <c r="V738" s="207"/>
      <c r="W738" s="207"/>
      <c r="X738" s="209"/>
      <c r="Y738" s="209"/>
      <c r="Z738" s="207" t="str">
        <f t="shared" ca="1" si="104"/>
        <v/>
      </c>
      <c r="AA738" s="209" t="str">
        <f t="shared" si="108"/>
        <v/>
      </c>
      <c r="AB738" s="209"/>
      <c r="AC738" s="207" t="str">
        <f t="shared" ca="1" si="105"/>
        <v/>
      </c>
      <c r="AD738" s="207"/>
      <c r="AE738" s="207"/>
      <c r="AF738" s="208" t="str">
        <f>IF(ISBLANK(D738),"",VLOOKUP(F738,'SIZE CALCULATION'!$F:$G,2,0))</f>
        <v/>
      </c>
      <c r="AG738" s="207" t="str">
        <f t="shared" si="103"/>
        <v/>
      </c>
      <c r="AH738" s="207" t="str">
        <f t="shared" si="106"/>
        <v/>
      </c>
      <c r="AI738" s="210" t="str">
        <f>IF(ISBLANK(D738),"",VLOOKUP($A738,INDEX!$D$2:$F$13,3,0))</f>
        <v/>
      </c>
      <c r="AJ738" s="207" t="str">
        <f t="shared" si="107"/>
        <v/>
      </c>
      <c r="AK738" s="207"/>
      <c r="AL738" s="207"/>
      <c r="AM738" s="207" t="str">
        <f>IFERROR(IF(ISBLANK($D738),"",VLOOKUP($N738,'TABLE CHARGE RATE'!$A$30:$K$106,5,0)),"Check")</f>
        <v/>
      </c>
      <c r="AN738" s="207" t="str">
        <f>IFERROR(IF(ISBLANK($D738),"",VLOOKUP($N738,'TABLE CHARGE RATE'!$A$30:$K$106,6,0)),"Check")</f>
        <v/>
      </c>
      <c r="AO738" s="207" t="str">
        <f>IFERROR(IF(ISBLANK($D738),"",VLOOKUP($N738,'TABLE CHARGE RATE'!$A$30:$K$106,7,0)),"Check")</f>
        <v/>
      </c>
      <c r="AP738" s="207" t="str">
        <f>IFERROR(IF(ISBLANK($D738),"",VLOOKUP($N738,'TABLE CHARGE RATE'!$A$30:$K$106,8,0)),"Check")</f>
        <v/>
      </c>
      <c r="AQ738" s="207" t="str">
        <f>IFERROR(IF(ISBLANK($D738),"",VLOOKUP($N738,'TABLE CHARGE RATE'!$A$30:$K$106,9,0)),"Check")</f>
        <v/>
      </c>
      <c r="AR738" s="207" t="str">
        <f>IFERROR(IF(ISBLANK($D738),"",VLOOKUP($N738,'TABLE CHARGE RATE'!$A$30:$K$106,10,0)),"Check")</f>
        <v/>
      </c>
      <c r="AS738" s="207" t="str">
        <f>IFERROR(IF(ISBLANK($D738),"",VLOOKUP($N738,'TABLE CHARGE RATE'!$A$30:$K$106,11,0)),"Check")</f>
        <v/>
      </c>
      <c r="AT738" s="207"/>
    </row>
    <row r="739" spans="1:46" x14ac:dyDescent="0.2">
      <c r="A739" s="207" t="str">
        <f t="shared" si="102"/>
        <v/>
      </c>
      <c r="B739" s="208" t="str">
        <f>IF(ISBLANK(D739),"",VLOOKUP(WEEKDAY($C739,1),INDEX!$J$2:$K$8,2,0))</f>
        <v/>
      </c>
      <c r="C739" s="209"/>
      <c r="D739" s="207"/>
      <c r="E739" s="207"/>
      <c r="F739" s="207"/>
      <c r="G739" s="207"/>
      <c r="H739" s="207"/>
      <c r="I739" s="207"/>
      <c r="J739" s="207"/>
      <c r="K739" s="207"/>
      <c r="L739" s="207"/>
      <c r="M739" s="207"/>
      <c r="N739" s="207"/>
      <c r="O739" s="207"/>
      <c r="P739" s="207"/>
      <c r="Q739" s="207"/>
      <c r="R739" s="207"/>
      <c r="S739" s="207"/>
      <c r="T739" s="207"/>
      <c r="U739" s="209"/>
      <c r="V739" s="207"/>
      <c r="W739" s="207"/>
      <c r="X739" s="209"/>
      <c r="Y739" s="209"/>
      <c r="Z739" s="207" t="str">
        <f t="shared" ca="1" si="104"/>
        <v/>
      </c>
      <c r="AA739" s="209" t="str">
        <f t="shared" si="108"/>
        <v/>
      </c>
      <c r="AB739" s="209"/>
      <c r="AC739" s="207" t="str">
        <f t="shared" ca="1" si="105"/>
        <v/>
      </c>
      <c r="AD739" s="207"/>
      <c r="AE739" s="207"/>
      <c r="AF739" s="208" t="str">
        <f>IF(ISBLANK(D739),"",VLOOKUP(F739,'SIZE CALCULATION'!$F:$G,2,0))</f>
        <v/>
      </c>
      <c r="AG739" s="207" t="str">
        <f t="shared" si="103"/>
        <v/>
      </c>
      <c r="AH739" s="207" t="str">
        <f t="shared" si="106"/>
        <v/>
      </c>
      <c r="AI739" s="210" t="str">
        <f>IF(ISBLANK(D739),"",VLOOKUP($A739,INDEX!$D$2:$F$13,3,0))</f>
        <v/>
      </c>
      <c r="AJ739" s="207" t="str">
        <f t="shared" si="107"/>
        <v/>
      </c>
      <c r="AK739" s="207"/>
      <c r="AL739" s="207"/>
      <c r="AM739" s="207" t="str">
        <f>IFERROR(IF(ISBLANK($D739),"",VLOOKUP($N739,'TABLE CHARGE RATE'!$A$30:$K$106,5,0)),"Check")</f>
        <v/>
      </c>
      <c r="AN739" s="207" t="str">
        <f>IFERROR(IF(ISBLANK($D739),"",VLOOKUP($N739,'TABLE CHARGE RATE'!$A$30:$K$106,6,0)),"Check")</f>
        <v/>
      </c>
      <c r="AO739" s="207" t="str">
        <f>IFERROR(IF(ISBLANK($D739),"",VLOOKUP($N739,'TABLE CHARGE RATE'!$A$30:$K$106,7,0)),"Check")</f>
        <v/>
      </c>
      <c r="AP739" s="207" t="str">
        <f>IFERROR(IF(ISBLANK($D739),"",VLOOKUP($N739,'TABLE CHARGE RATE'!$A$30:$K$106,8,0)),"Check")</f>
        <v/>
      </c>
      <c r="AQ739" s="207" t="str">
        <f>IFERROR(IF(ISBLANK($D739),"",VLOOKUP($N739,'TABLE CHARGE RATE'!$A$30:$K$106,9,0)),"Check")</f>
        <v/>
      </c>
      <c r="AR739" s="207" t="str">
        <f>IFERROR(IF(ISBLANK($D739),"",VLOOKUP($N739,'TABLE CHARGE RATE'!$A$30:$K$106,10,0)),"Check")</f>
        <v/>
      </c>
      <c r="AS739" s="207" t="str">
        <f>IFERROR(IF(ISBLANK($D739),"",VLOOKUP($N739,'TABLE CHARGE RATE'!$A$30:$K$106,11,0)),"Check")</f>
        <v/>
      </c>
      <c r="AT739" s="207"/>
    </row>
    <row r="740" spans="1:46" x14ac:dyDescent="0.2">
      <c r="A740" s="207" t="str">
        <f t="shared" si="102"/>
        <v/>
      </c>
      <c r="B740" s="208" t="str">
        <f>IF(ISBLANK(D740),"",VLOOKUP(WEEKDAY($C740,1),INDEX!$J$2:$K$8,2,0))</f>
        <v/>
      </c>
      <c r="C740" s="209"/>
      <c r="D740" s="207"/>
      <c r="E740" s="207"/>
      <c r="F740" s="207"/>
      <c r="G740" s="207"/>
      <c r="H740" s="207"/>
      <c r="I740" s="207"/>
      <c r="J740" s="207"/>
      <c r="K740" s="207"/>
      <c r="L740" s="207"/>
      <c r="M740" s="207"/>
      <c r="N740" s="207"/>
      <c r="O740" s="207"/>
      <c r="P740" s="207"/>
      <c r="Q740" s="207"/>
      <c r="R740" s="207"/>
      <c r="S740" s="207"/>
      <c r="T740" s="207"/>
      <c r="U740" s="209"/>
      <c r="V740" s="207"/>
      <c r="W740" s="207"/>
      <c r="X740" s="209"/>
      <c r="Y740" s="209"/>
      <c r="Z740" s="207" t="str">
        <f t="shared" ca="1" si="104"/>
        <v/>
      </c>
      <c r="AA740" s="209" t="str">
        <f t="shared" si="108"/>
        <v/>
      </c>
      <c r="AB740" s="209"/>
      <c r="AC740" s="207" t="str">
        <f t="shared" ca="1" si="105"/>
        <v/>
      </c>
      <c r="AD740" s="207"/>
      <c r="AE740" s="207"/>
      <c r="AF740" s="208" t="str">
        <f>IF(ISBLANK(D740),"",VLOOKUP(F740,'SIZE CALCULATION'!$F:$G,2,0))</f>
        <v/>
      </c>
      <c r="AG740" s="207" t="str">
        <f t="shared" si="103"/>
        <v/>
      </c>
      <c r="AH740" s="207" t="str">
        <f t="shared" si="106"/>
        <v/>
      </c>
      <c r="AI740" s="210" t="str">
        <f>IF(ISBLANK(D740),"",VLOOKUP($A740,INDEX!$D$2:$F$13,3,0))</f>
        <v/>
      </c>
      <c r="AJ740" s="207" t="str">
        <f t="shared" si="107"/>
        <v/>
      </c>
      <c r="AK740" s="207"/>
      <c r="AL740" s="207"/>
      <c r="AM740" s="207" t="str">
        <f>IFERROR(IF(ISBLANK($D740),"",VLOOKUP($N740,'TABLE CHARGE RATE'!$A$30:$K$106,5,0)),"Check")</f>
        <v/>
      </c>
      <c r="AN740" s="207" t="str">
        <f>IFERROR(IF(ISBLANK($D740),"",VLOOKUP($N740,'TABLE CHARGE RATE'!$A$30:$K$106,6,0)),"Check")</f>
        <v/>
      </c>
      <c r="AO740" s="207" t="str">
        <f>IFERROR(IF(ISBLANK($D740),"",VLOOKUP($N740,'TABLE CHARGE RATE'!$A$30:$K$106,7,0)),"Check")</f>
        <v/>
      </c>
      <c r="AP740" s="207" t="str">
        <f>IFERROR(IF(ISBLANK($D740),"",VLOOKUP($N740,'TABLE CHARGE RATE'!$A$30:$K$106,8,0)),"Check")</f>
        <v/>
      </c>
      <c r="AQ740" s="207" t="str">
        <f>IFERROR(IF(ISBLANK($D740),"",VLOOKUP($N740,'TABLE CHARGE RATE'!$A$30:$K$106,9,0)),"Check")</f>
        <v/>
      </c>
      <c r="AR740" s="207" t="str">
        <f>IFERROR(IF(ISBLANK($D740),"",VLOOKUP($N740,'TABLE CHARGE RATE'!$A$30:$K$106,10,0)),"Check")</f>
        <v/>
      </c>
      <c r="AS740" s="207" t="str">
        <f>IFERROR(IF(ISBLANK($D740),"",VLOOKUP($N740,'TABLE CHARGE RATE'!$A$30:$K$106,11,0)),"Check")</f>
        <v/>
      </c>
      <c r="AT740" s="207"/>
    </row>
    <row r="741" spans="1:46" x14ac:dyDescent="0.2">
      <c r="A741" s="207" t="str">
        <f t="shared" si="102"/>
        <v/>
      </c>
      <c r="B741" s="208" t="str">
        <f>IF(ISBLANK(D741),"",VLOOKUP(WEEKDAY($C741,1),INDEX!$J$2:$K$8,2,0))</f>
        <v/>
      </c>
      <c r="C741" s="209"/>
      <c r="D741" s="207"/>
      <c r="E741" s="207"/>
      <c r="F741" s="207"/>
      <c r="G741" s="207"/>
      <c r="H741" s="207"/>
      <c r="I741" s="207"/>
      <c r="J741" s="207"/>
      <c r="K741" s="207"/>
      <c r="L741" s="207"/>
      <c r="M741" s="207"/>
      <c r="N741" s="207"/>
      <c r="O741" s="207"/>
      <c r="P741" s="207"/>
      <c r="Q741" s="207"/>
      <c r="R741" s="207"/>
      <c r="S741" s="207"/>
      <c r="T741" s="207"/>
      <c r="U741" s="209"/>
      <c r="V741" s="207"/>
      <c r="W741" s="207"/>
      <c r="X741" s="209"/>
      <c r="Y741" s="209"/>
      <c r="Z741" s="207" t="str">
        <f t="shared" ca="1" si="104"/>
        <v/>
      </c>
      <c r="AA741" s="209" t="str">
        <f t="shared" si="108"/>
        <v/>
      </c>
      <c r="AB741" s="209"/>
      <c r="AC741" s="207" t="str">
        <f t="shared" ca="1" si="105"/>
        <v/>
      </c>
      <c r="AD741" s="207"/>
      <c r="AE741" s="207"/>
      <c r="AF741" s="208" t="str">
        <f>IF(ISBLANK(D741),"",VLOOKUP(F741,'SIZE CALCULATION'!$F:$G,2,0))</f>
        <v/>
      </c>
      <c r="AG741" s="207" t="str">
        <f t="shared" si="103"/>
        <v/>
      </c>
      <c r="AH741" s="207" t="str">
        <f t="shared" si="106"/>
        <v/>
      </c>
      <c r="AI741" s="210" t="str">
        <f>IF(ISBLANK(D741),"",VLOOKUP($A741,INDEX!$D$2:$F$13,3,0))</f>
        <v/>
      </c>
      <c r="AJ741" s="207" t="str">
        <f t="shared" si="107"/>
        <v/>
      </c>
      <c r="AK741" s="207"/>
      <c r="AL741" s="207"/>
      <c r="AM741" s="207" t="str">
        <f>IFERROR(IF(ISBLANK($D741),"",VLOOKUP($N741,'TABLE CHARGE RATE'!$A$30:$K$106,5,0)),"Check")</f>
        <v/>
      </c>
      <c r="AN741" s="207" t="str">
        <f>IFERROR(IF(ISBLANK($D741),"",VLOOKUP($N741,'TABLE CHARGE RATE'!$A$30:$K$106,6,0)),"Check")</f>
        <v/>
      </c>
      <c r="AO741" s="207" t="str">
        <f>IFERROR(IF(ISBLANK($D741),"",VLOOKUP($N741,'TABLE CHARGE RATE'!$A$30:$K$106,7,0)),"Check")</f>
        <v/>
      </c>
      <c r="AP741" s="207" t="str">
        <f>IFERROR(IF(ISBLANK($D741),"",VLOOKUP($N741,'TABLE CHARGE RATE'!$A$30:$K$106,8,0)),"Check")</f>
        <v/>
      </c>
      <c r="AQ741" s="207" t="str">
        <f>IFERROR(IF(ISBLANK($D741),"",VLOOKUP($N741,'TABLE CHARGE RATE'!$A$30:$K$106,9,0)),"Check")</f>
        <v/>
      </c>
      <c r="AR741" s="207" t="str">
        <f>IFERROR(IF(ISBLANK($D741),"",VLOOKUP($N741,'TABLE CHARGE RATE'!$A$30:$K$106,10,0)),"Check")</f>
        <v/>
      </c>
      <c r="AS741" s="207" t="str">
        <f>IFERROR(IF(ISBLANK($D741),"",VLOOKUP($N741,'TABLE CHARGE RATE'!$A$30:$K$106,11,0)),"Check")</f>
        <v/>
      </c>
      <c r="AT741" s="207"/>
    </row>
    <row r="742" spans="1:46" x14ac:dyDescent="0.2">
      <c r="A742" s="207" t="str">
        <f t="shared" si="102"/>
        <v/>
      </c>
      <c r="B742" s="208" t="str">
        <f>IF(ISBLANK(D742),"",VLOOKUP(WEEKDAY($C742,1),INDEX!$J$2:$K$8,2,0))</f>
        <v/>
      </c>
      <c r="C742" s="209"/>
      <c r="D742" s="207"/>
      <c r="E742" s="207"/>
      <c r="F742" s="207"/>
      <c r="G742" s="207"/>
      <c r="H742" s="207"/>
      <c r="I742" s="207"/>
      <c r="J742" s="207"/>
      <c r="K742" s="207"/>
      <c r="L742" s="207"/>
      <c r="M742" s="207"/>
      <c r="N742" s="207"/>
      <c r="O742" s="207"/>
      <c r="P742" s="207"/>
      <c r="Q742" s="207"/>
      <c r="R742" s="207"/>
      <c r="S742" s="207"/>
      <c r="T742" s="207"/>
      <c r="U742" s="209"/>
      <c r="V742" s="207"/>
      <c r="W742" s="207"/>
      <c r="X742" s="209"/>
      <c r="Y742" s="209"/>
      <c r="Z742" s="207" t="str">
        <f t="shared" ca="1" si="104"/>
        <v/>
      </c>
      <c r="AA742" s="209" t="str">
        <f t="shared" si="108"/>
        <v/>
      </c>
      <c r="AB742" s="209"/>
      <c r="AC742" s="207" t="str">
        <f t="shared" ca="1" si="105"/>
        <v/>
      </c>
      <c r="AD742" s="207"/>
      <c r="AE742" s="207"/>
      <c r="AF742" s="208" t="str">
        <f>IF(ISBLANK(D742),"",VLOOKUP(F742,'SIZE CALCULATION'!$F:$G,2,0))</f>
        <v/>
      </c>
      <c r="AG742" s="207" t="str">
        <f t="shared" si="103"/>
        <v/>
      </c>
      <c r="AH742" s="207" t="str">
        <f t="shared" si="106"/>
        <v/>
      </c>
      <c r="AI742" s="210" t="str">
        <f>IF(ISBLANK(D742),"",VLOOKUP($A742,INDEX!$D$2:$F$13,3,0))</f>
        <v/>
      </c>
      <c r="AJ742" s="207" t="str">
        <f t="shared" si="107"/>
        <v/>
      </c>
      <c r="AK742" s="207"/>
      <c r="AL742" s="207"/>
      <c r="AM742" s="207" t="str">
        <f>IFERROR(IF(ISBLANK($D742),"",VLOOKUP($N742,'TABLE CHARGE RATE'!$A$30:$K$106,5,0)),"Check")</f>
        <v/>
      </c>
      <c r="AN742" s="207" t="str">
        <f>IFERROR(IF(ISBLANK($D742),"",VLOOKUP($N742,'TABLE CHARGE RATE'!$A$30:$K$106,6,0)),"Check")</f>
        <v/>
      </c>
      <c r="AO742" s="207" t="str">
        <f>IFERROR(IF(ISBLANK($D742),"",VLOOKUP($N742,'TABLE CHARGE RATE'!$A$30:$K$106,7,0)),"Check")</f>
        <v/>
      </c>
      <c r="AP742" s="207" t="str">
        <f>IFERROR(IF(ISBLANK($D742),"",VLOOKUP($N742,'TABLE CHARGE RATE'!$A$30:$K$106,8,0)),"Check")</f>
        <v/>
      </c>
      <c r="AQ742" s="207" t="str">
        <f>IFERROR(IF(ISBLANK($D742),"",VLOOKUP($N742,'TABLE CHARGE RATE'!$A$30:$K$106,9,0)),"Check")</f>
        <v/>
      </c>
      <c r="AR742" s="207" t="str">
        <f>IFERROR(IF(ISBLANK($D742),"",VLOOKUP($N742,'TABLE CHARGE RATE'!$A$30:$K$106,10,0)),"Check")</f>
        <v/>
      </c>
      <c r="AS742" s="207" t="str">
        <f>IFERROR(IF(ISBLANK($D742),"",VLOOKUP($N742,'TABLE CHARGE RATE'!$A$30:$K$106,11,0)),"Check")</f>
        <v/>
      </c>
      <c r="AT742" s="207"/>
    </row>
    <row r="743" spans="1:46" x14ac:dyDescent="0.2">
      <c r="A743" s="207" t="str">
        <f t="shared" si="102"/>
        <v/>
      </c>
      <c r="B743" s="208" t="str">
        <f>IF(ISBLANK(D743),"",VLOOKUP(WEEKDAY($C743,1),INDEX!$J$2:$K$8,2,0))</f>
        <v/>
      </c>
      <c r="C743" s="209"/>
      <c r="D743" s="207"/>
      <c r="E743" s="207"/>
      <c r="F743" s="207"/>
      <c r="G743" s="207"/>
      <c r="H743" s="207"/>
      <c r="I743" s="207"/>
      <c r="J743" s="207"/>
      <c r="K743" s="207"/>
      <c r="L743" s="207"/>
      <c r="M743" s="207"/>
      <c r="N743" s="207"/>
      <c r="O743" s="207"/>
      <c r="P743" s="207"/>
      <c r="Q743" s="207"/>
      <c r="R743" s="207"/>
      <c r="S743" s="207"/>
      <c r="T743" s="207"/>
      <c r="U743" s="209"/>
      <c r="V743" s="207"/>
      <c r="W743" s="207"/>
      <c r="X743" s="209"/>
      <c r="Y743" s="209"/>
      <c r="Z743" s="207" t="str">
        <f t="shared" ca="1" si="104"/>
        <v/>
      </c>
      <c r="AA743" s="209" t="str">
        <f t="shared" si="108"/>
        <v/>
      </c>
      <c r="AB743" s="209"/>
      <c r="AC743" s="207" t="str">
        <f t="shared" ca="1" si="105"/>
        <v/>
      </c>
      <c r="AD743" s="207"/>
      <c r="AE743" s="207"/>
      <c r="AF743" s="208" t="str">
        <f>IF(ISBLANK(D743),"",VLOOKUP(F743,'SIZE CALCULATION'!$F:$G,2,0))</f>
        <v/>
      </c>
      <c r="AG743" s="207" t="str">
        <f t="shared" si="103"/>
        <v/>
      </c>
      <c r="AH743" s="207" t="str">
        <f t="shared" si="106"/>
        <v/>
      </c>
      <c r="AI743" s="210" t="str">
        <f>IF(ISBLANK(D743),"",VLOOKUP($A743,INDEX!$D$2:$F$13,3,0))</f>
        <v/>
      </c>
      <c r="AJ743" s="207" t="str">
        <f t="shared" si="107"/>
        <v/>
      </c>
      <c r="AK743" s="207"/>
      <c r="AL743" s="207"/>
      <c r="AM743" s="207" t="str">
        <f>IFERROR(IF(ISBLANK($D743),"",VLOOKUP($N743,'TABLE CHARGE RATE'!$A$30:$K$106,5,0)),"Check")</f>
        <v/>
      </c>
      <c r="AN743" s="207" t="str">
        <f>IFERROR(IF(ISBLANK($D743),"",VLOOKUP($N743,'TABLE CHARGE RATE'!$A$30:$K$106,6,0)),"Check")</f>
        <v/>
      </c>
      <c r="AO743" s="207" t="str">
        <f>IFERROR(IF(ISBLANK($D743),"",VLOOKUP($N743,'TABLE CHARGE RATE'!$A$30:$K$106,7,0)),"Check")</f>
        <v/>
      </c>
      <c r="AP743" s="207" t="str">
        <f>IFERROR(IF(ISBLANK($D743),"",VLOOKUP($N743,'TABLE CHARGE RATE'!$A$30:$K$106,8,0)),"Check")</f>
        <v/>
      </c>
      <c r="AQ743" s="207" t="str">
        <f>IFERROR(IF(ISBLANK($D743),"",VLOOKUP($N743,'TABLE CHARGE RATE'!$A$30:$K$106,9,0)),"Check")</f>
        <v/>
      </c>
      <c r="AR743" s="207" t="str">
        <f>IFERROR(IF(ISBLANK($D743),"",VLOOKUP($N743,'TABLE CHARGE RATE'!$A$30:$K$106,10,0)),"Check")</f>
        <v/>
      </c>
      <c r="AS743" s="207" t="str">
        <f>IFERROR(IF(ISBLANK($D743),"",VLOOKUP($N743,'TABLE CHARGE RATE'!$A$30:$K$106,11,0)),"Check")</f>
        <v/>
      </c>
      <c r="AT743" s="207"/>
    </row>
    <row r="744" spans="1:46" x14ac:dyDescent="0.2">
      <c r="A744" s="207" t="str">
        <f t="shared" si="102"/>
        <v/>
      </c>
      <c r="B744" s="208" t="str">
        <f>IF(ISBLANK(D744),"",VLOOKUP(WEEKDAY($C744,1),INDEX!$J$2:$K$8,2,0))</f>
        <v/>
      </c>
      <c r="C744" s="209"/>
      <c r="D744" s="207"/>
      <c r="E744" s="207"/>
      <c r="F744" s="207"/>
      <c r="G744" s="207"/>
      <c r="H744" s="207"/>
      <c r="I744" s="207"/>
      <c r="J744" s="207"/>
      <c r="K744" s="207"/>
      <c r="L744" s="207"/>
      <c r="M744" s="207"/>
      <c r="N744" s="207"/>
      <c r="O744" s="207"/>
      <c r="P744" s="207"/>
      <c r="Q744" s="207"/>
      <c r="R744" s="207"/>
      <c r="S744" s="207"/>
      <c r="T744" s="207"/>
      <c r="U744" s="209"/>
      <c r="V744" s="207"/>
      <c r="W744" s="207"/>
      <c r="X744" s="209"/>
      <c r="Y744" s="209"/>
      <c r="Z744" s="207" t="str">
        <f t="shared" ca="1" si="104"/>
        <v/>
      </c>
      <c r="AA744" s="209" t="str">
        <f t="shared" si="108"/>
        <v/>
      </c>
      <c r="AB744" s="209"/>
      <c r="AC744" s="207" t="str">
        <f t="shared" ca="1" si="105"/>
        <v/>
      </c>
      <c r="AD744" s="207"/>
      <c r="AE744" s="207"/>
      <c r="AF744" s="208" t="str">
        <f>IF(ISBLANK(D744),"",VLOOKUP(F744,'SIZE CALCULATION'!$F:$G,2,0))</f>
        <v/>
      </c>
      <c r="AG744" s="207" t="str">
        <f t="shared" si="103"/>
        <v/>
      </c>
      <c r="AH744" s="207" t="str">
        <f t="shared" si="106"/>
        <v/>
      </c>
      <c r="AI744" s="210" t="str">
        <f>IF(ISBLANK(D744),"",VLOOKUP($A744,INDEX!$D$2:$F$13,3,0))</f>
        <v/>
      </c>
      <c r="AJ744" s="207" t="str">
        <f t="shared" si="107"/>
        <v/>
      </c>
      <c r="AK744" s="207"/>
      <c r="AL744" s="207"/>
      <c r="AM744" s="207" t="str">
        <f>IFERROR(IF(ISBLANK($D744),"",VLOOKUP($N744,'TABLE CHARGE RATE'!$A$30:$K$106,5,0)),"Check")</f>
        <v/>
      </c>
      <c r="AN744" s="207" t="str">
        <f>IFERROR(IF(ISBLANK($D744),"",VLOOKUP($N744,'TABLE CHARGE RATE'!$A$30:$K$106,6,0)),"Check")</f>
        <v/>
      </c>
      <c r="AO744" s="207" t="str">
        <f>IFERROR(IF(ISBLANK($D744),"",VLOOKUP($N744,'TABLE CHARGE RATE'!$A$30:$K$106,7,0)),"Check")</f>
        <v/>
      </c>
      <c r="AP744" s="207" t="str">
        <f>IFERROR(IF(ISBLANK($D744),"",VLOOKUP($N744,'TABLE CHARGE RATE'!$A$30:$K$106,8,0)),"Check")</f>
        <v/>
      </c>
      <c r="AQ744" s="207" t="str">
        <f>IFERROR(IF(ISBLANK($D744),"",VLOOKUP($N744,'TABLE CHARGE RATE'!$A$30:$K$106,9,0)),"Check")</f>
        <v/>
      </c>
      <c r="AR744" s="207" t="str">
        <f>IFERROR(IF(ISBLANK($D744),"",VLOOKUP($N744,'TABLE CHARGE RATE'!$A$30:$K$106,10,0)),"Check")</f>
        <v/>
      </c>
      <c r="AS744" s="207" t="str">
        <f>IFERROR(IF(ISBLANK($D744),"",VLOOKUP($N744,'TABLE CHARGE RATE'!$A$30:$K$106,11,0)),"Check")</f>
        <v/>
      </c>
      <c r="AT744" s="207"/>
    </row>
    <row r="745" spans="1:46" x14ac:dyDescent="0.2">
      <c r="A745" s="207" t="str">
        <f t="shared" si="102"/>
        <v/>
      </c>
      <c r="B745" s="208" t="str">
        <f>IF(ISBLANK(D745),"",VLOOKUP(WEEKDAY($C745,1),INDEX!$J$2:$K$8,2,0))</f>
        <v/>
      </c>
      <c r="C745" s="209"/>
      <c r="D745" s="207"/>
      <c r="E745" s="207"/>
      <c r="F745" s="207"/>
      <c r="G745" s="207"/>
      <c r="H745" s="207"/>
      <c r="I745" s="207"/>
      <c r="J745" s="207"/>
      <c r="K745" s="207"/>
      <c r="L745" s="207"/>
      <c r="M745" s="207"/>
      <c r="N745" s="207"/>
      <c r="O745" s="207"/>
      <c r="P745" s="207"/>
      <c r="Q745" s="207"/>
      <c r="R745" s="207"/>
      <c r="S745" s="207"/>
      <c r="T745" s="207"/>
      <c r="U745" s="209"/>
      <c r="V745" s="207"/>
      <c r="W745" s="207"/>
      <c r="X745" s="209"/>
      <c r="Y745" s="209"/>
      <c r="Z745" s="207" t="str">
        <f t="shared" ca="1" si="104"/>
        <v/>
      </c>
      <c r="AA745" s="209" t="str">
        <f t="shared" si="108"/>
        <v/>
      </c>
      <c r="AB745" s="209"/>
      <c r="AC745" s="207" t="str">
        <f t="shared" ca="1" si="105"/>
        <v/>
      </c>
      <c r="AD745" s="207"/>
      <c r="AE745" s="207"/>
      <c r="AF745" s="208" t="str">
        <f>IF(ISBLANK(D745),"",VLOOKUP(F745,'SIZE CALCULATION'!$F:$G,2,0))</f>
        <v/>
      </c>
      <c r="AG745" s="207" t="str">
        <f t="shared" si="103"/>
        <v/>
      </c>
      <c r="AH745" s="207" t="str">
        <f t="shared" si="106"/>
        <v/>
      </c>
      <c r="AI745" s="210" t="str">
        <f>IF(ISBLANK(D745),"",VLOOKUP($A745,INDEX!$D$2:$F$13,3,0))</f>
        <v/>
      </c>
      <c r="AJ745" s="207" t="str">
        <f t="shared" si="107"/>
        <v/>
      </c>
      <c r="AK745" s="207"/>
      <c r="AL745" s="207"/>
      <c r="AM745" s="207" t="str">
        <f>IFERROR(IF(ISBLANK($D745),"",VLOOKUP($N745,'TABLE CHARGE RATE'!$A$30:$K$106,5,0)),"Check")</f>
        <v/>
      </c>
      <c r="AN745" s="207" t="str">
        <f>IFERROR(IF(ISBLANK($D745),"",VLOOKUP($N745,'TABLE CHARGE RATE'!$A$30:$K$106,6,0)),"Check")</f>
        <v/>
      </c>
      <c r="AO745" s="207" t="str">
        <f>IFERROR(IF(ISBLANK($D745),"",VLOOKUP($N745,'TABLE CHARGE RATE'!$A$30:$K$106,7,0)),"Check")</f>
        <v/>
      </c>
      <c r="AP745" s="207" t="str">
        <f>IFERROR(IF(ISBLANK($D745),"",VLOOKUP($N745,'TABLE CHARGE RATE'!$A$30:$K$106,8,0)),"Check")</f>
        <v/>
      </c>
      <c r="AQ745" s="207" t="str">
        <f>IFERROR(IF(ISBLANK($D745),"",VLOOKUP($N745,'TABLE CHARGE RATE'!$A$30:$K$106,9,0)),"Check")</f>
        <v/>
      </c>
      <c r="AR745" s="207" t="str">
        <f>IFERROR(IF(ISBLANK($D745),"",VLOOKUP($N745,'TABLE CHARGE RATE'!$A$30:$K$106,10,0)),"Check")</f>
        <v/>
      </c>
      <c r="AS745" s="207" t="str">
        <f>IFERROR(IF(ISBLANK($D745),"",VLOOKUP($N745,'TABLE CHARGE RATE'!$A$30:$K$106,11,0)),"Check")</f>
        <v/>
      </c>
      <c r="AT745" s="207"/>
    </row>
    <row r="746" spans="1:46" x14ac:dyDescent="0.2">
      <c r="A746" s="207" t="str">
        <f t="shared" ref="A746:A809" si="109">IF(ISBLANK(D746),"",MONTH(C746))</f>
        <v/>
      </c>
      <c r="B746" s="208" t="str">
        <f>IF(ISBLANK(D746),"",VLOOKUP(WEEKDAY($C746,1),INDEX!$J$2:$K$8,2,0))</f>
        <v/>
      </c>
      <c r="C746" s="209"/>
      <c r="D746" s="207"/>
      <c r="E746" s="207"/>
      <c r="F746" s="207"/>
      <c r="G746" s="207"/>
      <c r="H746" s="207"/>
      <c r="I746" s="207"/>
      <c r="J746" s="207"/>
      <c r="K746" s="207"/>
      <c r="L746" s="207"/>
      <c r="M746" s="207"/>
      <c r="N746" s="207"/>
      <c r="O746" s="207"/>
      <c r="P746" s="207"/>
      <c r="Q746" s="207"/>
      <c r="R746" s="207"/>
      <c r="S746" s="207"/>
      <c r="T746" s="207"/>
      <c r="U746" s="209"/>
      <c r="V746" s="207"/>
      <c r="W746" s="207"/>
      <c r="X746" s="209"/>
      <c r="Y746" s="209"/>
      <c r="Z746" s="207" t="str">
        <f t="shared" ca="1" si="104"/>
        <v/>
      </c>
      <c r="AA746" s="209" t="str">
        <f t="shared" si="108"/>
        <v/>
      </c>
      <c r="AB746" s="209"/>
      <c r="AC746" s="207" t="str">
        <f t="shared" ca="1" si="105"/>
        <v/>
      </c>
      <c r="AD746" s="207"/>
      <c r="AE746" s="207"/>
      <c r="AF746" s="208" t="str">
        <f>IF(ISBLANK(D746),"",VLOOKUP(F746,'SIZE CALCULATION'!$F:$G,2,0))</f>
        <v/>
      </c>
      <c r="AG746" s="207" t="str">
        <f t="shared" si="103"/>
        <v/>
      </c>
      <c r="AH746" s="207" t="str">
        <f t="shared" si="106"/>
        <v/>
      </c>
      <c r="AI746" s="210" t="str">
        <f>IF(ISBLANK(D746),"",VLOOKUP($A746,INDEX!$D$2:$F$13,3,0))</f>
        <v/>
      </c>
      <c r="AJ746" s="207" t="str">
        <f t="shared" si="107"/>
        <v/>
      </c>
      <c r="AK746" s="207"/>
      <c r="AL746" s="207"/>
      <c r="AM746" s="207" t="str">
        <f>IFERROR(IF(ISBLANK($D746),"",VLOOKUP($N746,'TABLE CHARGE RATE'!$A$30:$K$106,5,0)),"Check")</f>
        <v/>
      </c>
      <c r="AN746" s="207" t="str">
        <f>IFERROR(IF(ISBLANK($D746),"",VLOOKUP($N746,'TABLE CHARGE RATE'!$A$30:$K$106,6,0)),"Check")</f>
        <v/>
      </c>
      <c r="AO746" s="207" t="str">
        <f>IFERROR(IF(ISBLANK($D746),"",VLOOKUP($N746,'TABLE CHARGE RATE'!$A$30:$K$106,7,0)),"Check")</f>
        <v/>
      </c>
      <c r="AP746" s="207" t="str">
        <f>IFERROR(IF(ISBLANK($D746),"",VLOOKUP($N746,'TABLE CHARGE RATE'!$A$30:$K$106,8,0)),"Check")</f>
        <v/>
      </c>
      <c r="AQ746" s="207" t="str">
        <f>IFERROR(IF(ISBLANK($D746),"",VLOOKUP($N746,'TABLE CHARGE RATE'!$A$30:$K$106,9,0)),"Check")</f>
        <v/>
      </c>
      <c r="AR746" s="207" t="str">
        <f>IFERROR(IF(ISBLANK($D746),"",VLOOKUP($N746,'TABLE CHARGE RATE'!$A$30:$K$106,10,0)),"Check")</f>
        <v/>
      </c>
      <c r="AS746" s="207" t="str">
        <f>IFERROR(IF(ISBLANK($D746),"",VLOOKUP($N746,'TABLE CHARGE RATE'!$A$30:$K$106,11,0)),"Check")</f>
        <v/>
      </c>
      <c r="AT746" s="207"/>
    </row>
    <row r="747" spans="1:46" x14ac:dyDescent="0.2">
      <c r="A747" s="207" t="str">
        <f t="shared" si="109"/>
        <v/>
      </c>
      <c r="B747" s="208" t="str">
        <f>IF(ISBLANK(D747),"",VLOOKUP(WEEKDAY($C747,1),INDEX!$J$2:$K$8,2,0))</f>
        <v/>
      </c>
      <c r="C747" s="209"/>
      <c r="D747" s="207"/>
      <c r="E747" s="207"/>
      <c r="F747" s="207"/>
      <c r="G747" s="207"/>
      <c r="H747" s="207"/>
      <c r="I747" s="207"/>
      <c r="J747" s="207"/>
      <c r="K747" s="207"/>
      <c r="L747" s="207"/>
      <c r="M747" s="207"/>
      <c r="N747" s="207"/>
      <c r="O747" s="207"/>
      <c r="P747" s="207"/>
      <c r="Q747" s="207"/>
      <c r="R747" s="207"/>
      <c r="S747" s="207"/>
      <c r="T747" s="207"/>
      <c r="U747" s="209"/>
      <c r="V747" s="207"/>
      <c r="W747" s="207"/>
      <c r="X747" s="209"/>
      <c r="Y747" s="209"/>
      <c r="Z747" s="207" t="str">
        <f t="shared" ca="1" si="104"/>
        <v/>
      </c>
      <c r="AA747" s="209" t="str">
        <f t="shared" si="108"/>
        <v/>
      </c>
      <c r="AB747" s="209"/>
      <c r="AC747" s="207" t="str">
        <f t="shared" ca="1" si="105"/>
        <v/>
      </c>
      <c r="AD747" s="207"/>
      <c r="AE747" s="207"/>
      <c r="AF747" s="208" t="str">
        <f>IF(ISBLANK(D747),"",VLOOKUP(F747,'SIZE CALCULATION'!$F:$G,2,0))</f>
        <v/>
      </c>
      <c r="AG747" s="207" t="str">
        <f t="shared" si="103"/>
        <v/>
      </c>
      <c r="AH747" s="207" t="str">
        <f t="shared" si="106"/>
        <v/>
      </c>
      <c r="AI747" s="210" t="str">
        <f>IF(ISBLANK(D747),"",VLOOKUP($A747,INDEX!$D$2:$F$13,3,0))</f>
        <v/>
      </c>
      <c r="AJ747" s="207" t="str">
        <f t="shared" si="107"/>
        <v/>
      </c>
      <c r="AK747" s="207"/>
      <c r="AL747" s="207"/>
      <c r="AM747" s="207" t="str">
        <f>IFERROR(IF(ISBLANK($D747),"",VLOOKUP($N747,'TABLE CHARGE RATE'!$A$30:$K$106,5,0)),"Check")</f>
        <v/>
      </c>
      <c r="AN747" s="207" t="str">
        <f>IFERROR(IF(ISBLANK($D747),"",VLOOKUP($N747,'TABLE CHARGE RATE'!$A$30:$K$106,6,0)),"Check")</f>
        <v/>
      </c>
      <c r="AO747" s="207" t="str">
        <f>IFERROR(IF(ISBLANK($D747),"",VLOOKUP($N747,'TABLE CHARGE RATE'!$A$30:$K$106,7,0)),"Check")</f>
        <v/>
      </c>
      <c r="AP747" s="207" t="str">
        <f>IFERROR(IF(ISBLANK($D747),"",VLOOKUP($N747,'TABLE CHARGE RATE'!$A$30:$K$106,8,0)),"Check")</f>
        <v/>
      </c>
      <c r="AQ747" s="207" t="str">
        <f>IFERROR(IF(ISBLANK($D747),"",VLOOKUP($N747,'TABLE CHARGE RATE'!$A$30:$K$106,9,0)),"Check")</f>
        <v/>
      </c>
      <c r="AR747" s="207" t="str">
        <f>IFERROR(IF(ISBLANK($D747),"",VLOOKUP($N747,'TABLE CHARGE RATE'!$A$30:$K$106,10,0)),"Check")</f>
        <v/>
      </c>
      <c r="AS747" s="207" t="str">
        <f>IFERROR(IF(ISBLANK($D747),"",VLOOKUP($N747,'TABLE CHARGE RATE'!$A$30:$K$106,11,0)),"Check")</f>
        <v/>
      </c>
      <c r="AT747" s="207"/>
    </row>
    <row r="748" spans="1:46" x14ac:dyDescent="0.2">
      <c r="A748" s="207" t="str">
        <f t="shared" si="109"/>
        <v/>
      </c>
      <c r="B748" s="208" t="str">
        <f>IF(ISBLANK(D748),"",VLOOKUP(WEEKDAY($C748,1),INDEX!$J$2:$K$8,2,0))</f>
        <v/>
      </c>
      <c r="C748" s="209"/>
      <c r="D748" s="207"/>
      <c r="E748" s="207"/>
      <c r="F748" s="207"/>
      <c r="G748" s="207"/>
      <c r="H748" s="207"/>
      <c r="I748" s="207"/>
      <c r="J748" s="207"/>
      <c r="K748" s="207"/>
      <c r="L748" s="207"/>
      <c r="M748" s="207"/>
      <c r="N748" s="207"/>
      <c r="O748" s="207"/>
      <c r="P748" s="207"/>
      <c r="Q748" s="207"/>
      <c r="R748" s="207"/>
      <c r="S748" s="207"/>
      <c r="T748" s="207"/>
      <c r="U748" s="209"/>
      <c r="V748" s="207"/>
      <c r="W748" s="207"/>
      <c r="X748" s="209"/>
      <c r="Y748" s="209"/>
      <c r="Z748" s="207" t="str">
        <f t="shared" ca="1" si="104"/>
        <v/>
      </c>
      <c r="AA748" s="209" t="str">
        <f t="shared" si="108"/>
        <v/>
      </c>
      <c r="AB748" s="209"/>
      <c r="AC748" s="207" t="str">
        <f t="shared" ca="1" si="105"/>
        <v/>
      </c>
      <c r="AD748" s="207"/>
      <c r="AE748" s="207"/>
      <c r="AF748" s="208" t="str">
        <f>IF(ISBLANK(D748),"",VLOOKUP(F748,'SIZE CALCULATION'!$F:$G,2,0))</f>
        <v/>
      </c>
      <c r="AG748" s="207" t="str">
        <f t="shared" si="103"/>
        <v/>
      </c>
      <c r="AH748" s="207" t="str">
        <f t="shared" si="106"/>
        <v/>
      </c>
      <c r="AI748" s="210" t="str">
        <f>IF(ISBLANK(D748),"",VLOOKUP($A748,INDEX!$D$2:$F$13,3,0))</f>
        <v/>
      </c>
      <c r="AJ748" s="207" t="str">
        <f t="shared" si="107"/>
        <v/>
      </c>
      <c r="AK748" s="207"/>
      <c r="AL748" s="207"/>
      <c r="AM748" s="207" t="str">
        <f>IFERROR(IF(ISBLANK($D748),"",VLOOKUP($N748,'TABLE CHARGE RATE'!$A$30:$K$106,5,0)),"Check")</f>
        <v/>
      </c>
      <c r="AN748" s="207" t="str">
        <f>IFERROR(IF(ISBLANK($D748),"",VLOOKUP($N748,'TABLE CHARGE RATE'!$A$30:$K$106,6,0)),"Check")</f>
        <v/>
      </c>
      <c r="AO748" s="207" t="str">
        <f>IFERROR(IF(ISBLANK($D748),"",VLOOKUP($N748,'TABLE CHARGE RATE'!$A$30:$K$106,7,0)),"Check")</f>
        <v/>
      </c>
      <c r="AP748" s="207" t="str">
        <f>IFERROR(IF(ISBLANK($D748),"",VLOOKUP($N748,'TABLE CHARGE RATE'!$A$30:$K$106,8,0)),"Check")</f>
        <v/>
      </c>
      <c r="AQ748" s="207" t="str">
        <f>IFERROR(IF(ISBLANK($D748),"",VLOOKUP($N748,'TABLE CHARGE RATE'!$A$30:$K$106,9,0)),"Check")</f>
        <v/>
      </c>
      <c r="AR748" s="207" t="str">
        <f>IFERROR(IF(ISBLANK($D748),"",VLOOKUP($N748,'TABLE CHARGE RATE'!$A$30:$K$106,10,0)),"Check")</f>
        <v/>
      </c>
      <c r="AS748" s="207" t="str">
        <f>IFERROR(IF(ISBLANK($D748),"",VLOOKUP($N748,'TABLE CHARGE RATE'!$A$30:$K$106,11,0)),"Check")</f>
        <v/>
      </c>
      <c r="AT748" s="207"/>
    </row>
    <row r="749" spans="1:46" x14ac:dyDescent="0.2">
      <c r="A749" s="207" t="str">
        <f t="shared" si="109"/>
        <v/>
      </c>
      <c r="B749" s="208" t="str">
        <f>IF(ISBLANK(D749),"",VLOOKUP(WEEKDAY($C749,1),INDEX!$J$2:$K$8,2,0))</f>
        <v/>
      </c>
      <c r="C749" s="209"/>
      <c r="D749" s="207"/>
      <c r="E749" s="207"/>
      <c r="F749" s="207"/>
      <c r="G749" s="207"/>
      <c r="H749" s="207"/>
      <c r="I749" s="207"/>
      <c r="J749" s="207"/>
      <c r="K749" s="207"/>
      <c r="L749" s="207"/>
      <c r="M749" s="207"/>
      <c r="N749" s="207"/>
      <c r="O749" s="207"/>
      <c r="P749" s="207"/>
      <c r="Q749" s="207"/>
      <c r="R749" s="207"/>
      <c r="S749" s="207"/>
      <c r="T749" s="207"/>
      <c r="U749" s="209"/>
      <c r="V749" s="207"/>
      <c r="W749" s="207"/>
      <c r="X749" s="209"/>
      <c r="Y749" s="209"/>
      <c r="Z749" s="207" t="str">
        <f t="shared" ca="1" si="104"/>
        <v/>
      </c>
      <c r="AA749" s="209" t="str">
        <f t="shared" si="108"/>
        <v/>
      </c>
      <c r="AB749" s="209"/>
      <c r="AC749" s="207" t="str">
        <f t="shared" ca="1" si="105"/>
        <v/>
      </c>
      <c r="AD749" s="207"/>
      <c r="AE749" s="207"/>
      <c r="AF749" s="208" t="str">
        <f>IF(ISBLANK(D749),"",VLOOKUP(F749,'SIZE CALCULATION'!$F:$G,2,0))</f>
        <v/>
      </c>
      <c r="AG749" s="207" t="str">
        <f t="shared" si="103"/>
        <v/>
      </c>
      <c r="AH749" s="207" t="str">
        <f t="shared" si="106"/>
        <v/>
      </c>
      <c r="AI749" s="210" t="str">
        <f>IF(ISBLANK(D749),"",VLOOKUP($A749,INDEX!$D$2:$F$13,3,0))</f>
        <v/>
      </c>
      <c r="AJ749" s="207" t="str">
        <f t="shared" si="107"/>
        <v/>
      </c>
      <c r="AK749" s="207"/>
      <c r="AL749" s="207"/>
      <c r="AM749" s="207" t="str">
        <f>IFERROR(IF(ISBLANK($D749),"",VLOOKUP($N749,'TABLE CHARGE RATE'!$A$30:$K$106,5,0)),"Check")</f>
        <v/>
      </c>
      <c r="AN749" s="207" t="str">
        <f>IFERROR(IF(ISBLANK($D749),"",VLOOKUP($N749,'TABLE CHARGE RATE'!$A$30:$K$106,6,0)),"Check")</f>
        <v/>
      </c>
      <c r="AO749" s="207" t="str">
        <f>IFERROR(IF(ISBLANK($D749),"",VLOOKUP($N749,'TABLE CHARGE RATE'!$A$30:$K$106,7,0)),"Check")</f>
        <v/>
      </c>
      <c r="AP749" s="207" t="str">
        <f>IFERROR(IF(ISBLANK($D749),"",VLOOKUP($N749,'TABLE CHARGE RATE'!$A$30:$K$106,8,0)),"Check")</f>
        <v/>
      </c>
      <c r="AQ749" s="207" t="str">
        <f>IFERROR(IF(ISBLANK($D749),"",VLOOKUP($N749,'TABLE CHARGE RATE'!$A$30:$K$106,9,0)),"Check")</f>
        <v/>
      </c>
      <c r="AR749" s="207" t="str">
        <f>IFERROR(IF(ISBLANK($D749),"",VLOOKUP($N749,'TABLE CHARGE RATE'!$A$30:$K$106,10,0)),"Check")</f>
        <v/>
      </c>
      <c r="AS749" s="207" t="str">
        <f>IFERROR(IF(ISBLANK($D749),"",VLOOKUP($N749,'TABLE CHARGE RATE'!$A$30:$K$106,11,0)),"Check")</f>
        <v/>
      </c>
      <c r="AT749" s="207"/>
    </row>
    <row r="750" spans="1:46" x14ac:dyDescent="0.2">
      <c r="A750" s="207" t="str">
        <f t="shared" si="109"/>
        <v/>
      </c>
      <c r="B750" s="208" t="str">
        <f>IF(ISBLANK(D750),"",VLOOKUP(WEEKDAY($C750,1),INDEX!$J$2:$K$8,2,0))</f>
        <v/>
      </c>
      <c r="C750" s="209"/>
      <c r="D750" s="207"/>
      <c r="E750" s="207"/>
      <c r="F750" s="207"/>
      <c r="G750" s="207"/>
      <c r="H750" s="207"/>
      <c r="I750" s="207"/>
      <c r="J750" s="207"/>
      <c r="K750" s="207"/>
      <c r="L750" s="207"/>
      <c r="M750" s="207"/>
      <c r="N750" s="207"/>
      <c r="O750" s="207"/>
      <c r="P750" s="207"/>
      <c r="Q750" s="207"/>
      <c r="R750" s="207"/>
      <c r="S750" s="207"/>
      <c r="T750" s="207"/>
      <c r="U750" s="209"/>
      <c r="V750" s="207"/>
      <c r="W750" s="207"/>
      <c r="X750" s="209"/>
      <c r="Y750" s="209"/>
      <c r="Z750" s="207" t="str">
        <f t="shared" ca="1" si="104"/>
        <v/>
      </c>
      <c r="AA750" s="209" t="str">
        <f t="shared" si="108"/>
        <v/>
      </c>
      <c r="AB750" s="209"/>
      <c r="AC750" s="207" t="str">
        <f t="shared" ca="1" si="105"/>
        <v/>
      </c>
      <c r="AD750" s="207"/>
      <c r="AE750" s="207"/>
      <c r="AF750" s="208" t="str">
        <f>IF(ISBLANK(D750),"",VLOOKUP(F750,'SIZE CALCULATION'!$F:$G,2,0))</f>
        <v/>
      </c>
      <c r="AG750" s="207" t="str">
        <f t="shared" si="103"/>
        <v/>
      </c>
      <c r="AH750" s="207" t="str">
        <f t="shared" si="106"/>
        <v/>
      </c>
      <c r="AI750" s="210" t="str">
        <f>IF(ISBLANK(D750),"",VLOOKUP($A750,INDEX!$D$2:$F$13,3,0))</f>
        <v/>
      </c>
      <c r="AJ750" s="207" t="str">
        <f t="shared" si="107"/>
        <v/>
      </c>
      <c r="AK750" s="207"/>
      <c r="AL750" s="207"/>
      <c r="AM750" s="207" t="str">
        <f>IFERROR(IF(ISBLANK($D750),"",VLOOKUP($N750,'TABLE CHARGE RATE'!$A$30:$K$106,5,0)),"Check")</f>
        <v/>
      </c>
      <c r="AN750" s="207" t="str">
        <f>IFERROR(IF(ISBLANK($D750),"",VLOOKUP($N750,'TABLE CHARGE RATE'!$A$30:$K$106,6,0)),"Check")</f>
        <v/>
      </c>
      <c r="AO750" s="207" t="str">
        <f>IFERROR(IF(ISBLANK($D750),"",VLOOKUP($N750,'TABLE CHARGE RATE'!$A$30:$K$106,7,0)),"Check")</f>
        <v/>
      </c>
      <c r="AP750" s="207" t="str">
        <f>IFERROR(IF(ISBLANK($D750),"",VLOOKUP($N750,'TABLE CHARGE RATE'!$A$30:$K$106,8,0)),"Check")</f>
        <v/>
      </c>
      <c r="AQ750" s="207" t="str">
        <f>IFERROR(IF(ISBLANK($D750),"",VLOOKUP($N750,'TABLE CHARGE RATE'!$A$30:$K$106,9,0)),"Check")</f>
        <v/>
      </c>
      <c r="AR750" s="207" t="str">
        <f>IFERROR(IF(ISBLANK($D750),"",VLOOKUP($N750,'TABLE CHARGE RATE'!$A$30:$K$106,10,0)),"Check")</f>
        <v/>
      </c>
      <c r="AS750" s="207" t="str">
        <f>IFERROR(IF(ISBLANK($D750),"",VLOOKUP($N750,'TABLE CHARGE RATE'!$A$30:$K$106,11,0)),"Check")</f>
        <v/>
      </c>
      <c r="AT750" s="207"/>
    </row>
    <row r="751" spans="1:46" x14ac:dyDescent="0.2">
      <c r="A751" s="207" t="str">
        <f t="shared" si="109"/>
        <v/>
      </c>
      <c r="B751" s="208" t="str">
        <f>IF(ISBLANK(D751),"",VLOOKUP(WEEKDAY($C751,1),INDEX!$J$2:$K$8,2,0))</f>
        <v/>
      </c>
      <c r="C751" s="209"/>
      <c r="D751" s="207"/>
      <c r="E751" s="207"/>
      <c r="F751" s="207"/>
      <c r="G751" s="207"/>
      <c r="H751" s="207"/>
      <c r="I751" s="207"/>
      <c r="J751" s="207"/>
      <c r="K751" s="207"/>
      <c r="L751" s="207"/>
      <c r="M751" s="207"/>
      <c r="N751" s="207"/>
      <c r="O751" s="207"/>
      <c r="P751" s="207"/>
      <c r="Q751" s="207"/>
      <c r="R751" s="207"/>
      <c r="S751" s="207"/>
      <c r="T751" s="207"/>
      <c r="U751" s="209"/>
      <c r="V751" s="207"/>
      <c r="W751" s="207"/>
      <c r="X751" s="209"/>
      <c r="Y751" s="209"/>
      <c r="Z751" s="207" t="str">
        <f t="shared" ca="1" si="104"/>
        <v/>
      </c>
      <c r="AA751" s="209" t="str">
        <f t="shared" si="108"/>
        <v/>
      </c>
      <c r="AB751" s="209"/>
      <c r="AC751" s="207" t="str">
        <f t="shared" ca="1" si="105"/>
        <v/>
      </c>
      <c r="AD751" s="207"/>
      <c r="AE751" s="207"/>
      <c r="AF751" s="208" t="str">
        <f>IF(ISBLANK(D751),"",VLOOKUP(F751,'SIZE CALCULATION'!$F:$G,2,0))</f>
        <v/>
      </c>
      <c r="AG751" s="207" t="str">
        <f t="shared" si="103"/>
        <v/>
      </c>
      <c r="AH751" s="207" t="str">
        <f t="shared" si="106"/>
        <v/>
      </c>
      <c r="AI751" s="210" t="str">
        <f>IF(ISBLANK(D751),"",VLOOKUP($A751,INDEX!$D$2:$F$13,3,0))</f>
        <v/>
      </c>
      <c r="AJ751" s="207" t="str">
        <f t="shared" si="107"/>
        <v/>
      </c>
      <c r="AK751" s="207"/>
      <c r="AL751" s="207"/>
      <c r="AM751" s="207" t="str">
        <f>IFERROR(IF(ISBLANK($D751),"",VLOOKUP($N751,'TABLE CHARGE RATE'!$A$30:$K$106,5,0)),"Check")</f>
        <v/>
      </c>
      <c r="AN751" s="207" t="str">
        <f>IFERROR(IF(ISBLANK($D751),"",VLOOKUP($N751,'TABLE CHARGE RATE'!$A$30:$K$106,6,0)),"Check")</f>
        <v/>
      </c>
      <c r="AO751" s="207" t="str">
        <f>IFERROR(IF(ISBLANK($D751),"",VLOOKUP($N751,'TABLE CHARGE RATE'!$A$30:$K$106,7,0)),"Check")</f>
        <v/>
      </c>
      <c r="AP751" s="207" t="str">
        <f>IFERROR(IF(ISBLANK($D751),"",VLOOKUP($N751,'TABLE CHARGE RATE'!$A$30:$K$106,8,0)),"Check")</f>
        <v/>
      </c>
      <c r="AQ751" s="207" t="str">
        <f>IFERROR(IF(ISBLANK($D751),"",VLOOKUP($N751,'TABLE CHARGE RATE'!$A$30:$K$106,9,0)),"Check")</f>
        <v/>
      </c>
      <c r="AR751" s="207" t="str">
        <f>IFERROR(IF(ISBLANK($D751),"",VLOOKUP($N751,'TABLE CHARGE RATE'!$A$30:$K$106,10,0)),"Check")</f>
        <v/>
      </c>
      <c r="AS751" s="207" t="str">
        <f>IFERROR(IF(ISBLANK($D751),"",VLOOKUP($N751,'TABLE CHARGE RATE'!$A$30:$K$106,11,0)),"Check")</f>
        <v/>
      </c>
      <c r="AT751" s="207"/>
    </row>
    <row r="752" spans="1:46" x14ac:dyDescent="0.2">
      <c r="A752" s="207" t="str">
        <f t="shared" si="109"/>
        <v/>
      </c>
      <c r="B752" s="208" t="str">
        <f>IF(ISBLANK(D752),"",VLOOKUP(WEEKDAY($C752,1),INDEX!$J$2:$K$8,2,0))</f>
        <v/>
      </c>
      <c r="C752" s="209"/>
      <c r="D752" s="207"/>
      <c r="E752" s="207"/>
      <c r="F752" s="207"/>
      <c r="G752" s="207"/>
      <c r="H752" s="207"/>
      <c r="I752" s="207"/>
      <c r="J752" s="207"/>
      <c r="K752" s="207"/>
      <c r="L752" s="207"/>
      <c r="M752" s="207"/>
      <c r="N752" s="207"/>
      <c r="O752" s="207"/>
      <c r="P752" s="207"/>
      <c r="Q752" s="207"/>
      <c r="R752" s="207"/>
      <c r="S752" s="207"/>
      <c r="T752" s="207"/>
      <c r="U752" s="209"/>
      <c r="V752" s="207"/>
      <c r="W752" s="207"/>
      <c r="X752" s="209"/>
      <c r="Y752" s="209"/>
      <c r="Z752" s="207" t="str">
        <f t="shared" ca="1" si="104"/>
        <v/>
      </c>
      <c r="AA752" s="209" t="str">
        <f t="shared" si="108"/>
        <v/>
      </c>
      <c r="AB752" s="209"/>
      <c r="AC752" s="207" t="str">
        <f t="shared" ca="1" si="105"/>
        <v/>
      </c>
      <c r="AD752" s="207"/>
      <c r="AE752" s="207"/>
      <c r="AF752" s="208" t="str">
        <f>IF(ISBLANK(D752),"",VLOOKUP(F752,'SIZE CALCULATION'!$F:$G,2,0))</f>
        <v/>
      </c>
      <c r="AG752" s="207" t="str">
        <f t="shared" si="103"/>
        <v/>
      </c>
      <c r="AH752" s="207" t="str">
        <f t="shared" si="106"/>
        <v/>
      </c>
      <c r="AI752" s="210" t="str">
        <f>IF(ISBLANK(D752),"",VLOOKUP($A752,INDEX!$D$2:$F$13,3,0))</f>
        <v/>
      </c>
      <c r="AJ752" s="207" t="str">
        <f t="shared" si="107"/>
        <v/>
      </c>
      <c r="AK752" s="207"/>
      <c r="AL752" s="207"/>
      <c r="AM752" s="207" t="str">
        <f>IFERROR(IF(ISBLANK($D752),"",VLOOKUP($N752,'TABLE CHARGE RATE'!$A$30:$K$106,5,0)),"Check")</f>
        <v/>
      </c>
      <c r="AN752" s="207" t="str">
        <f>IFERROR(IF(ISBLANK($D752),"",VLOOKUP($N752,'TABLE CHARGE RATE'!$A$30:$K$106,6,0)),"Check")</f>
        <v/>
      </c>
      <c r="AO752" s="207" t="str">
        <f>IFERROR(IF(ISBLANK($D752),"",VLOOKUP($N752,'TABLE CHARGE RATE'!$A$30:$K$106,7,0)),"Check")</f>
        <v/>
      </c>
      <c r="AP752" s="207" t="str">
        <f>IFERROR(IF(ISBLANK($D752),"",VLOOKUP($N752,'TABLE CHARGE RATE'!$A$30:$K$106,8,0)),"Check")</f>
        <v/>
      </c>
      <c r="AQ752" s="207" t="str">
        <f>IFERROR(IF(ISBLANK($D752),"",VLOOKUP($N752,'TABLE CHARGE RATE'!$A$30:$K$106,9,0)),"Check")</f>
        <v/>
      </c>
      <c r="AR752" s="207" t="str">
        <f>IFERROR(IF(ISBLANK($D752),"",VLOOKUP($N752,'TABLE CHARGE RATE'!$A$30:$K$106,10,0)),"Check")</f>
        <v/>
      </c>
      <c r="AS752" s="207" t="str">
        <f>IFERROR(IF(ISBLANK($D752),"",VLOOKUP($N752,'TABLE CHARGE RATE'!$A$30:$K$106,11,0)),"Check")</f>
        <v/>
      </c>
      <c r="AT752" s="207"/>
    </row>
    <row r="753" spans="1:46" x14ac:dyDescent="0.2">
      <c r="A753" s="207" t="str">
        <f t="shared" si="109"/>
        <v/>
      </c>
      <c r="B753" s="208" t="str">
        <f>IF(ISBLANK(D753),"",VLOOKUP(WEEKDAY($C753,1),INDEX!$J$2:$K$8,2,0))</f>
        <v/>
      </c>
      <c r="C753" s="209"/>
      <c r="D753" s="207"/>
      <c r="E753" s="207"/>
      <c r="F753" s="207"/>
      <c r="G753" s="207"/>
      <c r="H753" s="207"/>
      <c r="I753" s="207"/>
      <c r="J753" s="207"/>
      <c r="K753" s="207"/>
      <c r="L753" s="207"/>
      <c r="M753" s="207"/>
      <c r="N753" s="207"/>
      <c r="O753" s="207"/>
      <c r="P753" s="207"/>
      <c r="Q753" s="207"/>
      <c r="R753" s="207"/>
      <c r="S753" s="207"/>
      <c r="T753" s="207"/>
      <c r="U753" s="209"/>
      <c r="V753" s="207"/>
      <c r="W753" s="207"/>
      <c r="X753" s="209"/>
      <c r="Y753" s="209"/>
      <c r="Z753" s="207" t="str">
        <f t="shared" ca="1" si="104"/>
        <v/>
      </c>
      <c r="AA753" s="209" t="str">
        <f t="shared" si="108"/>
        <v/>
      </c>
      <c r="AB753" s="209"/>
      <c r="AC753" s="207" t="str">
        <f t="shared" ca="1" si="105"/>
        <v/>
      </c>
      <c r="AD753" s="207"/>
      <c r="AE753" s="207"/>
      <c r="AF753" s="208" t="str">
        <f>IF(ISBLANK(D753),"",VLOOKUP(F753,'SIZE CALCULATION'!$F:$G,2,0))</f>
        <v/>
      </c>
      <c r="AG753" s="207" t="str">
        <f t="shared" si="103"/>
        <v/>
      </c>
      <c r="AH753" s="207" t="str">
        <f t="shared" si="106"/>
        <v/>
      </c>
      <c r="AI753" s="210" t="str">
        <f>IF(ISBLANK(D753),"",VLOOKUP($A753,INDEX!$D$2:$F$13,3,0))</f>
        <v/>
      </c>
      <c r="AJ753" s="207" t="str">
        <f t="shared" si="107"/>
        <v/>
      </c>
      <c r="AK753" s="207"/>
      <c r="AL753" s="207"/>
      <c r="AM753" s="207" t="str">
        <f>IFERROR(IF(ISBLANK($D753),"",VLOOKUP($N753,'TABLE CHARGE RATE'!$A$30:$K$106,5,0)),"Check")</f>
        <v/>
      </c>
      <c r="AN753" s="207" t="str">
        <f>IFERROR(IF(ISBLANK($D753),"",VLOOKUP($N753,'TABLE CHARGE RATE'!$A$30:$K$106,6,0)),"Check")</f>
        <v/>
      </c>
      <c r="AO753" s="207" t="str">
        <f>IFERROR(IF(ISBLANK($D753),"",VLOOKUP($N753,'TABLE CHARGE RATE'!$A$30:$K$106,7,0)),"Check")</f>
        <v/>
      </c>
      <c r="AP753" s="207" t="str">
        <f>IFERROR(IF(ISBLANK($D753),"",VLOOKUP($N753,'TABLE CHARGE RATE'!$A$30:$K$106,8,0)),"Check")</f>
        <v/>
      </c>
      <c r="AQ753" s="207" t="str">
        <f>IFERROR(IF(ISBLANK($D753),"",VLOOKUP($N753,'TABLE CHARGE RATE'!$A$30:$K$106,9,0)),"Check")</f>
        <v/>
      </c>
      <c r="AR753" s="207" t="str">
        <f>IFERROR(IF(ISBLANK($D753),"",VLOOKUP($N753,'TABLE CHARGE RATE'!$A$30:$K$106,10,0)),"Check")</f>
        <v/>
      </c>
      <c r="AS753" s="207" t="str">
        <f>IFERROR(IF(ISBLANK($D753),"",VLOOKUP($N753,'TABLE CHARGE RATE'!$A$30:$K$106,11,0)),"Check")</f>
        <v/>
      </c>
      <c r="AT753" s="207"/>
    </row>
    <row r="754" spans="1:46" x14ac:dyDescent="0.2">
      <c r="A754" s="207" t="str">
        <f t="shared" si="109"/>
        <v/>
      </c>
      <c r="B754" s="208" t="str">
        <f>IF(ISBLANK(D754),"",VLOOKUP(WEEKDAY($C754,1),INDEX!$J$2:$K$8,2,0))</f>
        <v/>
      </c>
      <c r="C754" s="209"/>
      <c r="D754" s="207"/>
      <c r="E754" s="207"/>
      <c r="F754" s="207"/>
      <c r="G754" s="207"/>
      <c r="H754" s="207"/>
      <c r="I754" s="207"/>
      <c r="J754" s="207"/>
      <c r="K754" s="207"/>
      <c r="L754" s="207"/>
      <c r="M754" s="207"/>
      <c r="N754" s="207"/>
      <c r="O754" s="207"/>
      <c r="P754" s="207"/>
      <c r="Q754" s="207"/>
      <c r="R754" s="207"/>
      <c r="S754" s="207"/>
      <c r="T754" s="207"/>
      <c r="U754" s="209"/>
      <c r="V754" s="207"/>
      <c r="W754" s="207"/>
      <c r="X754" s="209"/>
      <c r="Y754" s="209"/>
      <c r="Z754" s="207" t="str">
        <f t="shared" ca="1" si="104"/>
        <v/>
      </c>
      <c r="AA754" s="209" t="str">
        <f t="shared" si="108"/>
        <v/>
      </c>
      <c r="AB754" s="209"/>
      <c r="AC754" s="207" t="str">
        <f t="shared" ca="1" si="105"/>
        <v/>
      </c>
      <c r="AD754" s="207"/>
      <c r="AE754" s="207"/>
      <c r="AF754" s="208" t="str">
        <f>IF(ISBLANK(D754),"",VLOOKUP(F754,'SIZE CALCULATION'!$F:$G,2,0))</f>
        <v/>
      </c>
      <c r="AG754" s="207" t="str">
        <f t="shared" si="103"/>
        <v/>
      </c>
      <c r="AH754" s="207" t="str">
        <f t="shared" si="106"/>
        <v/>
      </c>
      <c r="AI754" s="210" t="str">
        <f>IF(ISBLANK(D754),"",VLOOKUP($A754,INDEX!$D$2:$F$13,3,0))</f>
        <v/>
      </c>
      <c r="AJ754" s="207" t="str">
        <f t="shared" si="107"/>
        <v/>
      </c>
      <c r="AK754" s="207"/>
      <c r="AL754" s="207"/>
      <c r="AM754" s="207" t="str">
        <f>IFERROR(IF(ISBLANK($D754),"",VLOOKUP($N754,'TABLE CHARGE RATE'!$A$30:$K$106,5,0)),"Check")</f>
        <v/>
      </c>
      <c r="AN754" s="207" t="str">
        <f>IFERROR(IF(ISBLANK($D754),"",VLOOKUP($N754,'TABLE CHARGE RATE'!$A$30:$K$106,6,0)),"Check")</f>
        <v/>
      </c>
      <c r="AO754" s="207" t="str">
        <f>IFERROR(IF(ISBLANK($D754),"",VLOOKUP($N754,'TABLE CHARGE RATE'!$A$30:$K$106,7,0)),"Check")</f>
        <v/>
      </c>
      <c r="AP754" s="207" t="str">
        <f>IFERROR(IF(ISBLANK($D754),"",VLOOKUP($N754,'TABLE CHARGE RATE'!$A$30:$K$106,8,0)),"Check")</f>
        <v/>
      </c>
      <c r="AQ754" s="207" t="str">
        <f>IFERROR(IF(ISBLANK($D754),"",VLOOKUP($N754,'TABLE CHARGE RATE'!$A$30:$K$106,9,0)),"Check")</f>
        <v/>
      </c>
      <c r="AR754" s="207" t="str">
        <f>IFERROR(IF(ISBLANK($D754),"",VLOOKUP($N754,'TABLE CHARGE RATE'!$A$30:$K$106,10,0)),"Check")</f>
        <v/>
      </c>
      <c r="AS754" s="207" t="str">
        <f>IFERROR(IF(ISBLANK($D754),"",VLOOKUP($N754,'TABLE CHARGE RATE'!$A$30:$K$106,11,0)),"Check")</f>
        <v/>
      </c>
      <c r="AT754" s="207"/>
    </row>
    <row r="755" spans="1:46" x14ac:dyDescent="0.2">
      <c r="A755" s="207" t="str">
        <f t="shared" si="109"/>
        <v/>
      </c>
      <c r="B755" s="208" t="str">
        <f>IF(ISBLANK(D755),"",VLOOKUP(WEEKDAY($C755,1),INDEX!$J$2:$K$8,2,0))</f>
        <v/>
      </c>
      <c r="C755" s="209"/>
      <c r="D755" s="207"/>
      <c r="E755" s="207"/>
      <c r="F755" s="207"/>
      <c r="G755" s="207"/>
      <c r="H755" s="207"/>
      <c r="I755" s="207"/>
      <c r="J755" s="207"/>
      <c r="K755" s="207"/>
      <c r="L755" s="207"/>
      <c r="M755" s="207"/>
      <c r="N755" s="207"/>
      <c r="O755" s="207"/>
      <c r="P755" s="207"/>
      <c r="Q755" s="207"/>
      <c r="R755" s="207"/>
      <c r="S755" s="207"/>
      <c r="T755" s="207"/>
      <c r="U755" s="209"/>
      <c r="V755" s="207"/>
      <c r="W755" s="207"/>
      <c r="X755" s="209"/>
      <c r="Y755" s="209"/>
      <c r="Z755" s="207" t="str">
        <f t="shared" ca="1" si="104"/>
        <v/>
      </c>
      <c r="AA755" s="209" t="str">
        <f t="shared" si="108"/>
        <v/>
      </c>
      <c r="AB755" s="209"/>
      <c r="AC755" s="207" t="str">
        <f t="shared" ca="1" si="105"/>
        <v/>
      </c>
      <c r="AD755" s="207"/>
      <c r="AE755" s="207"/>
      <c r="AF755" s="208" t="str">
        <f>IF(ISBLANK(D755),"",VLOOKUP(F755,'SIZE CALCULATION'!$F:$G,2,0))</f>
        <v/>
      </c>
      <c r="AG755" s="207" t="str">
        <f t="shared" ref="AG755:AG818" si="110">IF(ISBLANK(D755),"",HLOOKUP($AF755,$AM$1:$AR$966,$AT755,0))</f>
        <v/>
      </c>
      <c r="AH755" s="207" t="str">
        <f t="shared" si="106"/>
        <v/>
      </c>
      <c r="AI755" s="210" t="str">
        <f>IF(ISBLANK(D755),"",VLOOKUP($A755,INDEX!$D$2:$F$13,3,0))</f>
        <v/>
      </c>
      <c r="AJ755" s="207" t="str">
        <f t="shared" si="107"/>
        <v/>
      </c>
      <c r="AK755" s="207"/>
      <c r="AL755" s="207"/>
      <c r="AM755" s="207" t="str">
        <f>IFERROR(IF(ISBLANK($D755),"",VLOOKUP($N755,'TABLE CHARGE RATE'!$A$30:$K$106,5,0)),"Check")</f>
        <v/>
      </c>
      <c r="AN755" s="207" t="str">
        <f>IFERROR(IF(ISBLANK($D755),"",VLOOKUP($N755,'TABLE CHARGE RATE'!$A$30:$K$106,6,0)),"Check")</f>
        <v/>
      </c>
      <c r="AO755" s="207" t="str">
        <f>IFERROR(IF(ISBLANK($D755),"",VLOOKUP($N755,'TABLE CHARGE RATE'!$A$30:$K$106,7,0)),"Check")</f>
        <v/>
      </c>
      <c r="AP755" s="207" t="str">
        <f>IFERROR(IF(ISBLANK($D755),"",VLOOKUP($N755,'TABLE CHARGE RATE'!$A$30:$K$106,8,0)),"Check")</f>
        <v/>
      </c>
      <c r="AQ755" s="207" t="str">
        <f>IFERROR(IF(ISBLANK($D755),"",VLOOKUP($N755,'TABLE CHARGE RATE'!$A$30:$K$106,9,0)),"Check")</f>
        <v/>
      </c>
      <c r="AR755" s="207" t="str">
        <f>IFERROR(IF(ISBLANK($D755),"",VLOOKUP($N755,'TABLE CHARGE RATE'!$A$30:$K$106,10,0)),"Check")</f>
        <v/>
      </c>
      <c r="AS755" s="207" t="str">
        <f>IFERROR(IF(ISBLANK($D755),"",VLOOKUP($N755,'TABLE CHARGE RATE'!$A$30:$K$106,11,0)),"Check")</f>
        <v/>
      </c>
      <c r="AT755" s="207"/>
    </row>
    <row r="756" spans="1:46" x14ac:dyDescent="0.2">
      <c r="A756" s="207" t="str">
        <f t="shared" si="109"/>
        <v/>
      </c>
      <c r="B756" s="208" t="str">
        <f>IF(ISBLANK(D756),"",VLOOKUP(WEEKDAY($C756,1),INDEX!$J$2:$K$8,2,0))</f>
        <v/>
      </c>
      <c r="C756" s="209"/>
      <c r="D756" s="207"/>
      <c r="E756" s="207"/>
      <c r="F756" s="207"/>
      <c r="G756" s="207"/>
      <c r="H756" s="207"/>
      <c r="I756" s="207"/>
      <c r="J756" s="207"/>
      <c r="K756" s="207"/>
      <c r="L756" s="207"/>
      <c r="M756" s="207"/>
      <c r="N756" s="207"/>
      <c r="O756" s="207"/>
      <c r="P756" s="207"/>
      <c r="Q756" s="207"/>
      <c r="R756" s="207"/>
      <c r="S756" s="207"/>
      <c r="T756" s="207"/>
      <c r="U756" s="209"/>
      <c r="V756" s="207"/>
      <c r="W756" s="207"/>
      <c r="X756" s="209"/>
      <c r="Y756" s="209"/>
      <c r="Z756" s="207" t="str">
        <f t="shared" ca="1" si="104"/>
        <v/>
      </c>
      <c r="AA756" s="209" t="str">
        <f t="shared" si="108"/>
        <v/>
      </c>
      <c r="AB756" s="209"/>
      <c r="AC756" s="207" t="str">
        <f t="shared" ca="1" si="105"/>
        <v/>
      </c>
      <c r="AD756" s="207"/>
      <c r="AE756" s="207"/>
      <c r="AF756" s="208" t="str">
        <f>IF(ISBLANK(D756),"",VLOOKUP(F756,'SIZE CALCULATION'!$F:$G,2,0))</f>
        <v/>
      </c>
      <c r="AG756" s="207" t="str">
        <f t="shared" si="110"/>
        <v/>
      </c>
      <c r="AH756" s="207" t="str">
        <f t="shared" si="106"/>
        <v/>
      </c>
      <c r="AI756" s="210" t="str">
        <f>IF(ISBLANK(D756),"",VLOOKUP($A756,INDEX!$D$2:$F$13,3,0))</f>
        <v/>
      </c>
      <c r="AJ756" s="207" t="str">
        <f t="shared" si="107"/>
        <v/>
      </c>
      <c r="AK756" s="207"/>
      <c r="AL756" s="207"/>
      <c r="AM756" s="207" t="str">
        <f>IFERROR(IF(ISBLANK($D756),"",VLOOKUP($N756,'TABLE CHARGE RATE'!$A$30:$K$106,5,0)),"Check")</f>
        <v/>
      </c>
      <c r="AN756" s="207" t="str">
        <f>IFERROR(IF(ISBLANK($D756),"",VLOOKUP($N756,'TABLE CHARGE RATE'!$A$30:$K$106,6,0)),"Check")</f>
        <v/>
      </c>
      <c r="AO756" s="207" t="str">
        <f>IFERROR(IF(ISBLANK($D756),"",VLOOKUP($N756,'TABLE CHARGE RATE'!$A$30:$K$106,7,0)),"Check")</f>
        <v/>
      </c>
      <c r="AP756" s="207" t="str">
        <f>IFERROR(IF(ISBLANK($D756),"",VLOOKUP($N756,'TABLE CHARGE RATE'!$A$30:$K$106,8,0)),"Check")</f>
        <v/>
      </c>
      <c r="AQ756" s="207" t="str">
        <f>IFERROR(IF(ISBLANK($D756),"",VLOOKUP($N756,'TABLE CHARGE RATE'!$A$30:$K$106,9,0)),"Check")</f>
        <v/>
      </c>
      <c r="AR756" s="207" t="str">
        <f>IFERROR(IF(ISBLANK($D756),"",VLOOKUP($N756,'TABLE CHARGE RATE'!$A$30:$K$106,10,0)),"Check")</f>
        <v/>
      </c>
      <c r="AS756" s="207" t="str">
        <f>IFERROR(IF(ISBLANK($D756),"",VLOOKUP($N756,'TABLE CHARGE RATE'!$A$30:$K$106,11,0)),"Check")</f>
        <v/>
      </c>
      <c r="AT756" s="207"/>
    </row>
    <row r="757" spans="1:46" x14ac:dyDescent="0.2">
      <c r="A757" s="207" t="str">
        <f t="shared" si="109"/>
        <v/>
      </c>
      <c r="B757" s="208" t="str">
        <f>IF(ISBLANK(D757),"",VLOOKUP(WEEKDAY($C757,1),INDEX!$J$2:$K$8,2,0))</f>
        <v/>
      </c>
      <c r="C757" s="209"/>
      <c r="D757" s="207"/>
      <c r="E757" s="207"/>
      <c r="F757" s="207"/>
      <c r="G757" s="207"/>
      <c r="H757" s="207"/>
      <c r="I757" s="207"/>
      <c r="J757" s="207"/>
      <c r="K757" s="207"/>
      <c r="L757" s="207"/>
      <c r="M757" s="207"/>
      <c r="N757" s="207"/>
      <c r="O757" s="207"/>
      <c r="P757" s="207"/>
      <c r="Q757" s="207"/>
      <c r="R757" s="207"/>
      <c r="S757" s="207"/>
      <c r="T757" s="207"/>
      <c r="U757" s="209"/>
      <c r="V757" s="207"/>
      <c r="W757" s="207"/>
      <c r="X757" s="209"/>
      <c r="Y757" s="209"/>
      <c r="Z757" s="207" t="str">
        <f t="shared" ca="1" si="104"/>
        <v/>
      </c>
      <c r="AA757" s="209" t="str">
        <f t="shared" si="108"/>
        <v/>
      </c>
      <c r="AB757" s="209"/>
      <c r="AC757" s="207" t="str">
        <f t="shared" ca="1" si="105"/>
        <v/>
      </c>
      <c r="AD757" s="207"/>
      <c r="AE757" s="207"/>
      <c r="AF757" s="208" t="str">
        <f>IF(ISBLANK(D757),"",VLOOKUP(F757,'SIZE CALCULATION'!$F:$G,2,0))</f>
        <v/>
      </c>
      <c r="AG757" s="207" t="str">
        <f t="shared" si="110"/>
        <v/>
      </c>
      <c r="AH757" s="207" t="str">
        <f t="shared" si="106"/>
        <v/>
      </c>
      <c r="AI757" s="210" t="str">
        <f>IF(ISBLANK(D757),"",VLOOKUP($A757,INDEX!$D$2:$F$13,3,0))</f>
        <v/>
      </c>
      <c r="AJ757" s="207" t="str">
        <f t="shared" si="107"/>
        <v/>
      </c>
      <c r="AK757" s="207"/>
      <c r="AL757" s="207"/>
      <c r="AM757" s="207" t="str">
        <f>IFERROR(IF(ISBLANK($D757),"",VLOOKUP($N757,'TABLE CHARGE RATE'!$A$30:$K$106,5,0)),"Check")</f>
        <v/>
      </c>
      <c r="AN757" s="207" t="str">
        <f>IFERROR(IF(ISBLANK($D757),"",VLOOKUP($N757,'TABLE CHARGE RATE'!$A$30:$K$106,6,0)),"Check")</f>
        <v/>
      </c>
      <c r="AO757" s="207" t="str">
        <f>IFERROR(IF(ISBLANK($D757),"",VLOOKUP($N757,'TABLE CHARGE RATE'!$A$30:$K$106,7,0)),"Check")</f>
        <v/>
      </c>
      <c r="AP757" s="207" t="str">
        <f>IFERROR(IF(ISBLANK($D757),"",VLOOKUP($N757,'TABLE CHARGE RATE'!$A$30:$K$106,8,0)),"Check")</f>
        <v/>
      </c>
      <c r="AQ757" s="207" t="str">
        <f>IFERROR(IF(ISBLANK($D757),"",VLOOKUP($N757,'TABLE CHARGE RATE'!$A$30:$K$106,9,0)),"Check")</f>
        <v/>
      </c>
      <c r="AR757" s="207" t="str">
        <f>IFERROR(IF(ISBLANK($D757),"",VLOOKUP($N757,'TABLE CHARGE RATE'!$A$30:$K$106,10,0)),"Check")</f>
        <v/>
      </c>
      <c r="AS757" s="207" t="str">
        <f>IFERROR(IF(ISBLANK($D757),"",VLOOKUP($N757,'TABLE CHARGE RATE'!$A$30:$K$106,11,0)),"Check")</f>
        <v/>
      </c>
      <c r="AT757" s="207"/>
    </row>
    <row r="758" spans="1:46" x14ac:dyDescent="0.2">
      <c r="A758" s="207" t="str">
        <f t="shared" si="109"/>
        <v/>
      </c>
      <c r="B758" s="208" t="str">
        <f>IF(ISBLANK(D758),"",VLOOKUP(WEEKDAY($C758,1),INDEX!$J$2:$K$8,2,0))</f>
        <v/>
      </c>
      <c r="C758" s="209"/>
      <c r="D758" s="207"/>
      <c r="E758" s="207"/>
      <c r="F758" s="207"/>
      <c r="G758" s="207"/>
      <c r="H758" s="207"/>
      <c r="I758" s="207"/>
      <c r="J758" s="207"/>
      <c r="K758" s="207"/>
      <c r="L758" s="207"/>
      <c r="M758" s="207"/>
      <c r="N758" s="207"/>
      <c r="O758" s="207"/>
      <c r="P758" s="207"/>
      <c r="Q758" s="207"/>
      <c r="R758" s="207"/>
      <c r="S758" s="207"/>
      <c r="T758" s="207"/>
      <c r="U758" s="209"/>
      <c r="V758" s="207"/>
      <c r="W758" s="207"/>
      <c r="X758" s="209"/>
      <c r="Y758" s="209"/>
      <c r="Z758" s="207" t="str">
        <f t="shared" ca="1" si="104"/>
        <v/>
      </c>
      <c r="AA758" s="209" t="str">
        <f t="shared" si="108"/>
        <v/>
      </c>
      <c r="AB758" s="209"/>
      <c r="AC758" s="207" t="str">
        <f t="shared" ca="1" si="105"/>
        <v/>
      </c>
      <c r="AD758" s="207"/>
      <c r="AE758" s="207"/>
      <c r="AF758" s="208" t="str">
        <f>IF(ISBLANK(D758),"",VLOOKUP(F758,'SIZE CALCULATION'!$F:$G,2,0))</f>
        <v/>
      </c>
      <c r="AG758" s="207" t="str">
        <f t="shared" si="110"/>
        <v/>
      </c>
      <c r="AH758" s="207" t="str">
        <f t="shared" si="106"/>
        <v/>
      </c>
      <c r="AI758" s="210" t="str">
        <f>IF(ISBLANK(D758),"",VLOOKUP($A758,INDEX!$D$2:$F$13,3,0))</f>
        <v/>
      </c>
      <c r="AJ758" s="207" t="str">
        <f t="shared" si="107"/>
        <v/>
      </c>
      <c r="AK758" s="207"/>
      <c r="AL758" s="207"/>
      <c r="AM758" s="207" t="str">
        <f>IFERROR(IF(ISBLANK($D758),"",VLOOKUP($N758,'TABLE CHARGE RATE'!$A$30:$K$106,5,0)),"Check")</f>
        <v/>
      </c>
      <c r="AN758" s="207" t="str">
        <f>IFERROR(IF(ISBLANK($D758),"",VLOOKUP($N758,'TABLE CHARGE RATE'!$A$30:$K$106,6,0)),"Check")</f>
        <v/>
      </c>
      <c r="AO758" s="207" t="str">
        <f>IFERROR(IF(ISBLANK($D758),"",VLOOKUP($N758,'TABLE CHARGE RATE'!$A$30:$K$106,7,0)),"Check")</f>
        <v/>
      </c>
      <c r="AP758" s="207" t="str">
        <f>IFERROR(IF(ISBLANK($D758),"",VLOOKUP($N758,'TABLE CHARGE RATE'!$A$30:$K$106,8,0)),"Check")</f>
        <v/>
      </c>
      <c r="AQ758" s="207" t="str">
        <f>IFERROR(IF(ISBLANK($D758),"",VLOOKUP($N758,'TABLE CHARGE RATE'!$A$30:$K$106,9,0)),"Check")</f>
        <v/>
      </c>
      <c r="AR758" s="207" t="str">
        <f>IFERROR(IF(ISBLANK($D758),"",VLOOKUP($N758,'TABLE CHARGE RATE'!$A$30:$K$106,10,0)),"Check")</f>
        <v/>
      </c>
      <c r="AS758" s="207" t="str">
        <f>IFERROR(IF(ISBLANK($D758),"",VLOOKUP($N758,'TABLE CHARGE RATE'!$A$30:$K$106,11,0)),"Check")</f>
        <v/>
      </c>
      <c r="AT758" s="207"/>
    </row>
    <row r="759" spans="1:46" x14ac:dyDescent="0.2">
      <c r="A759" s="207" t="str">
        <f t="shared" si="109"/>
        <v/>
      </c>
      <c r="B759" s="208" t="str">
        <f>IF(ISBLANK(D759),"",VLOOKUP(WEEKDAY($C759,1),INDEX!$J$2:$K$8,2,0))</f>
        <v/>
      </c>
      <c r="C759" s="209"/>
      <c r="D759" s="207"/>
      <c r="E759" s="207"/>
      <c r="F759" s="207"/>
      <c r="G759" s="207"/>
      <c r="H759" s="207"/>
      <c r="I759" s="207"/>
      <c r="J759" s="207"/>
      <c r="K759" s="207"/>
      <c r="L759" s="207"/>
      <c r="M759" s="207"/>
      <c r="N759" s="207"/>
      <c r="O759" s="207"/>
      <c r="P759" s="207"/>
      <c r="Q759" s="207"/>
      <c r="R759" s="207"/>
      <c r="S759" s="207"/>
      <c r="T759" s="207"/>
      <c r="U759" s="209"/>
      <c r="V759" s="207"/>
      <c r="W759" s="207"/>
      <c r="X759" s="209"/>
      <c r="Y759" s="209"/>
      <c r="Z759" s="207" t="str">
        <f t="shared" ca="1" si="104"/>
        <v/>
      </c>
      <c r="AA759" s="209" t="str">
        <f t="shared" si="108"/>
        <v/>
      </c>
      <c r="AB759" s="209"/>
      <c r="AC759" s="207" t="str">
        <f t="shared" ca="1" si="105"/>
        <v/>
      </c>
      <c r="AD759" s="207"/>
      <c r="AE759" s="207"/>
      <c r="AF759" s="208" t="str">
        <f>IF(ISBLANK(D759),"",VLOOKUP(F759,'SIZE CALCULATION'!$F:$G,2,0))</f>
        <v/>
      </c>
      <c r="AG759" s="207" t="str">
        <f t="shared" si="110"/>
        <v/>
      </c>
      <c r="AH759" s="207" t="str">
        <f t="shared" si="106"/>
        <v/>
      </c>
      <c r="AI759" s="210" t="str">
        <f>IF(ISBLANK(D759),"",VLOOKUP($A759,INDEX!$D$2:$F$13,3,0))</f>
        <v/>
      </c>
      <c r="AJ759" s="207" t="str">
        <f t="shared" si="107"/>
        <v/>
      </c>
      <c r="AK759" s="207"/>
      <c r="AL759" s="207"/>
      <c r="AM759" s="207" t="str">
        <f>IFERROR(IF(ISBLANK($D759),"",VLOOKUP($N759,'TABLE CHARGE RATE'!$A$30:$K$106,5,0)),"Check")</f>
        <v/>
      </c>
      <c r="AN759" s="207" t="str">
        <f>IFERROR(IF(ISBLANK($D759),"",VLOOKUP($N759,'TABLE CHARGE RATE'!$A$30:$K$106,6,0)),"Check")</f>
        <v/>
      </c>
      <c r="AO759" s="207" t="str">
        <f>IFERROR(IF(ISBLANK($D759),"",VLOOKUP($N759,'TABLE CHARGE RATE'!$A$30:$K$106,7,0)),"Check")</f>
        <v/>
      </c>
      <c r="AP759" s="207" t="str">
        <f>IFERROR(IF(ISBLANK($D759),"",VLOOKUP($N759,'TABLE CHARGE RATE'!$A$30:$K$106,8,0)),"Check")</f>
        <v/>
      </c>
      <c r="AQ759" s="207" t="str">
        <f>IFERROR(IF(ISBLANK($D759),"",VLOOKUP($N759,'TABLE CHARGE RATE'!$A$30:$K$106,9,0)),"Check")</f>
        <v/>
      </c>
      <c r="AR759" s="207" t="str">
        <f>IFERROR(IF(ISBLANK($D759),"",VLOOKUP($N759,'TABLE CHARGE RATE'!$A$30:$K$106,10,0)),"Check")</f>
        <v/>
      </c>
      <c r="AS759" s="207" t="str">
        <f>IFERROR(IF(ISBLANK($D759),"",VLOOKUP($N759,'TABLE CHARGE RATE'!$A$30:$K$106,11,0)),"Check")</f>
        <v/>
      </c>
      <c r="AT759" s="207"/>
    </row>
    <row r="760" spans="1:46" x14ac:dyDescent="0.2">
      <c r="A760" s="207" t="str">
        <f t="shared" si="109"/>
        <v/>
      </c>
      <c r="B760" s="208" t="str">
        <f>IF(ISBLANK(D760),"",VLOOKUP(WEEKDAY($C760,1),INDEX!$J$2:$K$8,2,0))</f>
        <v/>
      </c>
      <c r="C760" s="209"/>
      <c r="D760" s="207"/>
      <c r="E760" s="207"/>
      <c r="F760" s="207"/>
      <c r="G760" s="207"/>
      <c r="H760" s="207"/>
      <c r="I760" s="207"/>
      <c r="J760" s="207"/>
      <c r="K760" s="207"/>
      <c r="L760" s="207"/>
      <c r="M760" s="207"/>
      <c r="N760" s="207"/>
      <c r="O760" s="207"/>
      <c r="P760" s="207"/>
      <c r="Q760" s="207"/>
      <c r="R760" s="207"/>
      <c r="S760" s="207"/>
      <c r="T760" s="207"/>
      <c r="U760" s="209"/>
      <c r="V760" s="207"/>
      <c r="W760" s="207"/>
      <c r="X760" s="209"/>
      <c r="Y760" s="209"/>
      <c r="Z760" s="207" t="str">
        <f t="shared" ca="1" si="104"/>
        <v/>
      </c>
      <c r="AA760" s="209" t="str">
        <f t="shared" si="108"/>
        <v/>
      </c>
      <c r="AB760" s="209"/>
      <c r="AC760" s="207" t="str">
        <f t="shared" ca="1" si="105"/>
        <v/>
      </c>
      <c r="AD760" s="207"/>
      <c r="AE760" s="207"/>
      <c r="AF760" s="208" t="str">
        <f>IF(ISBLANK(D760),"",VLOOKUP(F760,'SIZE CALCULATION'!$F:$G,2,0))</f>
        <v/>
      </c>
      <c r="AG760" s="207" t="str">
        <f t="shared" si="110"/>
        <v/>
      </c>
      <c r="AH760" s="207" t="str">
        <f t="shared" si="106"/>
        <v/>
      </c>
      <c r="AI760" s="210" t="str">
        <f>IF(ISBLANK(D760),"",VLOOKUP($A760,INDEX!$D$2:$F$13,3,0))</f>
        <v/>
      </c>
      <c r="AJ760" s="207" t="str">
        <f t="shared" si="107"/>
        <v/>
      </c>
      <c r="AK760" s="207"/>
      <c r="AL760" s="207"/>
      <c r="AM760" s="207" t="str">
        <f>IFERROR(IF(ISBLANK($D760),"",VLOOKUP($N760,'TABLE CHARGE RATE'!$A$30:$K$106,5,0)),"Check")</f>
        <v/>
      </c>
      <c r="AN760" s="207" t="str">
        <f>IFERROR(IF(ISBLANK($D760),"",VLOOKUP($N760,'TABLE CHARGE RATE'!$A$30:$K$106,6,0)),"Check")</f>
        <v/>
      </c>
      <c r="AO760" s="207" t="str">
        <f>IFERROR(IF(ISBLANK($D760),"",VLOOKUP($N760,'TABLE CHARGE RATE'!$A$30:$K$106,7,0)),"Check")</f>
        <v/>
      </c>
      <c r="AP760" s="207" t="str">
        <f>IFERROR(IF(ISBLANK($D760),"",VLOOKUP($N760,'TABLE CHARGE RATE'!$A$30:$K$106,8,0)),"Check")</f>
        <v/>
      </c>
      <c r="AQ760" s="207" t="str">
        <f>IFERROR(IF(ISBLANK($D760),"",VLOOKUP($N760,'TABLE CHARGE RATE'!$A$30:$K$106,9,0)),"Check")</f>
        <v/>
      </c>
      <c r="AR760" s="207" t="str">
        <f>IFERROR(IF(ISBLANK($D760),"",VLOOKUP($N760,'TABLE CHARGE RATE'!$A$30:$K$106,10,0)),"Check")</f>
        <v/>
      </c>
      <c r="AS760" s="207" t="str">
        <f>IFERROR(IF(ISBLANK($D760),"",VLOOKUP($N760,'TABLE CHARGE RATE'!$A$30:$K$106,11,0)),"Check")</f>
        <v/>
      </c>
      <c r="AT760" s="207"/>
    </row>
    <row r="761" spans="1:46" x14ac:dyDescent="0.2">
      <c r="A761" s="207" t="str">
        <f t="shared" si="109"/>
        <v/>
      </c>
      <c r="B761" s="208" t="str">
        <f>IF(ISBLANK(D761),"",VLOOKUP(WEEKDAY($C761,1),INDEX!$J$2:$K$8,2,0))</f>
        <v/>
      </c>
      <c r="C761" s="209"/>
      <c r="D761" s="207"/>
      <c r="E761" s="207"/>
      <c r="F761" s="207"/>
      <c r="G761" s="207"/>
      <c r="H761" s="207"/>
      <c r="I761" s="207"/>
      <c r="J761" s="207"/>
      <c r="K761" s="207"/>
      <c r="L761" s="207"/>
      <c r="M761" s="207"/>
      <c r="N761" s="207"/>
      <c r="O761" s="207"/>
      <c r="P761" s="207"/>
      <c r="Q761" s="207"/>
      <c r="R761" s="207"/>
      <c r="S761" s="207"/>
      <c r="T761" s="207"/>
      <c r="U761" s="209"/>
      <c r="V761" s="207"/>
      <c r="W761" s="207"/>
      <c r="X761" s="209"/>
      <c r="Y761" s="209"/>
      <c r="Z761" s="207" t="str">
        <f t="shared" ca="1" si="104"/>
        <v/>
      </c>
      <c r="AA761" s="209" t="str">
        <f t="shared" si="108"/>
        <v/>
      </c>
      <c r="AB761" s="209"/>
      <c r="AC761" s="207" t="str">
        <f t="shared" ca="1" si="105"/>
        <v/>
      </c>
      <c r="AD761" s="207"/>
      <c r="AE761" s="207"/>
      <c r="AF761" s="208" t="str">
        <f>IF(ISBLANK(D761),"",VLOOKUP(F761,'SIZE CALCULATION'!$F:$G,2,0))</f>
        <v/>
      </c>
      <c r="AG761" s="207" t="str">
        <f t="shared" si="110"/>
        <v/>
      </c>
      <c r="AH761" s="207" t="str">
        <f t="shared" si="106"/>
        <v/>
      </c>
      <c r="AI761" s="210" t="str">
        <f>IF(ISBLANK(D761),"",VLOOKUP($A761,INDEX!$D$2:$F$13,3,0))</f>
        <v/>
      </c>
      <c r="AJ761" s="207" t="str">
        <f t="shared" si="107"/>
        <v/>
      </c>
      <c r="AK761" s="207"/>
      <c r="AL761" s="207"/>
      <c r="AM761" s="207" t="str">
        <f>IFERROR(IF(ISBLANK($D761),"",VLOOKUP($N761,'TABLE CHARGE RATE'!$A$30:$K$106,5,0)),"Check")</f>
        <v/>
      </c>
      <c r="AN761" s="207" t="str">
        <f>IFERROR(IF(ISBLANK($D761),"",VLOOKUP($N761,'TABLE CHARGE RATE'!$A$30:$K$106,6,0)),"Check")</f>
        <v/>
      </c>
      <c r="AO761" s="207" t="str">
        <f>IFERROR(IF(ISBLANK($D761),"",VLOOKUP($N761,'TABLE CHARGE RATE'!$A$30:$K$106,7,0)),"Check")</f>
        <v/>
      </c>
      <c r="AP761" s="207" t="str">
        <f>IFERROR(IF(ISBLANK($D761),"",VLOOKUP($N761,'TABLE CHARGE RATE'!$A$30:$K$106,8,0)),"Check")</f>
        <v/>
      </c>
      <c r="AQ761" s="207" t="str">
        <f>IFERROR(IF(ISBLANK($D761),"",VLOOKUP($N761,'TABLE CHARGE RATE'!$A$30:$K$106,9,0)),"Check")</f>
        <v/>
      </c>
      <c r="AR761" s="207" t="str">
        <f>IFERROR(IF(ISBLANK($D761),"",VLOOKUP($N761,'TABLE CHARGE RATE'!$A$30:$K$106,10,0)),"Check")</f>
        <v/>
      </c>
      <c r="AS761" s="207" t="str">
        <f>IFERROR(IF(ISBLANK($D761),"",VLOOKUP($N761,'TABLE CHARGE RATE'!$A$30:$K$106,11,0)),"Check")</f>
        <v/>
      </c>
      <c r="AT761" s="207"/>
    </row>
    <row r="762" spans="1:46" x14ac:dyDescent="0.2">
      <c r="A762" s="207" t="str">
        <f t="shared" si="109"/>
        <v/>
      </c>
      <c r="B762" s="208" t="str">
        <f>IF(ISBLANK(D762),"",VLOOKUP(WEEKDAY($C762,1),INDEX!$J$2:$K$8,2,0))</f>
        <v/>
      </c>
      <c r="C762" s="209"/>
      <c r="D762" s="207"/>
      <c r="E762" s="207"/>
      <c r="F762" s="207"/>
      <c r="G762" s="207"/>
      <c r="H762" s="207"/>
      <c r="I762" s="207"/>
      <c r="J762" s="207"/>
      <c r="K762" s="207"/>
      <c r="L762" s="207"/>
      <c r="M762" s="207"/>
      <c r="N762" s="207"/>
      <c r="O762" s="207"/>
      <c r="P762" s="207"/>
      <c r="Q762" s="207"/>
      <c r="R762" s="207"/>
      <c r="S762" s="207"/>
      <c r="T762" s="207"/>
      <c r="U762" s="209"/>
      <c r="V762" s="207"/>
      <c r="W762" s="207"/>
      <c r="X762" s="209"/>
      <c r="Y762" s="209"/>
      <c r="Z762" s="207" t="str">
        <f t="shared" ca="1" si="104"/>
        <v/>
      </c>
      <c r="AA762" s="209" t="str">
        <f t="shared" si="108"/>
        <v/>
      </c>
      <c r="AB762" s="209"/>
      <c r="AC762" s="207" t="str">
        <f t="shared" ca="1" si="105"/>
        <v/>
      </c>
      <c r="AD762" s="207"/>
      <c r="AE762" s="207"/>
      <c r="AF762" s="208" t="str">
        <f>IF(ISBLANK(D762),"",VLOOKUP(F762,'SIZE CALCULATION'!$F:$G,2,0))</f>
        <v/>
      </c>
      <c r="AG762" s="207" t="str">
        <f t="shared" si="110"/>
        <v/>
      </c>
      <c r="AH762" s="207" t="str">
        <f t="shared" si="106"/>
        <v/>
      </c>
      <c r="AI762" s="210" t="str">
        <f>IF(ISBLANK(D762),"",VLOOKUP($A762,INDEX!$D$2:$F$13,3,0))</f>
        <v/>
      </c>
      <c r="AJ762" s="207" t="str">
        <f t="shared" si="107"/>
        <v/>
      </c>
      <c r="AK762" s="207"/>
      <c r="AL762" s="207"/>
      <c r="AM762" s="207" t="str">
        <f>IFERROR(IF(ISBLANK($D762),"",VLOOKUP($N762,'TABLE CHARGE RATE'!$A$30:$K$106,5,0)),"Check")</f>
        <v/>
      </c>
      <c r="AN762" s="207" t="str">
        <f>IFERROR(IF(ISBLANK($D762),"",VLOOKUP($N762,'TABLE CHARGE RATE'!$A$30:$K$106,6,0)),"Check")</f>
        <v/>
      </c>
      <c r="AO762" s="207" t="str">
        <f>IFERROR(IF(ISBLANK($D762),"",VLOOKUP($N762,'TABLE CHARGE RATE'!$A$30:$K$106,7,0)),"Check")</f>
        <v/>
      </c>
      <c r="AP762" s="207" t="str">
        <f>IFERROR(IF(ISBLANK($D762),"",VLOOKUP($N762,'TABLE CHARGE RATE'!$A$30:$K$106,8,0)),"Check")</f>
        <v/>
      </c>
      <c r="AQ762" s="207" t="str">
        <f>IFERROR(IF(ISBLANK($D762),"",VLOOKUP($N762,'TABLE CHARGE RATE'!$A$30:$K$106,9,0)),"Check")</f>
        <v/>
      </c>
      <c r="AR762" s="207" t="str">
        <f>IFERROR(IF(ISBLANK($D762),"",VLOOKUP($N762,'TABLE CHARGE RATE'!$A$30:$K$106,10,0)),"Check")</f>
        <v/>
      </c>
      <c r="AS762" s="207" t="str">
        <f>IFERROR(IF(ISBLANK($D762),"",VLOOKUP($N762,'TABLE CHARGE RATE'!$A$30:$K$106,11,0)),"Check")</f>
        <v/>
      </c>
      <c r="AT762" s="207"/>
    </row>
    <row r="763" spans="1:46" x14ac:dyDescent="0.2">
      <c r="A763" s="207" t="str">
        <f t="shared" si="109"/>
        <v/>
      </c>
      <c r="B763" s="208" t="str">
        <f>IF(ISBLANK(D763),"",VLOOKUP(WEEKDAY($C763,1),INDEX!$J$2:$K$8,2,0))</f>
        <v/>
      </c>
      <c r="C763" s="209"/>
      <c r="D763" s="207"/>
      <c r="E763" s="207"/>
      <c r="F763" s="207"/>
      <c r="G763" s="207"/>
      <c r="H763" s="207"/>
      <c r="I763" s="207"/>
      <c r="J763" s="207"/>
      <c r="K763" s="207"/>
      <c r="L763" s="207"/>
      <c r="M763" s="207"/>
      <c r="N763" s="207"/>
      <c r="O763" s="207"/>
      <c r="P763" s="207"/>
      <c r="Q763" s="207"/>
      <c r="R763" s="207"/>
      <c r="S763" s="207"/>
      <c r="T763" s="207"/>
      <c r="U763" s="209"/>
      <c r="V763" s="207"/>
      <c r="W763" s="207"/>
      <c r="X763" s="209"/>
      <c r="Y763" s="209"/>
      <c r="Z763" s="207" t="str">
        <f t="shared" ca="1" si="104"/>
        <v/>
      </c>
      <c r="AA763" s="209" t="str">
        <f t="shared" si="108"/>
        <v/>
      </c>
      <c r="AB763" s="209"/>
      <c r="AC763" s="207" t="str">
        <f t="shared" ca="1" si="105"/>
        <v/>
      </c>
      <c r="AD763" s="207"/>
      <c r="AE763" s="207"/>
      <c r="AF763" s="208" t="str">
        <f>IF(ISBLANK(D763),"",VLOOKUP(F763,'SIZE CALCULATION'!$F:$G,2,0))</f>
        <v/>
      </c>
      <c r="AG763" s="207" t="str">
        <f t="shared" si="110"/>
        <v/>
      </c>
      <c r="AH763" s="207" t="str">
        <f t="shared" si="106"/>
        <v/>
      </c>
      <c r="AI763" s="210" t="str">
        <f>IF(ISBLANK(D763),"",VLOOKUP($A763,INDEX!$D$2:$F$13,3,0))</f>
        <v/>
      </c>
      <c r="AJ763" s="207" t="str">
        <f t="shared" si="107"/>
        <v/>
      </c>
      <c r="AK763" s="207"/>
      <c r="AL763" s="207"/>
      <c r="AM763" s="207" t="str">
        <f>IFERROR(IF(ISBLANK($D763),"",VLOOKUP($N763,'TABLE CHARGE RATE'!$A$30:$K$106,5,0)),"Check")</f>
        <v/>
      </c>
      <c r="AN763" s="207" t="str">
        <f>IFERROR(IF(ISBLANK($D763),"",VLOOKUP($N763,'TABLE CHARGE RATE'!$A$30:$K$106,6,0)),"Check")</f>
        <v/>
      </c>
      <c r="AO763" s="207" t="str">
        <f>IFERROR(IF(ISBLANK($D763),"",VLOOKUP($N763,'TABLE CHARGE RATE'!$A$30:$K$106,7,0)),"Check")</f>
        <v/>
      </c>
      <c r="AP763" s="207" t="str">
        <f>IFERROR(IF(ISBLANK($D763),"",VLOOKUP($N763,'TABLE CHARGE RATE'!$A$30:$K$106,8,0)),"Check")</f>
        <v/>
      </c>
      <c r="AQ763" s="207" t="str">
        <f>IFERROR(IF(ISBLANK($D763),"",VLOOKUP($N763,'TABLE CHARGE RATE'!$A$30:$K$106,9,0)),"Check")</f>
        <v/>
      </c>
      <c r="AR763" s="207" t="str">
        <f>IFERROR(IF(ISBLANK($D763),"",VLOOKUP($N763,'TABLE CHARGE RATE'!$A$30:$K$106,10,0)),"Check")</f>
        <v/>
      </c>
      <c r="AS763" s="207" t="str">
        <f>IFERROR(IF(ISBLANK($D763),"",VLOOKUP($N763,'TABLE CHARGE RATE'!$A$30:$K$106,11,0)),"Check")</f>
        <v/>
      </c>
      <c r="AT763" s="207"/>
    </row>
    <row r="764" spans="1:46" x14ac:dyDescent="0.2">
      <c r="A764" s="207" t="str">
        <f t="shared" si="109"/>
        <v/>
      </c>
      <c r="B764" s="208" t="str">
        <f>IF(ISBLANK(D764),"",VLOOKUP(WEEKDAY($C764,1),INDEX!$J$2:$K$8,2,0))</f>
        <v/>
      </c>
      <c r="C764" s="209"/>
      <c r="D764" s="207"/>
      <c r="E764" s="207"/>
      <c r="F764" s="207"/>
      <c r="G764" s="207"/>
      <c r="H764" s="207"/>
      <c r="I764" s="207"/>
      <c r="J764" s="207"/>
      <c r="K764" s="207"/>
      <c r="L764" s="207"/>
      <c r="M764" s="207"/>
      <c r="N764" s="207"/>
      <c r="O764" s="207"/>
      <c r="P764" s="207"/>
      <c r="Q764" s="207"/>
      <c r="R764" s="207"/>
      <c r="S764" s="207"/>
      <c r="T764" s="207"/>
      <c r="U764" s="209"/>
      <c r="V764" s="207"/>
      <c r="W764" s="207"/>
      <c r="X764" s="209"/>
      <c r="Y764" s="209"/>
      <c r="Z764" s="207" t="str">
        <f t="shared" ca="1" si="104"/>
        <v/>
      </c>
      <c r="AA764" s="209" t="str">
        <f t="shared" si="108"/>
        <v/>
      </c>
      <c r="AB764" s="209"/>
      <c r="AC764" s="207" t="str">
        <f t="shared" ca="1" si="105"/>
        <v/>
      </c>
      <c r="AD764" s="207"/>
      <c r="AE764" s="207"/>
      <c r="AF764" s="208" t="str">
        <f>IF(ISBLANK(D764),"",VLOOKUP(F764,'SIZE CALCULATION'!$F:$G,2,0))</f>
        <v/>
      </c>
      <c r="AG764" s="207" t="str">
        <f t="shared" si="110"/>
        <v/>
      </c>
      <c r="AH764" s="207" t="str">
        <f t="shared" si="106"/>
        <v/>
      </c>
      <c r="AI764" s="210" t="str">
        <f>IF(ISBLANK(D764),"",VLOOKUP($A764,INDEX!$D$2:$F$13,3,0))</f>
        <v/>
      </c>
      <c r="AJ764" s="207" t="str">
        <f t="shared" si="107"/>
        <v/>
      </c>
      <c r="AK764" s="207"/>
      <c r="AL764" s="207"/>
      <c r="AM764" s="207" t="str">
        <f>IFERROR(IF(ISBLANK($D764),"",VLOOKUP($N764,'TABLE CHARGE RATE'!$A$30:$K$106,5,0)),"Check")</f>
        <v/>
      </c>
      <c r="AN764" s="207" t="str">
        <f>IFERROR(IF(ISBLANK($D764),"",VLOOKUP($N764,'TABLE CHARGE RATE'!$A$30:$K$106,6,0)),"Check")</f>
        <v/>
      </c>
      <c r="AO764" s="207" t="str">
        <f>IFERROR(IF(ISBLANK($D764),"",VLOOKUP($N764,'TABLE CHARGE RATE'!$A$30:$K$106,7,0)),"Check")</f>
        <v/>
      </c>
      <c r="AP764" s="207" t="str">
        <f>IFERROR(IF(ISBLANK($D764),"",VLOOKUP($N764,'TABLE CHARGE RATE'!$A$30:$K$106,8,0)),"Check")</f>
        <v/>
      </c>
      <c r="AQ764" s="207" t="str">
        <f>IFERROR(IF(ISBLANK($D764),"",VLOOKUP($N764,'TABLE CHARGE RATE'!$A$30:$K$106,9,0)),"Check")</f>
        <v/>
      </c>
      <c r="AR764" s="207" t="str">
        <f>IFERROR(IF(ISBLANK($D764),"",VLOOKUP($N764,'TABLE CHARGE RATE'!$A$30:$K$106,10,0)),"Check")</f>
        <v/>
      </c>
      <c r="AS764" s="207" t="str">
        <f>IFERROR(IF(ISBLANK($D764),"",VLOOKUP($N764,'TABLE CHARGE RATE'!$A$30:$K$106,11,0)),"Check")</f>
        <v/>
      </c>
      <c r="AT764" s="207"/>
    </row>
    <row r="765" spans="1:46" x14ac:dyDescent="0.2">
      <c r="A765" s="207" t="str">
        <f t="shared" si="109"/>
        <v/>
      </c>
      <c r="B765" s="208" t="str">
        <f>IF(ISBLANK(D765),"",VLOOKUP(WEEKDAY($C765,1),INDEX!$J$2:$K$8,2,0))</f>
        <v/>
      </c>
      <c r="C765" s="209"/>
      <c r="D765" s="207"/>
      <c r="E765" s="207"/>
      <c r="F765" s="207"/>
      <c r="G765" s="207"/>
      <c r="H765" s="207"/>
      <c r="I765" s="207"/>
      <c r="J765" s="207"/>
      <c r="K765" s="207"/>
      <c r="L765" s="207"/>
      <c r="M765" s="207"/>
      <c r="N765" s="207"/>
      <c r="O765" s="207"/>
      <c r="P765" s="207"/>
      <c r="Q765" s="207"/>
      <c r="R765" s="207"/>
      <c r="S765" s="207"/>
      <c r="T765" s="207"/>
      <c r="U765" s="209"/>
      <c r="V765" s="207"/>
      <c r="W765" s="207"/>
      <c r="X765" s="209"/>
      <c r="Y765" s="209"/>
      <c r="Z765" s="207" t="str">
        <f t="shared" ca="1" si="104"/>
        <v/>
      </c>
      <c r="AA765" s="209" t="str">
        <f t="shared" si="108"/>
        <v/>
      </c>
      <c r="AB765" s="209"/>
      <c r="AC765" s="207" t="str">
        <f t="shared" ca="1" si="105"/>
        <v/>
      </c>
      <c r="AD765" s="207"/>
      <c r="AE765" s="207"/>
      <c r="AF765" s="208" t="str">
        <f>IF(ISBLANK(D765),"",VLOOKUP(F765,'SIZE CALCULATION'!$F:$G,2,0))</f>
        <v/>
      </c>
      <c r="AG765" s="207" t="str">
        <f t="shared" si="110"/>
        <v/>
      </c>
      <c r="AH765" s="207" t="str">
        <f t="shared" si="106"/>
        <v/>
      </c>
      <c r="AI765" s="210" t="str">
        <f>IF(ISBLANK(D765),"",VLOOKUP($A765,INDEX!$D$2:$F$13,3,0))</f>
        <v/>
      </c>
      <c r="AJ765" s="207" t="str">
        <f t="shared" si="107"/>
        <v/>
      </c>
      <c r="AK765" s="207"/>
      <c r="AL765" s="207"/>
      <c r="AM765" s="207" t="str">
        <f>IFERROR(IF(ISBLANK($D765),"",VLOOKUP($N765,'TABLE CHARGE RATE'!$A$30:$K$106,5,0)),"Check")</f>
        <v/>
      </c>
      <c r="AN765" s="207" t="str">
        <f>IFERROR(IF(ISBLANK($D765),"",VLOOKUP($N765,'TABLE CHARGE RATE'!$A$30:$K$106,6,0)),"Check")</f>
        <v/>
      </c>
      <c r="AO765" s="207" t="str">
        <f>IFERROR(IF(ISBLANK($D765),"",VLOOKUP($N765,'TABLE CHARGE RATE'!$A$30:$K$106,7,0)),"Check")</f>
        <v/>
      </c>
      <c r="AP765" s="207" t="str">
        <f>IFERROR(IF(ISBLANK($D765),"",VLOOKUP($N765,'TABLE CHARGE RATE'!$A$30:$K$106,8,0)),"Check")</f>
        <v/>
      </c>
      <c r="AQ765" s="207" t="str">
        <f>IFERROR(IF(ISBLANK($D765),"",VLOOKUP($N765,'TABLE CHARGE RATE'!$A$30:$K$106,9,0)),"Check")</f>
        <v/>
      </c>
      <c r="AR765" s="207" t="str">
        <f>IFERROR(IF(ISBLANK($D765),"",VLOOKUP($N765,'TABLE CHARGE RATE'!$A$30:$K$106,10,0)),"Check")</f>
        <v/>
      </c>
      <c r="AS765" s="207" t="str">
        <f>IFERROR(IF(ISBLANK($D765),"",VLOOKUP($N765,'TABLE CHARGE RATE'!$A$30:$K$106,11,0)),"Check")</f>
        <v/>
      </c>
      <c r="AT765" s="207"/>
    </row>
    <row r="766" spans="1:46" x14ac:dyDescent="0.2">
      <c r="A766" s="207" t="str">
        <f t="shared" si="109"/>
        <v/>
      </c>
      <c r="B766" s="208" t="str">
        <f>IF(ISBLANK(D766),"",VLOOKUP(WEEKDAY($C766,1),INDEX!$J$2:$K$8,2,0))</f>
        <v/>
      </c>
      <c r="C766" s="209"/>
      <c r="D766" s="207"/>
      <c r="E766" s="207"/>
      <c r="F766" s="207"/>
      <c r="G766" s="207"/>
      <c r="H766" s="207"/>
      <c r="I766" s="207"/>
      <c r="J766" s="207"/>
      <c r="K766" s="207"/>
      <c r="L766" s="207"/>
      <c r="M766" s="207"/>
      <c r="N766" s="207"/>
      <c r="O766" s="207"/>
      <c r="P766" s="207"/>
      <c r="Q766" s="207"/>
      <c r="R766" s="207"/>
      <c r="S766" s="207"/>
      <c r="T766" s="207"/>
      <c r="U766" s="209"/>
      <c r="V766" s="207"/>
      <c r="W766" s="207"/>
      <c r="X766" s="209"/>
      <c r="Y766" s="209"/>
      <c r="Z766" s="207" t="str">
        <f t="shared" ca="1" si="104"/>
        <v/>
      </c>
      <c r="AA766" s="209" t="str">
        <f t="shared" si="108"/>
        <v/>
      </c>
      <c r="AB766" s="209"/>
      <c r="AC766" s="207" t="str">
        <f t="shared" ca="1" si="105"/>
        <v/>
      </c>
      <c r="AD766" s="207"/>
      <c r="AE766" s="207"/>
      <c r="AF766" s="208" t="str">
        <f>IF(ISBLANK(D766),"",VLOOKUP(F766,'SIZE CALCULATION'!$F:$G,2,0))</f>
        <v/>
      </c>
      <c r="AG766" s="207" t="str">
        <f t="shared" si="110"/>
        <v/>
      </c>
      <c r="AH766" s="207" t="str">
        <f t="shared" si="106"/>
        <v/>
      </c>
      <c r="AI766" s="210" t="str">
        <f>IF(ISBLANK(D766),"",VLOOKUP($A766,INDEX!$D$2:$F$13,3,0))</f>
        <v/>
      </c>
      <c r="AJ766" s="207" t="str">
        <f t="shared" si="107"/>
        <v/>
      </c>
      <c r="AK766" s="207"/>
      <c r="AL766" s="207"/>
      <c r="AM766" s="207" t="str">
        <f>IFERROR(IF(ISBLANK($D766),"",VLOOKUP($N766,'TABLE CHARGE RATE'!$A$30:$K$106,5,0)),"Check")</f>
        <v/>
      </c>
      <c r="AN766" s="207" t="str">
        <f>IFERROR(IF(ISBLANK($D766),"",VLOOKUP($N766,'TABLE CHARGE RATE'!$A$30:$K$106,6,0)),"Check")</f>
        <v/>
      </c>
      <c r="AO766" s="207" t="str">
        <f>IFERROR(IF(ISBLANK($D766),"",VLOOKUP($N766,'TABLE CHARGE RATE'!$A$30:$K$106,7,0)),"Check")</f>
        <v/>
      </c>
      <c r="AP766" s="207" t="str">
        <f>IFERROR(IF(ISBLANK($D766),"",VLOOKUP($N766,'TABLE CHARGE RATE'!$A$30:$K$106,8,0)),"Check")</f>
        <v/>
      </c>
      <c r="AQ766" s="207" t="str">
        <f>IFERROR(IF(ISBLANK($D766),"",VLOOKUP($N766,'TABLE CHARGE RATE'!$A$30:$K$106,9,0)),"Check")</f>
        <v/>
      </c>
      <c r="AR766" s="207" t="str">
        <f>IFERROR(IF(ISBLANK($D766),"",VLOOKUP($N766,'TABLE CHARGE RATE'!$A$30:$K$106,10,0)),"Check")</f>
        <v/>
      </c>
      <c r="AS766" s="207" t="str">
        <f>IFERROR(IF(ISBLANK($D766),"",VLOOKUP($N766,'TABLE CHARGE RATE'!$A$30:$K$106,11,0)),"Check")</f>
        <v/>
      </c>
      <c r="AT766" s="207"/>
    </row>
    <row r="767" spans="1:46" x14ac:dyDescent="0.2">
      <c r="A767" s="207" t="str">
        <f t="shared" si="109"/>
        <v/>
      </c>
      <c r="B767" s="208" t="str">
        <f>IF(ISBLANK(D767),"",VLOOKUP(WEEKDAY($C767,1),INDEX!$J$2:$K$8,2,0))</f>
        <v/>
      </c>
      <c r="C767" s="209"/>
      <c r="D767" s="207"/>
      <c r="E767" s="207"/>
      <c r="F767" s="207"/>
      <c r="G767" s="207"/>
      <c r="H767" s="207"/>
      <c r="I767" s="207"/>
      <c r="J767" s="207"/>
      <c r="K767" s="207"/>
      <c r="L767" s="207"/>
      <c r="M767" s="207"/>
      <c r="N767" s="207"/>
      <c r="O767" s="207"/>
      <c r="P767" s="207"/>
      <c r="Q767" s="207"/>
      <c r="R767" s="207"/>
      <c r="S767" s="207"/>
      <c r="T767" s="207"/>
      <c r="U767" s="209"/>
      <c r="V767" s="207"/>
      <c r="W767" s="207"/>
      <c r="X767" s="209"/>
      <c r="Y767" s="209"/>
      <c r="Z767" s="207" t="str">
        <f t="shared" ca="1" si="104"/>
        <v/>
      </c>
      <c r="AA767" s="209" t="str">
        <f t="shared" si="108"/>
        <v/>
      </c>
      <c r="AB767" s="209"/>
      <c r="AC767" s="207" t="str">
        <f t="shared" ca="1" si="105"/>
        <v/>
      </c>
      <c r="AD767" s="207"/>
      <c r="AE767" s="207"/>
      <c r="AF767" s="208" t="str">
        <f>IF(ISBLANK(D767),"",VLOOKUP(F767,'SIZE CALCULATION'!$F:$G,2,0))</f>
        <v/>
      </c>
      <c r="AG767" s="207" t="str">
        <f t="shared" si="110"/>
        <v/>
      </c>
      <c r="AH767" s="207" t="str">
        <f t="shared" si="106"/>
        <v/>
      </c>
      <c r="AI767" s="210" t="str">
        <f>IF(ISBLANK(D767),"",VLOOKUP($A767,INDEX!$D$2:$F$13,3,0))</f>
        <v/>
      </c>
      <c r="AJ767" s="207" t="str">
        <f t="shared" si="107"/>
        <v/>
      </c>
      <c r="AK767" s="207"/>
      <c r="AL767" s="207"/>
      <c r="AM767" s="207" t="str">
        <f>IFERROR(IF(ISBLANK($D767),"",VLOOKUP($N767,'TABLE CHARGE RATE'!$A$30:$K$106,5,0)),"Check")</f>
        <v/>
      </c>
      <c r="AN767" s="207" t="str">
        <f>IFERROR(IF(ISBLANK($D767),"",VLOOKUP($N767,'TABLE CHARGE RATE'!$A$30:$K$106,6,0)),"Check")</f>
        <v/>
      </c>
      <c r="AO767" s="207" t="str">
        <f>IFERROR(IF(ISBLANK($D767),"",VLOOKUP($N767,'TABLE CHARGE RATE'!$A$30:$K$106,7,0)),"Check")</f>
        <v/>
      </c>
      <c r="AP767" s="207" t="str">
        <f>IFERROR(IF(ISBLANK($D767),"",VLOOKUP($N767,'TABLE CHARGE RATE'!$A$30:$K$106,8,0)),"Check")</f>
        <v/>
      </c>
      <c r="AQ767" s="207" t="str">
        <f>IFERROR(IF(ISBLANK($D767),"",VLOOKUP($N767,'TABLE CHARGE RATE'!$A$30:$K$106,9,0)),"Check")</f>
        <v/>
      </c>
      <c r="AR767" s="207" t="str">
        <f>IFERROR(IF(ISBLANK($D767),"",VLOOKUP($N767,'TABLE CHARGE RATE'!$A$30:$K$106,10,0)),"Check")</f>
        <v/>
      </c>
      <c r="AS767" s="207" t="str">
        <f>IFERROR(IF(ISBLANK($D767),"",VLOOKUP($N767,'TABLE CHARGE RATE'!$A$30:$K$106,11,0)),"Check")</f>
        <v/>
      </c>
      <c r="AT767" s="207"/>
    </row>
    <row r="768" spans="1:46" x14ac:dyDescent="0.2">
      <c r="A768" s="207" t="str">
        <f t="shared" si="109"/>
        <v/>
      </c>
      <c r="B768" s="208" t="str">
        <f>IF(ISBLANK(D768),"",VLOOKUP(WEEKDAY($C768,1),INDEX!$J$2:$K$8,2,0))</f>
        <v/>
      </c>
      <c r="C768" s="209"/>
      <c r="D768" s="207"/>
      <c r="E768" s="207"/>
      <c r="F768" s="207"/>
      <c r="G768" s="207"/>
      <c r="H768" s="207"/>
      <c r="I768" s="207"/>
      <c r="J768" s="207"/>
      <c r="K768" s="207"/>
      <c r="L768" s="207"/>
      <c r="M768" s="207"/>
      <c r="N768" s="207"/>
      <c r="O768" s="207"/>
      <c r="P768" s="207"/>
      <c r="Q768" s="207"/>
      <c r="R768" s="207"/>
      <c r="S768" s="207"/>
      <c r="T768" s="207"/>
      <c r="U768" s="209"/>
      <c r="V768" s="207"/>
      <c r="W768" s="207"/>
      <c r="X768" s="209"/>
      <c r="Y768" s="209"/>
      <c r="Z768" s="207" t="str">
        <f t="shared" ca="1" si="104"/>
        <v/>
      </c>
      <c r="AA768" s="209" t="str">
        <f t="shared" si="108"/>
        <v/>
      </c>
      <c r="AB768" s="209"/>
      <c r="AC768" s="207" t="str">
        <f t="shared" ca="1" si="105"/>
        <v/>
      </c>
      <c r="AD768" s="207"/>
      <c r="AE768" s="207"/>
      <c r="AF768" s="208" t="str">
        <f>IF(ISBLANK(D768),"",VLOOKUP(F768,'SIZE CALCULATION'!$F:$G,2,0))</f>
        <v/>
      </c>
      <c r="AG768" s="207" t="str">
        <f t="shared" si="110"/>
        <v/>
      </c>
      <c r="AH768" s="207" t="str">
        <f t="shared" si="106"/>
        <v/>
      </c>
      <c r="AI768" s="210" t="str">
        <f>IF(ISBLANK(D768),"",VLOOKUP($A768,INDEX!$D$2:$F$13,3,0))</f>
        <v/>
      </c>
      <c r="AJ768" s="207" t="str">
        <f t="shared" si="107"/>
        <v/>
      </c>
      <c r="AK768" s="207"/>
      <c r="AL768" s="207"/>
      <c r="AM768" s="207" t="str">
        <f>IFERROR(IF(ISBLANK($D768),"",VLOOKUP($N768,'TABLE CHARGE RATE'!$A$30:$K$106,5,0)),"Check")</f>
        <v/>
      </c>
      <c r="AN768" s="207" t="str">
        <f>IFERROR(IF(ISBLANK($D768),"",VLOOKUP($N768,'TABLE CHARGE RATE'!$A$30:$K$106,6,0)),"Check")</f>
        <v/>
      </c>
      <c r="AO768" s="207" t="str">
        <f>IFERROR(IF(ISBLANK($D768),"",VLOOKUP($N768,'TABLE CHARGE RATE'!$A$30:$K$106,7,0)),"Check")</f>
        <v/>
      </c>
      <c r="AP768" s="207" t="str">
        <f>IFERROR(IF(ISBLANK($D768),"",VLOOKUP($N768,'TABLE CHARGE RATE'!$A$30:$K$106,8,0)),"Check")</f>
        <v/>
      </c>
      <c r="AQ768" s="207" t="str">
        <f>IFERROR(IF(ISBLANK($D768),"",VLOOKUP($N768,'TABLE CHARGE RATE'!$A$30:$K$106,9,0)),"Check")</f>
        <v/>
      </c>
      <c r="AR768" s="207" t="str">
        <f>IFERROR(IF(ISBLANK($D768),"",VLOOKUP($N768,'TABLE CHARGE RATE'!$A$30:$K$106,10,0)),"Check")</f>
        <v/>
      </c>
      <c r="AS768" s="207" t="str">
        <f>IFERROR(IF(ISBLANK($D768),"",VLOOKUP($N768,'TABLE CHARGE RATE'!$A$30:$K$106,11,0)),"Check")</f>
        <v/>
      </c>
      <c r="AT768" s="207"/>
    </row>
    <row r="769" spans="1:46" x14ac:dyDescent="0.2">
      <c r="A769" s="207" t="str">
        <f t="shared" si="109"/>
        <v/>
      </c>
      <c r="B769" s="208" t="str">
        <f>IF(ISBLANK(D769),"",VLOOKUP(WEEKDAY($C769,1),INDEX!$J$2:$K$8,2,0))</f>
        <v/>
      </c>
      <c r="C769" s="209"/>
      <c r="D769" s="207"/>
      <c r="E769" s="207"/>
      <c r="F769" s="207"/>
      <c r="G769" s="207"/>
      <c r="H769" s="207"/>
      <c r="I769" s="207"/>
      <c r="J769" s="207"/>
      <c r="K769" s="207"/>
      <c r="L769" s="207"/>
      <c r="M769" s="207"/>
      <c r="N769" s="207"/>
      <c r="O769" s="207"/>
      <c r="P769" s="207"/>
      <c r="Q769" s="207"/>
      <c r="R769" s="207"/>
      <c r="S769" s="207"/>
      <c r="T769" s="207"/>
      <c r="U769" s="209"/>
      <c r="V769" s="207"/>
      <c r="W769" s="207"/>
      <c r="X769" s="209"/>
      <c r="Y769" s="209"/>
      <c r="Z769" s="207" t="str">
        <f t="shared" ca="1" si="104"/>
        <v/>
      </c>
      <c r="AA769" s="209" t="str">
        <f t="shared" si="108"/>
        <v/>
      </c>
      <c r="AB769" s="209"/>
      <c r="AC769" s="207" t="str">
        <f t="shared" ca="1" si="105"/>
        <v/>
      </c>
      <c r="AD769" s="207"/>
      <c r="AE769" s="207"/>
      <c r="AF769" s="208" t="str">
        <f>IF(ISBLANK(D769),"",VLOOKUP(F769,'SIZE CALCULATION'!$F:$G,2,0))</f>
        <v/>
      </c>
      <c r="AG769" s="207" t="str">
        <f t="shared" si="110"/>
        <v/>
      </c>
      <c r="AH769" s="207" t="str">
        <f t="shared" si="106"/>
        <v/>
      </c>
      <c r="AI769" s="210" t="str">
        <f>IF(ISBLANK(D769),"",VLOOKUP($A769,INDEX!$D$2:$F$13,3,0))</f>
        <v/>
      </c>
      <c r="AJ769" s="207" t="str">
        <f t="shared" si="107"/>
        <v/>
      </c>
      <c r="AK769" s="207"/>
      <c r="AL769" s="207"/>
      <c r="AM769" s="207" t="str">
        <f>IFERROR(IF(ISBLANK($D769),"",VLOOKUP($N769,'TABLE CHARGE RATE'!$A$30:$K$106,5,0)),"Check")</f>
        <v/>
      </c>
      <c r="AN769" s="207" t="str">
        <f>IFERROR(IF(ISBLANK($D769),"",VLOOKUP($N769,'TABLE CHARGE RATE'!$A$30:$K$106,6,0)),"Check")</f>
        <v/>
      </c>
      <c r="AO769" s="207" t="str">
        <f>IFERROR(IF(ISBLANK($D769),"",VLOOKUP($N769,'TABLE CHARGE RATE'!$A$30:$K$106,7,0)),"Check")</f>
        <v/>
      </c>
      <c r="AP769" s="207" t="str">
        <f>IFERROR(IF(ISBLANK($D769),"",VLOOKUP($N769,'TABLE CHARGE RATE'!$A$30:$K$106,8,0)),"Check")</f>
        <v/>
      </c>
      <c r="AQ769" s="207" t="str">
        <f>IFERROR(IF(ISBLANK($D769),"",VLOOKUP($N769,'TABLE CHARGE RATE'!$A$30:$K$106,9,0)),"Check")</f>
        <v/>
      </c>
      <c r="AR769" s="207" t="str">
        <f>IFERROR(IF(ISBLANK($D769),"",VLOOKUP($N769,'TABLE CHARGE RATE'!$A$30:$K$106,10,0)),"Check")</f>
        <v/>
      </c>
      <c r="AS769" s="207" t="str">
        <f>IFERROR(IF(ISBLANK($D769),"",VLOOKUP($N769,'TABLE CHARGE RATE'!$A$30:$K$106,11,0)),"Check")</f>
        <v/>
      </c>
      <c r="AT769" s="207"/>
    </row>
    <row r="770" spans="1:46" x14ac:dyDescent="0.2">
      <c r="A770" s="207" t="str">
        <f t="shared" si="109"/>
        <v/>
      </c>
      <c r="B770" s="208" t="str">
        <f>IF(ISBLANK(D770),"",VLOOKUP(WEEKDAY($C770,1),INDEX!$J$2:$K$8,2,0))</f>
        <v/>
      </c>
      <c r="C770" s="209"/>
      <c r="D770" s="207"/>
      <c r="E770" s="207"/>
      <c r="F770" s="207"/>
      <c r="G770" s="207"/>
      <c r="H770" s="207"/>
      <c r="I770" s="207"/>
      <c r="J770" s="207"/>
      <c r="K770" s="207"/>
      <c r="L770" s="207"/>
      <c r="M770" s="207"/>
      <c r="N770" s="207"/>
      <c r="O770" s="207"/>
      <c r="P770" s="207"/>
      <c r="Q770" s="207"/>
      <c r="R770" s="207"/>
      <c r="S770" s="207"/>
      <c r="T770" s="207"/>
      <c r="U770" s="209"/>
      <c r="V770" s="207"/>
      <c r="W770" s="207"/>
      <c r="X770" s="209"/>
      <c r="Y770" s="209"/>
      <c r="Z770" s="207" t="str">
        <f t="shared" ca="1" si="104"/>
        <v/>
      </c>
      <c r="AA770" s="209" t="str">
        <f t="shared" si="108"/>
        <v/>
      </c>
      <c r="AB770" s="209"/>
      <c r="AC770" s="207" t="str">
        <f t="shared" ca="1" si="105"/>
        <v/>
      </c>
      <c r="AD770" s="207"/>
      <c r="AE770" s="207"/>
      <c r="AF770" s="208" t="str">
        <f>IF(ISBLANK(D770),"",VLOOKUP(F770,'SIZE CALCULATION'!$F:$G,2,0))</f>
        <v/>
      </c>
      <c r="AG770" s="207" t="str">
        <f t="shared" si="110"/>
        <v/>
      </c>
      <c r="AH770" s="207" t="str">
        <f t="shared" si="106"/>
        <v/>
      </c>
      <c r="AI770" s="210" t="str">
        <f>IF(ISBLANK(D770),"",VLOOKUP($A770,INDEX!$D$2:$F$13,3,0))</f>
        <v/>
      </c>
      <c r="AJ770" s="207" t="str">
        <f t="shared" si="107"/>
        <v/>
      </c>
      <c r="AK770" s="207"/>
      <c r="AL770" s="207"/>
      <c r="AM770" s="207" t="str">
        <f>IFERROR(IF(ISBLANK($D770),"",VLOOKUP($N770,'TABLE CHARGE RATE'!$A$30:$K$106,5,0)),"Check")</f>
        <v/>
      </c>
      <c r="AN770" s="207" t="str">
        <f>IFERROR(IF(ISBLANK($D770),"",VLOOKUP($N770,'TABLE CHARGE RATE'!$A$30:$K$106,6,0)),"Check")</f>
        <v/>
      </c>
      <c r="AO770" s="207" t="str">
        <f>IFERROR(IF(ISBLANK($D770),"",VLOOKUP($N770,'TABLE CHARGE RATE'!$A$30:$K$106,7,0)),"Check")</f>
        <v/>
      </c>
      <c r="AP770" s="207" t="str">
        <f>IFERROR(IF(ISBLANK($D770),"",VLOOKUP($N770,'TABLE CHARGE RATE'!$A$30:$K$106,8,0)),"Check")</f>
        <v/>
      </c>
      <c r="AQ770" s="207" t="str">
        <f>IFERROR(IF(ISBLANK($D770),"",VLOOKUP($N770,'TABLE CHARGE RATE'!$A$30:$K$106,9,0)),"Check")</f>
        <v/>
      </c>
      <c r="AR770" s="207" t="str">
        <f>IFERROR(IF(ISBLANK($D770),"",VLOOKUP($N770,'TABLE CHARGE RATE'!$A$30:$K$106,10,0)),"Check")</f>
        <v/>
      </c>
      <c r="AS770" s="207" t="str">
        <f>IFERROR(IF(ISBLANK($D770),"",VLOOKUP($N770,'TABLE CHARGE RATE'!$A$30:$K$106,11,0)),"Check")</f>
        <v/>
      </c>
      <c r="AT770" s="207"/>
    </row>
    <row r="771" spans="1:46" x14ac:dyDescent="0.2">
      <c r="A771" s="207" t="str">
        <f t="shared" si="109"/>
        <v/>
      </c>
      <c r="B771" s="208" t="str">
        <f>IF(ISBLANK(D771),"",VLOOKUP(WEEKDAY($C771,1),INDEX!$J$2:$K$8,2,0))</f>
        <v/>
      </c>
      <c r="C771" s="209"/>
      <c r="D771" s="207"/>
      <c r="E771" s="207"/>
      <c r="F771" s="207"/>
      <c r="G771" s="207"/>
      <c r="H771" s="207"/>
      <c r="I771" s="207"/>
      <c r="J771" s="207"/>
      <c r="K771" s="207"/>
      <c r="L771" s="207"/>
      <c r="M771" s="207"/>
      <c r="N771" s="207"/>
      <c r="O771" s="207"/>
      <c r="P771" s="207"/>
      <c r="Q771" s="207"/>
      <c r="R771" s="207"/>
      <c r="S771" s="207"/>
      <c r="T771" s="207"/>
      <c r="U771" s="209"/>
      <c r="V771" s="207"/>
      <c r="W771" s="207"/>
      <c r="X771" s="209"/>
      <c r="Y771" s="209"/>
      <c r="Z771" s="207" t="str">
        <f t="shared" ca="1" si="104"/>
        <v/>
      </c>
      <c r="AA771" s="209" t="str">
        <f t="shared" si="108"/>
        <v/>
      </c>
      <c r="AB771" s="209"/>
      <c r="AC771" s="207" t="str">
        <f t="shared" ca="1" si="105"/>
        <v/>
      </c>
      <c r="AD771" s="207"/>
      <c r="AE771" s="207"/>
      <c r="AF771" s="208" t="str">
        <f>IF(ISBLANK(D771),"",VLOOKUP(F771,'SIZE CALCULATION'!$F:$G,2,0))</f>
        <v/>
      </c>
      <c r="AG771" s="207" t="str">
        <f t="shared" si="110"/>
        <v/>
      </c>
      <c r="AH771" s="207" t="str">
        <f t="shared" si="106"/>
        <v/>
      </c>
      <c r="AI771" s="210" t="str">
        <f>IF(ISBLANK(D771),"",VLOOKUP($A771,INDEX!$D$2:$F$13,3,0))</f>
        <v/>
      </c>
      <c r="AJ771" s="207" t="str">
        <f t="shared" si="107"/>
        <v/>
      </c>
      <c r="AK771" s="207"/>
      <c r="AL771" s="207"/>
      <c r="AM771" s="207" t="str">
        <f>IFERROR(IF(ISBLANK($D771),"",VLOOKUP($N771,'TABLE CHARGE RATE'!$A$30:$K$106,5,0)),"Check")</f>
        <v/>
      </c>
      <c r="AN771" s="207" t="str">
        <f>IFERROR(IF(ISBLANK($D771),"",VLOOKUP($N771,'TABLE CHARGE RATE'!$A$30:$K$106,6,0)),"Check")</f>
        <v/>
      </c>
      <c r="AO771" s="207" t="str">
        <f>IFERROR(IF(ISBLANK($D771),"",VLOOKUP($N771,'TABLE CHARGE RATE'!$A$30:$K$106,7,0)),"Check")</f>
        <v/>
      </c>
      <c r="AP771" s="207" t="str">
        <f>IFERROR(IF(ISBLANK($D771),"",VLOOKUP($N771,'TABLE CHARGE RATE'!$A$30:$K$106,8,0)),"Check")</f>
        <v/>
      </c>
      <c r="AQ771" s="207" t="str">
        <f>IFERROR(IF(ISBLANK($D771),"",VLOOKUP($N771,'TABLE CHARGE RATE'!$A$30:$K$106,9,0)),"Check")</f>
        <v/>
      </c>
      <c r="AR771" s="207" t="str">
        <f>IFERROR(IF(ISBLANK($D771),"",VLOOKUP($N771,'TABLE CHARGE RATE'!$A$30:$K$106,10,0)),"Check")</f>
        <v/>
      </c>
      <c r="AS771" s="207" t="str">
        <f>IFERROR(IF(ISBLANK($D771),"",VLOOKUP($N771,'TABLE CHARGE RATE'!$A$30:$K$106,11,0)),"Check")</f>
        <v/>
      </c>
      <c r="AT771" s="207"/>
    </row>
    <row r="772" spans="1:46" x14ac:dyDescent="0.2">
      <c r="A772" s="207" t="str">
        <f t="shared" si="109"/>
        <v/>
      </c>
      <c r="B772" s="208" t="str">
        <f>IF(ISBLANK(D772),"",VLOOKUP(WEEKDAY($C772,1),INDEX!$J$2:$K$8,2,0))</f>
        <v/>
      </c>
      <c r="C772" s="209"/>
      <c r="D772" s="207"/>
      <c r="E772" s="207"/>
      <c r="F772" s="207"/>
      <c r="G772" s="207"/>
      <c r="H772" s="207"/>
      <c r="I772" s="207"/>
      <c r="J772" s="207"/>
      <c r="K772" s="207"/>
      <c r="L772" s="207"/>
      <c r="M772" s="207"/>
      <c r="N772" s="207"/>
      <c r="O772" s="207"/>
      <c r="P772" s="207"/>
      <c r="Q772" s="207"/>
      <c r="R772" s="207"/>
      <c r="S772" s="207"/>
      <c r="T772" s="207"/>
      <c r="U772" s="209"/>
      <c r="V772" s="207"/>
      <c r="W772" s="207"/>
      <c r="X772" s="209"/>
      <c r="Y772" s="209"/>
      <c r="Z772" s="207" t="str">
        <f t="shared" ca="1" si="104"/>
        <v/>
      </c>
      <c r="AA772" s="209" t="str">
        <f t="shared" si="108"/>
        <v/>
      </c>
      <c r="AB772" s="209"/>
      <c r="AC772" s="207" t="str">
        <f t="shared" ca="1" si="105"/>
        <v/>
      </c>
      <c r="AD772" s="207"/>
      <c r="AE772" s="207"/>
      <c r="AF772" s="208" t="str">
        <f>IF(ISBLANK(D772),"",VLOOKUP(F772,'SIZE CALCULATION'!$F:$G,2,0))</f>
        <v/>
      </c>
      <c r="AG772" s="207" t="str">
        <f t="shared" si="110"/>
        <v/>
      </c>
      <c r="AH772" s="207" t="str">
        <f t="shared" si="106"/>
        <v/>
      </c>
      <c r="AI772" s="210" t="str">
        <f>IF(ISBLANK(D772),"",VLOOKUP($A772,INDEX!$D$2:$F$13,3,0))</f>
        <v/>
      </c>
      <c r="AJ772" s="207" t="str">
        <f t="shared" si="107"/>
        <v/>
      </c>
      <c r="AK772" s="207"/>
      <c r="AL772" s="207"/>
      <c r="AM772" s="207" t="str">
        <f>IFERROR(IF(ISBLANK($D772),"",VLOOKUP($N772,'TABLE CHARGE RATE'!$A$30:$K$106,5,0)),"Check")</f>
        <v/>
      </c>
      <c r="AN772" s="207" t="str">
        <f>IFERROR(IF(ISBLANK($D772),"",VLOOKUP($N772,'TABLE CHARGE RATE'!$A$30:$K$106,6,0)),"Check")</f>
        <v/>
      </c>
      <c r="AO772" s="207" t="str">
        <f>IFERROR(IF(ISBLANK($D772),"",VLOOKUP($N772,'TABLE CHARGE RATE'!$A$30:$K$106,7,0)),"Check")</f>
        <v/>
      </c>
      <c r="AP772" s="207" t="str">
        <f>IFERROR(IF(ISBLANK($D772),"",VLOOKUP($N772,'TABLE CHARGE RATE'!$A$30:$K$106,8,0)),"Check")</f>
        <v/>
      </c>
      <c r="AQ772" s="207" t="str">
        <f>IFERROR(IF(ISBLANK($D772),"",VLOOKUP($N772,'TABLE CHARGE RATE'!$A$30:$K$106,9,0)),"Check")</f>
        <v/>
      </c>
      <c r="AR772" s="207" t="str">
        <f>IFERROR(IF(ISBLANK($D772),"",VLOOKUP($N772,'TABLE CHARGE RATE'!$A$30:$K$106,10,0)),"Check")</f>
        <v/>
      </c>
      <c r="AS772" s="207" t="str">
        <f>IFERROR(IF(ISBLANK($D772),"",VLOOKUP($N772,'TABLE CHARGE RATE'!$A$30:$K$106,11,0)),"Check")</f>
        <v/>
      </c>
      <c r="AT772" s="207"/>
    </row>
    <row r="773" spans="1:46" x14ac:dyDescent="0.2">
      <c r="A773" s="207" t="str">
        <f t="shared" si="109"/>
        <v/>
      </c>
      <c r="B773" s="208" t="str">
        <f>IF(ISBLANK(D773),"",VLOOKUP(WEEKDAY($C773,1),INDEX!$J$2:$K$8,2,0))</f>
        <v/>
      </c>
      <c r="C773" s="209"/>
      <c r="D773" s="207"/>
      <c r="E773" s="207"/>
      <c r="F773" s="207"/>
      <c r="G773" s="207"/>
      <c r="H773" s="207"/>
      <c r="I773" s="207"/>
      <c r="J773" s="207"/>
      <c r="K773" s="207"/>
      <c r="L773" s="207"/>
      <c r="M773" s="207"/>
      <c r="N773" s="207"/>
      <c r="O773" s="207"/>
      <c r="P773" s="207"/>
      <c r="Q773" s="207"/>
      <c r="R773" s="207"/>
      <c r="S773" s="207"/>
      <c r="T773" s="207"/>
      <c r="U773" s="209"/>
      <c r="V773" s="207"/>
      <c r="W773" s="207"/>
      <c r="X773" s="209"/>
      <c r="Y773" s="209"/>
      <c r="Z773" s="207" t="str">
        <f t="shared" ref="Z773:Z836" ca="1" si="111">IF(ISBLANK(D773),"",IFERROR(IF(ISBLANK($AK773),IF(X773&gt;=TODAY(),"Delivery",IF(Y773-X773=0,1,0)),$AK773),""))</f>
        <v/>
      </c>
      <c r="AA773" s="209" t="str">
        <f t="shared" si="108"/>
        <v/>
      </c>
      <c r="AB773" s="209"/>
      <c r="AC773" s="207" t="str">
        <f t="shared" ref="AC773:AC836" ca="1" si="112">IF(ISBLANK(D773),"",IFERROR(IF(ISBLANK($AL773),IF(AA773&gt;=TODAY(),"Collecting",IF(AB773-AA773=0,1,0)),$AL773),""))</f>
        <v/>
      </c>
      <c r="AD773" s="207"/>
      <c r="AE773" s="207"/>
      <c r="AF773" s="208" t="str">
        <f>IF(ISBLANK(D773),"",VLOOKUP(F773,'SIZE CALCULATION'!$F:$G,2,0))</f>
        <v/>
      </c>
      <c r="AG773" s="207" t="str">
        <f t="shared" si="110"/>
        <v/>
      </c>
      <c r="AH773" s="207" t="str">
        <f t="shared" ref="AH773:AH836" si="113">IF(ISBLANK(D773),"",IFERROR(AG773*G773,0))</f>
        <v/>
      </c>
      <c r="AI773" s="210" t="str">
        <f>IF(ISBLANK(D773),"",VLOOKUP($A773,INDEX!$D$2:$F$13,3,0))</f>
        <v/>
      </c>
      <c r="AJ773" s="207" t="str">
        <f t="shared" ref="AJ773:AJ836" si="114">IF(ISBLANK(D773),"",AH773+(AH773*AI773))</f>
        <v/>
      </c>
      <c r="AK773" s="207"/>
      <c r="AL773" s="207"/>
      <c r="AM773" s="207" t="str">
        <f>IFERROR(IF(ISBLANK($D773),"",VLOOKUP($N773,'TABLE CHARGE RATE'!$A$30:$K$106,5,0)),"Check")</f>
        <v/>
      </c>
      <c r="AN773" s="207" t="str">
        <f>IFERROR(IF(ISBLANK($D773),"",VLOOKUP($N773,'TABLE CHARGE RATE'!$A$30:$K$106,6,0)),"Check")</f>
        <v/>
      </c>
      <c r="AO773" s="207" t="str">
        <f>IFERROR(IF(ISBLANK($D773),"",VLOOKUP($N773,'TABLE CHARGE RATE'!$A$30:$K$106,7,0)),"Check")</f>
        <v/>
      </c>
      <c r="AP773" s="207" t="str">
        <f>IFERROR(IF(ISBLANK($D773),"",VLOOKUP($N773,'TABLE CHARGE RATE'!$A$30:$K$106,8,0)),"Check")</f>
        <v/>
      </c>
      <c r="AQ773" s="207" t="str">
        <f>IFERROR(IF(ISBLANK($D773),"",VLOOKUP($N773,'TABLE CHARGE RATE'!$A$30:$K$106,9,0)),"Check")</f>
        <v/>
      </c>
      <c r="AR773" s="207" t="str">
        <f>IFERROR(IF(ISBLANK($D773),"",VLOOKUP($N773,'TABLE CHARGE RATE'!$A$30:$K$106,10,0)),"Check")</f>
        <v/>
      </c>
      <c r="AS773" s="207" t="str">
        <f>IFERROR(IF(ISBLANK($D773),"",VLOOKUP($N773,'TABLE CHARGE RATE'!$A$30:$K$106,11,0)),"Check")</f>
        <v/>
      </c>
      <c r="AT773" s="207"/>
    </row>
    <row r="774" spans="1:46" x14ac:dyDescent="0.2">
      <c r="A774" s="207" t="str">
        <f t="shared" si="109"/>
        <v/>
      </c>
      <c r="B774" s="208" t="str">
        <f>IF(ISBLANK(D774),"",VLOOKUP(WEEKDAY($C774,1),INDEX!$J$2:$K$8,2,0))</f>
        <v/>
      </c>
      <c r="C774" s="209"/>
      <c r="D774" s="207"/>
      <c r="E774" s="207"/>
      <c r="F774" s="207"/>
      <c r="G774" s="207"/>
      <c r="H774" s="207"/>
      <c r="I774" s="207"/>
      <c r="J774" s="207"/>
      <c r="K774" s="207"/>
      <c r="L774" s="207"/>
      <c r="M774" s="207"/>
      <c r="N774" s="207"/>
      <c r="O774" s="207"/>
      <c r="P774" s="207"/>
      <c r="Q774" s="207"/>
      <c r="R774" s="207"/>
      <c r="S774" s="207"/>
      <c r="T774" s="207"/>
      <c r="U774" s="209"/>
      <c r="V774" s="207"/>
      <c r="W774" s="207"/>
      <c r="X774" s="209"/>
      <c r="Y774" s="209"/>
      <c r="Z774" s="207" t="str">
        <f t="shared" ca="1" si="111"/>
        <v/>
      </c>
      <c r="AA774" s="209" t="str">
        <f t="shared" si="108"/>
        <v/>
      </c>
      <c r="AB774" s="209"/>
      <c r="AC774" s="207" t="str">
        <f t="shared" ca="1" si="112"/>
        <v/>
      </c>
      <c r="AD774" s="207"/>
      <c r="AE774" s="207"/>
      <c r="AF774" s="208" t="str">
        <f>IF(ISBLANK(D774),"",VLOOKUP(F774,'SIZE CALCULATION'!$F:$G,2,0))</f>
        <v/>
      </c>
      <c r="AG774" s="207" t="str">
        <f t="shared" si="110"/>
        <v/>
      </c>
      <c r="AH774" s="207" t="str">
        <f t="shared" si="113"/>
        <v/>
      </c>
      <c r="AI774" s="210" t="str">
        <f>IF(ISBLANK(D774),"",VLOOKUP($A774,INDEX!$D$2:$F$13,3,0))</f>
        <v/>
      </c>
      <c r="AJ774" s="207" t="str">
        <f t="shared" si="114"/>
        <v/>
      </c>
      <c r="AK774" s="207"/>
      <c r="AL774" s="207"/>
      <c r="AM774" s="207" t="str">
        <f>IFERROR(IF(ISBLANK($D774),"",VLOOKUP($N774,'TABLE CHARGE RATE'!$A$30:$K$106,5,0)),"Check")</f>
        <v/>
      </c>
      <c r="AN774" s="207" t="str">
        <f>IFERROR(IF(ISBLANK($D774),"",VLOOKUP($N774,'TABLE CHARGE RATE'!$A$30:$K$106,6,0)),"Check")</f>
        <v/>
      </c>
      <c r="AO774" s="207" t="str">
        <f>IFERROR(IF(ISBLANK($D774),"",VLOOKUP($N774,'TABLE CHARGE RATE'!$A$30:$K$106,7,0)),"Check")</f>
        <v/>
      </c>
      <c r="AP774" s="207" t="str">
        <f>IFERROR(IF(ISBLANK($D774),"",VLOOKUP($N774,'TABLE CHARGE RATE'!$A$30:$K$106,8,0)),"Check")</f>
        <v/>
      </c>
      <c r="AQ774" s="207" t="str">
        <f>IFERROR(IF(ISBLANK($D774),"",VLOOKUP($N774,'TABLE CHARGE RATE'!$A$30:$K$106,9,0)),"Check")</f>
        <v/>
      </c>
      <c r="AR774" s="207" t="str">
        <f>IFERROR(IF(ISBLANK($D774),"",VLOOKUP($N774,'TABLE CHARGE RATE'!$A$30:$K$106,10,0)),"Check")</f>
        <v/>
      </c>
      <c r="AS774" s="207" t="str">
        <f>IFERROR(IF(ISBLANK($D774),"",VLOOKUP($N774,'TABLE CHARGE RATE'!$A$30:$K$106,11,0)),"Check")</f>
        <v/>
      </c>
      <c r="AT774" s="207"/>
    </row>
    <row r="775" spans="1:46" x14ac:dyDescent="0.2">
      <c r="A775" s="207" t="str">
        <f t="shared" si="109"/>
        <v/>
      </c>
      <c r="B775" s="208" t="str">
        <f>IF(ISBLANK(D775),"",VLOOKUP(WEEKDAY($C775,1),INDEX!$J$2:$K$8,2,0))</f>
        <v/>
      </c>
      <c r="C775" s="209"/>
      <c r="D775" s="207"/>
      <c r="E775" s="207"/>
      <c r="F775" s="207"/>
      <c r="G775" s="207"/>
      <c r="H775" s="207"/>
      <c r="I775" s="207"/>
      <c r="J775" s="207"/>
      <c r="K775" s="207"/>
      <c r="L775" s="207"/>
      <c r="M775" s="207"/>
      <c r="N775" s="207"/>
      <c r="O775" s="207"/>
      <c r="P775" s="207"/>
      <c r="Q775" s="207"/>
      <c r="R775" s="207"/>
      <c r="S775" s="207"/>
      <c r="T775" s="207"/>
      <c r="U775" s="209"/>
      <c r="V775" s="207"/>
      <c r="W775" s="207"/>
      <c r="X775" s="209"/>
      <c r="Y775" s="209"/>
      <c r="Z775" s="207" t="str">
        <f t="shared" ca="1" si="111"/>
        <v/>
      </c>
      <c r="AA775" s="209" t="str">
        <f t="shared" si="108"/>
        <v/>
      </c>
      <c r="AB775" s="209"/>
      <c r="AC775" s="207" t="str">
        <f t="shared" ca="1" si="112"/>
        <v/>
      </c>
      <c r="AD775" s="207"/>
      <c r="AE775" s="207"/>
      <c r="AF775" s="208" t="str">
        <f>IF(ISBLANK(D775),"",VLOOKUP(F775,'SIZE CALCULATION'!$F:$G,2,0))</f>
        <v/>
      </c>
      <c r="AG775" s="207" t="str">
        <f t="shared" si="110"/>
        <v/>
      </c>
      <c r="AH775" s="207" t="str">
        <f t="shared" si="113"/>
        <v/>
      </c>
      <c r="AI775" s="210" t="str">
        <f>IF(ISBLANK(D775),"",VLOOKUP($A775,INDEX!$D$2:$F$13,3,0))</f>
        <v/>
      </c>
      <c r="AJ775" s="207" t="str">
        <f t="shared" si="114"/>
        <v/>
      </c>
      <c r="AK775" s="207"/>
      <c r="AL775" s="207"/>
      <c r="AM775" s="207" t="str">
        <f>IFERROR(IF(ISBLANK($D775),"",VLOOKUP($N775,'TABLE CHARGE RATE'!$A$30:$K$106,5,0)),"Check")</f>
        <v/>
      </c>
      <c r="AN775" s="207" t="str">
        <f>IFERROR(IF(ISBLANK($D775),"",VLOOKUP($N775,'TABLE CHARGE RATE'!$A$30:$K$106,6,0)),"Check")</f>
        <v/>
      </c>
      <c r="AO775" s="207" t="str">
        <f>IFERROR(IF(ISBLANK($D775),"",VLOOKUP($N775,'TABLE CHARGE RATE'!$A$30:$K$106,7,0)),"Check")</f>
        <v/>
      </c>
      <c r="AP775" s="207" t="str">
        <f>IFERROR(IF(ISBLANK($D775),"",VLOOKUP($N775,'TABLE CHARGE RATE'!$A$30:$K$106,8,0)),"Check")</f>
        <v/>
      </c>
      <c r="AQ775" s="207" t="str">
        <f>IFERROR(IF(ISBLANK($D775),"",VLOOKUP($N775,'TABLE CHARGE RATE'!$A$30:$K$106,9,0)),"Check")</f>
        <v/>
      </c>
      <c r="AR775" s="207" t="str">
        <f>IFERROR(IF(ISBLANK($D775),"",VLOOKUP($N775,'TABLE CHARGE RATE'!$A$30:$K$106,10,0)),"Check")</f>
        <v/>
      </c>
      <c r="AS775" s="207" t="str">
        <f>IFERROR(IF(ISBLANK($D775),"",VLOOKUP($N775,'TABLE CHARGE RATE'!$A$30:$K$106,11,0)),"Check")</f>
        <v/>
      </c>
      <c r="AT775" s="207"/>
    </row>
    <row r="776" spans="1:46" x14ac:dyDescent="0.2">
      <c r="A776" s="207" t="str">
        <f t="shared" si="109"/>
        <v/>
      </c>
      <c r="B776" s="208" t="str">
        <f>IF(ISBLANK(D776),"",VLOOKUP(WEEKDAY($C776,1),INDEX!$J$2:$K$8,2,0))</f>
        <v/>
      </c>
      <c r="C776" s="209"/>
      <c r="D776" s="207"/>
      <c r="E776" s="207"/>
      <c r="F776" s="207"/>
      <c r="G776" s="207"/>
      <c r="H776" s="207"/>
      <c r="I776" s="207"/>
      <c r="J776" s="207"/>
      <c r="K776" s="207"/>
      <c r="L776" s="207"/>
      <c r="M776" s="207"/>
      <c r="N776" s="207"/>
      <c r="O776" s="207"/>
      <c r="P776" s="207"/>
      <c r="Q776" s="207"/>
      <c r="R776" s="207"/>
      <c r="S776" s="207"/>
      <c r="T776" s="207"/>
      <c r="U776" s="209"/>
      <c r="V776" s="207"/>
      <c r="W776" s="207"/>
      <c r="X776" s="209"/>
      <c r="Y776" s="209"/>
      <c r="Z776" s="207" t="str">
        <f t="shared" ca="1" si="111"/>
        <v/>
      </c>
      <c r="AA776" s="209" t="str">
        <f t="shared" si="108"/>
        <v/>
      </c>
      <c r="AB776" s="209"/>
      <c r="AC776" s="207" t="str">
        <f t="shared" ca="1" si="112"/>
        <v/>
      </c>
      <c r="AD776" s="207"/>
      <c r="AE776" s="207"/>
      <c r="AF776" s="208" t="str">
        <f>IF(ISBLANK(D776),"",VLOOKUP(F776,'SIZE CALCULATION'!$F:$G,2,0))</f>
        <v/>
      </c>
      <c r="AG776" s="207" t="str">
        <f t="shared" si="110"/>
        <v/>
      </c>
      <c r="AH776" s="207" t="str">
        <f t="shared" si="113"/>
        <v/>
      </c>
      <c r="AI776" s="210" t="str">
        <f>IF(ISBLANK(D776),"",VLOOKUP($A776,INDEX!$D$2:$F$13,3,0))</f>
        <v/>
      </c>
      <c r="AJ776" s="207" t="str">
        <f t="shared" si="114"/>
        <v/>
      </c>
      <c r="AK776" s="207"/>
      <c r="AL776" s="207"/>
      <c r="AM776" s="207" t="str">
        <f>IFERROR(IF(ISBLANK($D776),"",VLOOKUP($N776,'TABLE CHARGE RATE'!$A$30:$K$106,5,0)),"Check")</f>
        <v/>
      </c>
      <c r="AN776" s="207" t="str">
        <f>IFERROR(IF(ISBLANK($D776),"",VLOOKUP($N776,'TABLE CHARGE RATE'!$A$30:$K$106,6,0)),"Check")</f>
        <v/>
      </c>
      <c r="AO776" s="207" t="str">
        <f>IFERROR(IF(ISBLANK($D776),"",VLOOKUP($N776,'TABLE CHARGE RATE'!$A$30:$K$106,7,0)),"Check")</f>
        <v/>
      </c>
      <c r="AP776" s="207" t="str">
        <f>IFERROR(IF(ISBLANK($D776),"",VLOOKUP($N776,'TABLE CHARGE RATE'!$A$30:$K$106,8,0)),"Check")</f>
        <v/>
      </c>
      <c r="AQ776" s="207" t="str">
        <f>IFERROR(IF(ISBLANK($D776),"",VLOOKUP($N776,'TABLE CHARGE RATE'!$A$30:$K$106,9,0)),"Check")</f>
        <v/>
      </c>
      <c r="AR776" s="207" t="str">
        <f>IFERROR(IF(ISBLANK($D776),"",VLOOKUP($N776,'TABLE CHARGE RATE'!$A$30:$K$106,10,0)),"Check")</f>
        <v/>
      </c>
      <c r="AS776" s="207" t="str">
        <f>IFERROR(IF(ISBLANK($D776),"",VLOOKUP($N776,'TABLE CHARGE RATE'!$A$30:$K$106,11,0)),"Check")</f>
        <v/>
      </c>
      <c r="AT776" s="207"/>
    </row>
    <row r="777" spans="1:46" x14ac:dyDescent="0.2">
      <c r="A777" s="207" t="str">
        <f t="shared" si="109"/>
        <v/>
      </c>
      <c r="B777" s="208" t="str">
        <f>IF(ISBLANK(D777),"",VLOOKUP(WEEKDAY($C777,1),INDEX!$J$2:$K$8,2,0))</f>
        <v/>
      </c>
      <c r="C777" s="209"/>
      <c r="D777" s="207"/>
      <c r="E777" s="207"/>
      <c r="F777" s="207"/>
      <c r="G777" s="207"/>
      <c r="H777" s="207"/>
      <c r="I777" s="207"/>
      <c r="J777" s="207"/>
      <c r="K777" s="207"/>
      <c r="L777" s="207"/>
      <c r="M777" s="207"/>
      <c r="N777" s="207"/>
      <c r="O777" s="207"/>
      <c r="P777" s="207"/>
      <c r="Q777" s="207"/>
      <c r="R777" s="207"/>
      <c r="S777" s="207"/>
      <c r="T777" s="207"/>
      <c r="U777" s="209"/>
      <c r="V777" s="207"/>
      <c r="W777" s="207"/>
      <c r="X777" s="209"/>
      <c r="Y777" s="209"/>
      <c r="Z777" s="207" t="str">
        <f t="shared" ca="1" si="111"/>
        <v/>
      </c>
      <c r="AA777" s="209" t="str">
        <f t="shared" si="108"/>
        <v/>
      </c>
      <c r="AB777" s="209"/>
      <c r="AC777" s="207" t="str">
        <f t="shared" ca="1" si="112"/>
        <v/>
      </c>
      <c r="AD777" s="207"/>
      <c r="AE777" s="207"/>
      <c r="AF777" s="208" t="str">
        <f>IF(ISBLANK(D777),"",VLOOKUP(F777,'SIZE CALCULATION'!$F:$G,2,0))</f>
        <v/>
      </c>
      <c r="AG777" s="207" t="str">
        <f t="shared" si="110"/>
        <v/>
      </c>
      <c r="AH777" s="207" t="str">
        <f t="shared" si="113"/>
        <v/>
      </c>
      <c r="AI777" s="210" t="str">
        <f>IF(ISBLANK(D777),"",VLOOKUP($A777,INDEX!$D$2:$F$13,3,0))</f>
        <v/>
      </c>
      <c r="AJ777" s="207" t="str">
        <f t="shared" si="114"/>
        <v/>
      </c>
      <c r="AK777" s="207"/>
      <c r="AL777" s="207"/>
      <c r="AM777" s="207" t="str">
        <f>IFERROR(IF(ISBLANK($D777),"",VLOOKUP($N777,'TABLE CHARGE RATE'!$A$30:$K$106,5,0)),"Check")</f>
        <v/>
      </c>
      <c r="AN777" s="207" t="str">
        <f>IFERROR(IF(ISBLANK($D777),"",VLOOKUP($N777,'TABLE CHARGE RATE'!$A$30:$K$106,6,0)),"Check")</f>
        <v/>
      </c>
      <c r="AO777" s="207" t="str">
        <f>IFERROR(IF(ISBLANK($D777),"",VLOOKUP($N777,'TABLE CHARGE RATE'!$A$30:$K$106,7,0)),"Check")</f>
        <v/>
      </c>
      <c r="AP777" s="207" t="str">
        <f>IFERROR(IF(ISBLANK($D777),"",VLOOKUP($N777,'TABLE CHARGE RATE'!$A$30:$K$106,8,0)),"Check")</f>
        <v/>
      </c>
      <c r="AQ777" s="207" t="str">
        <f>IFERROR(IF(ISBLANK($D777),"",VLOOKUP($N777,'TABLE CHARGE RATE'!$A$30:$K$106,9,0)),"Check")</f>
        <v/>
      </c>
      <c r="AR777" s="207" t="str">
        <f>IFERROR(IF(ISBLANK($D777),"",VLOOKUP($N777,'TABLE CHARGE RATE'!$A$30:$K$106,10,0)),"Check")</f>
        <v/>
      </c>
      <c r="AS777" s="207" t="str">
        <f>IFERROR(IF(ISBLANK($D777),"",VLOOKUP($N777,'TABLE CHARGE RATE'!$A$30:$K$106,11,0)),"Check")</f>
        <v/>
      </c>
      <c r="AT777" s="207"/>
    </row>
    <row r="778" spans="1:46" x14ac:dyDescent="0.2">
      <c r="A778" s="207" t="str">
        <f t="shared" si="109"/>
        <v/>
      </c>
      <c r="B778" s="208" t="str">
        <f>IF(ISBLANK(D778),"",VLOOKUP(WEEKDAY($C778,1),INDEX!$J$2:$K$8,2,0))</f>
        <v/>
      </c>
      <c r="C778" s="209"/>
      <c r="D778" s="207"/>
      <c r="E778" s="207"/>
      <c r="F778" s="207"/>
      <c r="G778" s="207"/>
      <c r="H778" s="207"/>
      <c r="I778" s="207"/>
      <c r="J778" s="207"/>
      <c r="K778" s="207"/>
      <c r="L778" s="207"/>
      <c r="M778" s="207"/>
      <c r="N778" s="207"/>
      <c r="O778" s="207"/>
      <c r="P778" s="207"/>
      <c r="Q778" s="207"/>
      <c r="R778" s="207"/>
      <c r="S778" s="207"/>
      <c r="T778" s="207"/>
      <c r="U778" s="209"/>
      <c r="V778" s="207"/>
      <c r="W778" s="207"/>
      <c r="X778" s="209"/>
      <c r="Y778" s="209"/>
      <c r="Z778" s="207" t="str">
        <f t="shared" ca="1" si="111"/>
        <v/>
      </c>
      <c r="AA778" s="209" t="str">
        <f t="shared" si="108"/>
        <v/>
      </c>
      <c r="AB778" s="209"/>
      <c r="AC778" s="207" t="str">
        <f t="shared" ca="1" si="112"/>
        <v/>
      </c>
      <c r="AD778" s="207"/>
      <c r="AE778" s="207"/>
      <c r="AF778" s="208" t="str">
        <f>IF(ISBLANK(D778),"",VLOOKUP(F778,'SIZE CALCULATION'!$F:$G,2,0))</f>
        <v/>
      </c>
      <c r="AG778" s="207" t="str">
        <f t="shared" si="110"/>
        <v/>
      </c>
      <c r="AH778" s="207" t="str">
        <f t="shared" si="113"/>
        <v/>
      </c>
      <c r="AI778" s="210" t="str">
        <f>IF(ISBLANK(D778),"",VLOOKUP($A778,INDEX!$D$2:$F$13,3,0))</f>
        <v/>
      </c>
      <c r="AJ778" s="207" t="str">
        <f t="shared" si="114"/>
        <v/>
      </c>
      <c r="AK778" s="207"/>
      <c r="AL778" s="207"/>
      <c r="AM778" s="207" t="str">
        <f>IFERROR(IF(ISBLANK($D778),"",VLOOKUP($N778,'TABLE CHARGE RATE'!$A$30:$K$106,5,0)),"Check")</f>
        <v/>
      </c>
      <c r="AN778" s="207" t="str">
        <f>IFERROR(IF(ISBLANK($D778),"",VLOOKUP($N778,'TABLE CHARGE RATE'!$A$30:$K$106,6,0)),"Check")</f>
        <v/>
      </c>
      <c r="AO778" s="207" t="str">
        <f>IFERROR(IF(ISBLANK($D778),"",VLOOKUP($N778,'TABLE CHARGE RATE'!$A$30:$K$106,7,0)),"Check")</f>
        <v/>
      </c>
      <c r="AP778" s="207" t="str">
        <f>IFERROR(IF(ISBLANK($D778),"",VLOOKUP($N778,'TABLE CHARGE RATE'!$A$30:$K$106,8,0)),"Check")</f>
        <v/>
      </c>
      <c r="AQ778" s="207" t="str">
        <f>IFERROR(IF(ISBLANK($D778),"",VLOOKUP($N778,'TABLE CHARGE RATE'!$A$30:$K$106,9,0)),"Check")</f>
        <v/>
      </c>
      <c r="AR778" s="207" t="str">
        <f>IFERROR(IF(ISBLANK($D778),"",VLOOKUP($N778,'TABLE CHARGE RATE'!$A$30:$K$106,10,0)),"Check")</f>
        <v/>
      </c>
      <c r="AS778" s="207" t="str">
        <f>IFERROR(IF(ISBLANK($D778),"",VLOOKUP($N778,'TABLE CHARGE RATE'!$A$30:$K$106,11,0)),"Check")</f>
        <v/>
      </c>
      <c r="AT778" s="207"/>
    </row>
    <row r="779" spans="1:46" x14ac:dyDescent="0.2">
      <c r="A779" s="207" t="str">
        <f t="shared" si="109"/>
        <v/>
      </c>
      <c r="B779" s="208" t="str">
        <f>IF(ISBLANK(D779),"",VLOOKUP(WEEKDAY($C779,1),INDEX!$J$2:$K$8,2,0))</f>
        <v/>
      </c>
      <c r="C779" s="209"/>
      <c r="D779" s="207"/>
      <c r="E779" s="207"/>
      <c r="F779" s="207"/>
      <c r="G779" s="207"/>
      <c r="H779" s="207"/>
      <c r="I779" s="207"/>
      <c r="J779" s="207"/>
      <c r="K779" s="207"/>
      <c r="L779" s="207"/>
      <c r="M779" s="207"/>
      <c r="N779" s="207"/>
      <c r="O779" s="207"/>
      <c r="P779" s="207"/>
      <c r="Q779" s="207"/>
      <c r="R779" s="207"/>
      <c r="S779" s="207"/>
      <c r="T779" s="207"/>
      <c r="U779" s="209"/>
      <c r="V779" s="207"/>
      <c r="W779" s="207"/>
      <c r="X779" s="209"/>
      <c r="Y779" s="209"/>
      <c r="Z779" s="207" t="str">
        <f t="shared" ca="1" si="111"/>
        <v/>
      </c>
      <c r="AA779" s="209" t="str">
        <f t="shared" si="108"/>
        <v/>
      </c>
      <c r="AB779" s="209"/>
      <c r="AC779" s="207" t="str">
        <f t="shared" ca="1" si="112"/>
        <v/>
      </c>
      <c r="AD779" s="207"/>
      <c r="AE779" s="207"/>
      <c r="AF779" s="208" t="str">
        <f>IF(ISBLANK(D779),"",VLOOKUP(F779,'SIZE CALCULATION'!$F:$G,2,0))</f>
        <v/>
      </c>
      <c r="AG779" s="207" t="str">
        <f t="shared" si="110"/>
        <v/>
      </c>
      <c r="AH779" s="207" t="str">
        <f t="shared" si="113"/>
        <v/>
      </c>
      <c r="AI779" s="210" t="str">
        <f>IF(ISBLANK(D779),"",VLOOKUP($A779,INDEX!$D$2:$F$13,3,0))</f>
        <v/>
      </c>
      <c r="AJ779" s="207" t="str">
        <f t="shared" si="114"/>
        <v/>
      </c>
      <c r="AK779" s="207"/>
      <c r="AL779" s="207"/>
      <c r="AM779" s="207" t="str">
        <f>IFERROR(IF(ISBLANK($D779),"",VLOOKUP($N779,'TABLE CHARGE RATE'!$A$30:$K$106,5,0)),"Check")</f>
        <v/>
      </c>
      <c r="AN779" s="207" t="str">
        <f>IFERROR(IF(ISBLANK($D779),"",VLOOKUP($N779,'TABLE CHARGE RATE'!$A$30:$K$106,6,0)),"Check")</f>
        <v/>
      </c>
      <c r="AO779" s="207" t="str">
        <f>IFERROR(IF(ISBLANK($D779),"",VLOOKUP($N779,'TABLE CHARGE RATE'!$A$30:$K$106,7,0)),"Check")</f>
        <v/>
      </c>
      <c r="AP779" s="207" t="str">
        <f>IFERROR(IF(ISBLANK($D779),"",VLOOKUP($N779,'TABLE CHARGE RATE'!$A$30:$K$106,8,0)),"Check")</f>
        <v/>
      </c>
      <c r="AQ779" s="207" t="str">
        <f>IFERROR(IF(ISBLANK($D779),"",VLOOKUP($N779,'TABLE CHARGE RATE'!$A$30:$K$106,9,0)),"Check")</f>
        <v/>
      </c>
      <c r="AR779" s="207" t="str">
        <f>IFERROR(IF(ISBLANK($D779),"",VLOOKUP($N779,'TABLE CHARGE RATE'!$A$30:$K$106,10,0)),"Check")</f>
        <v/>
      </c>
      <c r="AS779" s="207" t="str">
        <f>IFERROR(IF(ISBLANK($D779),"",VLOOKUP($N779,'TABLE CHARGE RATE'!$A$30:$K$106,11,0)),"Check")</f>
        <v/>
      </c>
      <c r="AT779" s="207"/>
    </row>
    <row r="780" spans="1:46" x14ac:dyDescent="0.2">
      <c r="A780" s="207" t="str">
        <f t="shared" si="109"/>
        <v/>
      </c>
      <c r="B780" s="208" t="str">
        <f>IF(ISBLANK(D780),"",VLOOKUP(WEEKDAY($C780,1),INDEX!$J$2:$K$8,2,0))</f>
        <v/>
      </c>
      <c r="C780" s="209"/>
      <c r="D780" s="207"/>
      <c r="E780" s="207"/>
      <c r="F780" s="207"/>
      <c r="G780" s="207"/>
      <c r="H780" s="207"/>
      <c r="I780" s="207"/>
      <c r="J780" s="207"/>
      <c r="K780" s="207"/>
      <c r="L780" s="207"/>
      <c r="M780" s="207"/>
      <c r="N780" s="207"/>
      <c r="O780" s="207"/>
      <c r="P780" s="207"/>
      <c r="Q780" s="207"/>
      <c r="R780" s="207"/>
      <c r="S780" s="207"/>
      <c r="T780" s="207"/>
      <c r="U780" s="209"/>
      <c r="V780" s="207"/>
      <c r="W780" s="207"/>
      <c r="X780" s="209"/>
      <c r="Y780" s="209"/>
      <c r="Z780" s="207" t="str">
        <f t="shared" ca="1" si="111"/>
        <v/>
      </c>
      <c r="AA780" s="209" t="str">
        <f t="shared" si="108"/>
        <v/>
      </c>
      <c r="AB780" s="209"/>
      <c r="AC780" s="207" t="str">
        <f t="shared" ca="1" si="112"/>
        <v/>
      </c>
      <c r="AD780" s="207"/>
      <c r="AE780" s="207"/>
      <c r="AF780" s="208" t="str">
        <f>IF(ISBLANK(D780),"",VLOOKUP(F780,'SIZE CALCULATION'!$F:$G,2,0))</f>
        <v/>
      </c>
      <c r="AG780" s="207" t="str">
        <f t="shared" si="110"/>
        <v/>
      </c>
      <c r="AH780" s="207" t="str">
        <f t="shared" si="113"/>
        <v/>
      </c>
      <c r="AI780" s="210" t="str">
        <f>IF(ISBLANK(D780),"",VLOOKUP($A780,INDEX!$D$2:$F$13,3,0))</f>
        <v/>
      </c>
      <c r="AJ780" s="207" t="str">
        <f t="shared" si="114"/>
        <v/>
      </c>
      <c r="AK780" s="207"/>
      <c r="AL780" s="207"/>
      <c r="AM780" s="207" t="str">
        <f>IFERROR(IF(ISBLANK($D780),"",VLOOKUP($N780,'TABLE CHARGE RATE'!$A$30:$K$106,5,0)),"Check")</f>
        <v/>
      </c>
      <c r="AN780" s="207" t="str">
        <f>IFERROR(IF(ISBLANK($D780),"",VLOOKUP($N780,'TABLE CHARGE RATE'!$A$30:$K$106,6,0)),"Check")</f>
        <v/>
      </c>
      <c r="AO780" s="207" t="str">
        <f>IFERROR(IF(ISBLANK($D780),"",VLOOKUP($N780,'TABLE CHARGE RATE'!$A$30:$K$106,7,0)),"Check")</f>
        <v/>
      </c>
      <c r="AP780" s="207" t="str">
        <f>IFERROR(IF(ISBLANK($D780),"",VLOOKUP($N780,'TABLE CHARGE RATE'!$A$30:$K$106,8,0)),"Check")</f>
        <v/>
      </c>
      <c r="AQ780" s="207" t="str">
        <f>IFERROR(IF(ISBLANK($D780),"",VLOOKUP($N780,'TABLE CHARGE RATE'!$A$30:$K$106,9,0)),"Check")</f>
        <v/>
      </c>
      <c r="AR780" s="207" t="str">
        <f>IFERROR(IF(ISBLANK($D780),"",VLOOKUP($N780,'TABLE CHARGE RATE'!$A$30:$K$106,10,0)),"Check")</f>
        <v/>
      </c>
      <c r="AS780" s="207" t="str">
        <f>IFERROR(IF(ISBLANK($D780),"",VLOOKUP($N780,'TABLE CHARGE RATE'!$A$30:$K$106,11,0)),"Check")</f>
        <v/>
      </c>
      <c r="AT780" s="207"/>
    </row>
    <row r="781" spans="1:46" x14ac:dyDescent="0.2">
      <c r="A781" s="207" t="str">
        <f t="shared" si="109"/>
        <v/>
      </c>
      <c r="B781" s="208" t="str">
        <f>IF(ISBLANK(D781),"",VLOOKUP(WEEKDAY($C781,1),INDEX!$J$2:$K$8,2,0))</f>
        <v/>
      </c>
      <c r="C781" s="209"/>
      <c r="D781" s="207"/>
      <c r="E781" s="207"/>
      <c r="F781" s="207"/>
      <c r="G781" s="207"/>
      <c r="H781" s="207"/>
      <c r="I781" s="207"/>
      <c r="J781" s="207"/>
      <c r="K781" s="207"/>
      <c r="L781" s="207"/>
      <c r="M781" s="207"/>
      <c r="N781" s="207"/>
      <c r="O781" s="207"/>
      <c r="P781" s="207"/>
      <c r="Q781" s="207"/>
      <c r="R781" s="207"/>
      <c r="S781" s="207"/>
      <c r="T781" s="207"/>
      <c r="U781" s="209"/>
      <c r="V781" s="207"/>
      <c r="W781" s="207"/>
      <c r="X781" s="209"/>
      <c r="Y781" s="209"/>
      <c r="Z781" s="207" t="str">
        <f t="shared" ca="1" si="111"/>
        <v/>
      </c>
      <c r="AA781" s="209" t="str">
        <f t="shared" si="108"/>
        <v/>
      </c>
      <c r="AB781" s="209"/>
      <c r="AC781" s="207" t="str">
        <f t="shared" ca="1" si="112"/>
        <v/>
      </c>
      <c r="AD781" s="207"/>
      <c r="AE781" s="207"/>
      <c r="AF781" s="208" t="str">
        <f>IF(ISBLANK(D781),"",VLOOKUP(F781,'SIZE CALCULATION'!$F:$G,2,0))</f>
        <v/>
      </c>
      <c r="AG781" s="207" t="str">
        <f t="shared" si="110"/>
        <v/>
      </c>
      <c r="AH781" s="207" t="str">
        <f t="shared" si="113"/>
        <v/>
      </c>
      <c r="AI781" s="210" t="str">
        <f>IF(ISBLANK(D781),"",VLOOKUP($A781,INDEX!$D$2:$F$13,3,0))</f>
        <v/>
      </c>
      <c r="AJ781" s="207" t="str">
        <f t="shared" si="114"/>
        <v/>
      </c>
      <c r="AK781" s="207"/>
      <c r="AL781" s="207"/>
      <c r="AM781" s="207" t="str">
        <f>IFERROR(IF(ISBLANK($D781),"",VLOOKUP($N781,'TABLE CHARGE RATE'!$A$30:$K$106,5,0)),"Check")</f>
        <v/>
      </c>
      <c r="AN781" s="207" t="str">
        <f>IFERROR(IF(ISBLANK($D781),"",VLOOKUP($N781,'TABLE CHARGE RATE'!$A$30:$K$106,6,0)),"Check")</f>
        <v/>
      </c>
      <c r="AO781" s="207" t="str">
        <f>IFERROR(IF(ISBLANK($D781),"",VLOOKUP($N781,'TABLE CHARGE RATE'!$A$30:$K$106,7,0)),"Check")</f>
        <v/>
      </c>
      <c r="AP781" s="207" t="str">
        <f>IFERROR(IF(ISBLANK($D781),"",VLOOKUP($N781,'TABLE CHARGE RATE'!$A$30:$K$106,8,0)),"Check")</f>
        <v/>
      </c>
      <c r="AQ781" s="207" t="str">
        <f>IFERROR(IF(ISBLANK($D781),"",VLOOKUP($N781,'TABLE CHARGE RATE'!$A$30:$K$106,9,0)),"Check")</f>
        <v/>
      </c>
      <c r="AR781" s="207" t="str">
        <f>IFERROR(IF(ISBLANK($D781),"",VLOOKUP($N781,'TABLE CHARGE RATE'!$A$30:$K$106,10,0)),"Check")</f>
        <v/>
      </c>
      <c r="AS781" s="207" t="str">
        <f>IFERROR(IF(ISBLANK($D781),"",VLOOKUP($N781,'TABLE CHARGE RATE'!$A$30:$K$106,11,0)),"Check")</f>
        <v/>
      </c>
      <c r="AT781" s="207"/>
    </row>
    <row r="782" spans="1:46" x14ac:dyDescent="0.2">
      <c r="A782" s="207" t="str">
        <f t="shared" si="109"/>
        <v/>
      </c>
      <c r="B782" s="208" t="str">
        <f>IF(ISBLANK(D782),"",VLOOKUP(WEEKDAY($C782,1),INDEX!$J$2:$K$8,2,0))</f>
        <v/>
      </c>
      <c r="C782" s="209"/>
      <c r="D782" s="207"/>
      <c r="E782" s="207"/>
      <c r="F782" s="207"/>
      <c r="G782" s="207"/>
      <c r="H782" s="207"/>
      <c r="I782" s="207"/>
      <c r="J782" s="207"/>
      <c r="K782" s="207"/>
      <c r="L782" s="207"/>
      <c r="M782" s="207"/>
      <c r="N782" s="207"/>
      <c r="O782" s="207"/>
      <c r="P782" s="207"/>
      <c r="Q782" s="207"/>
      <c r="R782" s="207"/>
      <c r="S782" s="207"/>
      <c r="T782" s="207"/>
      <c r="U782" s="209"/>
      <c r="V782" s="207"/>
      <c r="W782" s="207"/>
      <c r="X782" s="209"/>
      <c r="Y782" s="209"/>
      <c r="Z782" s="207" t="str">
        <f t="shared" ca="1" si="111"/>
        <v/>
      </c>
      <c r="AA782" s="209" t="str">
        <f t="shared" si="108"/>
        <v/>
      </c>
      <c r="AB782" s="209"/>
      <c r="AC782" s="207" t="str">
        <f t="shared" ca="1" si="112"/>
        <v/>
      </c>
      <c r="AD782" s="207"/>
      <c r="AE782" s="207"/>
      <c r="AF782" s="208" t="str">
        <f>IF(ISBLANK(D782),"",VLOOKUP(F782,'SIZE CALCULATION'!$F:$G,2,0))</f>
        <v/>
      </c>
      <c r="AG782" s="207" t="str">
        <f t="shared" si="110"/>
        <v/>
      </c>
      <c r="AH782" s="207" t="str">
        <f t="shared" si="113"/>
        <v/>
      </c>
      <c r="AI782" s="210" t="str">
        <f>IF(ISBLANK(D782),"",VLOOKUP($A782,INDEX!$D$2:$F$13,3,0))</f>
        <v/>
      </c>
      <c r="AJ782" s="207" t="str">
        <f t="shared" si="114"/>
        <v/>
      </c>
      <c r="AK782" s="207"/>
      <c r="AL782" s="207"/>
      <c r="AM782" s="207" t="str">
        <f>IFERROR(IF(ISBLANK($D782),"",VLOOKUP($N782,'TABLE CHARGE RATE'!$A$30:$K$106,5,0)),"Check")</f>
        <v/>
      </c>
      <c r="AN782" s="207" t="str">
        <f>IFERROR(IF(ISBLANK($D782),"",VLOOKUP($N782,'TABLE CHARGE RATE'!$A$30:$K$106,6,0)),"Check")</f>
        <v/>
      </c>
      <c r="AO782" s="207" t="str">
        <f>IFERROR(IF(ISBLANK($D782),"",VLOOKUP($N782,'TABLE CHARGE RATE'!$A$30:$K$106,7,0)),"Check")</f>
        <v/>
      </c>
      <c r="AP782" s="207" t="str">
        <f>IFERROR(IF(ISBLANK($D782),"",VLOOKUP($N782,'TABLE CHARGE RATE'!$A$30:$K$106,8,0)),"Check")</f>
        <v/>
      </c>
      <c r="AQ782" s="207" t="str">
        <f>IFERROR(IF(ISBLANK($D782),"",VLOOKUP($N782,'TABLE CHARGE RATE'!$A$30:$K$106,9,0)),"Check")</f>
        <v/>
      </c>
      <c r="AR782" s="207" t="str">
        <f>IFERROR(IF(ISBLANK($D782),"",VLOOKUP($N782,'TABLE CHARGE RATE'!$A$30:$K$106,10,0)),"Check")</f>
        <v/>
      </c>
      <c r="AS782" s="207" t="str">
        <f>IFERROR(IF(ISBLANK($D782),"",VLOOKUP($N782,'TABLE CHARGE RATE'!$A$30:$K$106,11,0)),"Check")</f>
        <v/>
      </c>
      <c r="AT782" s="207"/>
    </row>
    <row r="783" spans="1:46" x14ac:dyDescent="0.2">
      <c r="A783" s="207" t="str">
        <f t="shared" si="109"/>
        <v/>
      </c>
      <c r="B783" s="208" t="str">
        <f>IF(ISBLANK(D783),"",VLOOKUP(WEEKDAY($C783,1),INDEX!$J$2:$K$8,2,0))</f>
        <v/>
      </c>
      <c r="C783" s="209"/>
      <c r="D783" s="207"/>
      <c r="E783" s="207"/>
      <c r="F783" s="207"/>
      <c r="G783" s="207"/>
      <c r="H783" s="207"/>
      <c r="I783" s="207"/>
      <c r="J783" s="207"/>
      <c r="K783" s="207"/>
      <c r="L783" s="207"/>
      <c r="M783" s="207"/>
      <c r="N783" s="207"/>
      <c r="O783" s="207"/>
      <c r="P783" s="207"/>
      <c r="Q783" s="207"/>
      <c r="R783" s="207"/>
      <c r="S783" s="207"/>
      <c r="T783" s="207"/>
      <c r="U783" s="209"/>
      <c r="V783" s="207"/>
      <c r="W783" s="207"/>
      <c r="X783" s="209"/>
      <c r="Y783" s="209"/>
      <c r="Z783" s="207" t="str">
        <f t="shared" ca="1" si="111"/>
        <v/>
      </c>
      <c r="AA783" s="209" t="str">
        <f t="shared" si="108"/>
        <v/>
      </c>
      <c r="AB783" s="209"/>
      <c r="AC783" s="207" t="str">
        <f t="shared" ca="1" si="112"/>
        <v/>
      </c>
      <c r="AD783" s="207"/>
      <c r="AE783" s="207"/>
      <c r="AF783" s="208" t="str">
        <f>IF(ISBLANK(D783),"",VLOOKUP(F783,'SIZE CALCULATION'!$F:$G,2,0))</f>
        <v/>
      </c>
      <c r="AG783" s="207" t="str">
        <f t="shared" si="110"/>
        <v/>
      </c>
      <c r="AH783" s="207" t="str">
        <f t="shared" si="113"/>
        <v/>
      </c>
      <c r="AI783" s="210" t="str">
        <f>IF(ISBLANK(D783),"",VLOOKUP($A783,INDEX!$D$2:$F$13,3,0))</f>
        <v/>
      </c>
      <c r="AJ783" s="207" t="str">
        <f t="shared" si="114"/>
        <v/>
      </c>
      <c r="AK783" s="207"/>
      <c r="AL783" s="207"/>
      <c r="AM783" s="207" t="str">
        <f>IFERROR(IF(ISBLANK($D783),"",VLOOKUP($N783,'TABLE CHARGE RATE'!$A$30:$K$106,5,0)),"Check")</f>
        <v/>
      </c>
      <c r="AN783" s="207" t="str">
        <f>IFERROR(IF(ISBLANK($D783),"",VLOOKUP($N783,'TABLE CHARGE RATE'!$A$30:$K$106,6,0)),"Check")</f>
        <v/>
      </c>
      <c r="AO783" s="207" t="str">
        <f>IFERROR(IF(ISBLANK($D783),"",VLOOKUP($N783,'TABLE CHARGE RATE'!$A$30:$K$106,7,0)),"Check")</f>
        <v/>
      </c>
      <c r="AP783" s="207" t="str">
        <f>IFERROR(IF(ISBLANK($D783),"",VLOOKUP($N783,'TABLE CHARGE RATE'!$A$30:$K$106,8,0)),"Check")</f>
        <v/>
      </c>
      <c r="AQ783" s="207" t="str">
        <f>IFERROR(IF(ISBLANK($D783),"",VLOOKUP($N783,'TABLE CHARGE RATE'!$A$30:$K$106,9,0)),"Check")</f>
        <v/>
      </c>
      <c r="AR783" s="207" t="str">
        <f>IFERROR(IF(ISBLANK($D783),"",VLOOKUP($N783,'TABLE CHARGE RATE'!$A$30:$K$106,10,0)),"Check")</f>
        <v/>
      </c>
      <c r="AS783" s="207" t="str">
        <f>IFERROR(IF(ISBLANK($D783),"",VLOOKUP($N783,'TABLE CHARGE RATE'!$A$30:$K$106,11,0)),"Check")</f>
        <v/>
      </c>
      <c r="AT783" s="207"/>
    </row>
    <row r="784" spans="1:46" x14ac:dyDescent="0.2">
      <c r="A784" s="207" t="str">
        <f t="shared" si="109"/>
        <v/>
      </c>
      <c r="B784" s="208" t="str">
        <f>IF(ISBLANK(D784),"",VLOOKUP(WEEKDAY($C784,1),INDEX!$J$2:$K$8,2,0))</f>
        <v/>
      </c>
      <c r="C784" s="209"/>
      <c r="D784" s="207"/>
      <c r="E784" s="207"/>
      <c r="F784" s="207"/>
      <c r="G784" s="207"/>
      <c r="H784" s="207"/>
      <c r="I784" s="207"/>
      <c r="J784" s="207"/>
      <c r="K784" s="207"/>
      <c r="L784" s="207"/>
      <c r="M784" s="207"/>
      <c r="N784" s="207"/>
      <c r="O784" s="207"/>
      <c r="P784" s="207"/>
      <c r="Q784" s="207"/>
      <c r="R784" s="207"/>
      <c r="S784" s="207"/>
      <c r="T784" s="207"/>
      <c r="U784" s="209"/>
      <c r="V784" s="207"/>
      <c r="W784" s="207"/>
      <c r="X784" s="209"/>
      <c r="Y784" s="209"/>
      <c r="Z784" s="207" t="str">
        <f t="shared" ca="1" si="111"/>
        <v/>
      </c>
      <c r="AA784" s="209" t="str">
        <f t="shared" si="108"/>
        <v/>
      </c>
      <c r="AB784" s="209"/>
      <c r="AC784" s="207" t="str">
        <f t="shared" ca="1" si="112"/>
        <v/>
      </c>
      <c r="AD784" s="207"/>
      <c r="AE784" s="207"/>
      <c r="AF784" s="208" t="str">
        <f>IF(ISBLANK(D784),"",VLOOKUP(F784,'SIZE CALCULATION'!$F:$G,2,0))</f>
        <v/>
      </c>
      <c r="AG784" s="207" t="str">
        <f t="shared" si="110"/>
        <v/>
      </c>
      <c r="AH784" s="207" t="str">
        <f t="shared" si="113"/>
        <v/>
      </c>
      <c r="AI784" s="210" t="str">
        <f>IF(ISBLANK(D784),"",VLOOKUP($A784,INDEX!$D$2:$F$13,3,0))</f>
        <v/>
      </c>
      <c r="AJ784" s="207" t="str">
        <f t="shared" si="114"/>
        <v/>
      </c>
      <c r="AK784" s="207"/>
      <c r="AL784" s="207"/>
      <c r="AM784" s="207" t="str">
        <f>IFERROR(IF(ISBLANK($D784),"",VLOOKUP($N784,'TABLE CHARGE RATE'!$A$30:$K$106,5,0)),"Check")</f>
        <v/>
      </c>
      <c r="AN784" s="207" t="str">
        <f>IFERROR(IF(ISBLANK($D784),"",VLOOKUP($N784,'TABLE CHARGE RATE'!$A$30:$K$106,6,0)),"Check")</f>
        <v/>
      </c>
      <c r="AO784" s="207" t="str">
        <f>IFERROR(IF(ISBLANK($D784),"",VLOOKUP($N784,'TABLE CHARGE RATE'!$A$30:$K$106,7,0)),"Check")</f>
        <v/>
      </c>
      <c r="AP784" s="207" t="str">
        <f>IFERROR(IF(ISBLANK($D784),"",VLOOKUP($N784,'TABLE CHARGE RATE'!$A$30:$K$106,8,0)),"Check")</f>
        <v/>
      </c>
      <c r="AQ784" s="207" t="str">
        <f>IFERROR(IF(ISBLANK($D784),"",VLOOKUP($N784,'TABLE CHARGE RATE'!$A$30:$K$106,9,0)),"Check")</f>
        <v/>
      </c>
      <c r="AR784" s="207" t="str">
        <f>IFERROR(IF(ISBLANK($D784),"",VLOOKUP($N784,'TABLE CHARGE RATE'!$A$30:$K$106,10,0)),"Check")</f>
        <v/>
      </c>
      <c r="AS784" s="207" t="str">
        <f>IFERROR(IF(ISBLANK($D784),"",VLOOKUP($N784,'TABLE CHARGE RATE'!$A$30:$K$106,11,0)),"Check")</f>
        <v/>
      </c>
      <c r="AT784" s="207"/>
    </row>
    <row r="785" spans="1:46" x14ac:dyDescent="0.2">
      <c r="A785" s="207" t="str">
        <f t="shared" si="109"/>
        <v/>
      </c>
      <c r="B785" s="208" t="str">
        <f>IF(ISBLANK(D785),"",VLOOKUP(WEEKDAY($C785,1),INDEX!$J$2:$K$8,2,0))</f>
        <v/>
      </c>
      <c r="C785" s="209"/>
      <c r="D785" s="207"/>
      <c r="E785" s="207"/>
      <c r="F785" s="207"/>
      <c r="G785" s="207"/>
      <c r="H785" s="207"/>
      <c r="I785" s="207"/>
      <c r="J785" s="207"/>
      <c r="K785" s="207"/>
      <c r="L785" s="207"/>
      <c r="M785" s="207"/>
      <c r="N785" s="207"/>
      <c r="O785" s="207"/>
      <c r="P785" s="207"/>
      <c r="Q785" s="207"/>
      <c r="R785" s="207"/>
      <c r="S785" s="207"/>
      <c r="T785" s="207"/>
      <c r="U785" s="209"/>
      <c r="V785" s="207"/>
      <c r="W785" s="207"/>
      <c r="X785" s="209"/>
      <c r="Y785" s="209"/>
      <c r="Z785" s="207" t="str">
        <f t="shared" ca="1" si="111"/>
        <v/>
      </c>
      <c r="AA785" s="209" t="str">
        <f t="shared" si="108"/>
        <v/>
      </c>
      <c r="AB785" s="209"/>
      <c r="AC785" s="207" t="str">
        <f t="shared" ca="1" si="112"/>
        <v/>
      </c>
      <c r="AD785" s="207"/>
      <c r="AE785" s="207"/>
      <c r="AF785" s="208" t="str">
        <f>IF(ISBLANK(D785),"",VLOOKUP(F785,'SIZE CALCULATION'!$F:$G,2,0))</f>
        <v/>
      </c>
      <c r="AG785" s="207" t="str">
        <f t="shared" si="110"/>
        <v/>
      </c>
      <c r="AH785" s="207" t="str">
        <f t="shared" si="113"/>
        <v/>
      </c>
      <c r="AI785" s="210" t="str">
        <f>IF(ISBLANK(D785),"",VLOOKUP($A785,INDEX!$D$2:$F$13,3,0))</f>
        <v/>
      </c>
      <c r="AJ785" s="207" t="str">
        <f t="shared" si="114"/>
        <v/>
      </c>
      <c r="AK785" s="207"/>
      <c r="AL785" s="207"/>
      <c r="AM785" s="207" t="str">
        <f>IFERROR(IF(ISBLANK($D785),"",VLOOKUP($N785,'TABLE CHARGE RATE'!$A$30:$K$106,5,0)),"Check")</f>
        <v/>
      </c>
      <c r="AN785" s="207" t="str">
        <f>IFERROR(IF(ISBLANK($D785),"",VLOOKUP($N785,'TABLE CHARGE RATE'!$A$30:$K$106,6,0)),"Check")</f>
        <v/>
      </c>
      <c r="AO785" s="207" t="str">
        <f>IFERROR(IF(ISBLANK($D785),"",VLOOKUP($N785,'TABLE CHARGE RATE'!$A$30:$K$106,7,0)),"Check")</f>
        <v/>
      </c>
      <c r="AP785" s="207" t="str">
        <f>IFERROR(IF(ISBLANK($D785),"",VLOOKUP($N785,'TABLE CHARGE RATE'!$A$30:$K$106,8,0)),"Check")</f>
        <v/>
      </c>
      <c r="AQ785" s="207" t="str">
        <f>IFERROR(IF(ISBLANK($D785),"",VLOOKUP($N785,'TABLE CHARGE RATE'!$A$30:$K$106,9,0)),"Check")</f>
        <v/>
      </c>
      <c r="AR785" s="207" t="str">
        <f>IFERROR(IF(ISBLANK($D785),"",VLOOKUP($N785,'TABLE CHARGE RATE'!$A$30:$K$106,10,0)),"Check")</f>
        <v/>
      </c>
      <c r="AS785" s="207" t="str">
        <f>IFERROR(IF(ISBLANK($D785),"",VLOOKUP($N785,'TABLE CHARGE RATE'!$A$30:$K$106,11,0)),"Check")</f>
        <v/>
      </c>
      <c r="AT785" s="207"/>
    </row>
    <row r="786" spans="1:46" x14ac:dyDescent="0.2">
      <c r="A786" s="207" t="str">
        <f t="shared" si="109"/>
        <v/>
      </c>
      <c r="B786" s="208" t="str">
        <f>IF(ISBLANK(D786),"",VLOOKUP(WEEKDAY($C786,1),INDEX!$J$2:$K$8,2,0))</f>
        <v/>
      </c>
      <c r="C786" s="209"/>
      <c r="D786" s="207"/>
      <c r="E786" s="207"/>
      <c r="F786" s="207"/>
      <c r="G786" s="207"/>
      <c r="H786" s="207"/>
      <c r="I786" s="207"/>
      <c r="J786" s="207"/>
      <c r="K786" s="207"/>
      <c r="L786" s="207"/>
      <c r="M786" s="207"/>
      <c r="N786" s="207"/>
      <c r="O786" s="207"/>
      <c r="P786" s="207"/>
      <c r="Q786" s="207"/>
      <c r="R786" s="207"/>
      <c r="S786" s="207"/>
      <c r="T786" s="207"/>
      <c r="U786" s="209"/>
      <c r="V786" s="207"/>
      <c r="W786" s="207"/>
      <c r="X786" s="209"/>
      <c r="Y786" s="209"/>
      <c r="Z786" s="207" t="str">
        <f t="shared" ca="1" si="111"/>
        <v/>
      </c>
      <c r="AA786" s="209" t="str">
        <f t="shared" si="108"/>
        <v/>
      </c>
      <c r="AB786" s="209"/>
      <c r="AC786" s="207" t="str">
        <f t="shared" ca="1" si="112"/>
        <v/>
      </c>
      <c r="AD786" s="207"/>
      <c r="AE786" s="207"/>
      <c r="AF786" s="208" t="str">
        <f>IF(ISBLANK(D786),"",VLOOKUP(F786,'SIZE CALCULATION'!$F:$G,2,0))</f>
        <v/>
      </c>
      <c r="AG786" s="207" t="str">
        <f t="shared" si="110"/>
        <v/>
      </c>
      <c r="AH786" s="207" t="str">
        <f t="shared" si="113"/>
        <v/>
      </c>
      <c r="AI786" s="210" t="str">
        <f>IF(ISBLANK(D786),"",VLOOKUP($A786,INDEX!$D$2:$F$13,3,0))</f>
        <v/>
      </c>
      <c r="AJ786" s="207" t="str">
        <f t="shared" si="114"/>
        <v/>
      </c>
      <c r="AK786" s="207"/>
      <c r="AL786" s="207"/>
      <c r="AM786" s="207" t="str">
        <f>IFERROR(IF(ISBLANK($D786),"",VLOOKUP($N786,'TABLE CHARGE RATE'!$A$30:$K$106,5,0)),"Check")</f>
        <v/>
      </c>
      <c r="AN786" s="207" t="str">
        <f>IFERROR(IF(ISBLANK($D786),"",VLOOKUP($N786,'TABLE CHARGE RATE'!$A$30:$K$106,6,0)),"Check")</f>
        <v/>
      </c>
      <c r="AO786" s="207" t="str">
        <f>IFERROR(IF(ISBLANK($D786),"",VLOOKUP($N786,'TABLE CHARGE RATE'!$A$30:$K$106,7,0)),"Check")</f>
        <v/>
      </c>
      <c r="AP786" s="207" t="str">
        <f>IFERROR(IF(ISBLANK($D786),"",VLOOKUP($N786,'TABLE CHARGE RATE'!$A$30:$K$106,8,0)),"Check")</f>
        <v/>
      </c>
      <c r="AQ786" s="207" t="str">
        <f>IFERROR(IF(ISBLANK($D786),"",VLOOKUP($N786,'TABLE CHARGE RATE'!$A$30:$K$106,9,0)),"Check")</f>
        <v/>
      </c>
      <c r="AR786" s="207" t="str">
        <f>IFERROR(IF(ISBLANK($D786),"",VLOOKUP($N786,'TABLE CHARGE RATE'!$A$30:$K$106,10,0)),"Check")</f>
        <v/>
      </c>
      <c r="AS786" s="207" t="str">
        <f>IFERROR(IF(ISBLANK($D786),"",VLOOKUP($N786,'TABLE CHARGE RATE'!$A$30:$K$106,11,0)),"Check")</f>
        <v/>
      </c>
      <c r="AT786" s="207"/>
    </row>
    <row r="787" spans="1:46" x14ac:dyDescent="0.2">
      <c r="A787" s="207" t="str">
        <f t="shared" si="109"/>
        <v/>
      </c>
      <c r="B787" s="208" t="str">
        <f>IF(ISBLANK(D787),"",VLOOKUP(WEEKDAY($C787,1),INDEX!$J$2:$K$8,2,0))</f>
        <v/>
      </c>
      <c r="C787" s="209"/>
      <c r="D787" s="207"/>
      <c r="E787" s="207"/>
      <c r="F787" s="207"/>
      <c r="G787" s="207"/>
      <c r="H787" s="207"/>
      <c r="I787" s="207"/>
      <c r="J787" s="207"/>
      <c r="K787" s="207"/>
      <c r="L787" s="207"/>
      <c r="M787" s="207"/>
      <c r="N787" s="207"/>
      <c r="O787" s="207"/>
      <c r="P787" s="207"/>
      <c r="Q787" s="207"/>
      <c r="R787" s="207"/>
      <c r="S787" s="207"/>
      <c r="T787" s="207"/>
      <c r="U787" s="209"/>
      <c r="V787" s="207"/>
      <c r="W787" s="207"/>
      <c r="X787" s="209"/>
      <c r="Y787" s="209"/>
      <c r="Z787" s="207" t="str">
        <f t="shared" ca="1" si="111"/>
        <v/>
      </c>
      <c r="AA787" s="209" t="str">
        <f t="shared" si="108"/>
        <v/>
      </c>
      <c r="AB787" s="209"/>
      <c r="AC787" s="207" t="str">
        <f t="shared" ca="1" si="112"/>
        <v/>
      </c>
      <c r="AD787" s="207"/>
      <c r="AE787" s="207"/>
      <c r="AF787" s="208" t="str">
        <f>IF(ISBLANK(D787),"",VLOOKUP(F787,'SIZE CALCULATION'!$F:$G,2,0))</f>
        <v/>
      </c>
      <c r="AG787" s="207" t="str">
        <f t="shared" si="110"/>
        <v/>
      </c>
      <c r="AH787" s="207" t="str">
        <f t="shared" si="113"/>
        <v/>
      </c>
      <c r="AI787" s="210" t="str">
        <f>IF(ISBLANK(D787),"",VLOOKUP($A787,INDEX!$D$2:$F$13,3,0))</f>
        <v/>
      </c>
      <c r="AJ787" s="207" t="str">
        <f t="shared" si="114"/>
        <v/>
      </c>
      <c r="AK787" s="207"/>
      <c r="AL787" s="207"/>
      <c r="AM787" s="207" t="str">
        <f>IFERROR(IF(ISBLANK($D787),"",VLOOKUP($N787,'TABLE CHARGE RATE'!$A$30:$K$106,5,0)),"Check")</f>
        <v/>
      </c>
      <c r="AN787" s="207" t="str">
        <f>IFERROR(IF(ISBLANK($D787),"",VLOOKUP($N787,'TABLE CHARGE RATE'!$A$30:$K$106,6,0)),"Check")</f>
        <v/>
      </c>
      <c r="AO787" s="207" t="str">
        <f>IFERROR(IF(ISBLANK($D787),"",VLOOKUP($N787,'TABLE CHARGE RATE'!$A$30:$K$106,7,0)),"Check")</f>
        <v/>
      </c>
      <c r="AP787" s="207" t="str">
        <f>IFERROR(IF(ISBLANK($D787),"",VLOOKUP($N787,'TABLE CHARGE RATE'!$A$30:$K$106,8,0)),"Check")</f>
        <v/>
      </c>
      <c r="AQ787" s="207" t="str">
        <f>IFERROR(IF(ISBLANK($D787),"",VLOOKUP($N787,'TABLE CHARGE RATE'!$A$30:$K$106,9,0)),"Check")</f>
        <v/>
      </c>
      <c r="AR787" s="207" t="str">
        <f>IFERROR(IF(ISBLANK($D787),"",VLOOKUP($N787,'TABLE CHARGE RATE'!$A$30:$K$106,10,0)),"Check")</f>
        <v/>
      </c>
      <c r="AS787" s="207" t="str">
        <f>IFERROR(IF(ISBLANK($D787),"",VLOOKUP($N787,'TABLE CHARGE RATE'!$A$30:$K$106,11,0)),"Check")</f>
        <v/>
      </c>
      <c r="AT787" s="207"/>
    </row>
    <row r="788" spans="1:46" x14ac:dyDescent="0.2">
      <c r="A788" s="207" t="str">
        <f t="shared" si="109"/>
        <v/>
      </c>
      <c r="B788" s="208" t="str">
        <f>IF(ISBLANK(D788),"",VLOOKUP(WEEKDAY($C788,1),INDEX!$J$2:$K$8,2,0))</f>
        <v/>
      </c>
      <c r="C788" s="209"/>
      <c r="D788" s="207"/>
      <c r="E788" s="207"/>
      <c r="F788" s="207"/>
      <c r="G788" s="207"/>
      <c r="H788" s="207"/>
      <c r="I788" s="207"/>
      <c r="J788" s="207"/>
      <c r="K788" s="207"/>
      <c r="L788" s="207"/>
      <c r="M788" s="207"/>
      <c r="N788" s="207"/>
      <c r="O788" s="207"/>
      <c r="P788" s="207"/>
      <c r="Q788" s="207"/>
      <c r="R788" s="207"/>
      <c r="S788" s="207"/>
      <c r="T788" s="207"/>
      <c r="U788" s="209"/>
      <c r="V788" s="207"/>
      <c r="W788" s="207"/>
      <c r="X788" s="209"/>
      <c r="Y788" s="209"/>
      <c r="Z788" s="207" t="str">
        <f t="shared" ca="1" si="111"/>
        <v/>
      </c>
      <c r="AA788" s="209" t="str">
        <f t="shared" si="108"/>
        <v/>
      </c>
      <c r="AB788" s="209"/>
      <c r="AC788" s="207" t="str">
        <f t="shared" ca="1" si="112"/>
        <v/>
      </c>
      <c r="AD788" s="207"/>
      <c r="AE788" s="207"/>
      <c r="AF788" s="208" t="str">
        <f>IF(ISBLANK(D788),"",VLOOKUP(F788,'SIZE CALCULATION'!$F:$G,2,0))</f>
        <v/>
      </c>
      <c r="AG788" s="207" t="str">
        <f t="shared" si="110"/>
        <v/>
      </c>
      <c r="AH788" s="207" t="str">
        <f t="shared" si="113"/>
        <v/>
      </c>
      <c r="AI788" s="210" t="str">
        <f>IF(ISBLANK(D788),"",VLOOKUP($A788,INDEX!$D$2:$F$13,3,0))</f>
        <v/>
      </c>
      <c r="AJ788" s="207" t="str">
        <f t="shared" si="114"/>
        <v/>
      </c>
      <c r="AK788" s="207"/>
      <c r="AL788" s="207"/>
      <c r="AM788" s="207" t="str">
        <f>IFERROR(IF(ISBLANK($D788),"",VLOOKUP($N788,'TABLE CHARGE RATE'!$A$30:$K$106,5,0)),"Check")</f>
        <v/>
      </c>
      <c r="AN788" s="207" t="str">
        <f>IFERROR(IF(ISBLANK($D788),"",VLOOKUP($N788,'TABLE CHARGE RATE'!$A$30:$K$106,6,0)),"Check")</f>
        <v/>
      </c>
      <c r="AO788" s="207" t="str">
        <f>IFERROR(IF(ISBLANK($D788),"",VLOOKUP($N788,'TABLE CHARGE RATE'!$A$30:$K$106,7,0)),"Check")</f>
        <v/>
      </c>
      <c r="AP788" s="207" t="str">
        <f>IFERROR(IF(ISBLANK($D788),"",VLOOKUP($N788,'TABLE CHARGE RATE'!$A$30:$K$106,8,0)),"Check")</f>
        <v/>
      </c>
      <c r="AQ788" s="207" t="str">
        <f>IFERROR(IF(ISBLANK($D788),"",VLOOKUP($N788,'TABLE CHARGE RATE'!$A$30:$K$106,9,0)),"Check")</f>
        <v/>
      </c>
      <c r="AR788" s="207" t="str">
        <f>IFERROR(IF(ISBLANK($D788),"",VLOOKUP($N788,'TABLE CHARGE RATE'!$A$30:$K$106,10,0)),"Check")</f>
        <v/>
      </c>
      <c r="AS788" s="207" t="str">
        <f>IFERROR(IF(ISBLANK($D788),"",VLOOKUP($N788,'TABLE CHARGE RATE'!$A$30:$K$106,11,0)),"Check")</f>
        <v/>
      </c>
      <c r="AT788" s="207"/>
    </row>
    <row r="789" spans="1:46" x14ac:dyDescent="0.2">
      <c r="A789" s="207" t="str">
        <f t="shared" si="109"/>
        <v/>
      </c>
      <c r="B789" s="208" t="str">
        <f>IF(ISBLANK(D789),"",VLOOKUP(WEEKDAY($C789,1),INDEX!$J$2:$K$8,2,0))</f>
        <v/>
      </c>
      <c r="C789" s="209"/>
      <c r="D789" s="207"/>
      <c r="E789" s="207"/>
      <c r="F789" s="207"/>
      <c r="G789" s="207"/>
      <c r="H789" s="207"/>
      <c r="I789" s="207"/>
      <c r="J789" s="207"/>
      <c r="K789" s="207"/>
      <c r="L789" s="207"/>
      <c r="M789" s="207"/>
      <c r="N789" s="207"/>
      <c r="O789" s="207"/>
      <c r="P789" s="207"/>
      <c r="Q789" s="207"/>
      <c r="R789" s="207"/>
      <c r="S789" s="207"/>
      <c r="T789" s="207"/>
      <c r="U789" s="209"/>
      <c r="V789" s="207"/>
      <c r="W789" s="207"/>
      <c r="X789" s="209"/>
      <c r="Y789" s="209"/>
      <c r="Z789" s="207" t="str">
        <f t="shared" ca="1" si="111"/>
        <v/>
      </c>
      <c r="AA789" s="209" t="str">
        <f t="shared" si="108"/>
        <v/>
      </c>
      <c r="AB789" s="209"/>
      <c r="AC789" s="207" t="str">
        <f t="shared" ca="1" si="112"/>
        <v/>
      </c>
      <c r="AD789" s="207"/>
      <c r="AE789" s="207"/>
      <c r="AF789" s="208" t="str">
        <f>IF(ISBLANK(D789),"",VLOOKUP(F789,'SIZE CALCULATION'!$F:$G,2,0))</f>
        <v/>
      </c>
      <c r="AG789" s="207" t="str">
        <f t="shared" si="110"/>
        <v/>
      </c>
      <c r="AH789" s="207" t="str">
        <f t="shared" si="113"/>
        <v/>
      </c>
      <c r="AI789" s="210" t="str">
        <f>IF(ISBLANK(D789),"",VLOOKUP($A789,INDEX!$D$2:$F$13,3,0))</f>
        <v/>
      </c>
      <c r="AJ789" s="207" t="str">
        <f t="shared" si="114"/>
        <v/>
      </c>
      <c r="AK789" s="207"/>
      <c r="AL789" s="207"/>
      <c r="AM789" s="207" t="str">
        <f>IFERROR(IF(ISBLANK($D789),"",VLOOKUP($N789,'TABLE CHARGE RATE'!$A$30:$K$106,5,0)),"Check")</f>
        <v/>
      </c>
      <c r="AN789" s="207" t="str">
        <f>IFERROR(IF(ISBLANK($D789),"",VLOOKUP($N789,'TABLE CHARGE RATE'!$A$30:$K$106,6,0)),"Check")</f>
        <v/>
      </c>
      <c r="AO789" s="207" t="str">
        <f>IFERROR(IF(ISBLANK($D789),"",VLOOKUP($N789,'TABLE CHARGE RATE'!$A$30:$K$106,7,0)),"Check")</f>
        <v/>
      </c>
      <c r="AP789" s="207" t="str">
        <f>IFERROR(IF(ISBLANK($D789),"",VLOOKUP($N789,'TABLE CHARGE RATE'!$A$30:$K$106,8,0)),"Check")</f>
        <v/>
      </c>
      <c r="AQ789" s="207" t="str">
        <f>IFERROR(IF(ISBLANK($D789),"",VLOOKUP($N789,'TABLE CHARGE RATE'!$A$30:$K$106,9,0)),"Check")</f>
        <v/>
      </c>
      <c r="AR789" s="207" t="str">
        <f>IFERROR(IF(ISBLANK($D789),"",VLOOKUP($N789,'TABLE CHARGE RATE'!$A$30:$K$106,10,0)),"Check")</f>
        <v/>
      </c>
      <c r="AS789" s="207" t="str">
        <f>IFERROR(IF(ISBLANK($D789),"",VLOOKUP($N789,'TABLE CHARGE RATE'!$A$30:$K$106,11,0)),"Check")</f>
        <v/>
      </c>
      <c r="AT789" s="207"/>
    </row>
    <row r="790" spans="1:46" x14ac:dyDescent="0.2">
      <c r="A790" s="207" t="str">
        <f t="shared" si="109"/>
        <v/>
      </c>
      <c r="B790" s="208" t="str">
        <f>IF(ISBLANK(D790),"",VLOOKUP(WEEKDAY($C790,1),INDEX!$J$2:$K$8,2,0))</f>
        <v/>
      </c>
      <c r="C790" s="209"/>
      <c r="D790" s="207"/>
      <c r="E790" s="207"/>
      <c r="F790" s="207"/>
      <c r="G790" s="207"/>
      <c r="H790" s="207"/>
      <c r="I790" s="207"/>
      <c r="J790" s="207"/>
      <c r="K790" s="207"/>
      <c r="L790" s="207"/>
      <c r="M790" s="207"/>
      <c r="N790" s="207"/>
      <c r="O790" s="207"/>
      <c r="P790" s="207"/>
      <c r="Q790" s="207"/>
      <c r="R790" s="207"/>
      <c r="S790" s="207"/>
      <c r="T790" s="207"/>
      <c r="U790" s="209"/>
      <c r="V790" s="207"/>
      <c r="W790" s="207"/>
      <c r="X790" s="209"/>
      <c r="Y790" s="209"/>
      <c r="Z790" s="207" t="str">
        <f t="shared" ca="1" si="111"/>
        <v/>
      </c>
      <c r="AA790" s="209" t="str">
        <f t="shared" si="108"/>
        <v/>
      </c>
      <c r="AB790" s="209"/>
      <c r="AC790" s="207" t="str">
        <f t="shared" ca="1" si="112"/>
        <v/>
      </c>
      <c r="AD790" s="207"/>
      <c r="AE790" s="207"/>
      <c r="AF790" s="208" t="str">
        <f>IF(ISBLANK(D790),"",VLOOKUP(F790,'SIZE CALCULATION'!$F:$G,2,0))</f>
        <v/>
      </c>
      <c r="AG790" s="207" t="str">
        <f t="shared" si="110"/>
        <v/>
      </c>
      <c r="AH790" s="207" t="str">
        <f t="shared" si="113"/>
        <v/>
      </c>
      <c r="AI790" s="210" t="str">
        <f>IF(ISBLANK(D790),"",VLOOKUP($A790,INDEX!$D$2:$F$13,3,0))</f>
        <v/>
      </c>
      <c r="AJ790" s="207" t="str">
        <f t="shared" si="114"/>
        <v/>
      </c>
      <c r="AK790" s="207"/>
      <c r="AL790" s="207"/>
      <c r="AM790" s="207" t="str">
        <f>IFERROR(IF(ISBLANK($D790),"",VLOOKUP($N790,'TABLE CHARGE RATE'!$A$30:$K$106,5,0)),"Check")</f>
        <v/>
      </c>
      <c r="AN790" s="207" t="str">
        <f>IFERROR(IF(ISBLANK($D790),"",VLOOKUP($N790,'TABLE CHARGE RATE'!$A$30:$K$106,6,0)),"Check")</f>
        <v/>
      </c>
      <c r="AO790" s="207" t="str">
        <f>IFERROR(IF(ISBLANK($D790),"",VLOOKUP($N790,'TABLE CHARGE RATE'!$A$30:$K$106,7,0)),"Check")</f>
        <v/>
      </c>
      <c r="AP790" s="207" t="str">
        <f>IFERROR(IF(ISBLANK($D790),"",VLOOKUP($N790,'TABLE CHARGE RATE'!$A$30:$K$106,8,0)),"Check")</f>
        <v/>
      </c>
      <c r="AQ790" s="207" t="str">
        <f>IFERROR(IF(ISBLANK($D790),"",VLOOKUP($N790,'TABLE CHARGE RATE'!$A$30:$K$106,9,0)),"Check")</f>
        <v/>
      </c>
      <c r="AR790" s="207" t="str">
        <f>IFERROR(IF(ISBLANK($D790),"",VLOOKUP($N790,'TABLE CHARGE RATE'!$A$30:$K$106,10,0)),"Check")</f>
        <v/>
      </c>
      <c r="AS790" s="207" t="str">
        <f>IFERROR(IF(ISBLANK($D790),"",VLOOKUP($N790,'TABLE CHARGE RATE'!$A$30:$K$106,11,0)),"Check")</f>
        <v/>
      </c>
      <c r="AT790" s="207"/>
    </row>
    <row r="791" spans="1:46" x14ac:dyDescent="0.2">
      <c r="A791" s="207" t="str">
        <f t="shared" si="109"/>
        <v/>
      </c>
      <c r="B791" s="208" t="str">
        <f>IF(ISBLANK(D791),"",VLOOKUP(WEEKDAY($C791,1),INDEX!$J$2:$K$8,2,0))</f>
        <v/>
      </c>
      <c r="C791" s="209"/>
      <c r="D791" s="207"/>
      <c r="E791" s="207"/>
      <c r="F791" s="207"/>
      <c r="G791" s="207"/>
      <c r="H791" s="207"/>
      <c r="I791" s="207"/>
      <c r="J791" s="207"/>
      <c r="K791" s="207"/>
      <c r="L791" s="207"/>
      <c r="M791" s="207"/>
      <c r="N791" s="207"/>
      <c r="O791" s="207"/>
      <c r="P791" s="207"/>
      <c r="Q791" s="207"/>
      <c r="R791" s="207"/>
      <c r="S791" s="207"/>
      <c r="T791" s="207"/>
      <c r="U791" s="209"/>
      <c r="V791" s="207"/>
      <c r="W791" s="207"/>
      <c r="X791" s="209"/>
      <c r="Y791" s="209"/>
      <c r="Z791" s="207" t="str">
        <f t="shared" ca="1" si="111"/>
        <v/>
      </c>
      <c r="AA791" s="209" t="str">
        <f t="shared" si="108"/>
        <v/>
      </c>
      <c r="AB791" s="209"/>
      <c r="AC791" s="207" t="str">
        <f t="shared" ca="1" si="112"/>
        <v/>
      </c>
      <c r="AD791" s="207"/>
      <c r="AE791" s="207"/>
      <c r="AF791" s="208" t="str">
        <f>IF(ISBLANK(D791),"",VLOOKUP(F791,'SIZE CALCULATION'!$F:$G,2,0))</f>
        <v/>
      </c>
      <c r="AG791" s="207" t="str">
        <f t="shared" si="110"/>
        <v/>
      </c>
      <c r="AH791" s="207" t="str">
        <f t="shared" si="113"/>
        <v/>
      </c>
      <c r="AI791" s="210" t="str">
        <f>IF(ISBLANK(D791),"",VLOOKUP($A791,INDEX!$D$2:$F$13,3,0))</f>
        <v/>
      </c>
      <c r="AJ791" s="207" t="str">
        <f t="shared" si="114"/>
        <v/>
      </c>
      <c r="AK791" s="207"/>
      <c r="AL791" s="207"/>
      <c r="AM791" s="207" t="str">
        <f>IFERROR(IF(ISBLANK($D791),"",VLOOKUP($N791,'TABLE CHARGE RATE'!$A$30:$K$106,5,0)),"Check")</f>
        <v/>
      </c>
      <c r="AN791" s="207" t="str">
        <f>IFERROR(IF(ISBLANK($D791),"",VLOOKUP($N791,'TABLE CHARGE RATE'!$A$30:$K$106,6,0)),"Check")</f>
        <v/>
      </c>
      <c r="AO791" s="207" t="str">
        <f>IFERROR(IF(ISBLANK($D791),"",VLOOKUP($N791,'TABLE CHARGE RATE'!$A$30:$K$106,7,0)),"Check")</f>
        <v/>
      </c>
      <c r="AP791" s="207" t="str">
        <f>IFERROR(IF(ISBLANK($D791),"",VLOOKUP($N791,'TABLE CHARGE RATE'!$A$30:$K$106,8,0)),"Check")</f>
        <v/>
      </c>
      <c r="AQ791" s="207" t="str">
        <f>IFERROR(IF(ISBLANK($D791),"",VLOOKUP($N791,'TABLE CHARGE RATE'!$A$30:$K$106,9,0)),"Check")</f>
        <v/>
      </c>
      <c r="AR791" s="207" t="str">
        <f>IFERROR(IF(ISBLANK($D791),"",VLOOKUP($N791,'TABLE CHARGE RATE'!$A$30:$K$106,10,0)),"Check")</f>
        <v/>
      </c>
      <c r="AS791" s="207" t="str">
        <f>IFERROR(IF(ISBLANK($D791),"",VLOOKUP($N791,'TABLE CHARGE RATE'!$A$30:$K$106,11,0)),"Check")</f>
        <v/>
      </c>
      <c r="AT791" s="207"/>
    </row>
    <row r="792" spans="1:46" x14ac:dyDescent="0.2">
      <c r="A792" s="207" t="str">
        <f t="shared" si="109"/>
        <v/>
      </c>
      <c r="B792" s="208" t="str">
        <f>IF(ISBLANK(D792),"",VLOOKUP(WEEKDAY($C792,1),INDEX!$J$2:$K$8,2,0))</f>
        <v/>
      </c>
      <c r="C792" s="209"/>
      <c r="D792" s="207"/>
      <c r="E792" s="207"/>
      <c r="F792" s="207"/>
      <c r="G792" s="207"/>
      <c r="H792" s="207"/>
      <c r="I792" s="207"/>
      <c r="J792" s="207"/>
      <c r="K792" s="207"/>
      <c r="L792" s="207"/>
      <c r="M792" s="207"/>
      <c r="N792" s="207"/>
      <c r="O792" s="207"/>
      <c r="P792" s="207"/>
      <c r="Q792" s="207"/>
      <c r="R792" s="207"/>
      <c r="S792" s="207"/>
      <c r="T792" s="207"/>
      <c r="U792" s="209"/>
      <c r="V792" s="207"/>
      <c r="W792" s="207"/>
      <c r="X792" s="209"/>
      <c r="Y792" s="209"/>
      <c r="Z792" s="207" t="str">
        <f t="shared" ca="1" si="111"/>
        <v/>
      </c>
      <c r="AA792" s="209" t="str">
        <f t="shared" si="108"/>
        <v/>
      </c>
      <c r="AB792" s="209"/>
      <c r="AC792" s="207" t="str">
        <f t="shared" ca="1" si="112"/>
        <v/>
      </c>
      <c r="AD792" s="207"/>
      <c r="AE792" s="207"/>
      <c r="AF792" s="208" t="str">
        <f>IF(ISBLANK(D792),"",VLOOKUP(F792,'SIZE CALCULATION'!$F:$G,2,0))</f>
        <v/>
      </c>
      <c r="AG792" s="207" t="str">
        <f t="shared" si="110"/>
        <v/>
      </c>
      <c r="AH792" s="207" t="str">
        <f t="shared" si="113"/>
        <v/>
      </c>
      <c r="AI792" s="210" t="str">
        <f>IF(ISBLANK(D792),"",VLOOKUP($A792,INDEX!$D$2:$F$13,3,0))</f>
        <v/>
      </c>
      <c r="AJ792" s="207" t="str">
        <f t="shared" si="114"/>
        <v/>
      </c>
      <c r="AK792" s="207"/>
      <c r="AL792" s="207"/>
      <c r="AM792" s="207" t="str">
        <f>IFERROR(IF(ISBLANK($D792),"",VLOOKUP($N792,'TABLE CHARGE RATE'!$A$30:$K$106,5,0)),"Check")</f>
        <v/>
      </c>
      <c r="AN792" s="207" t="str">
        <f>IFERROR(IF(ISBLANK($D792),"",VLOOKUP($N792,'TABLE CHARGE RATE'!$A$30:$K$106,6,0)),"Check")</f>
        <v/>
      </c>
      <c r="AO792" s="207" t="str">
        <f>IFERROR(IF(ISBLANK($D792),"",VLOOKUP($N792,'TABLE CHARGE RATE'!$A$30:$K$106,7,0)),"Check")</f>
        <v/>
      </c>
      <c r="AP792" s="207" t="str">
        <f>IFERROR(IF(ISBLANK($D792),"",VLOOKUP($N792,'TABLE CHARGE RATE'!$A$30:$K$106,8,0)),"Check")</f>
        <v/>
      </c>
      <c r="AQ792" s="207" t="str">
        <f>IFERROR(IF(ISBLANK($D792),"",VLOOKUP($N792,'TABLE CHARGE RATE'!$A$30:$K$106,9,0)),"Check")</f>
        <v/>
      </c>
      <c r="AR792" s="207" t="str">
        <f>IFERROR(IF(ISBLANK($D792),"",VLOOKUP($N792,'TABLE CHARGE RATE'!$A$30:$K$106,10,0)),"Check")</f>
        <v/>
      </c>
      <c r="AS792" s="207" t="str">
        <f>IFERROR(IF(ISBLANK($D792),"",VLOOKUP($N792,'TABLE CHARGE RATE'!$A$30:$K$106,11,0)),"Check")</f>
        <v/>
      </c>
      <c r="AT792" s="207"/>
    </row>
    <row r="793" spans="1:46" x14ac:dyDescent="0.2">
      <c r="A793" s="207" t="str">
        <f t="shared" si="109"/>
        <v/>
      </c>
      <c r="B793" s="208" t="str">
        <f>IF(ISBLANK(D793),"",VLOOKUP(WEEKDAY($C793,1),INDEX!$J$2:$K$8,2,0))</f>
        <v/>
      </c>
      <c r="C793" s="209"/>
      <c r="D793" s="207"/>
      <c r="E793" s="207"/>
      <c r="F793" s="207"/>
      <c r="G793" s="207"/>
      <c r="H793" s="207"/>
      <c r="I793" s="207"/>
      <c r="J793" s="207"/>
      <c r="K793" s="207"/>
      <c r="L793" s="207"/>
      <c r="M793" s="207"/>
      <c r="N793" s="207"/>
      <c r="O793" s="207"/>
      <c r="P793" s="207"/>
      <c r="Q793" s="207"/>
      <c r="R793" s="207"/>
      <c r="S793" s="207"/>
      <c r="T793" s="207"/>
      <c r="U793" s="209"/>
      <c r="V793" s="207"/>
      <c r="W793" s="207"/>
      <c r="X793" s="209"/>
      <c r="Y793" s="209"/>
      <c r="Z793" s="207" t="str">
        <f t="shared" ca="1" si="111"/>
        <v/>
      </c>
      <c r="AA793" s="209" t="str">
        <f t="shared" si="108"/>
        <v/>
      </c>
      <c r="AB793" s="209"/>
      <c r="AC793" s="207" t="str">
        <f t="shared" ca="1" si="112"/>
        <v/>
      </c>
      <c r="AD793" s="207"/>
      <c r="AE793" s="207"/>
      <c r="AF793" s="208" t="str">
        <f>IF(ISBLANK(D793),"",VLOOKUP(F793,'SIZE CALCULATION'!$F:$G,2,0))</f>
        <v/>
      </c>
      <c r="AG793" s="207" t="str">
        <f t="shared" si="110"/>
        <v/>
      </c>
      <c r="AH793" s="207" t="str">
        <f t="shared" si="113"/>
        <v/>
      </c>
      <c r="AI793" s="210" t="str">
        <f>IF(ISBLANK(D793),"",VLOOKUP($A793,INDEX!$D$2:$F$13,3,0))</f>
        <v/>
      </c>
      <c r="AJ793" s="207" t="str">
        <f t="shared" si="114"/>
        <v/>
      </c>
      <c r="AK793" s="207"/>
      <c r="AL793" s="207"/>
      <c r="AM793" s="207" t="str">
        <f>IFERROR(IF(ISBLANK($D793),"",VLOOKUP($N793,'TABLE CHARGE RATE'!$A$30:$K$106,5,0)),"Check")</f>
        <v/>
      </c>
      <c r="AN793" s="207" t="str">
        <f>IFERROR(IF(ISBLANK($D793),"",VLOOKUP($N793,'TABLE CHARGE RATE'!$A$30:$K$106,6,0)),"Check")</f>
        <v/>
      </c>
      <c r="AO793" s="207" t="str">
        <f>IFERROR(IF(ISBLANK($D793),"",VLOOKUP($N793,'TABLE CHARGE RATE'!$A$30:$K$106,7,0)),"Check")</f>
        <v/>
      </c>
      <c r="AP793" s="207" t="str">
        <f>IFERROR(IF(ISBLANK($D793),"",VLOOKUP($N793,'TABLE CHARGE RATE'!$A$30:$K$106,8,0)),"Check")</f>
        <v/>
      </c>
      <c r="AQ793" s="207" t="str">
        <f>IFERROR(IF(ISBLANK($D793),"",VLOOKUP($N793,'TABLE CHARGE RATE'!$A$30:$K$106,9,0)),"Check")</f>
        <v/>
      </c>
      <c r="AR793" s="207" t="str">
        <f>IFERROR(IF(ISBLANK($D793),"",VLOOKUP($N793,'TABLE CHARGE RATE'!$A$30:$K$106,10,0)),"Check")</f>
        <v/>
      </c>
      <c r="AS793" s="207" t="str">
        <f>IFERROR(IF(ISBLANK($D793),"",VLOOKUP($N793,'TABLE CHARGE RATE'!$A$30:$K$106,11,0)),"Check")</f>
        <v/>
      </c>
      <c r="AT793" s="207"/>
    </row>
    <row r="794" spans="1:46" x14ac:dyDescent="0.2">
      <c r="A794" s="207" t="str">
        <f t="shared" si="109"/>
        <v/>
      </c>
      <c r="B794" s="208" t="str">
        <f>IF(ISBLANK(D794),"",VLOOKUP(WEEKDAY($C794,1),INDEX!$J$2:$K$8,2,0))</f>
        <v/>
      </c>
      <c r="C794" s="209"/>
      <c r="D794" s="207"/>
      <c r="E794" s="207"/>
      <c r="F794" s="207"/>
      <c r="G794" s="207"/>
      <c r="H794" s="207"/>
      <c r="I794" s="207"/>
      <c r="J794" s="207"/>
      <c r="K794" s="207"/>
      <c r="L794" s="207"/>
      <c r="M794" s="207"/>
      <c r="N794" s="207"/>
      <c r="O794" s="207"/>
      <c r="P794" s="207"/>
      <c r="Q794" s="207"/>
      <c r="R794" s="207"/>
      <c r="S794" s="207"/>
      <c r="T794" s="207"/>
      <c r="U794" s="209"/>
      <c r="V794" s="207"/>
      <c r="W794" s="207"/>
      <c r="X794" s="209"/>
      <c r="Y794" s="209"/>
      <c r="Z794" s="207" t="str">
        <f t="shared" ca="1" si="111"/>
        <v/>
      </c>
      <c r="AA794" s="209" t="str">
        <f t="shared" si="108"/>
        <v/>
      </c>
      <c r="AB794" s="209"/>
      <c r="AC794" s="207" t="str">
        <f t="shared" ca="1" si="112"/>
        <v/>
      </c>
      <c r="AD794" s="207"/>
      <c r="AE794" s="207"/>
      <c r="AF794" s="208" t="str">
        <f>IF(ISBLANK(D794),"",VLOOKUP(F794,'SIZE CALCULATION'!$F:$G,2,0))</f>
        <v/>
      </c>
      <c r="AG794" s="207" t="str">
        <f t="shared" si="110"/>
        <v/>
      </c>
      <c r="AH794" s="207" t="str">
        <f t="shared" si="113"/>
        <v/>
      </c>
      <c r="AI794" s="210" t="str">
        <f>IF(ISBLANK(D794),"",VLOOKUP($A794,INDEX!$D$2:$F$13,3,0))</f>
        <v/>
      </c>
      <c r="AJ794" s="207" t="str">
        <f t="shared" si="114"/>
        <v/>
      </c>
      <c r="AK794" s="207"/>
      <c r="AL794" s="207"/>
      <c r="AM794" s="207" t="str">
        <f>IFERROR(IF(ISBLANK($D794),"",VLOOKUP($N794,'TABLE CHARGE RATE'!$A$30:$K$106,5,0)),"Check")</f>
        <v/>
      </c>
      <c r="AN794" s="207" t="str">
        <f>IFERROR(IF(ISBLANK($D794),"",VLOOKUP($N794,'TABLE CHARGE RATE'!$A$30:$K$106,6,0)),"Check")</f>
        <v/>
      </c>
      <c r="AO794" s="207" t="str">
        <f>IFERROR(IF(ISBLANK($D794),"",VLOOKUP($N794,'TABLE CHARGE RATE'!$A$30:$K$106,7,0)),"Check")</f>
        <v/>
      </c>
      <c r="AP794" s="207" t="str">
        <f>IFERROR(IF(ISBLANK($D794),"",VLOOKUP($N794,'TABLE CHARGE RATE'!$A$30:$K$106,8,0)),"Check")</f>
        <v/>
      </c>
      <c r="AQ794" s="207" t="str">
        <f>IFERROR(IF(ISBLANK($D794),"",VLOOKUP($N794,'TABLE CHARGE RATE'!$A$30:$K$106,9,0)),"Check")</f>
        <v/>
      </c>
      <c r="AR794" s="207" t="str">
        <f>IFERROR(IF(ISBLANK($D794),"",VLOOKUP($N794,'TABLE CHARGE RATE'!$A$30:$K$106,10,0)),"Check")</f>
        <v/>
      </c>
      <c r="AS794" s="207" t="str">
        <f>IFERROR(IF(ISBLANK($D794),"",VLOOKUP($N794,'TABLE CHARGE RATE'!$A$30:$K$106,11,0)),"Check")</f>
        <v/>
      </c>
      <c r="AT794" s="207"/>
    </row>
    <row r="795" spans="1:46" x14ac:dyDescent="0.2">
      <c r="A795" s="207" t="str">
        <f t="shared" si="109"/>
        <v/>
      </c>
      <c r="B795" s="208" t="str">
        <f>IF(ISBLANK(D795),"",VLOOKUP(WEEKDAY($C795,1),INDEX!$J$2:$K$8,2,0))</f>
        <v/>
      </c>
      <c r="C795" s="209"/>
      <c r="D795" s="207"/>
      <c r="E795" s="207"/>
      <c r="F795" s="207"/>
      <c r="G795" s="207"/>
      <c r="H795" s="207"/>
      <c r="I795" s="207"/>
      <c r="J795" s="207"/>
      <c r="K795" s="207"/>
      <c r="L795" s="207"/>
      <c r="M795" s="207"/>
      <c r="N795" s="207"/>
      <c r="O795" s="207"/>
      <c r="P795" s="207"/>
      <c r="Q795" s="207"/>
      <c r="R795" s="207"/>
      <c r="S795" s="207"/>
      <c r="T795" s="207"/>
      <c r="U795" s="209"/>
      <c r="V795" s="207"/>
      <c r="W795" s="207"/>
      <c r="X795" s="209"/>
      <c r="Y795" s="209"/>
      <c r="Z795" s="207" t="str">
        <f t="shared" ca="1" si="111"/>
        <v/>
      </c>
      <c r="AA795" s="209" t="str">
        <f t="shared" si="108"/>
        <v/>
      </c>
      <c r="AB795" s="209"/>
      <c r="AC795" s="207" t="str">
        <f t="shared" ca="1" si="112"/>
        <v/>
      </c>
      <c r="AD795" s="207"/>
      <c r="AE795" s="207"/>
      <c r="AF795" s="208" t="str">
        <f>IF(ISBLANK(D795),"",VLOOKUP(F795,'SIZE CALCULATION'!$F:$G,2,0))</f>
        <v/>
      </c>
      <c r="AG795" s="207" t="str">
        <f t="shared" si="110"/>
        <v/>
      </c>
      <c r="AH795" s="207" t="str">
        <f t="shared" si="113"/>
        <v/>
      </c>
      <c r="AI795" s="210" t="str">
        <f>IF(ISBLANK(D795),"",VLOOKUP($A795,INDEX!$D$2:$F$13,3,0))</f>
        <v/>
      </c>
      <c r="AJ795" s="207" t="str">
        <f t="shared" si="114"/>
        <v/>
      </c>
      <c r="AK795" s="207"/>
      <c r="AL795" s="207"/>
      <c r="AM795" s="207" t="str">
        <f>IFERROR(IF(ISBLANK($D795),"",VLOOKUP($N795,'TABLE CHARGE RATE'!$A$30:$K$106,5,0)),"Check")</f>
        <v/>
      </c>
      <c r="AN795" s="207" t="str">
        <f>IFERROR(IF(ISBLANK($D795),"",VLOOKUP($N795,'TABLE CHARGE RATE'!$A$30:$K$106,6,0)),"Check")</f>
        <v/>
      </c>
      <c r="AO795" s="207" t="str">
        <f>IFERROR(IF(ISBLANK($D795),"",VLOOKUP($N795,'TABLE CHARGE RATE'!$A$30:$K$106,7,0)),"Check")</f>
        <v/>
      </c>
      <c r="AP795" s="207" t="str">
        <f>IFERROR(IF(ISBLANK($D795),"",VLOOKUP($N795,'TABLE CHARGE RATE'!$A$30:$K$106,8,0)),"Check")</f>
        <v/>
      </c>
      <c r="AQ795" s="207" t="str">
        <f>IFERROR(IF(ISBLANK($D795),"",VLOOKUP($N795,'TABLE CHARGE RATE'!$A$30:$K$106,9,0)),"Check")</f>
        <v/>
      </c>
      <c r="AR795" s="207" t="str">
        <f>IFERROR(IF(ISBLANK($D795),"",VLOOKUP($N795,'TABLE CHARGE RATE'!$A$30:$K$106,10,0)),"Check")</f>
        <v/>
      </c>
      <c r="AS795" s="207" t="str">
        <f>IFERROR(IF(ISBLANK($D795),"",VLOOKUP($N795,'TABLE CHARGE RATE'!$A$30:$K$106,11,0)),"Check")</f>
        <v/>
      </c>
      <c r="AT795" s="207"/>
    </row>
    <row r="796" spans="1:46" x14ac:dyDescent="0.2">
      <c r="A796" s="207" t="str">
        <f t="shared" si="109"/>
        <v/>
      </c>
      <c r="B796" s="208" t="str">
        <f>IF(ISBLANK(D796),"",VLOOKUP(WEEKDAY($C796,1),INDEX!$J$2:$K$8,2,0))</f>
        <v/>
      </c>
      <c r="C796" s="209"/>
      <c r="D796" s="207"/>
      <c r="E796" s="207"/>
      <c r="F796" s="207"/>
      <c r="G796" s="207"/>
      <c r="H796" s="207"/>
      <c r="I796" s="207"/>
      <c r="J796" s="207"/>
      <c r="K796" s="207"/>
      <c r="L796" s="207"/>
      <c r="M796" s="207"/>
      <c r="N796" s="207"/>
      <c r="O796" s="207"/>
      <c r="P796" s="207"/>
      <c r="Q796" s="207"/>
      <c r="R796" s="207"/>
      <c r="S796" s="207"/>
      <c r="T796" s="207"/>
      <c r="U796" s="209"/>
      <c r="V796" s="207"/>
      <c r="W796" s="207"/>
      <c r="X796" s="209"/>
      <c r="Y796" s="209"/>
      <c r="Z796" s="207" t="str">
        <f t="shared" ca="1" si="111"/>
        <v/>
      </c>
      <c r="AA796" s="209" t="str">
        <f t="shared" si="108"/>
        <v/>
      </c>
      <c r="AB796" s="209"/>
      <c r="AC796" s="207" t="str">
        <f t="shared" ca="1" si="112"/>
        <v/>
      </c>
      <c r="AD796" s="207"/>
      <c r="AE796" s="207"/>
      <c r="AF796" s="208" t="str">
        <f>IF(ISBLANK(D796),"",VLOOKUP(F796,'SIZE CALCULATION'!$F:$G,2,0))</f>
        <v/>
      </c>
      <c r="AG796" s="207" t="str">
        <f t="shared" si="110"/>
        <v/>
      </c>
      <c r="AH796" s="207" t="str">
        <f t="shared" si="113"/>
        <v/>
      </c>
      <c r="AI796" s="210" t="str">
        <f>IF(ISBLANK(D796),"",VLOOKUP($A796,INDEX!$D$2:$F$13,3,0))</f>
        <v/>
      </c>
      <c r="AJ796" s="207" t="str">
        <f t="shared" si="114"/>
        <v/>
      </c>
      <c r="AK796" s="207"/>
      <c r="AL796" s="207"/>
      <c r="AM796" s="207" t="str">
        <f>IFERROR(IF(ISBLANK($D796),"",VLOOKUP($N796,'TABLE CHARGE RATE'!$A$30:$K$106,5,0)),"Check")</f>
        <v/>
      </c>
      <c r="AN796" s="207" t="str">
        <f>IFERROR(IF(ISBLANK($D796),"",VLOOKUP($N796,'TABLE CHARGE RATE'!$A$30:$K$106,6,0)),"Check")</f>
        <v/>
      </c>
      <c r="AO796" s="207" t="str">
        <f>IFERROR(IF(ISBLANK($D796),"",VLOOKUP($N796,'TABLE CHARGE RATE'!$A$30:$K$106,7,0)),"Check")</f>
        <v/>
      </c>
      <c r="AP796" s="207" t="str">
        <f>IFERROR(IF(ISBLANK($D796),"",VLOOKUP($N796,'TABLE CHARGE RATE'!$A$30:$K$106,8,0)),"Check")</f>
        <v/>
      </c>
      <c r="AQ796" s="207" t="str">
        <f>IFERROR(IF(ISBLANK($D796),"",VLOOKUP($N796,'TABLE CHARGE RATE'!$A$30:$K$106,9,0)),"Check")</f>
        <v/>
      </c>
      <c r="AR796" s="207" t="str">
        <f>IFERROR(IF(ISBLANK($D796),"",VLOOKUP($N796,'TABLE CHARGE RATE'!$A$30:$K$106,10,0)),"Check")</f>
        <v/>
      </c>
      <c r="AS796" s="207" t="str">
        <f>IFERROR(IF(ISBLANK($D796),"",VLOOKUP($N796,'TABLE CHARGE RATE'!$A$30:$K$106,11,0)),"Check")</f>
        <v/>
      </c>
      <c r="AT796" s="207"/>
    </row>
    <row r="797" spans="1:46" x14ac:dyDescent="0.2">
      <c r="A797" s="207" t="str">
        <f t="shared" si="109"/>
        <v/>
      </c>
      <c r="B797" s="208" t="str">
        <f>IF(ISBLANK(D797),"",VLOOKUP(WEEKDAY($C797,1),INDEX!$J$2:$K$8,2,0))</f>
        <v/>
      </c>
      <c r="C797" s="209"/>
      <c r="D797" s="207"/>
      <c r="E797" s="207"/>
      <c r="F797" s="207"/>
      <c r="G797" s="207"/>
      <c r="H797" s="207"/>
      <c r="I797" s="207"/>
      <c r="J797" s="207"/>
      <c r="K797" s="207"/>
      <c r="L797" s="207"/>
      <c r="M797" s="207"/>
      <c r="N797" s="207"/>
      <c r="O797" s="207"/>
      <c r="P797" s="207"/>
      <c r="Q797" s="207"/>
      <c r="R797" s="207"/>
      <c r="S797" s="207"/>
      <c r="T797" s="207"/>
      <c r="U797" s="209"/>
      <c r="V797" s="207"/>
      <c r="W797" s="207"/>
      <c r="X797" s="209"/>
      <c r="Y797" s="209"/>
      <c r="Z797" s="207" t="str">
        <f t="shared" ca="1" si="111"/>
        <v/>
      </c>
      <c r="AA797" s="209" t="str">
        <f t="shared" si="108"/>
        <v/>
      </c>
      <c r="AB797" s="209"/>
      <c r="AC797" s="207" t="str">
        <f t="shared" ca="1" si="112"/>
        <v/>
      </c>
      <c r="AD797" s="207"/>
      <c r="AE797" s="207"/>
      <c r="AF797" s="208" t="str">
        <f>IF(ISBLANK(D797),"",VLOOKUP(F797,'SIZE CALCULATION'!$F:$G,2,0))</f>
        <v/>
      </c>
      <c r="AG797" s="207" t="str">
        <f t="shared" si="110"/>
        <v/>
      </c>
      <c r="AH797" s="207" t="str">
        <f t="shared" si="113"/>
        <v/>
      </c>
      <c r="AI797" s="210" t="str">
        <f>IF(ISBLANK(D797),"",VLOOKUP($A797,INDEX!$D$2:$F$13,3,0))</f>
        <v/>
      </c>
      <c r="AJ797" s="207" t="str">
        <f t="shared" si="114"/>
        <v/>
      </c>
      <c r="AK797" s="207"/>
      <c r="AL797" s="207"/>
      <c r="AM797" s="207" t="str">
        <f>IFERROR(IF(ISBLANK($D797),"",VLOOKUP($N797,'TABLE CHARGE RATE'!$A$30:$K$106,5,0)),"Check")</f>
        <v/>
      </c>
      <c r="AN797" s="207" t="str">
        <f>IFERROR(IF(ISBLANK($D797),"",VLOOKUP($N797,'TABLE CHARGE RATE'!$A$30:$K$106,6,0)),"Check")</f>
        <v/>
      </c>
      <c r="AO797" s="207" t="str">
        <f>IFERROR(IF(ISBLANK($D797),"",VLOOKUP($N797,'TABLE CHARGE RATE'!$A$30:$K$106,7,0)),"Check")</f>
        <v/>
      </c>
      <c r="AP797" s="207" t="str">
        <f>IFERROR(IF(ISBLANK($D797),"",VLOOKUP($N797,'TABLE CHARGE RATE'!$A$30:$K$106,8,0)),"Check")</f>
        <v/>
      </c>
      <c r="AQ797" s="207" t="str">
        <f>IFERROR(IF(ISBLANK($D797),"",VLOOKUP($N797,'TABLE CHARGE RATE'!$A$30:$K$106,9,0)),"Check")</f>
        <v/>
      </c>
      <c r="AR797" s="207" t="str">
        <f>IFERROR(IF(ISBLANK($D797),"",VLOOKUP($N797,'TABLE CHARGE RATE'!$A$30:$K$106,10,0)),"Check")</f>
        <v/>
      </c>
      <c r="AS797" s="207" t="str">
        <f>IFERROR(IF(ISBLANK($D797),"",VLOOKUP($N797,'TABLE CHARGE RATE'!$A$30:$K$106,11,0)),"Check")</f>
        <v/>
      </c>
      <c r="AT797" s="207"/>
    </row>
    <row r="798" spans="1:46" x14ac:dyDescent="0.2">
      <c r="A798" s="207" t="str">
        <f t="shared" si="109"/>
        <v/>
      </c>
      <c r="B798" s="208" t="str">
        <f>IF(ISBLANK(D798),"",VLOOKUP(WEEKDAY($C798,1),INDEX!$J$2:$K$8,2,0))</f>
        <v/>
      </c>
      <c r="C798" s="209"/>
      <c r="D798" s="207"/>
      <c r="E798" s="207"/>
      <c r="F798" s="207"/>
      <c r="G798" s="207"/>
      <c r="H798" s="207"/>
      <c r="I798" s="207"/>
      <c r="J798" s="207"/>
      <c r="K798" s="207"/>
      <c r="L798" s="207"/>
      <c r="M798" s="207"/>
      <c r="N798" s="207"/>
      <c r="O798" s="207"/>
      <c r="P798" s="207"/>
      <c r="Q798" s="207"/>
      <c r="R798" s="207"/>
      <c r="S798" s="207"/>
      <c r="T798" s="207"/>
      <c r="U798" s="209"/>
      <c r="V798" s="207"/>
      <c r="W798" s="207"/>
      <c r="X798" s="209"/>
      <c r="Y798" s="209"/>
      <c r="Z798" s="207" t="str">
        <f t="shared" ca="1" si="111"/>
        <v/>
      </c>
      <c r="AA798" s="209" t="str">
        <f t="shared" si="108"/>
        <v/>
      </c>
      <c r="AB798" s="209"/>
      <c r="AC798" s="207" t="str">
        <f t="shared" ca="1" si="112"/>
        <v/>
      </c>
      <c r="AD798" s="207"/>
      <c r="AE798" s="207"/>
      <c r="AF798" s="208" t="str">
        <f>IF(ISBLANK(D798),"",VLOOKUP(F798,'SIZE CALCULATION'!$F:$G,2,0))</f>
        <v/>
      </c>
      <c r="AG798" s="207" t="str">
        <f t="shared" si="110"/>
        <v/>
      </c>
      <c r="AH798" s="207" t="str">
        <f t="shared" si="113"/>
        <v/>
      </c>
      <c r="AI798" s="210" t="str">
        <f>IF(ISBLANK(D798),"",VLOOKUP($A798,INDEX!$D$2:$F$13,3,0))</f>
        <v/>
      </c>
      <c r="AJ798" s="207" t="str">
        <f t="shared" si="114"/>
        <v/>
      </c>
      <c r="AK798" s="207"/>
      <c r="AL798" s="207"/>
      <c r="AM798" s="207" t="str">
        <f>IFERROR(IF(ISBLANK($D798),"",VLOOKUP($N798,'TABLE CHARGE RATE'!$A$30:$K$106,5,0)),"Check")</f>
        <v/>
      </c>
      <c r="AN798" s="207" t="str">
        <f>IFERROR(IF(ISBLANK($D798),"",VLOOKUP($N798,'TABLE CHARGE RATE'!$A$30:$K$106,6,0)),"Check")</f>
        <v/>
      </c>
      <c r="AO798" s="207" t="str">
        <f>IFERROR(IF(ISBLANK($D798),"",VLOOKUP($N798,'TABLE CHARGE RATE'!$A$30:$K$106,7,0)),"Check")</f>
        <v/>
      </c>
      <c r="AP798" s="207" t="str">
        <f>IFERROR(IF(ISBLANK($D798),"",VLOOKUP($N798,'TABLE CHARGE RATE'!$A$30:$K$106,8,0)),"Check")</f>
        <v/>
      </c>
      <c r="AQ798" s="207" t="str">
        <f>IFERROR(IF(ISBLANK($D798),"",VLOOKUP($N798,'TABLE CHARGE RATE'!$A$30:$K$106,9,0)),"Check")</f>
        <v/>
      </c>
      <c r="AR798" s="207" t="str">
        <f>IFERROR(IF(ISBLANK($D798),"",VLOOKUP($N798,'TABLE CHARGE RATE'!$A$30:$K$106,10,0)),"Check")</f>
        <v/>
      </c>
      <c r="AS798" s="207" t="str">
        <f>IFERROR(IF(ISBLANK($D798),"",VLOOKUP($N798,'TABLE CHARGE RATE'!$A$30:$K$106,11,0)),"Check")</f>
        <v/>
      </c>
      <c r="AT798" s="207"/>
    </row>
    <row r="799" spans="1:46" x14ac:dyDescent="0.2">
      <c r="A799" s="207" t="str">
        <f t="shared" si="109"/>
        <v/>
      </c>
      <c r="B799" s="208" t="str">
        <f>IF(ISBLANK(D799),"",VLOOKUP(WEEKDAY($C799,1),INDEX!$J$2:$K$8,2,0))</f>
        <v/>
      </c>
      <c r="C799" s="209"/>
      <c r="D799" s="207"/>
      <c r="E799" s="207"/>
      <c r="F799" s="207"/>
      <c r="G799" s="207"/>
      <c r="H799" s="207"/>
      <c r="I799" s="207"/>
      <c r="J799" s="207"/>
      <c r="K799" s="207"/>
      <c r="L799" s="207"/>
      <c r="M799" s="207"/>
      <c r="N799" s="207"/>
      <c r="O799" s="207"/>
      <c r="P799" s="207"/>
      <c r="Q799" s="207"/>
      <c r="R799" s="207"/>
      <c r="S799" s="207"/>
      <c r="T799" s="207"/>
      <c r="U799" s="209"/>
      <c r="V799" s="207"/>
      <c r="W799" s="207"/>
      <c r="X799" s="209"/>
      <c r="Y799" s="209"/>
      <c r="Z799" s="207" t="str">
        <f t="shared" ca="1" si="111"/>
        <v/>
      </c>
      <c r="AA799" s="209" t="str">
        <f t="shared" si="108"/>
        <v/>
      </c>
      <c r="AB799" s="209"/>
      <c r="AC799" s="207" t="str">
        <f t="shared" ca="1" si="112"/>
        <v/>
      </c>
      <c r="AD799" s="207"/>
      <c r="AE799" s="207"/>
      <c r="AF799" s="208" t="str">
        <f>IF(ISBLANK(D799),"",VLOOKUP(F799,'SIZE CALCULATION'!$F:$G,2,0))</f>
        <v/>
      </c>
      <c r="AG799" s="207" t="str">
        <f t="shared" si="110"/>
        <v/>
      </c>
      <c r="AH799" s="207" t="str">
        <f t="shared" si="113"/>
        <v/>
      </c>
      <c r="AI799" s="210" t="str">
        <f>IF(ISBLANK(D799),"",VLOOKUP($A799,INDEX!$D$2:$F$13,3,0))</f>
        <v/>
      </c>
      <c r="AJ799" s="207" t="str">
        <f t="shared" si="114"/>
        <v/>
      </c>
      <c r="AK799" s="207"/>
      <c r="AL799" s="207"/>
      <c r="AM799" s="207" t="str">
        <f>IFERROR(IF(ISBLANK($D799),"",VLOOKUP($N799,'TABLE CHARGE RATE'!$A$30:$K$106,5,0)),"Check")</f>
        <v/>
      </c>
      <c r="AN799" s="207" t="str">
        <f>IFERROR(IF(ISBLANK($D799),"",VLOOKUP($N799,'TABLE CHARGE RATE'!$A$30:$K$106,6,0)),"Check")</f>
        <v/>
      </c>
      <c r="AO799" s="207" t="str">
        <f>IFERROR(IF(ISBLANK($D799),"",VLOOKUP($N799,'TABLE CHARGE RATE'!$A$30:$K$106,7,0)),"Check")</f>
        <v/>
      </c>
      <c r="AP799" s="207" t="str">
        <f>IFERROR(IF(ISBLANK($D799),"",VLOOKUP($N799,'TABLE CHARGE RATE'!$A$30:$K$106,8,0)),"Check")</f>
        <v/>
      </c>
      <c r="AQ799" s="207" t="str">
        <f>IFERROR(IF(ISBLANK($D799),"",VLOOKUP($N799,'TABLE CHARGE RATE'!$A$30:$K$106,9,0)),"Check")</f>
        <v/>
      </c>
      <c r="AR799" s="207" t="str">
        <f>IFERROR(IF(ISBLANK($D799),"",VLOOKUP($N799,'TABLE CHARGE RATE'!$A$30:$K$106,10,0)),"Check")</f>
        <v/>
      </c>
      <c r="AS799" s="207" t="str">
        <f>IFERROR(IF(ISBLANK($D799),"",VLOOKUP($N799,'TABLE CHARGE RATE'!$A$30:$K$106,11,0)),"Check")</f>
        <v/>
      </c>
      <c r="AT799" s="207"/>
    </row>
    <row r="800" spans="1:46" x14ac:dyDescent="0.2">
      <c r="A800" s="207" t="str">
        <f t="shared" si="109"/>
        <v/>
      </c>
      <c r="B800" s="208" t="str">
        <f>IF(ISBLANK(D800),"",VLOOKUP(WEEKDAY($C800,1),INDEX!$J$2:$K$8,2,0))</f>
        <v/>
      </c>
      <c r="C800" s="209"/>
      <c r="D800" s="207"/>
      <c r="E800" s="207"/>
      <c r="F800" s="207"/>
      <c r="G800" s="207"/>
      <c r="H800" s="207"/>
      <c r="I800" s="207"/>
      <c r="J800" s="207"/>
      <c r="K800" s="207"/>
      <c r="L800" s="207"/>
      <c r="M800" s="207"/>
      <c r="N800" s="207"/>
      <c r="O800" s="207"/>
      <c r="P800" s="207"/>
      <c r="Q800" s="207"/>
      <c r="R800" s="207"/>
      <c r="S800" s="207"/>
      <c r="T800" s="207"/>
      <c r="U800" s="209"/>
      <c r="V800" s="207"/>
      <c r="W800" s="207"/>
      <c r="X800" s="209"/>
      <c r="Y800" s="209"/>
      <c r="Z800" s="207" t="str">
        <f t="shared" ca="1" si="111"/>
        <v/>
      </c>
      <c r="AA800" s="209" t="str">
        <f t="shared" si="108"/>
        <v/>
      </c>
      <c r="AB800" s="209"/>
      <c r="AC800" s="207" t="str">
        <f t="shared" ca="1" si="112"/>
        <v/>
      </c>
      <c r="AD800" s="207"/>
      <c r="AE800" s="207"/>
      <c r="AF800" s="208" t="str">
        <f>IF(ISBLANK(D800),"",VLOOKUP(F800,'SIZE CALCULATION'!$F:$G,2,0))</f>
        <v/>
      </c>
      <c r="AG800" s="207" t="str">
        <f t="shared" si="110"/>
        <v/>
      </c>
      <c r="AH800" s="207" t="str">
        <f t="shared" si="113"/>
        <v/>
      </c>
      <c r="AI800" s="210" t="str">
        <f>IF(ISBLANK(D800),"",VLOOKUP($A800,INDEX!$D$2:$F$13,3,0))</f>
        <v/>
      </c>
      <c r="AJ800" s="207" t="str">
        <f t="shared" si="114"/>
        <v/>
      </c>
      <c r="AK800" s="207"/>
      <c r="AL800" s="207"/>
      <c r="AM800" s="207" t="str">
        <f>IFERROR(IF(ISBLANK($D800),"",VLOOKUP($N800,'TABLE CHARGE RATE'!$A$30:$K$106,5,0)),"Check")</f>
        <v/>
      </c>
      <c r="AN800" s="207" t="str">
        <f>IFERROR(IF(ISBLANK($D800),"",VLOOKUP($N800,'TABLE CHARGE RATE'!$A$30:$K$106,6,0)),"Check")</f>
        <v/>
      </c>
      <c r="AO800" s="207" t="str">
        <f>IFERROR(IF(ISBLANK($D800),"",VLOOKUP($N800,'TABLE CHARGE RATE'!$A$30:$K$106,7,0)),"Check")</f>
        <v/>
      </c>
      <c r="AP800" s="207" t="str">
        <f>IFERROR(IF(ISBLANK($D800),"",VLOOKUP($N800,'TABLE CHARGE RATE'!$A$30:$K$106,8,0)),"Check")</f>
        <v/>
      </c>
      <c r="AQ800" s="207" t="str">
        <f>IFERROR(IF(ISBLANK($D800),"",VLOOKUP($N800,'TABLE CHARGE RATE'!$A$30:$K$106,9,0)),"Check")</f>
        <v/>
      </c>
      <c r="AR800" s="207" t="str">
        <f>IFERROR(IF(ISBLANK($D800),"",VLOOKUP($N800,'TABLE CHARGE RATE'!$A$30:$K$106,10,0)),"Check")</f>
        <v/>
      </c>
      <c r="AS800" s="207" t="str">
        <f>IFERROR(IF(ISBLANK($D800),"",VLOOKUP($N800,'TABLE CHARGE RATE'!$A$30:$K$106,11,0)),"Check")</f>
        <v/>
      </c>
      <c r="AT800" s="207"/>
    </row>
    <row r="801" spans="1:46" x14ac:dyDescent="0.2">
      <c r="A801" s="207" t="str">
        <f t="shared" si="109"/>
        <v/>
      </c>
      <c r="B801" s="208" t="str">
        <f>IF(ISBLANK(D801),"",VLOOKUP(WEEKDAY($C801,1),INDEX!$J$2:$K$8,2,0))</f>
        <v/>
      </c>
      <c r="C801" s="209"/>
      <c r="D801" s="207"/>
      <c r="E801" s="207"/>
      <c r="F801" s="207"/>
      <c r="G801" s="207"/>
      <c r="H801" s="207"/>
      <c r="I801" s="207"/>
      <c r="J801" s="207"/>
      <c r="K801" s="207"/>
      <c r="L801" s="207"/>
      <c r="M801" s="207"/>
      <c r="N801" s="207"/>
      <c r="O801" s="207"/>
      <c r="P801" s="207"/>
      <c r="Q801" s="207"/>
      <c r="R801" s="207"/>
      <c r="S801" s="207"/>
      <c r="T801" s="207"/>
      <c r="U801" s="209"/>
      <c r="V801" s="207"/>
      <c r="W801" s="207"/>
      <c r="X801" s="209"/>
      <c r="Y801" s="209"/>
      <c r="Z801" s="207" t="str">
        <f t="shared" ca="1" si="111"/>
        <v/>
      </c>
      <c r="AA801" s="209" t="str">
        <f t="shared" ref="AA801:AA864" si="115">IF(ISBLANK(D801),"",Y801+10)</f>
        <v/>
      </c>
      <c r="AB801" s="209"/>
      <c r="AC801" s="207" t="str">
        <f t="shared" ca="1" si="112"/>
        <v/>
      </c>
      <c r="AD801" s="207"/>
      <c r="AE801" s="207"/>
      <c r="AF801" s="208" t="str">
        <f>IF(ISBLANK(D801),"",VLOOKUP(F801,'SIZE CALCULATION'!$F:$G,2,0))</f>
        <v/>
      </c>
      <c r="AG801" s="207" t="str">
        <f t="shared" si="110"/>
        <v/>
      </c>
      <c r="AH801" s="207" t="str">
        <f t="shared" si="113"/>
        <v/>
      </c>
      <c r="AI801" s="210" t="str">
        <f>IF(ISBLANK(D801),"",VLOOKUP($A801,INDEX!$D$2:$F$13,3,0))</f>
        <v/>
      </c>
      <c r="AJ801" s="207" t="str">
        <f t="shared" si="114"/>
        <v/>
      </c>
      <c r="AK801" s="207"/>
      <c r="AL801" s="207"/>
      <c r="AM801" s="207" t="str">
        <f>IFERROR(IF(ISBLANK($D801),"",VLOOKUP($N801,'TABLE CHARGE RATE'!$A$30:$K$106,5,0)),"Check")</f>
        <v/>
      </c>
      <c r="AN801" s="207" t="str">
        <f>IFERROR(IF(ISBLANK($D801),"",VLOOKUP($N801,'TABLE CHARGE RATE'!$A$30:$K$106,6,0)),"Check")</f>
        <v/>
      </c>
      <c r="AO801" s="207" t="str">
        <f>IFERROR(IF(ISBLANK($D801),"",VLOOKUP($N801,'TABLE CHARGE RATE'!$A$30:$K$106,7,0)),"Check")</f>
        <v/>
      </c>
      <c r="AP801" s="207" t="str">
        <f>IFERROR(IF(ISBLANK($D801),"",VLOOKUP($N801,'TABLE CHARGE RATE'!$A$30:$K$106,8,0)),"Check")</f>
        <v/>
      </c>
      <c r="AQ801" s="207" t="str">
        <f>IFERROR(IF(ISBLANK($D801),"",VLOOKUP($N801,'TABLE CHARGE RATE'!$A$30:$K$106,9,0)),"Check")</f>
        <v/>
      </c>
      <c r="AR801" s="207" t="str">
        <f>IFERROR(IF(ISBLANK($D801),"",VLOOKUP($N801,'TABLE CHARGE RATE'!$A$30:$K$106,10,0)),"Check")</f>
        <v/>
      </c>
      <c r="AS801" s="207" t="str">
        <f>IFERROR(IF(ISBLANK($D801),"",VLOOKUP($N801,'TABLE CHARGE RATE'!$A$30:$K$106,11,0)),"Check")</f>
        <v/>
      </c>
      <c r="AT801" s="207"/>
    </row>
    <row r="802" spans="1:46" x14ac:dyDescent="0.2">
      <c r="A802" s="207" t="str">
        <f t="shared" si="109"/>
        <v/>
      </c>
      <c r="B802" s="208" t="str">
        <f>IF(ISBLANK(D802),"",VLOOKUP(WEEKDAY($C802,1),INDEX!$J$2:$K$8,2,0))</f>
        <v/>
      </c>
      <c r="C802" s="209"/>
      <c r="D802" s="207"/>
      <c r="E802" s="207"/>
      <c r="F802" s="207"/>
      <c r="G802" s="207"/>
      <c r="H802" s="207"/>
      <c r="I802" s="207"/>
      <c r="J802" s="207"/>
      <c r="K802" s="207"/>
      <c r="L802" s="207"/>
      <c r="M802" s="207"/>
      <c r="N802" s="207"/>
      <c r="O802" s="207"/>
      <c r="P802" s="207"/>
      <c r="Q802" s="207"/>
      <c r="R802" s="207"/>
      <c r="S802" s="207"/>
      <c r="T802" s="207"/>
      <c r="U802" s="209"/>
      <c r="V802" s="207"/>
      <c r="W802" s="207"/>
      <c r="X802" s="209"/>
      <c r="Y802" s="209"/>
      <c r="Z802" s="207" t="str">
        <f t="shared" ca="1" si="111"/>
        <v/>
      </c>
      <c r="AA802" s="209" t="str">
        <f t="shared" si="115"/>
        <v/>
      </c>
      <c r="AB802" s="209"/>
      <c r="AC802" s="207" t="str">
        <f t="shared" ca="1" si="112"/>
        <v/>
      </c>
      <c r="AD802" s="207"/>
      <c r="AE802" s="207"/>
      <c r="AF802" s="208" t="str">
        <f>IF(ISBLANK(D802),"",VLOOKUP(F802,'SIZE CALCULATION'!$F:$G,2,0))</f>
        <v/>
      </c>
      <c r="AG802" s="207" t="str">
        <f t="shared" si="110"/>
        <v/>
      </c>
      <c r="AH802" s="207" t="str">
        <f t="shared" si="113"/>
        <v/>
      </c>
      <c r="AI802" s="210" t="str">
        <f>IF(ISBLANK(D802),"",VLOOKUP($A802,INDEX!$D$2:$F$13,3,0))</f>
        <v/>
      </c>
      <c r="AJ802" s="207" t="str">
        <f t="shared" si="114"/>
        <v/>
      </c>
      <c r="AK802" s="207"/>
      <c r="AL802" s="207"/>
      <c r="AM802" s="207" t="str">
        <f>IFERROR(IF(ISBLANK($D802),"",VLOOKUP($N802,'TABLE CHARGE RATE'!$A$30:$K$106,5,0)),"Check")</f>
        <v/>
      </c>
      <c r="AN802" s="207" t="str">
        <f>IFERROR(IF(ISBLANK($D802),"",VLOOKUP($N802,'TABLE CHARGE RATE'!$A$30:$K$106,6,0)),"Check")</f>
        <v/>
      </c>
      <c r="AO802" s="207" t="str">
        <f>IFERROR(IF(ISBLANK($D802),"",VLOOKUP($N802,'TABLE CHARGE RATE'!$A$30:$K$106,7,0)),"Check")</f>
        <v/>
      </c>
      <c r="AP802" s="207" t="str">
        <f>IFERROR(IF(ISBLANK($D802),"",VLOOKUP($N802,'TABLE CHARGE RATE'!$A$30:$K$106,8,0)),"Check")</f>
        <v/>
      </c>
      <c r="AQ802" s="207" t="str">
        <f>IFERROR(IF(ISBLANK($D802),"",VLOOKUP($N802,'TABLE CHARGE RATE'!$A$30:$K$106,9,0)),"Check")</f>
        <v/>
      </c>
      <c r="AR802" s="207" t="str">
        <f>IFERROR(IF(ISBLANK($D802),"",VLOOKUP($N802,'TABLE CHARGE RATE'!$A$30:$K$106,10,0)),"Check")</f>
        <v/>
      </c>
      <c r="AS802" s="207" t="str">
        <f>IFERROR(IF(ISBLANK($D802),"",VLOOKUP($N802,'TABLE CHARGE RATE'!$A$30:$K$106,11,0)),"Check")</f>
        <v/>
      </c>
      <c r="AT802" s="207"/>
    </row>
    <row r="803" spans="1:46" x14ac:dyDescent="0.2">
      <c r="A803" s="207" t="str">
        <f t="shared" si="109"/>
        <v/>
      </c>
      <c r="B803" s="208" t="str">
        <f>IF(ISBLANK(D803),"",VLOOKUP(WEEKDAY($C803,1),INDEX!$J$2:$K$8,2,0))</f>
        <v/>
      </c>
      <c r="C803" s="209"/>
      <c r="D803" s="207"/>
      <c r="E803" s="207"/>
      <c r="F803" s="207"/>
      <c r="G803" s="207"/>
      <c r="H803" s="207"/>
      <c r="I803" s="207"/>
      <c r="J803" s="207"/>
      <c r="K803" s="207"/>
      <c r="L803" s="207"/>
      <c r="M803" s="207"/>
      <c r="N803" s="207"/>
      <c r="O803" s="207"/>
      <c r="P803" s="207"/>
      <c r="Q803" s="207"/>
      <c r="R803" s="207"/>
      <c r="S803" s="207"/>
      <c r="T803" s="207"/>
      <c r="U803" s="209"/>
      <c r="V803" s="207"/>
      <c r="W803" s="207"/>
      <c r="X803" s="209"/>
      <c r="Y803" s="209"/>
      <c r="Z803" s="207" t="str">
        <f t="shared" ca="1" si="111"/>
        <v/>
      </c>
      <c r="AA803" s="209" t="str">
        <f t="shared" si="115"/>
        <v/>
      </c>
      <c r="AB803" s="209"/>
      <c r="AC803" s="207" t="str">
        <f t="shared" ca="1" si="112"/>
        <v/>
      </c>
      <c r="AD803" s="207"/>
      <c r="AE803" s="207"/>
      <c r="AF803" s="208" t="str">
        <f>IF(ISBLANK(D803),"",VLOOKUP(F803,'SIZE CALCULATION'!$F:$G,2,0))</f>
        <v/>
      </c>
      <c r="AG803" s="207" t="str">
        <f t="shared" si="110"/>
        <v/>
      </c>
      <c r="AH803" s="207" t="str">
        <f t="shared" si="113"/>
        <v/>
      </c>
      <c r="AI803" s="210" t="str">
        <f>IF(ISBLANK(D803),"",VLOOKUP($A803,INDEX!$D$2:$F$13,3,0))</f>
        <v/>
      </c>
      <c r="AJ803" s="207" t="str">
        <f t="shared" si="114"/>
        <v/>
      </c>
      <c r="AK803" s="207"/>
      <c r="AL803" s="207"/>
      <c r="AM803" s="207" t="str">
        <f>IFERROR(IF(ISBLANK($D803),"",VLOOKUP($N803,'TABLE CHARGE RATE'!$A$30:$K$106,5,0)),"Check")</f>
        <v/>
      </c>
      <c r="AN803" s="207" t="str">
        <f>IFERROR(IF(ISBLANK($D803),"",VLOOKUP($N803,'TABLE CHARGE RATE'!$A$30:$K$106,6,0)),"Check")</f>
        <v/>
      </c>
      <c r="AO803" s="207" t="str">
        <f>IFERROR(IF(ISBLANK($D803),"",VLOOKUP($N803,'TABLE CHARGE RATE'!$A$30:$K$106,7,0)),"Check")</f>
        <v/>
      </c>
      <c r="AP803" s="207" t="str">
        <f>IFERROR(IF(ISBLANK($D803),"",VLOOKUP($N803,'TABLE CHARGE RATE'!$A$30:$K$106,8,0)),"Check")</f>
        <v/>
      </c>
      <c r="AQ803" s="207" t="str">
        <f>IFERROR(IF(ISBLANK($D803),"",VLOOKUP($N803,'TABLE CHARGE RATE'!$A$30:$K$106,9,0)),"Check")</f>
        <v/>
      </c>
      <c r="AR803" s="207" t="str">
        <f>IFERROR(IF(ISBLANK($D803),"",VLOOKUP($N803,'TABLE CHARGE RATE'!$A$30:$K$106,10,0)),"Check")</f>
        <v/>
      </c>
      <c r="AS803" s="207" t="str">
        <f>IFERROR(IF(ISBLANK($D803),"",VLOOKUP($N803,'TABLE CHARGE RATE'!$A$30:$K$106,11,0)),"Check")</f>
        <v/>
      </c>
      <c r="AT803" s="207"/>
    </row>
    <row r="804" spans="1:46" x14ac:dyDescent="0.2">
      <c r="A804" s="207" t="str">
        <f t="shared" si="109"/>
        <v/>
      </c>
      <c r="B804" s="208" t="str">
        <f>IF(ISBLANK(D804),"",VLOOKUP(WEEKDAY($C804,1),INDEX!$J$2:$K$8,2,0))</f>
        <v/>
      </c>
      <c r="C804" s="209"/>
      <c r="D804" s="207"/>
      <c r="E804" s="207"/>
      <c r="F804" s="207"/>
      <c r="G804" s="207"/>
      <c r="H804" s="207"/>
      <c r="I804" s="207"/>
      <c r="J804" s="207"/>
      <c r="K804" s="207"/>
      <c r="L804" s="207"/>
      <c r="M804" s="207"/>
      <c r="N804" s="207"/>
      <c r="O804" s="207"/>
      <c r="P804" s="207"/>
      <c r="Q804" s="207"/>
      <c r="R804" s="207"/>
      <c r="S804" s="207"/>
      <c r="T804" s="207"/>
      <c r="U804" s="209"/>
      <c r="V804" s="207"/>
      <c r="W804" s="207"/>
      <c r="X804" s="209"/>
      <c r="Y804" s="209"/>
      <c r="Z804" s="207" t="str">
        <f t="shared" ca="1" si="111"/>
        <v/>
      </c>
      <c r="AA804" s="209" t="str">
        <f t="shared" si="115"/>
        <v/>
      </c>
      <c r="AB804" s="209"/>
      <c r="AC804" s="207" t="str">
        <f t="shared" ca="1" si="112"/>
        <v/>
      </c>
      <c r="AD804" s="207"/>
      <c r="AE804" s="207"/>
      <c r="AF804" s="208" t="str">
        <f>IF(ISBLANK(D804),"",VLOOKUP(F804,'SIZE CALCULATION'!$F:$G,2,0))</f>
        <v/>
      </c>
      <c r="AG804" s="207" t="str">
        <f t="shared" si="110"/>
        <v/>
      </c>
      <c r="AH804" s="207" t="str">
        <f t="shared" si="113"/>
        <v/>
      </c>
      <c r="AI804" s="210" t="str">
        <f>IF(ISBLANK(D804),"",VLOOKUP($A804,INDEX!$D$2:$F$13,3,0))</f>
        <v/>
      </c>
      <c r="AJ804" s="207" t="str">
        <f t="shared" si="114"/>
        <v/>
      </c>
      <c r="AK804" s="207"/>
      <c r="AL804" s="207"/>
      <c r="AM804" s="207" t="str">
        <f>IFERROR(IF(ISBLANK($D804),"",VLOOKUP($N804,'TABLE CHARGE RATE'!$A$30:$K$106,5,0)),"Check")</f>
        <v/>
      </c>
      <c r="AN804" s="207" t="str">
        <f>IFERROR(IF(ISBLANK($D804),"",VLOOKUP($N804,'TABLE CHARGE RATE'!$A$30:$K$106,6,0)),"Check")</f>
        <v/>
      </c>
      <c r="AO804" s="207" t="str">
        <f>IFERROR(IF(ISBLANK($D804),"",VLOOKUP($N804,'TABLE CHARGE RATE'!$A$30:$K$106,7,0)),"Check")</f>
        <v/>
      </c>
      <c r="AP804" s="207" t="str">
        <f>IFERROR(IF(ISBLANK($D804),"",VLOOKUP($N804,'TABLE CHARGE RATE'!$A$30:$K$106,8,0)),"Check")</f>
        <v/>
      </c>
      <c r="AQ804" s="207" t="str">
        <f>IFERROR(IF(ISBLANK($D804),"",VLOOKUP($N804,'TABLE CHARGE RATE'!$A$30:$K$106,9,0)),"Check")</f>
        <v/>
      </c>
      <c r="AR804" s="207" t="str">
        <f>IFERROR(IF(ISBLANK($D804),"",VLOOKUP($N804,'TABLE CHARGE RATE'!$A$30:$K$106,10,0)),"Check")</f>
        <v/>
      </c>
      <c r="AS804" s="207" t="str">
        <f>IFERROR(IF(ISBLANK($D804),"",VLOOKUP($N804,'TABLE CHARGE RATE'!$A$30:$K$106,11,0)),"Check")</f>
        <v/>
      </c>
      <c r="AT804" s="207"/>
    </row>
    <row r="805" spans="1:46" x14ac:dyDescent="0.2">
      <c r="A805" s="207" t="str">
        <f t="shared" si="109"/>
        <v/>
      </c>
      <c r="B805" s="208" t="str">
        <f>IF(ISBLANK(D805),"",VLOOKUP(WEEKDAY($C805,1),INDEX!$J$2:$K$8,2,0))</f>
        <v/>
      </c>
      <c r="C805" s="209"/>
      <c r="D805" s="207"/>
      <c r="E805" s="207"/>
      <c r="F805" s="207"/>
      <c r="G805" s="207"/>
      <c r="H805" s="207"/>
      <c r="I805" s="207"/>
      <c r="J805" s="207"/>
      <c r="K805" s="207"/>
      <c r="L805" s="207"/>
      <c r="M805" s="207"/>
      <c r="N805" s="207"/>
      <c r="O805" s="207"/>
      <c r="P805" s="207"/>
      <c r="Q805" s="207"/>
      <c r="R805" s="207"/>
      <c r="S805" s="207"/>
      <c r="T805" s="207"/>
      <c r="U805" s="209"/>
      <c r="V805" s="207"/>
      <c r="W805" s="207"/>
      <c r="X805" s="209"/>
      <c r="Y805" s="209"/>
      <c r="Z805" s="207" t="str">
        <f t="shared" ca="1" si="111"/>
        <v/>
      </c>
      <c r="AA805" s="209" t="str">
        <f t="shared" si="115"/>
        <v/>
      </c>
      <c r="AB805" s="209"/>
      <c r="AC805" s="207" t="str">
        <f t="shared" ca="1" si="112"/>
        <v/>
      </c>
      <c r="AD805" s="207"/>
      <c r="AE805" s="207"/>
      <c r="AF805" s="208" t="str">
        <f>IF(ISBLANK(D805),"",VLOOKUP(F805,'SIZE CALCULATION'!$F:$G,2,0))</f>
        <v/>
      </c>
      <c r="AG805" s="207" t="str">
        <f t="shared" si="110"/>
        <v/>
      </c>
      <c r="AH805" s="207" t="str">
        <f t="shared" si="113"/>
        <v/>
      </c>
      <c r="AI805" s="210" t="str">
        <f>IF(ISBLANK(D805),"",VLOOKUP($A805,INDEX!$D$2:$F$13,3,0))</f>
        <v/>
      </c>
      <c r="AJ805" s="207" t="str">
        <f t="shared" si="114"/>
        <v/>
      </c>
      <c r="AK805" s="207"/>
      <c r="AL805" s="207"/>
      <c r="AM805" s="207" t="str">
        <f>IFERROR(IF(ISBLANK($D805),"",VLOOKUP($N805,'TABLE CHARGE RATE'!$A$30:$K$106,5,0)),"Check")</f>
        <v/>
      </c>
      <c r="AN805" s="207" t="str">
        <f>IFERROR(IF(ISBLANK($D805),"",VLOOKUP($N805,'TABLE CHARGE RATE'!$A$30:$K$106,6,0)),"Check")</f>
        <v/>
      </c>
      <c r="AO805" s="207" t="str">
        <f>IFERROR(IF(ISBLANK($D805),"",VLOOKUP($N805,'TABLE CHARGE RATE'!$A$30:$K$106,7,0)),"Check")</f>
        <v/>
      </c>
      <c r="AP805" s="207" t="str">
        <f>IFERROR(IF(ISBLANK($D805),"",VLOOKUP($N805,'TABLE CHARGE RATE'!$A$30:$K$106,8,0)),"Check")</f>
        <v/>
      </c>
      <c r="AQ805" s="207" t="str">
        <f>IFERROR(IF(ISBLANK($D805),"",VLOOKUP($N805,'TABLE CHARGE RATE'!$A$30:$K$106,9,0)),"Check")</f>
        <v/>
      </c>
      <c r="AR805" s="207" t="str">
        <f>IFERROR(IF(ISBLANK($D805),"",VLOOKUP($N805,'TABLE CHARGE RATE'!$A$30:$K$106,10,0)),"Check")</f>
        <v/>
      </c>
      <c r="AS805" s="207" t="str">
        <f>IFERROR(IF(ISBLANK($D805),"",VLOOKUP($N805,'TABLE CHARGE RATE'!$A$30:$K$106,11,0)),"Check")</f>
        <v/>
      </c>
      <c r="AT805" s="207"/>
    </row>
    <row r="806" spans="1:46" x14ac:dyDescent="0.2">
      <c r="A806" s="207" t="str">
        <f t="shared" si="109"/>
        <v/>
      </c>
      <c r="B806" s="208" t="str">
        <f>IF(ISBLANK(D806),"",VLOOKUP(WEEKDAY($C806,1),INDEX!$J$2:$K$8,2,0))</f>
        <v/>
      </c>
      <c r="C806" s="209"/>
      <c r="D806" s="207"/>
      <c r="E806" s="207"/>
      <c r="F806" s="207"/>
      <c r="G806" s="207"/>
      <c r="H806" s="207"/>
      <c r="I806" s="207"/>
      <c r="J806" s="207"/>
      <c r="K806" s="207"/>
      <c r="L806" s="207"/>
      <c r="M806" s="207"/>
      <c r="N806" s="207"/>
      <c r="O806" s="207"/>
      <c r="P806" s="207"/>
      <c r="Q806" s="207"/>
      <c r="R806" s="207"/>
      <c r="S806" s="207"/>
      <c r="T806" s="207"/>
      <c r="U806" s="209"/>
      <c r="V806" s="207"/>
      <c r="W806" s="207"/>
      <c r="X806" s="209"/>
      <c r="Y806" s="209"/>
      <c r="Z806" s="207" t="str">
        <f t="shared" ca="1" si="111"/>
        <v/>
      </c>
      <c r="AA806" s="209" t="str">
        <f t="shared" si="115"/>
        <v/>
      </c>
      <c r="AB806" s="209"/>
      <c r="AC806" s="207" t="str">
        <f t="shared" ca="1" si="112"/>
        <v/>
      </c>
      <c r="AD806" s="207"/>
      <c r="AE806" s="207"/>
      <c r="AF806" s="208" t="str">
        <f>IF(ISBLANK(D806),"",VLOOKUP(F806,'SIZE CALCULATION'!$F:$G,2,0))</f>
        <v/>
      </c>
      <c r="AG806" s="207" t="str">
        <f t="shared" si="110"/>
        <v/>
      </c>
      <c r="AH806" s="207" t="str">
        <f t="shared" si="113"/>
        <v/>
      </c>
      <c r="AI806" s="210" t="str">
        <f>IF(ISBLANK(D806),"",VLOOKUP($A806,INDEX!$D$2:$F$13,3,0))</f>
        <v/>
      </c>
      <c r="AJ806" s="207" t="str">
        <f t="shared" si="114"/>
        <v/>
      </c>
      <c r="AK806" s="207"/>
      <c r="AL806" s="207"/>
      <c r="AM806" s="207" t="str">
        <f>IFERROR(IF(ISBLANK($D806),"",VLOOKUP($N806,'TABLE CHARGE RATE'!$A$30:$K$106,5,0)),"Check")</f>
        <v/>
      </c>
      <c r="AN806" s="207" t="str">
        <f>IFERROR(IF(ISBLANK($D806),"",VLOOKUP($N806,'TABLE CHARGE RATE'!$A$30:$K$106,6,0)),"Check")</f>
        <v/>
      </c>
      <c r="AO806" s="207" t="str">
        <f>IFERROR(IF(ISBLANK($D806),"",VLOOKUP($N806,'TABLE CHARGE RATE'!$A$30:$K$106,7,0)),"Check")</f>
        <v/>
      </c>
      <c r="AP806" s="207" t="str">
        <f>IFERROR(IF(ISBLANK($D806),"",VLOOKUP($N806,'TABLE CHARGE RATE'!$A$30:$K$106,8,0)),"Check")</f>
        <v/>
      </c>
      <c r="AQ806" s="207" t="str">
        <f>IFERROR(IF(ISBLANK($D806),"",VLOOKUP($N806,'TABLE CHARGE RATE'!$A$30:$K$106,9,0)),"Check")</f>
        <v/>
      </c>
      <c r="AR806" s="207" t="str">
        <f>IFERROR(IF(ISBLANK($D806),"",VLOOKUP($N806,'TABLE CHARGE RATE'!$A$30:$K$106,10,0)),"Check")</f>
        <v/>
      </c>
      <c r="AS806" s="207" t="str">
        <f>IFERROR(IF(ISBLANK($D806),"",VLOOKUP($N806,'TABLE CHARGE RATE'!$A$30:$K$106,11,0)),"Check")</f>
        <v/>
      </c>
      <c r="AT806" s="207"/>
    </row>
    <row r="807" spans="1:46" x14ac:dyDescent="0.2">
      <c r="A807" s="207" t="str">
        <f t="shared" si="109"/>
        <v/>
      </c>
      <c r="B807" s="208" t="str">
        <f>IF(ISBLANK(D807),"",VLOOKUP(WEEKDAY($C807,1),INDEX!$J$2:$K$8,2,0))</f>
        <v/>
      </c>
      <c r="C807" s="209"/>
      <c r="D807" s="207"/>
      <c r="E807" s="207"/>
      <c r="F807" s="207"/>
      <c r="G807" s="207"/>
      <c r="H807" s="207"/>
      <c r="I807" s="207"/>
      <c r="J807" s="207"/>
      <c r="K807" s="207"/>
      <c r="L807" s="207"/>
      <c r="M807" s="207"/>
      <c r="N807" s="207"/>
      <c r="O807" s="207"/>
      <c r="P807" s="207"/>
      <c r="Q807" s="207"/>
      <c r="R807" s="207"/>
      <c r="S807" s="207"/>
      <c r="T807" s="207"/>
      <c r="U807" s="209"/>
      <c r="V807" s="207"/>
      <c r="W807" s="207"/>
      <c r="X807" s="209"/>
      <c r="Y807" s="209"/>
      <c r="Z807" s="207" t="str">
        <f t="shared" ca="1" si="111"/>
        <v/>
      </c>
      <c r="AA807" s="209" t="str">
        <f t="shared" si="115"/>
        <v/>
      </c>
      <c r="AB807" s="209"/>
      <c r="AC807" s="207" t="str">
        <f t="shared" ca="1" si="112"/>
        <v/>
      </c>
      <c r="AD807" s="207"/>
      <c r="AE807" s="207"/>
      <c r="AF807" s="208" t="str">
        <f>IF(ISBLANK(D807),"",VLOOKUP(F807,'SIZE CALCULATION'!$F:$G,2,0))</f>
        <v/>
      </c>
      <c r="AG807" s="207" t="str">
        <f t="shared" si="110"/>
        <v/>
      </c>
      <c r="AH807" s="207" t="str">
        <f t="shared" si="113"/>
        <v/>
      </c>
      <c r="AI807" s="210" t="str">
        <f>IF(ISBLANK(D807),"",VLOOKUP($A807,INDEX!$D$2:$F$13,3,0))</f>
        <v/>
      </c>
      <c r="AJ807" s="207" t="str">
        <f t="shared" si="114"/>
        <v/>
      </c>
      <c r="AK807" s="207"/>
      <c r="AL807" s="207"/>
      <c r="AM807" s="207" t="str">
        <f>IFERROR(IF(ISBLANK($D807),"",VLOOKUP($N807,'TABLE CHARGE RATE'!$A$30:$K$106,5,0)),"Check")</f>
        <v/>
      </c>
      <c r="AN807" s="207" t="str">
        <f>IFERROR(IF(ISBLANK($D807),"",VLOOKUP($N807,'TABLE CHARGE RATE'!$A$30:$K$106,6,0)),"Check")</f>
        <v/>
      </c>
      <c r="AO807" s="207" t="str">
        <f>IFERROR(IF(ISBLANK($D807),"",VLOOKUP($N807,'TABLE CHARGE RATE'!$A$30:$K$106,7,0)),"Check")</f>
        <v/>
      </c>
      <c r="AP807" s="207" t="str">
        <f>IFERROR(IF(ISBLANK($D807),"",VLOOKUP($N807,'TABLE CHARGE RATE'!$A$30:$K$106,8,0)),"Check")</f>
        <v/>
      </c>
      <c r="AQ807" s="207" t="str">
        <f>IFERROR(IF(ISBLANK($D807),"",VLOOKUP($N807,'TABLE CHARGE RATE'!$A$30:$K$106,9,0)),"Check")</f>
        <v/>
      </c>
      <c r="AR807" s="207" t="str">
        <f>IFERROR(IF(ISBLANK($D807),"",VLOOKUP($N807,'TABLE CHARGE RATE'!$A$30:$K$106,10,0)),"Check")</f>
        <v/>
      </c>
      <c r="AS807" s="207" t="str">
        <f>IFERROR(IF(ISBLANK($D807),"",VLOOKUP($N807,'TABLE CHARGE RATE'!$A$30:$K$106,11,0)),"Check")</f>
        <v/>
      </c>
      <c r="AT807" s="207"/>
    </row>
    <row r="808" spans="1:46" x14ac:dyDescent="0.2">
      <c r="A808" s="207" t="str">
        <f t="shared" si="109"/>
        <v/>
      </c>
      <c r="B808" s="208" t="str">
        <f>IF(ISBLANK(D808),"",VLOOKUP(WEEKDAY($C808,1),INDEX!$J$2:$K$8,2,0))</f>
        <v/>
      </c>
      <c r="C808" s="209"/>
      <c r="D808" s="207"/>
      <c r="E808" s="207"/>
      <c r="F808" s="207"/>
      <c r="G808" s="207"/>
      <c r="H808" s="207"/>
      <c r="I808" s="207"/>
      <c r="J808" s="207"/>
      <c r="K808" s="207"/>
      <c r="L808" s="207"/>
      <c r="M808" s="207"/>
      <c r="N808" s="207"/>
      <c r="O808" s="207"/>
      <c r="P808" s="207"/>
      <c r="Q808" s="207"/>
      <c r="R808" s="207"/>
      <c r="S808" s="207"/>
      <c r="T808" s="207"/>
      <c r="U808" s="209"/>
      <c r="V808" s="207"/>
      <c r="W808" s="207"/>
      <c r="X808" s="209"/>
      <c r="Y808" s="209"/>
      <c r="Z808" s="207" t="str">
        <f t="shared" ca="1" si="111"/>
        <v/>
      </c>
      <c r="AA808" s="209" t="str">
        <f t="shared" si="115"/>
        <v/>
      </c>
      <c r="AB808" s="209"/>
      <c r="AC808" s="207" t="str">
        <f t="shared" ca="1" si="112"/>
        <v/>
      </c>
      <c r="AD808" s="207"/>
      <c r="AE808" s="207"/>
      <c r="AF808" s="208" t="str">
        <f>IF(ISBLANK(D808),"",VLOOKUP(F808,'SIZE CALCULATION'!$F:$G,2,0))</f>
        <v/>
      </c>
      <c r="AG808" s="207" t="str">
        <f t="shared" si="110"/>
        <v/>
      </c>
      <c r="AH808" s="207" t="str">
        <f t="shared" si="113"/>
        <v/>
      </c>
      <c r="AI808" s="210" t="str">
        <f>IF(ISBLANK(D808),"",VLOOKUP($A808,INDEX!$D$2:$F$13,3,0))</f>
        <v/>
      </c>
      <c r="AJ808" s="207" t="str">
        <f t="shared" si="114"/>
        <v/>
      </c>
      <c r="AK808" s="207"/>
      <c r="AL808" s="207"/>
      <c r="AM808" s="207" t="str">
        <f>IFERROR(IF(ISBLANK($D808),"",VLOOKUP($N808,'TABLE CHARGE RATE'!$A$30:$K$106,5,0)),"Check")</f>
        <v/>
      </c>
      <c r="AN808" s="207" t="str">
        <f>IFERROR(IF(ISBLANK($D808),"",VLOOKUP($N808,'TABLE CHARGE RATE'!$A$30:$K$106,6,0)),"Check")</f>
        <v/>
      </c>
      <c r="AO808" s="207" t="str">
        <f>IFERROR(IF(ISBLANK($D808),"",VLOOKUP($N808,'TABLE CHARGE RATE'!$A$30:$K$106,7,0)),"Check")</f>
        <v/>
      </c>
      <c r="AP808" s="207" t="str">
        <f>IFERROR(IF(ISBLANK($D808),"",VLOOKUP($N808,'TABLE CHARGE RATE'!$A$30:$K$106,8,0)),"Check")</f>
        <v/>
      </c>
      <c r="AQ808" s="207" t="str">
        <f>IFERROR(IF(ISBLANK($D808),"",VLOOKUP($N808,'TABLE CHARGE RATE'!$A$30:$K$106,9,0)),"Check")</f>
        <v/>
      </c>
      <c r="AR808" s="207" t="str">
        <f>IFERROR(IF(ISBLANK($D808),"",VLOOKUP($N808,'TABLE CHARGE RATE'!$A$30:$K$106,10,0)),"Check")</f>
        <v/>
      </c>
      <c r="AS808" s="207" t="str">
        <f>IFERROR(IF(ISBLANK($D808),"",VLOOKUP($N808,'TABLE CHARGE RATE'!$A$30:$K$106,11,0)),"Check")</f>
        <v/>
      </c>
      <c r="AT808" s="207"/>
    </row>
    <row r="809" spans="1:46" x14ac:dyDescent="0.2">
      <c r="A809" s="207" t="str">
        <f t="shared" si="109"/>
        <v/>
      </c>
      <c r="B809" s="208" t="str">
        <f>IF(ISBLANK(D809),"",VLOOKUP(WEEKDAY($C809,1),INDEX!$J$2:$K$8,2,0))</f>
        <v/>
      </c>
      <c r="C809" s="209"/>
      <c r="D809" s="207"/>
      <c r="E809" s="207"/>
      <c r="F809" s="207"/>
      <c r="G809" s="207"/>
      <c r="H809" s="207"/>
      <c r="I809" s="207"/>
      <c r="J809" s="207"/>
      <c r="K809" s="207"/>
      <c r="L809" s="207"/>
      <c r="M809" s="207"/>
      <c r="N809" s="207"/>
      <c r="O809" s="207"/>
      <c r="P809" s="207"/>
      <c r="Q809" s="207"/>
      <c r="R809" s="207"/>
      <c r="S809" s="207"/>
      <c r="T809" s="207"/>
      <c r="U809" s="209"/>
      <c r="V809" s="207"/>
      <c r="W809" s="207"/>
      <c r="X809" s="209"/>
      <c r="Y809" s="209"/>
      <c r="Z809" s="207" t="str">
        <f t="shared" ca="1" si="111"/>
        <v/>
      </c>
      <c r="AA809" s="209" t="str">
        <f t="shared" si="115"/>
        <v/>
      </c>
      <c r="AB809" s="209"/>
      <c r="AC809" s="207" t="str">
        <f t="shared" ca="1" si="112"/>
        <v/>
      </c>
      <c r="AD809" s="207"/>
      <c r="AE809" s="207"/>
      <c r="AF809" s="208" t="str">
        <f>IF(ISBLANK(D809),"",VLOOKUP(F809,'SIZE CALCULATION'!$F:$G,2,0))</f>
        <v/>
      </c>
      <c r="AG809" s="207" t="str">
        <f t="shared" si="110"/>
        <v/>
      </c>
      <c r="AH809" s="207" t="str">
        <f t="shared" si="113"/>
        <v/>
      </c>
      <c r="AI809" s="210" t="str">
        <f>IF(ISBLANK(D809),"",VLOOKUP($A809,INDEX!$D$2:$F$13,3,0))</f>
        <v/>
      </c>
      <c r="AJ809" s="207" t="str">
        <f t="shared" si="114"/>
        <v/>
      </c>
      <c r="AK809" s="207"/>
      <c r="AL809" s="207"/>
      <c r="AM809" s="207" t="str">
        <f>IFERROR(IF(ISBLANK($D809),"",VLOOKUP($N809,'TABLE CHARGE RATE'!$A$30:$K$106,5,0)),"Check")</f>
        <v/>
      </c>
      <c r="AN809" s="207" t="str">
        <f>IFERROR(IF(ISBLANK($D809),"",VLOOKUP($N809,'TABLE CHARGE RATE'!$A$30:$K$106,6,0)),"Check")</f>
        <v/>
      </c>
      <c r="AO809" s="207" t="str">
        <f>IFERROR(IF(ISBLANK($D809),"",VLOOKUP($N809,'TABLE CHARGE RATE'!$A$30:$K$106,7,0)),"Check")</f>
        <v/>
      </c>
      <c r="AP809" s="207" t="str">
        <f>IFERROR(IF(ISBLANK($D809),"",VLOOKUP($N809,'TABLE CHARGE RATE'!$A$30:$K$106,8,0)),"Check")</f>
        <v/>
      </c>
      <c r="AQ809" s="207" t="str">
        <f>IFERROR(IF(ISBLANK($D809),"",VLOOKUP($N809,'TABLE CHARGE RATE'!$A$30:$K$106,9,0)),"Check")</f>
        <v/>
      </c>
      <c r="AR809" s="207" t="str">
        <f>IFERROR(IF(ISBLANK($D809),"",VLOOKUP($N809,'TABLE CHARGE RATE'!$A$30:$K$106,10,0)),"Check")</f>
        <v/>
      </c>
      <c r="AS809" s="207" t="str">
        <f>IFERROR(IF(ISBLANK($D809),"",VLOOKUP($N809,'TABLE CHARGE RATE'!$A$30:$K$106,11,0)),"Check")</f>
        <v/>
      </c>
      <c r="AT809" s="207"/>
    </row>
    <row r="810" spans="1:46" x14ac:dyDescent="0.2">
      <c r="A810" s="207" t="str">
        <f t="shared" ref="A810:A873" si="116">IF(ISBLANK(D810),"",MONTH(C810))</f>
        <v/>
      </c>
      <c r="B810" s="208" t="str">
        <f>IF(ISBLANK(D810),"",VLOOKUP(WEEKDAY($C810,1),INDEX!$J$2:$K$8,2,0))</f>
        <v/>
      </c>
      <c r="C810" s="209"/>
      <c r="D810" s="207"/>
      <c r="E810" s="207"/>
      <c r="F810" s="207"/>
      <c r="G810" s="207"/>
      <c r="H810" s="207"/>
      <c r="I810" s="207"/>
      <c r="J810" s="207"/>
      <c r="K810" s="207"/>
      <c r="L810" s="207"/>
      <c r="M810" s="207"/>
      <c r="N810" s="207"/>
      <c r="O810" s="207"/>
      <c r="P810" s="207"/>
      <c r="Q810" s="207"/>
      <c r="R810" s="207"/>
      <c r="S810" s="207"/>
      <c r="T810" s="207"/>
      <c r="U810" s="209"/>
      <c r="V810" s="207"/>
      <c r="W810" s="207"/>
      <c r="X810" s="209"/>
      <c r="Y810" s="209"/>
      <c r="Z810" s="207" t="str">
        <f t="shared" ca="1" si="111"/>
        <v/>
      </c>
      <c r="AA810" s="209" t="str">
        <f t="shared" si="115"/>
        <v/>
      </c>
      <c r="AB810" s="209"/>
      <c r="AC810" s="207" t="str">
        <f t="shared" ca="1" si="112"/>
        <v/>
      </c>
      <c r="AD810" s="207"/>
      <c r="AE810" s="207"/>
      <c r="AF810" s="208" t="str">
        <f>IF(ISBLANK(D810),"",VLOOKUP(F810,'SIZE CALCULATION'!$F:$G,2,0))</f>
        <v/>
      </c>
      <c r="AG810" s="207" t="str">
        <f t="shared" si="110"/>
        <v/>
      </c>
      <c r="AH810" s="207" t="str">
        <f t="shared" si="113"/>
        <v/>
      </c>
      <c r="AI810" s="210" t="str">
        <f>IF(ISBLANK(D810),"",VLOOKUP($A810,INDEX!$D$2:$F$13,3,0))</f>
        <v/>
      </c>
      <c r="AJ810" s="207" t="str">
        <f t="shared" si="114"/>
        <v/>
      </c>
      <c r="AK810" s="207"/>
      <c r="AL810" s="207"/>
      <c r="AM810" s="207" t="str">
        <f>IFERROR(IF(ISBLANK($D810),"",VLOOKUP($N810,'TABLE CHARGE RATE'!$A$30:$K$106,5,0)),"Check")</f>
        <v/>
      </c>
      <c r="AN810" s="207" t="str">
        <f>IFERROR(IF(ISBLANK($D810),"",VLOOKUP($N810,'TABLE CHARGE RATE'!$A$30:$K$106,6,0)),"Check")</f>
        <v/>
      </c>
      <c r="AO810" s="207" t="str">
        <f>IFERROR(IF(ISBLANK($D810),"",VLOOKUP($N810,'TABLE CHARGE RATE'!$A$30:$K$106,7,0)),"Check")</f>
        <v/>
      </c>
      <c r="AP810" s="207" t="str">
        <f>IFERROR(IF(ISBLANK($D810),"",VLOOKUP($N810,'TABLE CHARGE RATE'!$A$30:$K$106,8,0)),"Check")</f>
        <v/>
      </c>
      <c r="AQ810" s="207" t="str">
        <f>IFERROR(IF(ISBLANK($D810),"",VLOOKUP($N810,'TABLE CHARGE RATE'!$A$30:$K$106,9,0)),"Check")</f>
        <v/>
      </c>
      <c r="AR810" s="207" t="str">
        <f>IFERROR(IF(ISBLANK($D810),"",VLOOKUP($N810,'TABLE CHARGE RATE'!$A$30:$K$106,10,0)),"Check")</f>
        <v/>
      </c>
      <c r="AS810" s="207" t="str">
        <f>IFERROR(IF(ISBLANK($D810),"",VLOOKUP($N810,'TABLE CHARGE RATE'!$A$30:$K$106,11,0)),"Check")</f>
        <v/>
      </c>
      <c r="AT810" s="207"/>
    </row>
    <row r="811" spans="1:46" x14ac:dyDescent="0.2">
      <c r="A811" s="207" t="str">
        <f t="shared" si="116"/>
        <v/>
      </c>
      <c r="B811" s="208" t="str">
        <f>IF(ISBLANK(D811),"",VLOOKUP(WEEKDAY($C811,1),INDEX!$J$2:$K$8,2,0))</f>
        <v/>
      </c>
      <c r="C811" s="209"/>
      <c r="D811" s="207"/>
      <c r="E811" s="207"/>
      <c r="F811" s="207"/>
      <c r="G811" s="207"/>
      <c r="H811" s="207"/>
      <c r="I811" s="207"/>
      <c r="J811" s="207"/>
      <c r="K811" s="207"/>
      <c r="L811" s="207"/>
      <c r="M811" s="207"/>
      <c r="N811" s="207"/>
      <c r="O811" s="207"/>
      <c r="P811" s="207"/>
      <c r="Q811" s="207"/>
      <c r="R811" s="207"/>
      <c r="S811" s="207"/>
      <c r="T811" s="207"/>
      <c r="U811" s="209"/>
      <c r="V811" s="207"/>
      <c r="W811" s="207"/>
      <c r="X811" s="209"/>
      <c r="Y811" s="209"/>
      <c r="Z811" s="207" t="str">
        <f t="shared" ca="1" si="111"/>
        <v/>
      </c>
      <c r="AA811" s="209" t="str">
        <f t="shared" si="115"/>
        <v/>
      </c>
      <c r="AB811" s="209"/>
      <c r="AC811" s="207" t="str">
        <f t="shared" ca="1" si="112"/>
        <v/>
      </c>
      <c r="AD811" s="207"/>
      <c r="AE811" s="207"/>
      <c r="AF811" s="208" t="str">
        <f>IF(ISBLANK(D811),"",VLOOKUP(F811,'SIZE CALCULATION'!$F:$G,2,0))</f>
        <v/>
      </c>
      <c r="AG811" s="207" t="str">
        <f t="shared" si="110"/>
        <v/>
      </c>
      <c r="AH811" s="207" t="str">
        <f t="shared" si="113"/>
        <v/>
      </c>
      <c r="AI811" s="210" t="str">
        <f>IF(ISBLANK(D811),"",VLOOKUP($A811,INDEX!$D$2:$F$13,3,0))</f>
        <v/>
      </c>
      <c r="AJ811" s="207" t="str">
        <f t="shared" si="114"/>
        <v/>
      </c>
      <c r="AK811" s="207"/>
      <c r="AL811" s="207"/>
      <c r="AM811" s="207" t="str">
        <f>IFERROR(IF(ISBLANK($D811),"",VLOOKUP($N811,'TABLE CHARGE RATE'!$A$30:$K$106,5,0)),"Check")</f>
        <v/>
      </c>
      <c r="AN811" s="207" t="str">
        <f>IFERROR(IF(ISBLANK($D811),"",VLOOKUP($N811,'TABLE CHARGE RATE'!$A$30:$K$106,6,0)),"Check")</f>
        <v/>
      </c>
      <c r="AO811" s="207" t="str">
        <f>IFERROR(IF(ISBLANK($D811),"",VLOOKUP($N811,'TABLE CHARGE RATE'!$A$30:$K$106,7,0)),"Check")</f>
        <v/>
      </c>
      <c r="AP811" s="207" t="str">
        <f>IFERROR(IF(ISBLANK($D811),"",VLOOKUP($N811,'TABLE CHARGE RATE'!$A$30:$K$106,8,0)),"Check")</f>
        <v/>
      </c>
      <c r="AQ811" s="207" t="str">
        <f>IFERROR(IF(ISBLANK($D811),"",VLOOKUP($N811,'TABLE CHARGE RATE'!$A$30:$K$106,9,0)),"Check")</f>
        <v/>
      </c>
      <c r="AR811" s="207" t="str">
        <f>IFERROR(IF(ISBLANK($D811),"",VLOOKUP($N811,'TABLE CHARGE RATE'!$A$30:$K$106,10,0)),"Check")</f>
        <v/>
      </c>
      <c r="AS811" s="207" t="str">
        <f>IFERROR(IF(ISBLANK($D811),"",VLOOKUP($N811,'TABLE CHARGE RATE'!$A$30:$K$106,11,0)),"Check")</f>
        <v/>
      </c>
      <c r="AT811" s="207"/>
    </row>
    <row r="812" spans="1:46" x14ac:dyDescent="0.2">
      <c r="A812" s="207" t="str">
        <f t="shared" si="116"/>
        <v/>
      </c>
      <c r="B812" s="208" t="str">
        <f>IF(ISBLANK(D812),"",VLOOKUP(WEEKDAY($C812,1),INDEX!$J$2:$K$8,2,0))</f>
        <v/>
      </c>
      <c r="C812" s="209"/>
      <c r="D812" s="207"/>
      <c r="E812" s="207"/>
      <c r="F812" s="207"/>
      <c r="G812" s="207"/>
      <c r="H812" s="207"/>
      <c r="I812" s="207"/>
      <c r="J812" s="207"/>
      <c r="K812" s="207"/>
      <c r="L812" s="207"/>
      <c r="M812" s="207"/>
      <c r="N812" s="207"/>
      <c r="O812" s="207"/>
      <c r="P812" s="207"/>
      <c r="Q812" s="207"/>
      <c r="R812" s="207"/>
      <c r="S812" s="207"/>
      <c r="T812" s="207"/>
      <c r="U812" s="209"/>
      <c r="V812" s="207"/>
      <c r="W812" s="207"/>
      <c r="X812" s="209"/>
      <c r="Y812" s="209"/>
      <c r="Z812" s="207" t="str">
        <f t="shared" ca="1" si="111"/>
        <v/>
      </c>
      <c r="AA812" s="209" t="str">
        <f t="shared" si="115"/>
        <v/>
      </c>
      <c r="AB812" s="209"/>
      <c r="AC812" s="207" t="str">
        <f t="shared" ca="1" si="112"/>
        <v/>
      </c>
      <c r="AD812" s="207"/>
      <c r="AE812" s="207"/>
      <c r="AF812" s="208" t="str">
        <f>IF(ISBLANK(D812),"",VLOOKUP(F812,'SIZE CALCULATION'!$F:$G,2,0))</f>
        <v/>
      </c>
      <c r="AG812" s="207" t="str">
        <f t="shared" si="110"/>
        <v/>
      </c>
      <c r="AH812" s="207" t="str">
        <f t="shared" si="113"/>
        <v/>
      </c>
      <c r="AI812" s="210" t="str">
        <f>IF(ISBLANK(D812),"",VLOOKUP($A812,INDEX!$D$2:$F$13,3,0))</f>
        <v/>
      </c>
      <c r="AJ812" s="207" t="str">
        <f t="shared" si="114"/>
        <v/>
      </c>
      <c r="AK812" s="207"/>
      <c r="AL812" s="207"/>
      <c r="AM812" s="207" t="str">
        <f>IFERROR(IF(ISBLANK($D812),"",VLOOKUP($N812,'TABLE CHARGE RATE'!$A$30:$K$106,5,0)),"Check")</f>
        <v/>
      </c>
      <c r="AN812" s="207" t="str">
        <f>IFERROR(IF(ISBLANK($D812),"",VLOOKUP($N812,'TABLE CHARGE RATE'!$A$30:$K$106,6,0)),"Check")</f>
        <v/>
      </c>
      <c r="AO812" s="207" t="str">
        <f>IFERROR(IF(ISBLANK($D812),"",VLOOKUP($N812,'TABLE CHARGE RATE'!$A$30:$K$106,7,0)),"Check")</f>
        <v/>
      </c>
      <c r="AP812" s="207" t="str">
        <f>IFERROR(IF(ISBLANK($D812),"",VLOOKUP($N812,'TABLE CHARGE RATE'!$A$30:$K$106,8,0)),"Check")</f>
        <v/>
      </c>
      <c r="AQ812" s="207" t="str">
        <f>IFERROR(IF(ISBLANK($D812),"",VLOOKUP($N812,'TABLE CHARGE RATE'!$A$30:$K$106,9,0)),"Check")</f>
        <v/>
      </c>
      <c r="AR812" s="207" t="str">
        <f>IFERROR(IF(ISBLANK($D812),"",VLOOKUP($N812,'TABLE CHARGE RATE'!$A$30:$K$106,10,0)),"Check")</f>
        <v/>
      </c>
      <c r="AS812" s="207" t="str">
        <f>IFERROR(IF(ISBLANK($D812),"",VLOOKUP($N812,'TABLE CHARGE RATE'!$A$30:$K$106,11,0)),"Check")</f>
        <v/>
      </c>
      <c r="AT812" s="207"/>
    </row>
    <row r="813" spans="1:46" x14ac:dyDescent="0.2">
      <c r="A813" s="207" t="str">
        <f t="shared" si="116"/>
        <v/>
      </c>
      <c r="B813" s="208" t="str">
        <f>IF(ISBLANK(D813),"",VLOOKUP(WEEKDAY($C813,1),INDEX!$J$2:$K$8,2,0))</f>
        <v/>
      </c>
      <c r="C813" s="209"/>
      <c r="D813" s="207"/>
      <c r="E813" s="207"/>
      <c r="F813" s="207"/>
      <c r="G813" s="207"/>
      <c r="H813" s="207"/>
      <c r="I813" s="207"/>
      <c r="J813" s="207"/>
      <c r="K813" s="207"/>
      <c r="L813" s="207"/>
      <c r="M813" s="207"/>
      <c r="N813" s="207"/>
      <c r="O813" s="207"/>
      <c r="P813" s="207"/>
      <c r="Q813" s="207"/>
      <c r="R813" s="207"/>
      <c r="S813" s="207"/>
      <c r="T813" s="207"/>
      <c r="U813" s="209"/>
      <c r="V813" s="207"/>
      <c r="W813" s="207"/>
      <c r="X813" s="209"/>
      <c r="Y813" s="209"/>
      <c r="Z813" s="207" t="str">
        <f t="shared" ca="1" si="111"/>
        <v/>
      </c>
      <c r="AA813" s="209" t="str">
        <f t="shared" si="115"/>
        <v/>
      </c>
      <c r="AB813" s="209"/>
      <c r="AC813" s="207" t="str">
        <f t="shared" ca="1" si="112"/>
        <v/>
      </c>
      <c r="AD813" s="207"/>
      <c r="AE813" s="207"/>
      <c r="AF813" s="208" t="str">
        <f>IF(ISBLANK(D813),"",VLOOKUP(F813,'SIZE CALCULATION'!$F:$G,2,0))</f>
        <v/>
      </c>
      <c r="AG813" s="207" t="str">
        <f t="shared" si="110"/>
        <v/>
      </c>
      <c r="AH813" s="207" t="str">
        <f t="shared" si="113"/>
        <v/>
      </c>
      <c r="AI813" s="210" t="str">
        <f>IF(ISBLANK(D813),"",VLOOKUP($A813,INDEX!$D$2:$F$13,3,0))</f>
        <v/>
      </c>
      <c r="AJ813" s="207" t="str">
        <f t="shared" si="114"/>
        <v/>
      </c>
      <c r="AK813" s="207"/>
      <c r="AL813" s="207"/>
      <c r="AM813" s="207" t="str">
        <f>IFERROR(IF(ISBLANK($D813),"",VLOOKUP($N813,'TABLE CHARGE RATE'!$A$30:$K$106,5,0)),"Check")</f>
        <v/>
      </c>
      <c r="AN813" s="207" t="str">
        <f>IFERROR(IF(ISBLANK($D813),"",VLOOKUP($N813,'TABLE CHARGE RATE'!$A$30:$K$106,6,0)),"Check")</f>
        <v/>
      </c>
      <c r="AO813" s="207" t="str">
        <f>IFERROR(IF(ISBLANK($D813),"",VLOOKUP($N813,'TABLE CHARGE RATE'!$A$30:$K$106,7,0)),"Check")</f>
        <v/>
      </c>
      <c r="AP813" s="207" t="str">
        <f>IFERROR(IF(ISBLANK($D813),"",VLOOKUP($N813,'TABLE CHARGE RATE'!$A$30:$K$106,8,0)),"Check")</f>
        <v/>
      </c>
      <c r="AQ813" s="207" t="str">
        <f>IFERROR(IF(ISBLANK($D813),"",VLOOKUP($N813,'TABLE CHARGE RATE'!$A$30:$K$106,9,0)),"Check")</f>
        <v/>
      </c>
      <c r="AR813" s="207" t="str">
        <f>IFERROR(IF(ISBLANK($D813),"",VLOOKUP($N813,'TABLE CHARGE RATE'!$A$30:$K$106,10,0)),"Check")</f>
        <v/>
      </c>
      <c r="AS813" s="207" t="str">
        <f>IFERROR(IF(ISBLANK($D813),"",VLOOKUP($N813,'TABLE CHARGE RATE'!$A$30:$K$106,11,0)),"Check")</f>
        <v/>
      </c>
      <c r="AT813" s="207"/>
    </row>
    <row r="814" spans="1:46" x14ac:dyDescent="0.2">
      <c r="A814" s="207" t="str">
        <f t="shared" si="116"/>
        <v/>
      </c>
      <c r="B814" s="208" t="str">
        <f>IF(ISBLANK(D814),"",VLOOKUP(WEEKDAY($C814,1),INDEX!$J$2:$K$8,2,0))</f>
        <v/>
      </c>
      <c r="C814" s="209"/>
      <c r="D814" s="207"/>
      <c r="E814" s="207"/>
      <c r="F814" s="207"/>
      <c r="G814" s="207"/>
      <c r="H814" s="207"/>
      <c r="I814" s="207"/>
      <c r="J814" s="207"/>
      <c r="K814" s="207"/>
      <c r="L814" s="207"/>
      <c r="M814" s="207"/>
      <c r="N814" s="207"/>
      <c r="O814" s="207"/>
      <c r="P814" s="207"/>
      <c r="Q814" s="207"/>
      <c r="R814" s="207"/>
      <c r="S814" s="207"/>
      <c r="T814" s="207"/>
      <c r="U814" s="209"/>
      <c r="V814" s="207"/>
      <c r="W814" s="207"/>
      <c r="X814" s="209"/>
      <c r="Y814" s="209"/>
      <c r="Z814" s="207" t="str">
        <f t="shared" ca="1" si="111"/>
        <v/>
      </c>
      <c r="AA814" s="209" t="str">
        <f t="shared" si="115"/>
        <v/>
      </c>
      <c r="AB814" s="209"/>
      <c r="AC814" s="207" t="str">
        <f t="shared" ca="1" si="112"/>
        <v/>
      </c>
      <c r="AD814" s="207"/>
      <c r="AE814" s="207"/>
      <c r="AF814" s="208" t="str">
        <f>IF(ISBLANK(D814),"",VLOOKUP(F814,'SIZE CALCULATION'!$F:$G,2,0))</f>
        <v/>
      </c>
      <c r="AG814" s="207" t="str">
        <f t="shared" si="110"/>
        <v/>
      </c>
      <c r="AH814" s="207" t="str">
        <f t="shared" si="113"/>
        <v/>
      </c>
      <c r="AI814" s="210" t="str">
        <f>IF(ISBLANK(D814),"",VLOOKUP($A814,INDEX!$D$2:$F$13,3,0))</f>
        <v/>
      </c>
      <c r="AJ814" s="207" t="str">
        <f t="shared" si="114"/>
        <v/>
      </c>
      <c r="AK814" s="207"/>
      <c r="AL814" s="207"/>
      <c r="AM814" s="207" t="str">
        <f>IFERROR(IF(ISBLANK($D814),"",VLOOKUP($N814,'TABLE CHARGE RATE'!$A$30:$K$106,5,0)),"Check")</f>
        <v/>
      </c>
      <c r="AN814" s="207" t="str">
        <f>IFERROR(IF(ISBLANK($D814),"",VLOOKUP($N814,'TABLE CHARGE RATE'!$A$30:$K$106,6,0)),"Check")</f>
        <v/>
      </c>
      <c r="AO814" s="207" t="str">
        <f>IFERROR(IF(ISBLANK($D814),"",VLOOKUP($N814,'TABLE CHARGE RATE'!$A$30:$K$106,7,0)),"Check")</f>
        <v/>
      </c>
      <c r="AP814" s="207" t="str">
        <f>IFERROR(IF(ISBLANK($D814),"",VLOOKUP($N814,'TABLE CHARGE RATE'!$A$30:$K$106,8,0)),"Check")</f>
        <v/>
      </c>
      <c r="AQ814" s="207" t="str">
        <f>IFERROR(IF(ISBLANK($D814),"",VLOOKUP($N814,'TABLE CHARGE RATE'!$A$30:$K$106,9,0)),"Check")</f>
        <v/>
      </c>
      <c r="AR814" s="207" t="str">
        <f>IFERROR(IF(ISBLANK($D814),"",VLOOKUP($N814,'TABLE CHARGE RATE'!$A$30:$K$106,10,0)),"Check")</f>
        <v/>
      </c>
      <c r="AS814" s="207" t="str">
        <f>IFERROR(IF(ISBLANK($D814),"",VLOOKUP($N814,'TABLE CHARGE RATE'!$A$30:$K$106,11,0)),"Check")</f>
        <v/>
      </c>
      <c r="AT814" s="207"/>
    </row>
    <row r="815" spans="1:46" x14ac:dyDescent="0.2">
      <c r="A815" s="207" t="str">
        <f t="shared" si="116"/>
        <v/>
      </c>
      <c r="B815" s="208" t="str">
        <f>IF(ISBLANK(D815),"",VLOOKUP(WEEKDAY($C815,1),INDEX!$J$2:$K$8,2,0))</f>
        <v/>
      </c>
      <c r="C815" s="209"/>
      <c r="D815" s="207"/>
      <c r="E815" s="207"/>
      <c r="F815" s="207"/>
      <c r="G815" s="207"/>
      <c r="H815" s="207"/>
      <c r="I815" s="207"/>
      <c r="J815" s="207"/>
      <c r="K815" s="207"/>
      <c r="L815" s="207"/>
      <c r="M815" s="207"/>
      <c r="N815" s="207"/>
      <c r="O815" s="207"/>
      <c r="P815" s="207"/>
      <c r="Q815" s="207"/>
      <c r="R815" s="207"/>
      <c r="S815" s="207"/>
      <c r="T815" s="207"/>
      <c r="U815" s="209"/>
      <c r="V815" s="207"/>
      <c r="W815" s="207"/>
      <c r="X815" s="209"/>
      <c r="Y815" s="209"/>
      <c r="Z815" s="207" t="str">
        <f t="shared" ca="1" si="111"/>
        <v/>
      </c>
      <c r="AA815" s="209" t="str">
        <f t="shared" si="115"/>
        <v/>
      </c>
      <c r="AB815" s="209"/>
      <c r="AC815" s="207" t="str">
        <f t="shared" ca="1" si="112"/>
        <v/>
      </c>
      <c r="AD815" s="207"/>
      <c r="AE815" s="207"/>
      <c r="AF815" s="208" t="str">
        <f>IF(ISBLANK(D815),"",VLOOKUP(F815,'SIZE CALCULATION'!$F:$G,2,0))</f>
        <v/>
      </c>
      <c r="AG815" s="207" t="str">
        <f t="shared" si="110"/>
        <v/>
      </c>
      <c r="AH815" s="207" t="str">
        <f t="shared" si="113"/>
        <v/>
      </c>
      <c r="AI815" s="210" t="str">
        <f>IF(ISBLANK(D815),"",VLOOKUP($A815,INDEX!$D$2:$F$13,3,0))</f>
        <v/>
      </c>
      <c r="AJ815" s="207" t="str">
        <f t="shared" si="114"/>
        <v/>
      </c>
      <c r="AK815" s="207"/>
      <c r="AL815" s="207"/>
      <c r="AM815" s="207" t="str">
        <f>IFERROR(IF(ISBLANK($D815),"",VLOOKUP($N815,'TABLE CHARGE RATE'!$A$30:$K$106,5,0)),"Check")</f>
        <v/>
      </c>
      <c r="AN815" s="207" t="str">
        <f>IFERROR(IF(ISBLANK($D815),"",VLOOKUP($N815,'TABLE CHARGE RATE'!$A$30:$K$106,6,0)),"Check")</f>
        <v/>
      </c>
      <c r="AO815" s="207" t="str">
        <f>IFERROR(IF(ISBLANK($D815),"",VLOOKUP($N815,'TABLE CHARGE RATE'!$A$30:$K$106,7,0)),"Check")</f>
        <v/>
      </c>
      <c r="AP815" s="207" t="str">
        <f>IFERROR(IF(ISBLANK($D815),"",VLOOKUP($N815,'TABLE CHARGE RATE'!$A$30:$K$106,8,0)),"Check")</f>
        <v/>
      </c>
      <c r="AQ815" s="207" t="str">
        <f>IFERROR(IF(ISBLANK($D815),"",VLOOKUP($N815,'TABLE CHARGE RATE'!$A$30:$K$106,9,0)),"Check")</f>
        <v/>
      </c>
      <c r="AR815" s="207" t="str">
        <f>IFERROR(IF(ISBLANK($D815),"",VLOOKUP($N815,'TABLE CHARGE RATE'!$A$30:$K$106,10,0)),"Check")</f>
        <v/>
      </c>
      <c r="AS815" s="207" t="str">
        <f>IFERROR(IF(ISBLANK($D815),"",VLOOKUP($N815,'TABLE CHARGE RATE'!$A$30:$K$106,11,0)),"Check")</f>
        <v/>
      </c>
      <c r="AT815" s="207"/>
    </row>
    <row r="816" spans="1:46" x14ac:dyDescent="0.2">
      <c r="A816" s="207" t="str">
        <f t="shared" si="116"/>
        <v/>
      </c>
      <c r="B816" s="208" t="str">
        <f>IF(ISBLANK(D816),"",VLOOKUP(WEEKDAY($C816,1),INDEX!$J$2:$K$8,2,0))</f>
        <v/>
      </c>
      <c r="C816" s="209"/>
      <c r="D816" s="207"/>
      <c r="E816" s="207"/>
      <c r="F816" s="207"/>
      <c r="G816" s="207"/>
      <c r="H816" s="207"/>
      <c r="I816" s="207"/>
      <c r="J816" s="207"/>
      <c r="K816" s="207"/>
      <c r="L816" s="207"/>
      <c r="M816" s="207"/>
      <c r="N816" s="207"/>
      <c r="O816" s="207"/>
      <c r="P816" s="207"/>
      <c r="Q816" s="207"/>
      <c r="R816" s="207"/>
      <c r="S816" s="207"/>
      <c r="T816" s="207"/>
      <c r="U816" s="209"/>
      <c r="V816" s="207"/>
      <c r="W816" s="207"/>
      <c r="X816" s="209"/>
      <c r="Y816" s="209"/>
      <c r="Z816" s="207" t="str">
        <f t="shared" ca="1" si="111"/>
        <v/>
      </c>
      <c r="AA816" s="209" t="str">
        <f t="shared" si="115"/>
        <v/>
      </c>
      <c r="AB816" s="209"/>
      <c r="AC816" s="207" t="str">
        <f t="shared" ca="1" si="112"/>
        <v/>
      </c>
      <c r="AD816" s="207"/>
      <c r="AE816" s="207"/>
      <c r="AF816" s="208" t="str">
        <f>IF(ISBLANK(D816),"",VLOOKUP(F816,'SIZE CALCULATION'!$F:$G,2,0))</f>
        <v/>
      </c>
      <c r="AG816" s="207" t="str">
        <f t="shared" si="110"/>
        <v/>
      </c>
      <c r="AH816" s="207" t="str">
        <f t="shared" si="113"/>
        <v/>
      </c>
      <c r="AI816" s="210" t="str">
        <f>IF(ISBLANK(D816),"",VLOOKUP($A816,INDEX!$D$2:$F$13,3,0))</f>
        <v/>
      </c>
      <c r="AJ816" s="207" t="str">
        <f t="shared" si="114"/>
        <v/>
      </c>
      <c r="AK816" s="207"/>
      <c r="AL816" s="207"/>
      <c r="AM816" s="207" t="str">
        <f>IFERROR(IF(ISBLANK($D816),"",VLOOKUP($N816,'TABLE CHARGE RATE'!$A$30:$K$106,5,0)),"Check")</f>
        <v/>
      </c>
      <c r="AN816" s="207" t="str">
        <f>IFERROR(IF(ISBLANK($D816),"",VLOOKUP($N816,'TABLE CHARGE RATE'!$A$30:$K$106,6,0)),"Check")</f>
        <v/>
      </c>
      <c r="AO816" s="207" t="str">
        <f>IFERROR(IF(ISBLANK($D816),"",VLOOKUP($N816,'TABLE CHARGE RATE'!$A$30:$K$106,7,0)),"Check")</f>
        <v/>
      </c>
      <c r="AP816" s="207" t="str">
        <f>IFERROR(IF(ISBLANK($D816),"",VLOOKUP($N816,'TABLE CHARGE RATE'!$A$30:$K$106,8,0)),"Check")</f>
        <v/>
      </c>
      <c r="AQ816" s="207" t="str">
        <f>IFERROR(IF(ISBLANK($D816),"",VLOOKUP($N816,'TABLE CHARGE RATE'!$A$30:$K$106,9,0)),"Check")</f>
        <v/>
      </c>
      <c r="AR816" s="207" t="str">
        <f>IFERROR(IF(ISBLANK($D816),"",VLOOKUP($N816,'TABLE CHARGE RATE'!$A$30:$K$106,10,0)),"Check")</f>
        <v/>
      </c>
      <c r="AS816" s="207" t="str">
        <f>IFERROR(IF(ISBLANK($D816),"",VLOOKUP($N816,'TABLE CHARGE RATE'!$A$30:$K$106,11,0)),"Check")</f>
        <v/>
      </c>
      <c r="AT816" s="207"/>
    </row>
    <row r="817" spans="1:46" x14ac:dyDescent="0.2">
      <c r="A817" s="207" t="str">
        <f t="shared" si="116"/>
        <v/>
      </c>
      <c r="B817" s="208" t="str">
        <f>IF(ISBLANK(D817),"",VLOOKUP(WEEKDAY($C817,1),INDEX!$J$2:$K$8,2,0))</f>
        <v/>
      </c>
      <c r="C817" s="209"/>
      <c r="D817" s="207"/>
      <c r="E817" s="207"/>
      <c r="F817" s="207"/>
      <c r="G817" s="207"/>
      <c r="H817" s="207"/>
      <c r="I817" s="207"/>
      <c r="J817" s="207"/>
      <c r="K817" s="207"/>
      <c r="L817" s="207"/>
      <c r="M817" s="207"/>
      <c r="N817" s="207"/>
      <c r="O817" s="207"/>
      <c r="P817" s="207"/>
      <c r="Q817" s="207"/>
      <c r="R817" s="207"/>
      <c r="S817" s="207"/>
      <c r="T817" s="207"/>
      <c r="U817" s="209"/>
      <c r="V817" s="207"/>
      <c r="W817" s="207"/>
      <c r="X817" s="209"/>
      <c r="Y817" s="209"/>
      <c r="Z817" s="207" t="str">
        <f t="shared" ca="1" si="111"/>
        <v/>
      </c>
      <c r="AA817" s="209" t="str">
        <f t="shared" si="115"/>
        <v/>
      </c>
      <c r="AB817" s="209"/>
      <c r="AC817" s="207" t="str">
        <f t="shared" ca="1" si="112"/>
        <v/>
      </c>
      <c r="AD817" s="207"/>
      <c r="AE817" s="207"/>
      <c r="AF817" s="208" t="str">
        <f>IF(ISBLANK(D817),"",VLOOKUP(F817,'SIZE CALCULATION'!$F:$G,2,0))</f>
        <v/>
      </c>
      <c r="AG817" s="207" t="str">
        <f t="shared" si="110"/>
        <v/>
      </c>
      <c r="AH817" s="207" t="str">
        <f t="shared" si="113"/>
        <v/>
      </c>
      <c r="AI817" s="210" t="str">
        <f>IF(ISBLANK(D817),"",VLOOKUP($A817,INDEX!$D$2:$F$13,3,0))</f>
        <v/>
      </c>
      <c r="AJ817" s="207" t="str">
        <f t="shared" si="114"/>
        <v/>
      </c>
      <c r="AK817" s="207"/>
      <c r="AL817" s="207"/>
      <c r="AM817" s="207" t="str">
        <f>IFERROR(IF(ISBLANK($D817),"",VLOOKUP($N817,'TABLE CHARGE RATE'!$A$30:$K$106,5,0)),"Check")</f>
        <v/>
      </c>
      <c r="AN817" s="207" t="str">
        <f>IFERROR(IF(ISBLANK($D817),"",VLOOKUP($N817,'TABLE CHARGE RATE'!$A$30:$K$106,6,0)),"Check")</f>
        <v/>
      </c>
      <c r="AO817" s="207" t="str">
        <f>IFERROR(IF(ISBLANK($D817),"",VLOOKUP($N817,'TABLE CHARGE RATE'!$A$30:$K$106,7,0)),"Check")</f>
        <v/>
      </c>
      <c r="AP817" s="207" t="str">
        <f>IFERROR(IF(ISBLANK($D817),"",VLOOKUP($N817,'TABLE CHARGE RATE'!$A$30:$K$106,8,0)),"Check")</f>
        <v/>
      </c>
      <c r="AQ817" s="207" t="str">
        <f>IFERROR(IF(ISBLANK($D817),"",VLOOKUP($N817,'TABLE CHARGE RATE'!$A$30:$K$106,9,0)),"Check")</f>
        <v/>
      </c>
      <c r="AR817" s="207" t="str">
        <f>IFERROR(IF(ISBLANK($D817),"",VLOOKUP($N817,'TABLE CHARGE RATE'!$A$30:$K$106,10,0)),"Check")</f>
        <v/>
      </c>
      <c r="AS817" s="207" t="str">
        <f>IFERROR(IF(ISBLANK($D817),"",VLOOKUP($N817,'TABLE CHARGE RATE'!$A$30:$K$106,11,0)),"Check")</f>
        <v/>
      </c>
      <c r="AT817" s="207"/>
    </row>
    <row r="818" spans="1:46" x14ac:dyDescent="0.2">
      <c r="A818" s="207" t="str">
        <f t="shared" si="116"/>
        <v/>
      </c>
      <c r="B818" s="208" t="str">
        <f>IF(ISBLANK(D818),"",VLOOKUP(WEEKDAY($C818,1),INDEX!$J$2:$K$8,2,0))</f>
        <v/>
      </c>
      <c r="C818" s="209"/>
      <c r="D818" s="207"/>
      <c r="E818" s="207"/>
      <c r="F818" s="207"/>
      <c r="G818" s="207"/>
      <c r="H818" s="207"/>
      <c r="I818" s="207"/>
      <c r="J818" s="207"/>
      <c r="K818" s="207"/>
      <c r="L818" s="207"/>
      <c r="M818" s="207"/>
      <c r="N818" s="207"/>
      <c r="O818" s="207"/>
      <c r="P818" s="207"/>
      <c r="Q818" s="207"/>
      <c r="R818" s="207"/>
      <c r="S818" s="207"/>
      <c r="T818" s="207"/>
      <c r="U818" s="209"/>
      <c r="V818" s="207"/>
      <c r="W818" s="207"/>
      <c r="X818" s="209"/>
      <c r="Y818" s="209"/>
      <c r="Z818" s="207" t="str">
        <f t="shared" ca="1" si="111"/>
        <v/>
      </c>
      <c r="AA818" s="209" t="str">
        <f t="shared" si="115"/>
        <v/>
      </c>
      <c r="AB818" s="209"/>
      <c r="AC818" s="207" t="str">
        <f t="shared" ca="1" si="112"/>
        <v/>
      </c>
      <c r="AD818" s="207"/>
      <c r="AE818" s="207"/>
      <c r="AF818" s="208" t="str">
        <f>IF(ISBLANK(D818),"",VLOOKUP(F818,'SIZE CALCULATION'!$F:$G,2,0))</f>
        <v/>
      </c>
      <c r="AG818" s="207" t="str">
        <f t="shared" si="110"/>
        <v/>
      </c>
      <c r="AH818" s="207" t="str">
        <f t="shared" si="113"/>
        <v/>
      </c>
      <c r="AI818" s="210" t="str">
        <f>IF(ISBLANK(D818),"",VLOOKUP($A818,INDEX!$D$2:$F$13,3,0))</f>
        <v/>
      </c>
      <c r="AJ818" s="207" t="str">
        <f t="shared" si="114"/>
        <v/>
      </c>
      <c r="AK818" s="207"/>
      <c r="AL818" s="207"/>
      <c r="AM818" s="207" t="str">
        <f>IFERROR(IF(ISBLANK($D818),"",VLOOKUP($N818,'TABLE CHARGE RATE'!$A$30:$K$106,5,0)),"Check")</f>
        <v/>
      </c>
      <c r="AN818" s="207" t="str">
        <f>IFERROR(IF(ISBLANK($D818),"",VLOOKUP($N818,'TABLE CHARGE RATE'!$A$30:$K$106,6,0)),"Check")</f>
        <v/>
      </c>
      <c r="AO818" s="207" t="str">
        <f>IFERROR(IF(ISBLANK($D818),"",VLOOKUP($N818,'TABLE CHARGE RATE'!$A$30:$K$106,7,0)),"Check")</f>
        <v/>
      </c>
      <c r="AP818" s="207" t="str">
        <f>IFERROR(IF(ISBLANK($D818),"",VLOOKUP($N818,'TABLE CHARGE RATE'!$A$30:$K$106,8,0)),"Check")</f>
        <v/>
      </c>
      <c r="AQ818" s="207" t="str">
        <f>IFERROR(IF(ISBLANK($D818),"",VLOOKUP($N818,'TABLE CHARGE RATE'!$A$30:$K$106,9,0)),"Check")</f>
        <v/>
      </c>
      <c r="AR818" s="207" t="str">
        <f>IFERROR(IF(ISBLANK($D818),"",VLOOKUP($N818,'TABLE CHARGE RATE'!$A$30:$K$106,10,0)),"Check")</f>
        <v/>
      </c>
      <c r="AS818" s="207" t="str">
        <f>IFERROR(IF(ISBLANK($D818),"",VLOOKUP($N818,'TABLE CHARGE RATE'!$A$30:$K$106,11,0)),"Check")</f>
        <v/>
      </c>
      <c r="AT818" s="207"/>
    </row>
    <row r="819" spans="1:46" x14ac:dyDescent="0.2">
      <c r="A819" s="207" t="str">
        <f t="shared" si="116"/>
        <v/>
      </c>
      <c r="B819" s="208" t="str">
        <f>IF(ISBLANK(D819),"",VLOOKUP(WEEKDAY($C819,1),INDEX!$J$2:$K$8,2,0))</f>
        <v/>
      </c>
      <c r="C819" s="209"/>
      <c r="D819" s="207"/>
      <c r="E819" s="207"/>
      <c r="F819" s="207"/>
      <c r="G819" s="207"/>
      <c r="H819" s="207"/>
      <c r="I819" s="207"/>
      <c r="J819" s="207"/>
      <c r="K819" s="207"/>
      <c r="L819" s="207"/>
      <c r="M819" s="207"/>
      <c r="N819" s="207"/>
      <c r="O819" s="207"/>
      <c r="P819" s="207"/>
      <c r="Q819" s="207"/>
      <c r="R819" s="207"/>
      <c r="S819" s="207"/>
      <c r="T819" s="207"/>
      <c r="U819" s="209"/>
      <c r="V819" s="207"/>
      <c r="W819" s="207"/>
      <c r="X819" s="209"/>
      <c r="Y819" s="209"/>
      <c r="Z819" s="207" t="str">
        <f t="shared" ca="1" si="111"/>
        <v/>
      </c>
      <c r="AA819" s="209" t="str">
        <f t="shared" si="115"/>
        <v/>
      </c>
      <c r="AB819" s="209"/>
      <c r="AC819" s="207" t="str">
        <f t="shared" ca="1" si="112"/>
        <v/>
      </c>
      <c r="AD819" s="207"/>
      <c r="AE819" s="207"/>
      <c r="AF819" s="208" t="str">
        <f>IF(ISBLANK(D819),"",VLOOKUP(F819,'SIZE CALCULATION'!$F:$G,2,0))</f>
        <v/>
      </c>
      <c r="AG819" s="207" t="str">
        <f t="shared" ref="AG819:AG882" si="117">IF(ISBLANK(D819),"",HLOOKUP($AF819,$AM$1:$AR$966,$AT819,0))</f>
        <v/>
      </c>
      <c r="AH819" s="207" t="str">
        <f t="shared" si="113"/>
        <v/>
      </c>
      <c r="AI819" s="210" t="str">
        <f>IF(ISBLANK(D819),"",VLOOKUP($A819,INDEX!$D$2:$F$13,3,0))</f>
        <v/>
      </c>
      <c r="AJ819" s="207" t="str">
        <f t="shared" si="114"/>
        <v/>
      </c>
      <c r="AK819" s="207"/>
      <c r="AL819" s="207"/>
      <c r="AM819" s="207" t="str">
        <f>IFERROR(IF(ISBLANK($D819),"",VLOOKUP($N819,'TABLE CHARGE RATE'!$A$30:$K$106,5,0)),"Check")</f>
        <v/>
      </c>
      <c r="AN819" s="207" t="str">
        <f>IFERROR(IF(ISBLANK($D819),"",VLOOKUP($N819,'TABLE CHARGE RATE'!$A$30:$K$106,6,0)),"Check")</f>
        <v/>
      </c>
      <c r="AO819" s="207" t="str">
        <f>IFERROR(IF(ISBLANK($D819),"",VLOOKUP($N819,'TABLE CHARGE RATE'!$A$30:$K$106,7,0)),"Check")</f>
        <v/>
      </c>
      <c r="AP819" s="207" t="str">
        <f>IFERROR(IF(ISBLANK($D819),"",VLOOKUP($N819,'TABLE CHARGE RATE'!$A$30:$K$106,8,0)),"Check")</f>
        <v/>
      </c>
      <c r="AQ819" s="207" t="str">
        <f>IFERROR(IF(ISBLANK($D819),"",VLOOKUP($N819,'TABLE CHARGE RATE'!$A$30:$K$106,9,0)),"Check")</f>
        <v/>
      </c>
      <c r="AR819" s="207" t="str">
        <f>IFERROR(IF(ISBLANK($D819),"",VLOOKUP($N819,'TABLE CHARGE RATE'!$A$30:$K$106,10,0)),"Check")</f>
        <v/>
      </c>
      <c r="AS819" s="207" t="str">
        <f>IFERROR(IF(ISBLANK($D819),"",VLOOKUP($N819,'TABLE CHARGE RATE'!$A$30:$K$106,11,0)),"Check")</f>
        <v/>
      </c>
      <c r="AT819" s="207"/>
    </row>
    <row r="820" spans="1:46" x14ac:dyDescent="0.2">
      <c r="A820" s="207" t="str">
        <f t="shared" si="116"/>
        <v/>
      </c>
      <c r="B820" s="208" t="str">
        <f>IF(ISBLANK(D820),"",VLOOKUP(WEEKDAY($C820,1),INDEX!$J$2:$K$8,2,0))</f>
        <v/>
      </c>
      <c r="C820" s="209"/>
      <c r="D820" s="207"/>
      <c r="E820" s="207"/>
      <c r="F820" s="207"/>
      <c r="G820" s="207"/>
      <c r="H820" s="207"/>
      <c r="I820" s="207"/>
      <c r="J820" s="207"/>
      <c r="K820" s="207"/>
      <c r="L820" s="207"/>
      <c r="M820" s="207"/>
      <c r="N820" s="207"/>
      <c r="O820" s="207"/>
      <c r="P820" s="207"/>
      <c r="Q820" s="207"/>
      <c r="R820" s="207"/>
      <c r="S820" s="207"/>
      <c r="T820" s="207"/>
      <c r="U820" s="209"/>
      <c r="V820" s="207"/>
      <c r="W820" s="207"/>
      <c r="X820" s="209"/>
      <c r="Y820" s="209"/>
      <c r="Z820" s="207" t="str">
        <f t="shared" ca="1" si="111"/>
        <v/>
      </c>
      <c r="AA820" s="209" t="str">
        <f t="shared" si="115"/>
        <v/>
      </c>
      <c r="AB820" s="209"/>
      <c r="AC820" s="207" t="str">
        <f t="shared" ca="1" si="112"/>
        <v/>
      </c>
      <c r="AD820" s="207"/>
      <c r="AE820" s="207"/>
      <c r="AF820" s="208" t="str">
        <f>IF(ISBLANK(D820),"",VLOOKUP(F820,'SIZE CALCULATION'!$F:$G,2,0))</f>
        <v/>
      </c>
      <c r="AG820" s="207" t="str">
        <f t="shared" si="117"/>
        <v/>
      </c>
      <c r="AH820" s="207" t="str">
        <f t="shared" si="113"/>
        <v/>
      </c>
      <c r="AI820" s="210" t="str">
        <f>IF(ISBLANK(D820),"",VLOOKUP($A820,INDEX!$D$2:$F$13,3,0))</f>
        <v/>
      </c>
      <c r="AJ820" s="207" t="str">
        <f t="shared" si="114"/>
        <v/>
      </c>
      <c r="AK820" s="207"/>
      <c r="AL820" s="207"/>
      <c r="AM820" s="207" t="str">
        <f>IFERROR(IF(ISBLANK($D820),"",VLOOKUP($N820,'TABLE CHARGE RATE'!$A$30:$K$106,5,0)),"Check")</f>
        <v/>
      </c>
      <c r="AN820" s="207" t="str">
        <f>IFERROR(IF(ISBLANK($D820),"",VLOOKUP($N820,'TABLE CHARGE RATE'!$A$30:$K$106,6,0)),"Check")</f>
        <v/>
      </c>
      <c r="AO820" s="207" t="str">
        <f>IFERROR(IF(ISBLANK($D820),"",VLOOKUP($N820,'TABLE CHARGE RATE'!$A$30:$K$106,7,0)),"Check")</f>
        <v/>
      </c>
      <c r="AP820" s="207" t="str">
        <f>IFERROR(IF(ISBLANK($D820),"",VLOOKUP($N820,'TABLE CHARGE RATE'!$A$30:$K$106,8,0)),"Check")</f>
        <v/>
      </c>
      <c r="AQ820" s="207" t="str">
        <f>IFERROR(IF(ISBLANK($D820),"",VLOOKUP($N820,'TABLE CHARGE RATE'!$A$30:$K$106,9,0)),"Check")</f>
        <v/>
      </c>
      <c r="AR820" s="207" t="str">
        <f>IFERROR(IF(ISBLANK($D820),"",VLOOKUP($N820,'TABLE CHARGE RATE'!$A$30:$K$106,10,0)),"Check")</f>
        <v/>
      </c>
      <c r="AS820" s="207" t="str">
        <f>IFERROR(IF(ISBLANK($D820),"",VLOOKUP($N820,'TABLE CHARGE RATE'!$A$30:$K$106,11,0)),"Check")</f>
        <v/>
      </c>
      <c r="AT820" s="207"/>
    </row>
    <row r="821" spans="1:46" x14ac:dyDescent="0.2">
      <c r="A821" s="207" t="str">
        <f t="shared" si="116"/>
        <v/>
      </c>
      <c r="B821" s="208" t="str">
        <f>IF(ISBLANK(D821),"",VLOOKUP(WEEKDAY($C821,1),INDEX!$J$2:$K$8,2,0))</f>
        <v/>
      </c>
      <c r="C821" s="209"/>
      <c r="D821" s="207"/>
      <c r="E821" s="207"/>
      <c r="F821" s="207"/>
      <c r="G821" s="207"/>
      <c r="H821" s="207"/>
      <c r="I821" s="207"/>
      <c r="J821" s="207"/>
      <c r="K821" s="207"/>
      <c r="L821" s="207"/>
      <c r="M821" s="207"/>
      <c r="N821" s="207"/>
      <c r="O821" s="207"/>
      <c r="P821" s="207"/>
      <c r="Q821" s="207"/>
      <c r="R821" s="207"/>
      <c r="S821" s="207"/>
      <c r="T821" s="207"/>
      <c r="U821" s="209"/>
      <c r="V821" s="207"/>
      <c r="W821" s="207"/>
      <c r="X821" s="209"/>
      <c r="Y821" s="209"/>
      <c r="Z821" s="207" t="str">
        <f t="shared" ca="1" si="111"/>
        <v/>
      </c>
      <c r="AA821" s="209" t="str">
        <f t="shared" si="115"/>
        <v/>
      </c>
      <c r="AB821" s="209"/>
      <c r="AC821" s="207" t="str">
        <f t="shared" ca="1" si="112"/>
        <v/>
      </c>
      <c r="AD821" s="207"/>
      <c r="AE821" s="207"/>
      <c r="AF821" s="208" t="str">
        <f>IF(ISBLANK(D821),"",VLOOKUP(F821,'SIZE CALCULATION'!$F:$G,2,0))</f>
        <v/>
      </c>
      <c r="AG821" s="207" t="str">
        <f t="shared" si="117"/>
        <v/>
      </c>
      <c r="AH821" s="207" t="str">
        <f t="shared" si="113"/>
        <v/>
      </c>
      <c r="AI821" s="210" t="str">
        <f>IF(ISBLANK(D821),"",VLOOKUP($A821,INDEX!$D$2:$F$13,3,0))</f>
        <v/>
      </c>
      <c r="AJ821" s="207" t="str">
        <f t="shared" si="114"/>
        <v/>
      </c>
      <c r="AK821" s="207"/>
      <c r="AL821" s="207"/>
      <c r="AM821" s="207" t="str">
        <f>IFERROR(IF(ISBLANK($D821),"",VLOOKUP($N821,'TABLE CHARGE RATE'!$A$30:$K$106,5,0)),"Check")</f>
        <v/>
      </c>
      <c r="AN821" s="207" t="str">
        <f>IFERROR(IF(ISBLANK($D821),"",VLOOKUP($N821,'TABLE CHARGE RATE'!$A$30:$K$106,6,0)),"Check")</f>
        <v/>
      </c>
      <c r="AO821" s="207" t="str">
        <f>IFERROR(IF(ISBLANK($D821),"",VLOOKUP($N821,'TABLE CHARGE RATE'!$A$30:$K$106,7,0)),"Check")</f>
        <v/>
      </c>
      <c r="AP821" s="207" t="str">
        <f>IFERROR(IF(ISBLANK($D821),"",VLOOKUP($N821,'TABLE CHARGE RATE'!$A$30:$K$106,8,0)),"Check")</f>
        <v/>
      </c>
      <c r="AQ821" s="207" t="str">
        <f>IFERROR(IF(ISBLANK($D821),"",VLOOKUP($N821,'TABLE CHARGE RATE'!$A$30:$K$106,9,0)),"Check")</f>
        <v/>
      </c>
      <c r="AR821" s="207" t="str">
        <f>IFERROR(IF(ISBLANK($D821),"",VLOOKUP($N821,'TABLE CHARGE RATE'!$A$30:$K$106,10,0)),"Check")</f>
        <v/>
      </c>
      <c r="AS821" s="207" t="str">
        <f>IFERROR(IF(ISBLANK($D821),"",VLOOKUP($N821,'TABLE CHARGE RATE'!$A$30:$K$106,11,0)),"Check")</f>
        <v/>
      </c>
      <c r="AT821" s="207"/>
    </row>
    <row r="822" spans="1:46" x14ac:dyDescent="0.2">
      <c r="A822" s="207" t="str">
        <f t="shared" si="116"/>
        <v/>
      </c>
      <c r="B822" s="208" t="str">
        <f>IF(ISBLANK(D822),"",VLOOKUP(WEEKDAY($C822,1),INDEX!$J$2:$K$8,2,0))</f>
        <v/>
      </c>
      <c r="C822" s="209"/>
      <c r="D822" s="207"/>
      <c r="E822" s="207"/>
      <c r="F822" s="207"/>
      <c r="G822" s="207"/>
      <c r="H822" s="207"/>
      <c r="I822" s="207"/>
      <c r="J822" s="207"/>
      <c r="K822" s="207"/>
      <c r="L822" s="207"/>
      <c r="M822" s="207"/>
      <c r="N822" s="207"/>
      <c r="O822" s="207"/>
      <c r="P822" s="207"/>
      <c r="Q822" s="207"/>
      <c r="R822" s="207"/>
      <c r="S822" s="207"/>
      <c r="T822" s="207"/>
      <c r="U822" s="209"/>
      <c r="V822" s="207"/>
      <c r="W822" s="207"/>
      <c r="X822" s="209"/>
      <c r="Y822" s="209"/>
      <c r="Z822" s="207" t="str">
        <f t="shared" ca="1" si="111"/>
        <v/>
      </c>
      <c r="AA822" s="209" t="str">
        <f t="shared" si="115"/>
        <v/>
      </c>
      <c r="AB822" s="209"/>
      <c r="AC822" s="207" t="str">
        <f t="shared" ca="1" si="112"/>
        <v/>
      </c>
      <c r="AD822" s="207"/>
      <c r="AE822" s="207"/>
      <c r="AF822" s="208" t="str">
        <f>IF(ISBLANK(D822),"",VLOOKUP(F822,'SIZE CALCULATION'!$F:$G,2,0))</f>
        <v/>
      </c>
      <c r="AG822" s="207" t="str">
        <f t="shared" si="117"/>
        <v/>
      </c>
      <c r="AH822" s="207" t="str">
        <f t="shared" si="113"/>
        <v/>
      </c>
      <c r="AI822" s="210" t="str">
        <f>IF(ISBLANK(D822),"",VLOOKUP($A822,INDEX!$D$2:$F$13,3,0))</f>
        <v/>
      </c>
      <c r="AJ822" s="207" t="str">
        <f t="shared" si="114"/>
        <v/>
      </c>
      <c r="AK822" s="207"/>
      <c r="AL822" s="207"/>
      <c r="AM822" s="207" t="str">
        <f>IFERROR(IF(ISBLANK($D822),"",VLOOKUP($N822,'TABLE CHARGE RATE'!$A$30:$K$106,5,0)),"Check")</f>
        <v/>
      </c>
      <c r="AN822" s="207" t="str">
        <f>IFERROR(IF(ISBLANK($D822),"",VLOOKUP($N822,'TABLE CHARGE RATE'!$A$30:$K$106,6,0)),"Check")</f>
        <v/>
      </c>
      <c r="AO822" s="207" t="str">
        <f>IFERROR(IF(ISBLANK($D822),"",VLOOKUP($N822,'TABLE CHARGE RATE'!$A$30:$K$106,7,0)),"Check")</f>
        <v/>
      </c>
      <c r="AP822" s="207" t="str">
        <f>IFERROR(IF(ISBLANK($D822),"",VLOOKUP($N822,'TABLE CHARGE RATE'!$A$30:$K$106,8,0)),"Check")</f>
        <v/>
      </c>
      <c r="AQ822" s="207" t="str">
        <f>IFERROR(IF(ISBLANK($D822),"",VLOOKUP($N822,'TABLE CHARGE RATE'!$A$30:$K$106,9,0)),"Check")</f>
        <v/>
      </c>
      <c r="AR822" s="207" t="str">
        <f>IFERROR(IF(ISBLANK($D822),"",VLOOKUP($N822,'TABLE CHARGE RATE'!$A$30:$K$106,10,0)),"Check")</f>
        <v/>
      </c>
      <c r="AS822" s="207" t="str">
        <f>IFERROR(IF(ISBLANK($D822),"",VLOOKUP($N822,'TABLE CHARGE RATE'!$A$30:$K$106,11,0)),"Check")</f>
        <v/>
      </c>
      <c r="AT822" s="207"/>
    </row>
    <row r="823" spans="1:46" x14ac:dyDescent="0.2">
      <c r="A823" s="207" t="str">
        <f t="shared" si="116"/>
        <v/>
      </c>
      <c r="B823" s="208" t="str">
        <f>IF(ISBLANK(D823),"",VLOOKUP(WEEKDAY($C823,1),INDEX!$J$2:$K$8,2,0))</f>
        <v/>
      </c>
      <c r="C823" s="209"/>
      <c r="D823" s="207"/>
      <c r="E823" s="207"/>
      <c r="F823" s="207"/>
      <c r="G823" s="207"/>
      <c r="H823" s="207"/>
      <c r="I823" s="207"/>
      <c r="J823" s="207"/>
      <c r="K823" s="207"/>
      <c r="L823" s="207"/>
      <c r="M823" s="207"/>
      <c r="N823" s="207"/>
      <c r="O823" s="207"/>
      <c r="P823" s="207"/>
      <c r="Q823" s="207"/>
      <c r="R823" s="207"/>
      <c r="S823" s="207"/>
      <c r="T823" s="207"/>
      <c r="U823" s="209"/>
      <c r="V823" s="207"/>
      <c r="W823" s="207"/>
      <c r="X823" s="209"/>
      <c r="Y823" s="209"/>
      <c r="Z823" s="207" t="str">
        <f t="shared" ca="1" si="111"/>
        <v/>
      </c>
      <c r="AA823" s="209" t="str">
        <f t="shared" si="115"/>
        <v/>
      </c>
      <c r="AB823" s="209"/>
      <c r="AC823" s="207" t="str">
        <f t="shared" ca="1" si="112"/>
        <v/>
      </c>
      <c r="AD823" s="207"/>
      <c r="AE823" s="207"/>
      <c r="AF823" s="208" t="str">
        <f>IF(ISBLANK(D823),"",VLOOKUP(F823,'SIZE CALCULATION'!$F:$G,2,0))</f>
        <v/>
      </c>
      <c r="AG823" s="207" t="str">
        <f t="shared" si="117"/>
        <v/>
      </c>
      <c r="AH823" s="207" t="str">
        <f t="shared" si="113"/>
        <v/>
      </c>
      <c r="AI823" s="210" t="str">
        <f>IF(ISBLANK(D823),"",VLOOKUP($A823,INDEX!$D$2:$F$13,3,0))</f>
        <v/>
      </c>
      <c r="AJ823" s="207" t="str">
        <f t="shared" si="114"/>
        <v/>
      </c>
      <c r="AK823" s="207"/>
      <c r="AL823" s="207"/>
      <c r="AM823" s="207" t="str">
        <f>IFERROR(IF(ISBLANK($D823),"",VLOOKUP($N823,'TABLE CHARGE RATE'!$A$30:$K$106,5,0)),"Check")</f>
        <v/>
      </c>
      <c r="AN823" s="207" t="str">
        <f>IFERROR(IF(ISBLANK($D823),"",VLOOKUP($N823,'TABLE CHARGE RATE'!$A$30:$K$106,6,0)),"Check")</f>
        <v/>
      </c>
      <c r="AO823" s="207" t="str">
        <f>IFERROR(IF(ISBLANK($D823),"",VLOOKUP($N823,'TABLE CHARGE RATE'!$A$30:$K$106,7,0)),"Check")</f>
        <v/>
      </c>
      <c r="AP823" s="207" t="str">
        <f>IFERROR(IF(ISBLANK($D823),"",VLOOKUP($N823,'TABLE CHARGE RATE'!$A$30:$K$106,8,0)),"Check")</f>
        <v/>
      </c>
      <c r="AQ823" s="207" t="str">
        <f>IFERROR(IF(ISBLANK($D823),"",VLOOKUP($N823,'TABLE CHARGE RATE'!$A$30:$K$106,9,0)),"Check")</f>
        <v/>
      </c>
      <c r="AR823" s="207" t="str">
        <f>IFERROR(IF(ISBLANK($D823),"",VLOOKUP($N823,'TABLE CHARGE RATE'!$A$30:$K$106,10,0)),"Check")</f>
        <v/>
      </c>
      <c r="AS823" s="207" t="str">
        <f>IFERROR(IF(ISBLANK($D823),"",VLOOKUP($N823,'TABLE CHARGE RATE'!$A$30:$K$106,11,0)),"Check")</f>
        <v/>
      </c>
      <c r="AT823" s="207"/>
    </row>
    <row r="824" spans="1:46" x14ac:dyDescent="0.2">
      <c r="A824" s="207" t="str">
        <f t="shared" si="116"/>
        <v/>
      </c>
      <c r="B824" s="208" t="str">
        <f>IF(ISBLANK(D824),"",VLOOKUP(WEEKDAY($C824,1),INDEX!$J$2:$K$8,2,0))</f>
        <v/>
      </c>
      <c r="C824" s="209"/>
      <c r="D824" s="207"/>
      <c r="E824" s="207"/>
      <c r="F824" s="207"/>
      <c r="G824" s="207"/>
      <c r="H824" s="207"/>
      <c r="I824" s="207"/>
      <c r="J824" s="207"/>
      <c r="K824" s="207"/>
      <c r="L824" s="207"/>
      <c r="M824" s="207"/>
      <c r="N824" s="207"/>
      <c r="O824" s="207"/>
      <c r="P824" s="207"/>
      <c r="Q824" s="207"/>
      <c r="R824" s="207"/>
      <c r="S824" s="207"/>
      <c r="T824" s="207"/>
      <c r="U824" s="209"/>
      <c r="V824" s="207"/>
      <c r="W824" s="207"/>
      <c r="X824" s="209"/>
      <c r="Y824" s="209"/>
      <c r="Z824" s="207" t="str">
        <f t="shared" ca="1" si="111"/>
        <v/>
      </c>
      <c r="AA824" s="209" t="str">
        <f t="shared" si="115"/>
        <v/>
      </c>
      <c r="AB824" s="209"/>
      <c r="AC824" s="207" t="str">
        <f t="shared" ca="1" si="112"/>
        <v/>
      </c>
      <c r="AD824" s="207"/>
      <c r="AE824" s="207"/>
      <c r="AF824" s="208" t="str">
        <f>IF(ISBLANK(D824),"",VLOOKUP(F824,'SIZE CALCULATION'!$F:$G,2,0))</f>
        <v/>
      </c>
      <c r="AG824" s="207" t="str">
        <f t="shared" si="117"/>
        <v/>
      </c>
      <c r="AH824" s="207" t="str">
        <f t="shared" si="113"/>
        <v/>
      </c>
      <c r="AI824" s="210" t="str">
        <f>IF(ISBLANK(D824),"",VLOOKUP($A824,INDEX!$D$2:$F$13,3,0))</f>
        <v/>
      </c>
      <c r="AJ824" s="207" t="str">
        <f t="shared" si="114"/>
        <v/>
      </c>
      <c r="AK824" s="207"/>
      <c r="AL824" s="207"/>
      <c r="AM824" s="207" t="str">
        <f>IFERROR(IF(ISBLANK($D824),"",VLOOKUP($N824,'TABLE CHARGE RATE'!$A$30:$K$106,5,0)),"Check")</f>
        <v/>
      </c>
      <c r="AN824" s="207" t="str">
        <f>IFERROR(IF(ISBLANK($D824),"",VLOOKUP($N824,'TABLE CHARGE RATE'!$A$30:$K$106,6,0)),"Check")</f>
        <v/>
      </c>
      <c r="AO824" s="207" t="str">
        <f>IFERROR(IF(ISBLANK($D824),"",VLOOKUP($N824,'TABLE CHARGE RATE'!$A$30:$K$106,7,0)),"Check")</f>
        <v/>
      </c>
      <c r="AP824" s="207" t="str">
        <f>IFERROR(IF(ISBLANK($D824),"",VLOOKUP($N824,'TABLE CHARGE RATE'!$A$30:$K$106,8,0)),"Check")</f>
        <v/>
      </c>
      <c r="AQ824" s="207" t="str">
        <f>IFERROR(IF(ISBLANK($D824),"",VLOOKUP($N824,'TABLE CHARGE RATE'!$A$30:$K$106,9,0)),"Check")</f>
        <v/>
      </c>
      <c r="AR824" s="207" t="str">
        <f>IFERROR(IF(ISBLANK($D824),"",VLOOKUP($N824,'TABLE CHARGE RATE'!$A$30:$K$106,10,0)),"Check")</f>
        <v/>
      </c>
      <c r="AS824" s="207" t="str">
        <f>IFERROR(IF(ISBLANK($D824),"",VLOOKUP($N824,'TABLE CHARGE RATE'!$A$30:$K$106,11,0)),"Check")</f>
        <v/>
      </c>
      <c r="AT824" s="207"/>
    </row>
    <row r="825" spans="1:46" x14ac:dyDescent="0.2">
      <c r="A825" s="207" t="str">
        <f t="shared" si="116"/>
        <v/>
      </c>
      <c r="B825" s="208" t="str">
        <f>IF(ISBLANK(D825),"",VLOOKUP(WEEKDAY($C825,1),INDEX!$J$2:$K$8,2,0))</f>
        <v/>
      </c>
      <c r="C825" s="209"/>
      <c r="D825" s="207"/>
      <c r="E825" s="207"/>
      <c r="F825" s="207"/>
      <c r="G825" s="207"/>
      <c r="H825" s="207"/>
      <c r="I825" s="207"/>
      <c r="J825" s="207"/>
      <c r="K825" s="207"/>
      <c r="L825" s="207"/>
      <c r="M825" s="207"/>
      <c r="N825" s="207"/>
      <c r="O825" s="207"/>
      <c r="P825" s="207"/>
      <c r="Q825" s="207"/>
      <c r="R825" s="207"/>
      <c r="S825" s="207"/>
      <c r="T825" s="207"/>
      <c r="U825" s="209"/>
      <c r="V825" s="207"/>
      <c r="W825" s="207"/>
      <c r="X825" s="209"/>
      <c r="Y825" s="209"/>
      <c r="Z825" s="207" t="str">
        <f t="shared" ca="1" si="111"/>
        <v/>
      </c>
      <c r="AA825" s="209" t="str">
        <f t="shared" si="115"/>
        <v/>
      </c>
      <c r="AB825" s="209"/>
      <c r="AC825" s="207" t="str">
        <f t="shared" ca="1" si="112"/>
        <v/>
      </c>
      <c r="AD825" s="207"/>
      <c r="AE825" s="207"/>
      <c r="AF825" s="208" t="str">
        <f>IF(ISBLANK(D825),"",VLOOKUP(F825,'SIZE CALCULATION'!$F:$G,2,0))</f>
        <v/>
      </c>
      <c r="AG825" s="207" t="str">
        <f t="shared" si="117"/>
        <v/>
      </c>
      <c r="AH825" s="207" t="str">
        <f t="shared" si="113"/>
        <v/>
      </c>
      <c r="AI825" s="210" t="str">
        <f>IF(ISBLANK(D825),"",VLOOKUP($A825,INDEX!$D$2:$F$13,3,0))</f>
        <v/>
      </c>
      <c r="AJ825" s="207" t="str">
        <f t="shared" si="114"/>
        <v/>
      </c>
      <c r="AK825" s="207"/>
      <c r="AL825" s="207"/>
      <c r="AM825" s="207" t="str">
        <f>IFERROR(IF(ISBLANK($D825),"",VLOOKUP($N825,'TABLE CHARGE RATE'!$A$30:$K$106,5,0)),"Check")</f>
        <v/>
      </c>
      <c r="AN825" s="207" t="str">
        <f>IFERROR(IF(ISBLANK($D825),"",VLOOKUP($N825,'TABLE CHARGE RATE'!$A$30:$K$106,6,0)),"Check")</f>
        <v/>
      </c>
      <c r="AO825" s="207" t="str">
        <f>IFERROR(IF(ISBLANK($D825),"",VLOOKUP($N825,'TABLE CHARGE RATE'!$A$30:$K$106,7,0)),"Check")</f>
        <v/>
      </c>
      <c r="AP825" s="207" t="str">
        <f>IFERROR(IF(ISBLANK($D825),"",VLOOKUP($N825,'TABLE CHARGE RATE'!$A$30:$K$106,8,0)),"Check")</f>
        <v/>
      </c>
      <c r="AQ825" s="207" t="str">
        <f>IFERROR(IF(ISBLANK($D825),"",VLOOKUP($N825,'TABLE CHARGE RATE'!$A$30:$K$106,9,0)),"Check")</f>
        <v/>
      </c>
      <c r="AR825" s="207" t="str">
        <f>IFERROR(IF(ISBLANK($D825),"",VLOOKUP($N825,'TABLE CHARGE RATE'!$A$30:$K$106,10,0)),"Check")</f>
        <v/>
      </c>
      <c r="AS825" s="207" t="str">
        <f>IFERROR(IF(ISBLANK($D825),"",VLOOKUP($N825,'TABLE CHARGE RATE'!$A$30:$K$106,11,0)),"Check")</f>
        <v/>
      </c>
      <c r="AT825" s="207"/>
    </row>
    <row r="826" spans="1:46" x14ac:dyDescent="0.2">
      <c r="A826" s="207" t="str">
        <f t="shared" si="116"/>
        <v/>
      </c>
      <c r="B826" s="208" t="str">
        <f>IF(ISBLANK(D826),"",VLOOKUP(WEEKDAY($C826,1),INDEX!$J$2:$K$8,2,0))</f>
        <v/>
      </c>
      <c r="C826" s="209"/>
      <c r="D826" s="207"/>
      <c r="E826" s="207"/>
      <c r="F826" s="207"/>
      <c r="G826" s="207"/>
      <c r="H826" s="207"/>
      <c r="I826" s="207"/>
      <c r="J826" s="207"/>
      <c r="K826" s="207"/>
      <c r="L826" s="207"/>
      <c r="M826" s="207"/>
      <c r="N826" s="207"/>
      <c r="O826" s="207"/>
      <c r="P826" s="207"/>
      <c r="Q826" s="207"/>
      <c r="R826" s="207"/>
      <c r="S826" s="207"/>
      <c r="T826" s="207"/>
      <c r="U826" s="209"/>
      <c r="V826" s="207"/>
      <c r="W826" s="207"/>
      <c r="X826" s="209"/>
      <c r="Y826" s="209"/>
      <c r="Z826" s="207" t="str">
        <f t="shared" ca="1" si="111"/>
        <v/>
      </c>
      <c r="AA826" s="209" t="str">
        <f t="shared" si="115"/>
        <v/>
      </c>
      <c r="AB826" s="209"/>
      <c r="AC826" s="207" t="str">
        <f t="shared" ca="1" si="112"/>
        <v/>
      </c>
      <c r="AD826" s="207"/>
      <c r="AE826" s="207"/>
      <c r="AF826" s="208" t="str">
        <f>IF(ISBLANK(D826),"",VLOOKUP(F826,'SIZE CALCULATION'!$F:$G,2,0))</f>
        <v/>
      </c>
      <c r="AG826" s="207" t="str">
        <f t="shared" si="117"/>
        <v/>
      </c>
      <c r="AH826" s="207" t="str">
        <f t="shared" si="113"/>
        <v/>
      </c>
      <c r="AI826" s="210" t="str">
        <f>IF(ISBLANK(D826),"",VLOOKUP($A826,INDEX!$D$2:$F$13,3,0))</f>
        <v/>
      </c>
      <c r="AJ826" s="207" t="str">
        <f t="shared" si="114"/>
        <v/>
      </c>
      <c r="AK826" s="207"/>
      <c r="AL826" s="207"/>
      <c r="AM826" s="207" t="str">
        <f>IFERROR(IF(ISBLANK($D826),"",VLOOKUP($N826,'TABLE CHARGE RATE'!$A$30:$K$106,5,0)),"Check")</f>
        <v/>
      </c>
      <c r="AN826" s="207" t="str">
        <f>IFERROR(IF(ISBLANK($D826),"",VLOOKUP($N826,'TABLE CHARGE RATE'!$A$30:$K$106,6,0)),"Check")</f>
        <v/>
      </c>
      <c r="AO826" s="207" t="str">
        <f>IFERROR(IF(ISBLANK($D826),"",VLOOKUP($N826,'TABLE CHARGE RATE'!$A$30:$K$106,7,0)),"Check")</f>
        <v/>
      </c>
      <c r="AP826" s="207" t="str">
        <f>IFERROR(IF(ISBLANK($D826),"",VLOOKUP($N826,'TABLE CHARGE RATE'!$A$30:$K$106,8,0)),"Check")</f>
        <v/>
      </c>
      <c r="AQ826" s="207" t="str">
        <f>IFERROR(IF(ISBLANK($D826),"",VLOOKUP($N826,'TABLE CHARGE RATE'!$A$30:$K$106,9,0)),"Check")</f>
        <v/>
      </c>
      <c r="AR826" s="207" t="str">
        <f>IFERROR(IF(ISBLANK($D826),"",VLOOKUP($N826,'TABLE CHARGE RATE'!$A$30:$K$106,10,0)),"Check")</f>
        <v/>
      </c>
      <c r="AS826" s="207" t="str">
        <f>IFERROR(IF(ISBLANK($D826),"",VLOOKUP($N826,'TABLE CHARGE RATE'!$A$30:$K$106,11,0)),"Check")</f>
        <v/>
      </c>
      <c r="AT826" s="207"/>
    </row>
    <row r="827" spans="1:46" x14ac:dyDescent="0.2">
      <c r="A827" s="207" t="str">
        <f t="shared" si="116"/>
        <v/>
      </c>
      <c r="B827" s="208" t="str">
        <f>IF(ISBLANK(D827),"",VLOOKUP(WEEKDAY($C827,1),INDEX!$J$2:$K$8,2,0))</f>
        <v/>
      </c>
      <c r="C827" s="209"/>
      <c r="D827" s="207"/>
      <c r="E827" s="207"/>
      <c r="F827" s="207"/>
      <c r="G827" s="207"/>
      <c r="H827" s="207"/>
      <c r="I827" s="207"/>
      <c r="J827" s="207"/>
      <c r="K827" s="207"/>
      <c r="L827" s="207"/>
      <c r="M827" s="207"/>
      <c r="N827" s="207"/>
      <c r="O827" s="207"/>
      <c r="P827" s="207"/>
      <c r="Q827" s="207"/>
      <c r="R827" s="207"/>
      <c r="S827" s="207"/>
      <c r="T827" s="207"/>
      <c r="U827" s="209"/>
      <c r="V827" s="207"/>
      <c r="W827" s="207"/>
      <c r="X827" s="209"/>
      <c r="Y827" s="209"/>
      <c r="Z827" s="207" t="str">
        <f t="shared" ca="1" si="111"/>
        <v/>
      </c>
      <c r="AA827" s="209" t="str">
        <f t="shared" si="115"/>
        <v/>
      </c>
      <c r="AB827" s="209"/>
      <c r="AC827" s="207" t="str">
        <f t="shared" ca="1" si="112"/>
        <v/>
      </c>
      <c r="AD827" s="207"/>
      <c r="AE827" s="207"/>
      <c r="AF827" s="208" t="str">
        <f>IF(ISBLANK(D827),"",VLOOKUP(F827,'SIZE CALCULATION'!$F:$G,2,0))</f>
        <v/>
      </c>
      <c r="AG827" s="207" t="str">
        <f t="shared" si="117"/>
        <v/>
      </c>
      <c r="AH827" s="207" t="str">
        <f t="shared" si="113"/>
        <v/>
      </c>
      <c r="AI827" s="210" t="str">
        <f>IF(ISBLANK(D827),"",VLOOKUP($A827,INDEX!$D$2:$F$13,3,0))</f>
        <v/>
      </c>
      <c r="AJ827" s="207" t="str">
        <f t="shared" si="114"/>
        <v/>
      </c>
      <c r="AK827" s="207"/>
      <c r="AL827" s="207"/>
      <c r="AM827" s="207" t="str">
        <f>IFERROR(IF(ISBLANK($D827),"",VLOOKUP($N827,'TABLE CHARGE RATE'!$A$30:$K$106,5,0)),"Check")</f>
        <v/>
      </c>
      <c r="AN827" s="207" t="str">
        <f>IFERROR(IF(ISBLANK($D827),"",VLOOKUP($N827,'TABLE CHARGE RATE'!$A$30:$K$106,6,0)),"Check")</f>
        <v/>
      </c>
      <c r="AO827" s="207" t="str">
        <f>IFERROR(IF(ISBLANK($D827),"",VLOOKUP($N827,'TABLE CHARGE RATE'!$A$30:$K$106,7,0)),"Check")</f>
        <v/>
      </c>
      <c r="AP827" s="207" t="str">
        <f>IFERROR(IF(ISBLANK($D827),"",VLOOKUP($N827,'TABLE CHARGE RATE'!$A$30:$K$106,8,0)),"Check")</f>
        <v/>
      </c>
      <c r="AQ827" s="207" t="str">
        <f>IFERROR(IF(ISBLANK($D827),"",VLOOKUP($N827,'TABLE CHARGE RATE'!$A$30:$K$106,9,0)),"Check")</f>
        <v/>
      </c>
      <c r="AR827" s="207" t="str">
        <f>IFERROR(IF(ISBLANK($D827),"",VLOOKUP($N827,'TABLE CHARGE RATE'!$A$30:$K$106,10,0)),"Check")</f>
        <v/>
      </c>
      <c r="AS827" s="207" t="str">
        <f>IFERROR(IF(ISBLANK($D827),"",VLOOKUP($N827,'TABLE CHARGE RATE'!$A$30:$K$106,11,0)),"Check")</f>
        <v/>
      </c>
      <c r="AT827" s="207"/>
    </row>
    <row r="828" spans="1:46" x14ac:dyDescent="0.2">
      <c r="A828" s="207" t="str">
        <f t="shared" si="116"/>
        <v/>
      </c>
      <c r="B828" s="208" t="str">
        <f>IF(ISBLANK(D828),"",VLOOKUP(WEEKDAY($C828,1),INDEX!$J$2:$K$8,2,0))</f>
        <v/>
      </c>
      <c r="C828" s="209"/>
      <c r="D828" s="207"/>
      <c r="E828" s="207"/>
      <c r="F828" s="207"/>
      <c r="G828" s="207"/>
      <c r="H828" s="207"/>
      <c r="I828" s="207"/>
      <c r="J828" s="207"/>
      <c r="K828" s="207"/>
      <c r="L828" s="207"/>
      <c r="M828" s="207"/>
      <c r="N828" s="207"/>
      <c r="O828" s="207"/>
      <c r="P828" s="207"/>
      <c r="Q828" s="207"/>
      <c r="R828" s="207"/>
      <c r="S828" s="207"/>
      <c r="T828" s="207"/>
      <c r="U828" s="209"/>
      <c r="V828" s="207"/>
      <c r="W828" s="207"/>
      <c r="X828" s="209"/>
      <c r="Y828" s="209"/>
      <c r="Z828" s="207" t="str">
        <f t="shared" ca="1" si="111"/>
        <v/>
      </c>
      <c r="AA828" s="209" t="str">
        <f t="shared" si="115"/>
        <v/>
      </c>
      <c r="AB828" s="209"/>
      <c r="AC828" s="207" t="str">
        <f t="shared" ca="1" si="112"/>
        <v/>
      </c>
      <c r="AD828" s="207"/>
      <c r="AE828" s="207"/>
      <c r="AF828" s="208" t="str">
        <f>IF(ISBLANK(D828),"",VLOOKUP(F828,'SIZE CALCULATION'!$F:$G,2,0))</f>
        <v/>
      </c>
      <c r="AG828" s="207" t="str">
        <f t="shared" si="117"/>
        <v/>
      </c>
      <c r="AH828" s="207" t="str">
        <f t="shared" si="113"/>
        <v/>
      </c>
      <c r="AI828" s="210" t="str">
        <f>IF(ISBLANK(D828),"",VLOOKUP($A828,INDEX!$D$2:$F$13,3,0))</f>
        <v/>
      </c>
      <c r="AJ828" s="207" t="str">
        <f t="shared" si="114"/>
        <v/>
      </c>
      <c r="AK828" s="207"/>
      <c r="AL828" s="207"/>
      <c r="AM828" s="207" t="str">
        <f>IFERROR(IF(ISBLANK($D828),"",VLOOKUP($N828,'TABLE CHARGE RATE'!$A$30:$K$106,5,0)),"Check")</f>
        <v/>
      </c>
      <c r="AN828" s="207" t="str">
        <f>IFERROR(IF(ISBLANK($D828),"",VLOOKUP($N828,'TABLE CHARGE RATE'!$A$30:$K$106,6,0)),"Check")</f>
        <v/>
      </c>
      <c r="AO828" s="207" t="str">
        <f>IFERROR(IF(ISBLANK($D828),"",VLOOKUP($N828,'TABLE CHARGE RATE'!$A$30:$K$106,7,0)),"Check")</f>
        <v/>
      </c>
      <c r="AP828" s="207" t="str">
        <f>IFERROR(IF(ISBLANK($D828),"",VLOOKUP($N828,'TABLE CHARGE RATE'!$A$30:$K$106,8,0)),"Check")</f>
        <v/>
      </c>
      <c r="AQ828" s="207" t="str">
        <f>IFERROR(IF(ISBLANK($D828),"",VLOOKUP($N828,'TABLE CHARGE RATE'!$A$30:$K$106,9,0)),"Check")</f>
        <v/>
      </c>
      <c r="AR828" s="207" t="str">
        <f>IFERROR(IF(ISBLANK($D828),"",VLOOKUP($N828,'TABLE CHARGE RATE'!$A$30:$K$106,10,0)),"Check")</f>
        <v/>
      </c>
      <c r="AS828" s="207" t="str">
        <f>IFERROR(IF(ISBLANK($D828),"",VLOOKUP($N828,'TABLE CHARGE RATE'!$A$30:$K$106,11,0)),"Check")</f>
        <v/>
      </c>
      <c r="AT828" s="207"/>
    </row>
    <row r="829" spans="1:46" x14ac:dyDescent="0.2">
      <c r="A829" s="207" t="str">
        <f t="shared" si="116"/>
        <v/>
      </c>
      <c r="B829" s="208" t="str">
        <f>IF(ISBLANK(D829),"",VLOOKUP(WEEKDAY($C829,1),INDEX!$J$2:$K$8,2,0))</f>
        <v/>
      </c>
      <c r="C829" s="209"/>
      <c r="D829" s="207"/>
      <c r="E829" s="207"/>
      <c r="F829" s="207"/>
      <c r="G829" s="207"/>
      <c r="H829" s="207"/>
      <c r="I829" s="207"/>
      <c r="J829" s="207"/>
      <c r="K829" s="207"/>
      <c r="L829" s="207"/>
      <c r="M829" s="207"/>
      <c r="N829" s="207"/>
      <c r="O829" s="207"/>
      <c r="P829" s="207"/>
      <c r="Q829" s="207"/>
      <c r="R829" s="207"/>
      <c r="S829" s="207"/>
      <c r="T829" s="207"/>
      <c r="U829" s="209"/>
      <c r="V829" s="207"/>
      <c r="W829" s="207"/>
      <c r="X829" s="209"/>
      <c r="Y829" s="209"/>
      <c r="Z829" s="207" t="str">
        <f t="shared" ca="1" si="111"/>
        <v/>
      </c>
      <c r="AA829" s="209" t="str">
        <f t="shared" si="115"/>
        <v/>
      </c>
      <c r="AB829" s="209"/>
      <c r="AC829" s="207" t="str">
        <f t="shared" ca="1" si="112"/>
        <v/>
      </c>
      <c r="AD829" s="207"/>
      <c r="AE829" s="207"/>
      <c r="AF829" s="208" t="str">
        <f>IF(ISBLANK(D829),"",VLOOKUP(F829,'SIZE CALCULATION'!$F:$G,2,0))</f>
        <v/>
      </c>
      <c r="AG829" s="207" t="str">
        <f t="shared" si="117"/>
        <v/>
      </c>
      <c r="AH829" s="207" t="str">
        <f t="shared" si="113"/>
        <v/>
      </c>
      <c r="AI829" s="210" t="str">
        <f>IF(ISBLANK(D829),"",VLOOKUP($A829,INDEX!$D$2:$F$13,3,0))</f>
        <v/>
      </c>
      <c r="AJ829" s="207" t="str">
        <f t="shared" si="114"/>
        <v/>
      </c>
      <c r="AK829" s="207"/>
      <c r="AL829" s="207"/>
      <c r="AM829" s="207" t="str">
        <f>IFERROR(IF(ISBLANK($D829),"",VLOOKUP($N829,'TABLE CHARGE RATE'!$A$30:$K$106,5,0)),"Check")</f>
        <v/>
      </c>
      <c r="AN829" s="207" t="str">
        <f>IFERROR(IF(ISBLANK($D829),"",VLOOKUP($N829,'TABLE CHARGE RATE'!$A$30:$K$106,6,0)),"Check")</f>
        <v/>
      </c>
      <c r="AO829" s="207" t="str">
        <f>IFERROR(IF(ISBLANK($D829),"",VLOOKUP($N829,'TABLE CHARGE RATE'!$A$30:$K$106,7,0)),"Check")</f>
        <v/>
      </c>
      <c r="AP829" s="207" t="str">
        <f>IFERROR(IF(ISBLANK($D829),"",VLOOKUP($N829,'TABLE CHARGE RATE'!$A$30:$K$106,8,0)),"Check")</f>
        <v/>
      </c>
      <c r="AQ829" s="207" t="str">
        <f>IFERROR(IF(ISBLANK($D829),"",VLOOKUP($N829,'TABLE CHARGE RATE'!$A$30:$K$106,9,0)),"Check")</f>
        <v/>
      </c>
      <c r="AR829" s="207" t="str">
        <f>IFERROR(IF(ISBLANK($D829),"",VLOOKUP($N829,'TABLE CHARGE RATE'!$A$30:$K$106,10,0)),"Check")</f>
        <v/>
      </c>
      <c r="AS829" s="207" t="str">
        <f>IFERROR(IF(ISBLANK($D829),"",VLOOKUP($N829,'TABLE CHARGE RATE'!$A$30:$K$106,11,0)),"Check")</f>
        <v/>
      </c>
      <c r="AT829" s="207"/>
    </row>
    <row r="830" spans="1:46" x14ac:dyDescent="0.2">
      <c r="A830" s="207" t="str">
        <f t="shared" si="116"/>
        <v/>
      </c>
      <c r="B830" s="208" t="str">
        <f>IF(ISBLANK(D830),"",VLOOKUP(WEEKDAY($C830,1),INDEX!$J$2:$K$8,2,0))</f>
        <v/>
      </c>
      <c r="C830" s="209"/>
      <c r="D830" s="207"/>
      <c r="E830" s="207"/>
      <c r="F830" s="207"/>
      <c r="G830" s="207"/>
      <c r="H830" s="207"/>
      <c r="I830" s="207"/>
      <c r="J830" s="207"/>
      <c r="K830" s="207"/>
      <c r="L830" s="207"/>
      <c r="M830" s="207"/>
      <c r="N830" s="207"/>
      <c r="O830" s="207"/>
      <c r="P830" s="207"/>
      <c r="Q830" s="207"/>
      <c r="R830" s="207"/>
      <c r="S830" s="207"/>
      <c r="T830" s="207"/>
      <c r="U830" s="209"/>
      <c r="V830" s="207"/>
      <c r="W830" s="207"/>
      <c r="X830" s="209"/>
      <c r="Y830" s="209"/>
      <c r="Z830" s="207" t="str">
        <f t="shared" ca="1" si="111"/>
        <v/>
      </c>
      <c r="AA830" s="209" t="str">
        <f t="shared" si="115"/>
        <v/>
      </c>
      <c r="AB830" s="209"/>
      <c r="AC830" s="207" t="str">
        <f t="shared" ca="1" si="112"/>
        <v/>
      </c>
      <c r="AD830" s="207"/>
      <c r="AE830" s="207"/>
      <c r="AF830" s="208" t="str">
        <f>IF(ISBLANK(D830),"",VLOOKUP(F830,'SIZE CALCULATION'!$F:$G,2,0))</f>
        <v/>
      </c>
      <c r="AG830" s="207" t="str">
        <f t="shared" si="117"/>
        <v/>
      </c>
      <c r="AH830" s="207" t="str">
        <f t="shared" si="113"/>
        <v/>
      </c>
      <c r="AI830" s="210" t="str">
        <f>IF(ISBLANK(D830),"",VLOOKUP($A830,INDEX!$D$2:$F$13,3,0))</f>
        <v/>
      </c>
      <c r="AJ830" s="207" t="str">
        <f t="shared" si="114"/>
        <v/>
      </c>
      <c r="AK830" s="207"/>
      <c r="AL830" s="207"/>
      <c r="AM830" s="207" t="str">
        <f>IFERROR(IF(ISBLANK($D830),"",VLOOKUP($N830,'TABLE CHARGE RATE'!$A$30:$K$106,5,0)),"Check")</f>
        <v/>
      </c>
      <c r="AN830" s="207" t="str">
        <f>IFERROR(IF(ISBLANK($D830),"",VLOOKUP($N830,'TABLE CHARGE RATE'!$A$30:$K$106,6,0)),"Check")</f>
        <v/>
      </c>
      <c r="AO830" s="207" t="str">
        <f>IFERROR(IF(ISBLANK($D830),"",VLOOKUP($N830,'TABLE CHARGE RATE'!$A$30:$K$106,7,0)),"Check")</f>
        <v/>
      </c>
      <c r="AP830" s="207" t="str">
        <f>IFERROR(IF(ISBLANK($D830),"",VLOOKUP($N830,'TABLE CHARGE RATE'!$A$30:$K$106,8,0)),"Check")</f>
        <v/>
      </c>
      <c r="AQ830" s="207" t="str">
        <f>IFERROR(IF(ISBLANK($D830),"",VLOOKUP($N830,'TABLE CHARGE RATE'!$A$30:$K$106,9,0)),"Check")</f>
        <v/>
      </c>
      <c r="AR830" s="207" t="str">
        <f>IFERROR(IF(ISBLANK($D830),"",VLOOKUP($N830,'TABLE CHARGE RATE'!$A$30:$K$106,10,0)),"Check")</f>
        <v/>
      </c>
      <c r="AS830" s="207" t="str">
        <f>IFERROR(IF(ISBLANK($D830),"",VLOOKUP($N830,'TABLE CHARGE RATE'!$A$30:$K$106,11,0)),"Check")</f>
        <v/>
      </c>
      <c r="AT830" s="207"/>
    </row>
    <row r="831" spans="1:46" x14ac:dyDescent="0.2">
      <c r="A831" s="207" t="str">
        <f t="shared" si="116"/>
        <v/>
      </c>
      <c r="B831" s="208" t="str">
        <f>IF(ISBLANK(D831),"",VLOOKUP(WEEKDAY($C831,1),INDEX!$J$2:$K$8,2,0))</f>
        <v/>
      </c>
      <c r="C831" s="209"/>
      <c r="D831" s="207"/>
      <c r="E831" s="207"/>
      <c r="F831" s="207"/>
      <c r="G831" s="207"/>
      <c r="H831" s="207"/>
      <c r="I831" s="207"/>
      <c r="J831" s="207"/>
      <c r="K831" s="207"/>
      <c r="L831" s="207"/>
      <c r="M831" s="207"/>
      <c r="N831" s="207"/>
      <c r="O831" s="207"/>
      <c r="P831" s="207"/>
      <c r="Q831" s="207"/>
      <c r="R831" s="207"/>
      <c r="S831" s="207"/>
      <c r="T831" s="207"/>
      <c r="U831" s="209"/>
      <c r="V831" s="207"/>
      <c r="W831" s="207"/>
      <c r="X831" s="209"/>
      <c r="Y831" s="209"/>
      <c r="Z831" s="207" t="str">
        <f t="shared" ca="1" si="111"/>
        <v/>
      </c>
      <c r="AA831" s="209" t="str">
        <f t="shared" si="115"/>
        <v/>
      </c>
      <c r="AB831" s="209"/>
      <c r="AC831" s="207" t="str">
        <f t="shared" ca="1" si="112"/>
        <v/>
      </c>
      <c r="AD831" s="207"/>
      <c r="AE831" s="207"/>
      <c r="AF831" s="208" t="str">
        <f>IF(ISBLANK(D831),"",VLOOKUP(F831,'SIZE CALCULATION'!$F:$G,2,0))</f>
        <v/>
      </c>
      <c r="AG831" s="207" t="str">
        <f t="shared" si="117"/>
        <v/>
      </c>
      <c r="AH831" s="207" t="str">
        <f t="shared" si="113"/>
        <v/>
      </c>
      <c r="AI831" s="210" t="str">
        <f>IF(ISBLANK(D831),"",VLOOKUP($A831,INDEX!$D$2:$F$13,3,0))</f>
        <v/>
      </c>
      <c r="AJ831" s="207" t="str">
        <f t="shared" si="114"/>
        <v/>
      </c>
      <c r="AK831" s="207"/>
      <c r="AL831" s="207"/>
      <c r="AM831" s="207" t="str">
        <f>IFERROR(IF(ISBLANK($D831),"",VLOOKUP($N831,'TABLE CHARGE RATE'!$A$30:$K$106,5,0)),"Check")</f>
        <v/>
      </c>
      <c r="AN831" s="207" t="str">
        <f>IFERROR(IF(ISBLANK($D831),"",VLOOKUP($N831,'TABLE CHARGE RATE'!$A$30:$K$106,6,0)),"Check")</f>
        <v/>
      </c>
      <c r="AO831" s="207" t="str">
        <f>IFERROR(IF(ISBLANK($D831),"",VLOOKUP($N831,'TABLE CHARGE RATE'!$A$30:$K$106,7,0)),"Check")</f>
        <v/>
      </c>
      <c r="AP831" s="207" t="str">
        <f>IFERROR(IF(ISBLANK($D831),"",VLOOKUP($N831,'TABLE CHARGE RATE'!$A$30:$K$106,8,0)),"Check")</f>
        <v/>
      </c>
      <c r="AQ831" s="207" t="str">
        <f>IFERROR(IF(ISBLANK($D831),"",VLOOKUP($N831,'TABLE CHARGE RATE'!$A$30:$K$106,9,0)),"Check")</f>
        <v/>
      </c>
      <c r="AR831" s="207" t="str">
        <f>IFERROR(IF(ISBLANK($D831),"",VLOOKUP($N831,'TABLE CHARGE RATE'!$A$30:$K$106,10,0)),"Check")</f>
        <v/>
      </c>
      <c r="AS831" s="207" t="str">
        <f>IFERROR(IF(ISBLANK($D831),"",VLOOKUP($N831,'TABLE CHARGE RATE'!$A$30:$K$106,11,0)),"Check")</f>
        <v/>
      </c>
      <c r="AT831" s="207"/>
    </row>
    <row r="832" spans="1:46" x14ac:dyDescent="0.2">
      <c r="A832" s="207" t="str">
        <f t="shared" si="116"/>
        <v/>
      </c>
      <c r="B832" s="208" t="str">
        <f>IF(ISBLANK(D832),"",VLOOKUP(WEEKDAY($C832,1),INDEX!$J$2:$K$8,2,0))</f>
        <v/>
      </c>
      <c r="C832" s="209"/>
      <c r="D832" s="207"/>
      <c r="E832" s="207"/>
      <c r="F832" s="207"/>
      <c r="G832" s="207"/>
      <c r="H832" s="207"/>
      <c r="I832" s="207"/>
      <c r="J832" s="207"/>
      <c r="K832" s="207"/>
      <c r="L832" s="207"/>
      <c r="M832" s="207"/>
      <c r="N832" s="207"/>
      <c r="O832" s="207"/>
      <c r="P832" s="207"/>
      <c r="Q832" s="207"/>
      <c r="R832" s="207"/>
      <c r="S832" s="207"/>
      <c r="T832" s="207"/>
      <c r="U832" s="209"/>
      <c r="V832" s="207"/>
      <c r="W832" s="207"/>
      <c r="X832" s="209"/>
      <c r="Y832" s="209"/>
      <c r="Z832" s="207" t="str">
        <f t="shared" ca="1" si="111"/>
        <v/>
      </c>
      <c r="AA832" s="209" t="str">
        <f t="shared" si="115"/>
        <v/>
      </c>
      <c r="AB832" s="209"/>
      <c r="AC832" s="207" t="str">
        <f t="shared" ca="1" si="112"/>
        <v/>
      </c>
      <c r="AD832" s="207"/>
      <c r="AE832" s="207"/>
      <c r="AF832" s="208" t="str">
        <f>IF(ISBLANK(D832),"",VLOOKUP(F832,'SIZE CALCULATION'!$F:$G,2,0))</f>
        <v/>
      </c>
      <c r="AG832" s="207" t="str">
        <f t="shared" si="117"/>
        <v/>
      </c>
      <c r="AH832" s="207" t="str">
        <f t="shared" si="113"/>
        <v/>
      </c>
      <c r="AI832" s="210" t="str">
        <f>IF(ISBLANK(D832),"",VLOOKUP($A832,INDEX!$D$2:$F$13,3,0))</f>
        <v/>
      </c>
      <c r="AJ832" s="207" t="str">
        <f t="shared" si="114"/>
        <v/>
      </c>
      <c r="AK832" s="207"/>
      <c r="AL832" s="207"/>
      <c r="AM832" s="207" t="str">
        <f>IFERROR(IF(ISBLANK($D832),"",VLOOKUP($N832,'TABLE CHARGE RATE'!$A$30:$K$106,5,0)),"Check")</f>
        <v/>
      </c>
      <c r="AN832" s="207" t="str">
        <f>IFERROR(IF(ISBLANK($D832),"",VLOOKUP($N832,'TABLE CHARGE RATE'!$A$30:$K$106,6,0)),"Check")</f>
        <v/>
      </c>
      <c r="AO832" s="207" t="str">
        <f>IFERROR(IF(ISBLANK($D832),"",VLOOKUP($N832,'TABLE CHARGE RATE'!$A$30:$K$106,7,0)),"Check")</f>
        <v/>
      </c>
      <c r="AP832" s="207" t="str">
        <f>IFERROR(IF(ISBLANK($D832),"",VLOOKUP($N832,'TABLE CHARGE RATE'!$A$30:$K$106,8,0)),"Check")</f>
        <v/>
      </c>
      <c r="AQ832" s="207" t="str">
        <f>IFERROR(IF(ISBLANK($D832),"",VLOOKUP($N832,'TABLE CHARGE RATE'!$A$30:$K$106,9,0)),"Check")</f>
        <v/>
      </c>
      <c r="AR832" s="207" t="str">
        <f>IFERROR(IF(ISBLANK($D832),"",VLOOKUP($N832,'TABLE CHARGE RATE'!$A$30:$K$106,10,0)),"Check")</f>
        <v/>
      </c>
      <c r="AS832" s="207" t="str">
        <f>IFERROR(IF(ISBLANK($D832),"",VLOOKUP($N832,'TABLE CHARGE RATE'!$A$30:$K$106,11,0)),"Check")</f>
        <v/>
      </c>
      <c r="AT832" s="207"/>
    </row>
    <row r="833" spans="1:46" x14ac:dyDescent="0.2">
      <c r="A833" s="207" t="str">
        <f t="shared" si="116"/>
        <v/>
      </c>
      <c r="B833" s="208" t="str">
        <f>IF(ISBLANK(D833),"",VLOOKUP(WEEKDAY($C833,1),INDEX!$J$2:$K$8,2,0))</f>
        <v/>
      </c>
      <c r="C833" s="209"/>
      <c r="D833" s="207"/>
      <c r="E833" s="207"/>
      <c r="F833" s="207"/>
      <c r="G833" s="207"/>
      <c r="H833" s="207"/>
      <c r="I833" s="207"/>
      <c r="J833" s="207"/>
      <c r="K833" s="207"/>
      <c r="L833" s="207"/>
      <c r="M833" s="207"/>
      <c r="N833" s="207"/>
      <c r="O833" s="207"/>
      <c r="P833" s="207"/>
      <c r="Q833" s="207"/>
      <c r="R833" s="207"/>
      <c r="S833" s="207"/>
      <c r="T833" s="207"/>
      <c r="U833" s="209"/>
      <c r="V833" s="207"/>
      <c r="W833" s="207"/>
      <c r="X833" s="209"/>
      <c r="Y833" s="209"/>
      <c r="Z833" s="207" t="str">
        <f t="shared" ca="1" si="111"/>
        <v/>
      </c>
      <c r="AA833" s="209" t="str">
        <f t="shared" si="115"/>
        <v/>
      </c>
      <c r="AB833" s="209"/>
      <c r="AC833" s="207" t="str">
        <f t="shared" ca="1" si="112"/>
        <v/>
      </c>
      <c r="AD833" s="207"/>
      <c r="AE833" s="207"/>
      <c r="AF833" s="208" t="str">
        <f>IF(ISBLANK(D833),"",VLOOKUP(F833,'SIZE CALCULATION'!$F:$G,2,0))</f>
        <v/>
      </c>
      <c r="AG833" s="207" t="str">
        <f t="shared" si="117"/>
        <v/>
      </c>
      <c r="AH833" s="207" t="str">
        <f t="shared" si="113"/>
        <v/>
      </c>
      <c r="AI833" s="210" t="str">
        <f>IF(ISBLANK(D833),"",VLOOKUP($A833,INDEX!$D$2:$F$13,3,0))</f>
        <v/>
      </c>
      <c r="AJ833" s="207" t="str">
        <f t="shared" si="114"/>
        <v/>
      </c>
      <c r="AK833" s="207"/>
      <c r="AL833" s="207"/>
      <c r="AM833" s="207" t="str">
        <f>IFERROR(IF(ISBLANK($D833),"",VLOOKUP($N833,'TABLE CHARGE RATE'!$A$30:$K$106,5,0)),"Check")</f>
        <v/>
      </c>
      <c r="AN833" s="207" t="str">
        <f>IFERROR(IF(ISBLANK($D833),"",VLOOKUP($N833,'TABLE CHARGE RATE'!$A$30:$K$106,6,0)),"Check")</f>
        <v/>
      </c>
      <c r="AO833" s="207" t="str">
        <f>IFERROR(IF(ISBLANK($D833),"",VLOOKUP($N833,'TABLE CHARGE RATE'!$A$30:$K$106,7,0)),"Check")</f>
        <v/>
      </c>
      <c r="AP833" s="207" t="str">
        <f>IFERROR(IF(ISBLANK($D833),"",VLOOKUP($N833,'TABLE CHARGE RATE'!$A$30:$K$106,8,0)),"Check")</f>
        <v/>
      </c>
      <c r="AQ833" s="207" t="str">
        <f>IFERROR(IF(ISBLANK($D833),"",VLOOKUP($N833,'TABLE CHARGE RATE'!$A$30:$K$106,9,0)),"Check")</f>
        <v/>
      </c>
      <c r="AR833" s="207" t="str">
        <f>IFERROR(IF(ISBLANK($D833),"",VLOOKUP($N833,'TABLE CHARGE RATE'!$A$30:$K$106,10,0)),"Check")</f>
        <v/>
      </c>
      <c r="AS833" s="207" t="str">
        <f>IFERROR(IF(ISBLANK($D833),"",VLOOKUP($N833,'TABLE CHARGE RATE'!$A$30:$K$106,11,0)),"Check")</f>
        <v/>
      </c>
      <c r="AT833" s="207"/>
    </row>
    <row r="834" spans="1:46" x14ac:dyDescent="0.2">
      <c r="A834" s="207" t="str">
        <f t="shared" si="116"/>
        <v/>
      </c>
      <c r="B834" s="208" t="str">
        <f>IF(ISBLANK(D834),"",VLOOKUP(WEEKDAY($C834,1),INDEX!$J$2:$K$8,2,0))</f>
        <v/>
      </c>
      <c r="C834" s="209"/>
      <c r="D834" s="207"/>
      <c r="E834" s="207"/>
      <c r="F834" s="207"/>
      <c r="G834" s="207"/>
      <c r="H834" s="207"/>
      <c r="I834" s="207"/>
      <c r="J834" s="207"/>
      <c r="K834" s="207"/>
      <c r="L834" s="207"/>
      <c r="M834" s="207"/>
      <c r="N834" s="207"/>
      <c r="O834" s="207"/>
      <c r="P834" s="207"/>
      <c r="Q834" s="207"/>
      <c r="R834" s="207"/>
      <c r="S834" s="207"/>
      <c r="T834" s="207"/>
      <c r="U834" s="209"/>
      <c r="V834" s="207"/>
      <c r="W834" s="207"/>
      <c r="X834" s="209"/>
      <c r="Y834" s="209"/>
      <c r="Z834" s="207" t="str">
        <f t="shared" ca="1" si="111"/>
        <v/>
      </c>
      <c r="AA834" s="209" t="str">
        <f t="shared" si="115"/>
        <v/>
      </c>
      <c r="AB834" s="209"/>
      <c r="AC834" s="207" t="str">
        <f t="shared" ca="1" si="112"/>
        <v/>
      </c>
      <c r="AD834" s="207"/>
      <c r="AE834" s="207"/>
      <c r="AF834" s="208" t="str">
        <f>IF(ISBLANK(D834),"",VLOOKUP(F834,'SIZE CALCULATION'!$F:$G,2,0))</f>
        <v/>
      </c>
      <c r="AG834" s="207" t="str">
        <f t="shared" si="117"/>
        <v/>
      </c>
      <c r="AH834" s="207" t="str">
        <f t="shared" si="113"/>
        <v/>
      </c>
      <c r="AI834" s="210" t="str">
        <f>IF(ISBLANK(D834),"",VLOOKUP($A834,INDEX!$D$2:$F$13,3,0))</f>
        <v/>
      </c>
      <c r="AJ834" s="207" t="str">
        <f t="shared" si="114"/>
        <v/>
      </c>
      <c r="AK834" s="207"/>
      <c r="AL834" s="207"/>
      <c r="AM834" s="207" t="str">
        <f>IFERROR(IF(ISBLANK($D834),"",VLOOKUP($N834,'TABLE CHARGE RATE'!$A$30:$K$106,5,0)),"Check")</f>
        <v/>
      </c>
      <c r="AN834" s="207" t="str">
        <f>IFERROR(IF(ISBLANK($D834),"",VLOOKUP($N834,'TABLE CHARGE RATE'!$A$30:$K$106,6,0)),"Check")</f>
        <v/>
      </c>
      <c r="AO834" s="207" t="str">
        <f>IFERROR(IF(ISBLANK($D834),"",VLOOKUP($N834,'TABLE CHARGE RATE'!$A$30:$K$106,7,0)),"Check")</f>
        <v/>
      </c>
      <c r="AP834" s="207" t="str">
        <f>IFERROR(IF(ISBLANK($D834),"",VLOOKUP($N834,'TABLE CHARGE RATE'!$A$30:$K$106,8,0)),"Check")</f>
        <v/>
      </c>
      <c r="AQ834" s="207" t="str">
        <f>IFERROR(IF(ISBLANK($D834),"",VLOOKUP($N834,'TABLE CHARGE RATE'!$A$30:$K$106,9,0)),"Check")</f>
        <v/>
      </c>
      <c r="AR834" s="207" t="str">
        <f>IFERROR(IF(ISBLANK($D834),"",VLOOKUP($N834,'TABLE CHARGE RATE'!$A$30:$K$106,10,0)),"Check")</f>
        <v/>
      </c>
      <c r="AS834" s="207" t="str">
        <f>IFERROR(IF(ISBLANK($D834),"",VLOOKUP($N834,'TABLE CHARGE RATE'!$A$30:$K$106,11,0)),"Check")</f>
        <v/>
      </c>
      <c r="AT834" s="207"/>
    </row>
    <row r="835" spans="1:46" x14ac:dyDescent="0.2">
      <c r="A835" s="207" t="str">
        <f t="shared" si="116"/>
        <v/>
      </c>
      <c r="B835" s="208" t="str">
        <f>IF(ISBLANK(D835),"",VLOOKUP(WEEKDAY($C835,1),INDEX!$J$2:$K$8,2,0))</f>
        <v/>
      </c>
      <c r="C835" s="209"/>
      <c r="D835" s="207"/>
      <c r="E835" s="207"/>
      <c r="F835" s="207"/>
      <c r="G835" s="207"/>
      <c r="H835" s="207"/>
      <c r="I835" s="207"/>
      <c r="J835" s="207"/>
      <c r="K835" s="207"/>
      <c r="L835" s="207"/>
      <c r="M835" s="207"/>
      <c r="N835" s="207"/>
      <c r="O835" s="207"/>
      <c r="P835" s="207"/>
      <c r="Q835" s="207"/>
      <c r="R835" s="207"/>
      <c r="S835" s="207"/>
      <c r="T835" s="207"/>
      <c r="U835" s="209"/>
      <c r="V835" s="207"/>
      <c r="W835" s="207"/>
      <c r="X835" s="209"/>
      <c r="Y835" s="209"/>
      <c r="Z835" s="207" t="str">
        <f t="shared" ca="1" si="111"/>
        <v/>
      </c>
      <c r="AA835" s="209" t="str">
        <f t="shared" si="115"/>
        <v/>
      </c>
      <c r="AB835" s="209"/>
      <c r="AC835" s="207" t="str">
        <f t="shared" ca="1" si="112"/>
        <v/>
      </c>
      <c r="AD835" s="207"/>
      <c r="AE835" s="207"/>
      <c r="AF835" s="208" t="str">
        <f>IF(ISBLANK(D835),"",VLOOKUP(F835,'SIZE CALCULATION'!$F:$G,2,0))</f>
        <v/>
      </c>
      <c r="AG835" s="207" t="str">
        <f t="shared" si="117"/>
        <v/>
      </c>
      <c r="AH835" s="207" t="str">
        <f t="shared" si="113"/>
        <v/>
      </c>
      <c r="AI835" s="210" t="str">
        <f>IF(ISBLANK(D835),"",VLOOKUP($A835,INDEX!$D$2:$F$13,3,0))</f>
        <v/>
      </c>
      <c r="AJ835" s="207" t="str">
        <f t="shared" si="114"/>
        <v/>
      </c>
      <c r="AK835" s="207"/>
      <c r="AL835" s="207"/>
      <c r="AM835" s="207" t="str">
        <f>IFERROR(IF(ISBLANK($D835),"",VLOOKUP($N835,'TABLE CHARGE RATE'!$A$30:$K$106,5,0)),"Check")</f>
        <v/>
      </c>
      <c r="AN835" s="207" t="str">
        <f>IFERROR(IF(ISBLANK($D835),"",VLOOKUP($N835,'TABLE CHARGE RATE'!$A$30:$K$106,6,0)),"Check")</f>
        <v/>
      </c>
      <c r="AO835" s="207" t="str">
        <f>IFERROR(IF(ISBLANK($D835),"",VLOOKUP($N835,'TABLE CHARGE RATE'!$A$30:$K$106,7,0)),"Check")</f>
        <v/>
      </c>
      <c r="AP835" s="207" t="str">
        <f>IFERROR(IF(ISBLANK($D835),"",VLOOKUP($N835,'TABLE CHARGE RATE'!$A$30:$K$106,8,0)),"Check")</f>
        <v/>
      </c>
      <c r="AQ835" s="207" t="str">
        <f>IFERROR(IF(ISBLANK($D835),"",VLOOKUP($N835,'TABLE CHARGE RATE'!$A$30:$K$106,9,0)),"Check")</f>
        <v/>
      </c>
      <c r="AR835" s="207" t="str">
        <f>IFERROR(IF(ISBLANK($D835),"",VLOOKUP($N835,'TABLE CHARGE RATE'!$A$30:$K$106,10,0)),"Check")</f>
        <v/>
      </c>
      <c r="AS835" s="207" t="str">
        <f>IFERROR(IF(ISBLANK($D835),"",VLOOKUP($N835,'TABLE CHARGE RATE'!$A$30:$K$106,11,0)),"Check")</f>
        <v/>
      </c>
      <c r="AT835" s="207"/>
    </row>
    <row r="836" spans="1:46" x14ac:dyDescent="0.2">
      <c r="A836" s="207" t="str">
        <f t="shared" si="116"/>
        <v/>
      </c>
      <c r="B836" s="208" t="str">
        <f>IF(ISBLANK(D836),"",VLOOKUP(WEEKDAY($C836,1),INDEX!$J$2:$K$8,2,0))</f>
        <v/>
      </c>
      <c r="C836" s="209"/>
      <c r="D836" s="207"/>
      <c r="E836" s="207"/>
      <c r="F836" s="207"/>
      <c r="G836" s="207"/>
      <c r="H836" s="207"/>
      <c r="I836" s="207"/>
      <c r="J836" s="207"/>
      <c r="K836" s="207"/>
      <c r="L836" s="207"/>
      <c r="M836" s="207"/>
      <c r="N836" s="207"/>
      <c r="O836" s="207"/>
      <c r="P836" s="207"/>
      <c r="Q836" s="207"/>
      <c r="R836" s="207"/>
      <c r="S836" s="207"/>
      <c r="T836" s="207"/>
      <c r="U836" s="209"/>
      <c r="V836" s="207"/>
      <c r="W836" s="207"/>
      <c r="X836" s="209"/>
      <c r="Y836" s="209"/>
      <c r="Z836" s="207" t="str">
        <f t="shared" ca="1" si="111"/>
        <v/>
      </c>
      <c r="AA836" s="209" t="str">
        <f t="shared" si="115"/>
        <v/>
      </c>
      <c r="AB836" s="209"/>
      <c r="AC836" s="207" t="str">
        <f t="shared" ca="1" si="112"/>
        <v/>
      </c>
      <c r="AD836" s="207"/>
      <c r="AE836" s="207"/>
      <c r="AF836" s="208" t="str">
        <f>IF(ISBLANK(D836),"",VLOOKUP(F836,'SIZE CALCULATION'!$F:$G,2,0))</f>
        <v/>
      </c>
      <c r="AG836" s="207" t="str">
        <f t="shared" si="117"/>
        <v/>
      </c>
      <c r="AH836" s="207" t="str">
        <f t="shared" si="113"/>
        <v/>
      </c>
      <c r="AI836" s="210" t="str">
        <f>IF(ISBLANK(D836),"",VLOOKUP($A836,INDEX!$D$2:$F$13,3,0))</f>
        <v/>
      </c>
      <c r="AJ836" s="207" t="str">
        <f t="shared" si="114"/>
        <v/>
      </c>
      <c r="AK836" s="207"/>
      <c r="AL836" s="207"/>
      <c r="AM836" s="207" t="str">
        <f>IFERROR(IF(ISBLANK($D836),"",VLOOKUP($N836,'TABLE CHARGE RATE'!$A$30:$K$106,5,0)),"Check")</f>
        <v/>
      </c>
      <c r="AN836" s="207" t="str">
        <f>IFERROR(IF(ISBLANK($D836),"",VLOOKUP($N836,'TABLE CHARGE RATE'!$A$30:$K$106,6,0)),"Check")</f>
        <v/>
      </c>
      <c r="AO836" s="207" t="str">
        <f>IFERROR(IF(ISBLANK($D836),"",VLOOKUP($N836,'TABLE CHARGE RATE'!$A$30:$K$106,7,0)),"Check")</f>
        <v/>
      </c>
      <c r="AP836" s="207" t="str">
        <f>IFERROR(IF(ISBLANK($D836),"",VLOOKUP($N836,'TABLE CHARGE RATE'!$A$30:$K$106,8,0)),"Check")</f>
        <v/>
      </c>
      <c r="AQ836" s="207" t="str">
        <f>IFERROR(IF(ISBLANK($D836),"",VLOOKUP($N836,'TABLE CHARGE RATE'!$A$30:$K$106,9,0)),"Check")</f>
        <v/>
      </c>
      <c r="AR836" s="207" t="str">
        <f>IFERROR(IF(ISBLANK($D836),"",VLOOKUP($N836,'TABLE CHARGE RATE'!$A$30:$K$106,10,0)),"Check")</f>
        <v/>
      </c>
      <c r="AS836" s="207" t="str">
        <f>IFERROR(IF(ISBLANK($D836),"",VLOOKUP($N836,'TABLE CHARGE RATE'!$A$30:$K$106,11,0)),"Check")</f>
        <v/>
      </c>
      <c r="AT836" s="207"/>
    </row>
    <row r="837" spans="1:46" x14ac:dyDescent="0.2">
      <c r="A837" s="207" t="str">
        <f t="shared" si="116"/>
        <v/>
      </c>
      <c r="B837" s="208" t="str">
        <f>IF(ISBLANK(D837),"",VLOOKUP(WEEKDAY($C837,1),INDEX!$J$2:$K$8,2,0))</f>
        <v/>
      </c>
      <c r="C837" s="209"/>
      <c r="D837" s="207"/>
      <c r="E837" s="207"/>
      <c r="F837" s="207"/>
      <c r="G837" s="207"/>
      <c r="H837" s="207"/>
      <c r="I837" s="207"/>
      <c r="J837" s="207"/>
      <c r="K837" s="207"/>
      <c r="L837" s="207"/>
      <c r="M837" s="207"/>
      <c r="N837" s="207"/>
      <c r="O837" s="207"/>
      <c r="P837" s="207"/>
      <c r="Q837" s="207"/>
      <c r="R837" s="207"/>
      <c r="S837" s="207"/>
      <c r="T837" s="207"/>
      <c r="U837" s="209"/>
      <c r="V837" s="207"/>
      <c r="W837" s="207"/>
      <c r="X837" s="209"/>
      <c r="Y837" s="209"/>
      <c r="Z837" s="207" t="str">
        <f t="shared" ref="Z837:Z900" ca="1" si="118">IF(ISBLANK(D837),"",IFERROR(IF(ISBLANK($AK837),IF(X837&gt;=TODAY(),"Delivery",IF(Y837-X837=0,1,0)),$AK837),""))</f>
        <v/>
      </c>
      <c r="AA837" s="209" t="str">
        <f t="shared" si="115"/>
        <v/>
      </c>
      <c r="AB837" s="209"/>
      <c r="AC837" s="207" t="str">
        <f t="shared" ref="AC837:AC900" ca="1" si="119">IF(ISBLANK(D837),"",IFERROR(IF(ISBLANK($AL837),IF(AA837&gt;=TODAY(),"Collecting",IF(AB837-AA837=0,1,0)),$AL837),""))</f>
        <v/>
      </c>
      <c r="AD837" s="207"/>
      <c r="AE837" s="207"/>
      <c r="AF837" s="208" t="str">
        <f>IF(ISBLANK(D837),"",VLOOKUP(F837,'SIZE CALCULATION'!$F:$G,2,0))</f>
        <v/>
      </c>
      <c r="AG837" s="207" t="str">
        <f t="shared" si="117"/>
        <v/>
      </c>
      <c r="AH837" s="207" t="str">
        <f t="shared" ref="AH837:AH900" si="120">IF(ISBLANK(D837),"",IFERROR(AG837*G837,0))</f>
        <v/>
      </c>
      <c r="AI837" s="210" t="str">
        <f>IF(ISBLANK(D837),"",VLOOKUP($A837,INDEX!$D$2:$F$13,3,0))</f>
        <v/>
      </c>
      <c r="AJ837" s="207" t="str">
        <f t="shared" ref="AJ837:AJ900" si="121">IF(ISBLANK(D837),"",AH837+(AH837*AI837))</f>
        <v/>
      </c>
      <c r="AK837" s="207"/>
      <c r="AL837" s="207"/>
      <c r="AM837" s="207" t="str">
        <f>IFERROR(IF(ISBLANK($D837),"",VLOOKUP($N837,'TABLE CHARGE RATE'!$A$30:$K$106,5,0)),"Check")</f>
        <v/>
      </c>
      <c r="AN837" s="207" t="str">
        <f>IFERROR(IF(ISBLANK($D837),"",VLOOKUP($N837,'TABLE CHARGE RATE'!$A$30:$K$106,6,0)),"Check")</f>
        <v/>
      </c>
      <c r="AO837" s="207" t="str">
        <f>IFERROR(IF(ISBLANK($D837),"",VLOOKUP($N837,'TABLE CHARGE RATE'!$A$30:$K$106,7,0)),"Check")</f>
        <v/>
      </c>
      <c r="AP837" s="207" t="str">
        <f>IFERROR(IF(ISBLANK($D837),"",VLOOKUP($N837,'TABLE CHARGE RATE'!$A$30:$K$106,8,0)),"Check")</f>
        <v/>
      </c>
      <c r="AQ837" s="207" t="str">
        <f>IFERROR(IF(ISBLANK($D837),"",VLOOKUP($N837,'TABLE CHARGE RATE'!$A$30:$K$106,9,0)),"Check")</f>
        <v/>
      </c>
      <c r="AR837" s="207" t="str">
        <f>IFERROR(IF(ISBLANK($D837),"",VLOOKUP($N837,'TABLE CHARGE RATE'!$A$30:$K$106,10,0)),"Check")</f>
        <v/>
      </c>
      <c r="AS837" s="207" t="str">
        <f>IFERROR(IF(ISBLANK($D837),"",VLOOKUP($N837,'TABLE CHARGE RATE'!$A$30:$K$106,11,0)),"Check")</f>
        <v/>
      </c>
      <c r="AT837" s="207"/>
    </row>
    <row r="838" spans="1:46" x14ac:dyDescent="0.2">
      <c r="A838" s="207" t="str">
        <f t="shared" si="116"/>
        <v/>
      </c>
      <c r="B838" s="208" t="str">
        <f>IF(ISBLANK(D838),"",VLOOKUP(WEEKDAY($C838,1),INDEX!$J$2:$K$8,2,0))</f>
        <v/>
      </c>
      <c r="C838" s="209"/>
      <c r="D838" s="207"/>
      <c r="E838" s="207"/>
      <c r="F838" s="207"/>
      <c r="G838" s="207"/>
      <c r="H838" s="207"/>
      <c r="I838" s="207"/>
      <c r="J838" s="207"/>
      <c r="K838" s="207"/>
      <c r="L838" s="207"/>
      <c r="M838" s="207"/>
      <c r="N838" s="207"/>
      <c r="O838" s="207"/>
      <c r="P838" s="207"/>
      <c r="Q838" s="207"/>
      <c r="R838" s="207"/>
      <c r="S838" s="207"/>
      <c r="T838" s="207"/>
      <c r="U838" s="209"/>
      <c r="V838" s="207"/>
      <c r="W838" s="207"/>
      <c r="X838" s="209"/>
      <c r="Y838" s="209"/>
      <c r="Z838" s="207" t="str">
        <f t="shared" ca="1" si="118"/>
        <v/>
      </c>
      <c r="AA838" s="209" t="str">
        <f t="shared" si="115"/>
        <v/>
      </c>
      <c r="AB838" s="209"/>
      <c r="AC838" s="207" t="str">
        <f t="shared" ca="1" si="119"/>
        <v/>
      </c>
      <c r="AD838" s="207"/>
      <c r="AE838" s="207"/>
      <c r="AF838" s="208" t="str">
        <f>IF(ISBLANK(D838),"",VLOOKUP(F838,'SIZE CALCULATION'!$F:$G,2,0))</f>
        <v/>
      </c>
      <c r="AG838" s="207" t="str">
        <f t="shared" si="117"/>
        <v/>
      </c>
      <c r="AH838" s="207" t="str">
        <f t="shared" si="120"/>
        <v/>
      </c>
      <c r="AI838" s="210" t="str">
        <f>IF(ISBLANK(D838),"",VLOOKUP($A838,INDEX!$D$2:$F$13,3,0))</f>
        <v/>
      </c>
      <c r="AJ838" s="207" t="str">
        <f t="shared" si="121"/>
        <v/>
      </c>
      <c r="AK838" s="207"/>
      <c r="AL838" s="207"/>
      <c r="AM838" s="207" t="str">
        <f>IFERROR(IF(ISBLANK($D838),"",VLOOKUP($N838,'TABLE CHARGE RATE'!$A$30:$K$106,5,0)),"Check")</f>
        <v/>
      </c>
      <c r="AN838" s="207" t="str">
        <f>IFERROR(IF(ISBLANK($D838),"",VLOOKUP($N838,'TABLE CHARGE RATE'!$A$30:$K$106,6,0)),"Check")</f>
        <v/>
      </c>
      <c r="AO838" s="207" t="str">
        <f>IFERROR(IF(ISBLANK($D838),"",VLOOKUP($N838,'TABLE CHARGE RATE'!$A$30:$K$106,7,0)),"Check")</f>
        <v/>
      </c>
      <c r="AP838" s="207" t="str">
        <f>IFERROR(IF(ISBLANK($D838),"",VLOOKUP($N838,'TABLE CHARGE RATE'!$A$30:$K$106,8,0)),"Check")</f>
        <v/>
      </c>
      <c r="AQ838" s="207" t="str">
        <f>IFERROR(IF(ISBLANK($D838),"",VLOOKUP($N838,'TABLE CHARGE RATE'!$A$30:$K$106,9,0)),"Check")</f>
        <v/>
      </c>
      <c r="AR838" s="207" t="str">
        <f>IFERROR(IF(ISBLANK($D838),"",VLOOKUP($N838,'TABLE CHARGE RATE'!$A$30:$K$106,10,0)),"Check")</f>
        <v/>
      </c>
      <c r="AS838" s="207" t="str">
        <f>IFERROR(IF(ISBLANK($D838),"",VLOOKUP($N838,'TABLE CHARGE RATE'!$A$30:$K$106,11,0)),"Check")</f>
        <v/>
      </c>
      <c r="AT838" s="207"/>
    </row>
    <row r="839" spans="1:46" x14ac:dyDescent="0.2">
      <c r="A839" s="207" t="str">
        <f t="shared" si="116"/>
        <v/>
      </c>
      <c r="B839" s="208" t="str">
        <f>IF(ISBLANK(D839),"",VLOOKUP(WEEKDAY($C839,1),INDEX!$J$2:$K$8,2,0))</f>
        <v/>
      </c>
      <c r="C839" s="209"/>
      <c r="D839" s="207"/>
      <c r="E839" s="207"/>
      <c r="F839" s="207"/>
      <c r="G839" s="207"/>
      <c r="H839" s="207"/>
      <c r="I839" s="207"/>
      <c r="J839" s="207"/>
      <c r="K839" s="207"/>
      <c r="L839" s="207"/>
      <c r="M839" s="207"/>
      <c r="N839" s="207"/>
      <c r="O839" s="207"/>
      <c r="P839" s="207"/>
      <c r="Q839" s="207"/>
      <c r="R839" s="207"/>
      <c r="S839" s="207"/>
      <c r="T839" s="207"/>
      <c r="U839" s="209"/>
      <c r="V839" s="207"/>
      <c r="W839" s="207"/>
      <c r="X839" s="209"/>
      <c r="Y839" s="209"/>
      <c r="Z839" s="207" t="str">
        <f t="shared" ca="1" si="118"/>
        <v/>
      </c>
      <c r="AA839" s="209" t="str">
        <f t="shared" si="115"/>
        <v/>
      </c>
      <c r="AB839" s="209"/>
      <c r="AC839" s="207" t="str">
        <f t="shared" ca="1" si="119"/>
        <v/>
      </c>
      <c r="AD839" s="207"/>
      <c r="AE839" s="207"/>
      <c r="AF839" s="208" t="str">
        <f>IF(ISBLANK(D839),"",VLOOKUP(F839,'SIZE CALCULATION'!$F:$G,2,0))</f>
        <v/>
      </c>
      <c r="AG839" s="207" t="str">
        <f t="shared" si="117"/>
        <v/>
      </c>
      <c r="AH839" s="207" t="str">
        <f t="shared" si="120"/>
        <v/>
      </c>
      <c r="AI839" s="210" t="str">
        <f>IF(ISBLANK(D839),"",VLOOKUP($A839,INDEX!$D$2:$F$13,3,0))</f>
        <v/>
      </c>
      <c r="AJ839" s="207" t="str">
        <f t="shared" si="121"/>
        <v/>
      </c>
      <c r="AK839" s="207"/>
      <c r="AL839" s="207"/>
      <c r="AM839" s="207" t="str">
        <f>IFERROR(IF(ISBLANK($D839),"",VLOOKUP($N839,'TABLE CHARGE RATE'!$A$30:$K$106,5,0)),"Check")</f>
        <v/>
      </c>
      <c r="AN839" s="207" t="str">
        <f>IFERROR(IF(ISBLANK($D839),"",VLOOKUP($N839,'TABLE CHARGE RATE'!$A$30:$K$106,6,0)),"Check")</f>
        <v/>
      </c>
      <c r="AO839" s="207" t="str">
        <f>IFERROR(IF(ISBLANK($D839),"",VLOOKUP($N839,'TABLE CHARGE RATE'!$A$30:$K$106,7,0)),"Check")</f>
        <v/>
      </c>
      <c r="AP839" s="207" t="str">
        <f>IFERROR(IF(ISBLANK($D839),"",VLOOKUP($N839,'TABLE CHARGE RATE'!$A$30:$K$106,8,0)),"Check")</f>
        <v/>
      </c>
      <c r="AQ839" s="207" t="str">
        <f>IFERROR(IF(ISBLANK($D839),"",VLOOKUP($N839,'TABLE CHARGE RATE'!$A$30:$K$106,9,0)),"Check")</f>
        <v/>
      </c>
      <c r="AR839" s="207" t="str">
        <f>IFERROR(IF(ISBLANK($D839),"",VLOOKUP($N839,'TABLE CHARGE RATE'!$A$30:$K$106,10,0)),"Check")</f>
        <v/>
      </c>
      <c r="AS839" s="207" t="str">
        <f>IFERROR(IF(ISBLANK($D839),"",VLOOKUP($N839,'TABLE CHARGE RATE'!$A$30:$K$106,11,0)),"Check")</f>
        <v/>
      </c>
      <c r="AT839" s="207"/>
    </row>
    <row r="840" spans="1:46" x14ac:dyDescent="0.2">
      <c r="A840" s="207" t="str">
        <f t="shared" si="116"/>
        <v/>
      </c>
      <c r="B840" s="208" t="str">
        <f>IF(ISBLANK(D840),"",VLOOKUP(WEEKDAY($C840,1),INDEX!$J$2:$K$8,2,0))</f>
        <v/>
      </c>
      <c r="C840" s="209"/>
      <c r="D840" s="207"/>
      <c r="E840" s="207"/>
      <c r="F840" s="207"/>
      <c r="G840" s="207"/>
      <c r="H840" s="207"/>
      <c r="I840" s="207"/>
      <c r="J840" s="207"/>
      <c r="K840" s="207"/>
      <c r="L840" s="207"/>
      <c r="M840" s="207"/>
      <c r="N840" s="207"/>
      <c r="O840" s="207"/>
      <c r="P840" s="207"/>
      <c r="Q840" s="207"/>
      <c r="R840" s="207"/>
      <c r="S840" s="207"/>
      <c r="T840" s="207"/>
      <c r="U840" s="209"/>
      <c r="V840" s="207"/>
      <c r="W840" s="207"/>
      <c r="X840" s="209"/>
      <c r="Y840" s="209"/>
      <c r="Z840" s="207" t="str">
        <f t="shared" ca="1" si="118"/>
        <v/>
      </c>
      <c r="AA840" s="209" t="str">
        <f t="shared" si="115"/>
        <v/>
      </c>
      <c r="AB840" s="209"/>
      <c r="AC840" s="207" t="str">
        <f t="shared" ca="1" si="119"/>
        <v/>
      </c>
      <c r="AD840" s="207"/>
      <c r="AE840" s="207"/>
      <c r="AF840" s="208" t="str">
        <f>IF(ISBLANK(D840),"",VLOOKUP(F840,'SIZE CALCULATION'!$F:$G,2,0))</f>
        <v/>
      </c>
      <c r="AG840" s="207" t="str">
        <f t="shared" si="117"/>
        <v/>
      </c>
      <c r="AH840" s="207" t="str">
        <f t="shared" si="120"/>
        <v/>
      </c>
      <c r="AI840" s="210" t="str">
        <f>IF(ISBLANK(D840),"",VLOOKUP($A840,INDEX!$D$2:$F$13,3,0))</f>
        <v/>
      </c>
      <c r="AJ840" s="207" t="str">
        <f t="shared" si="121"/>
        <v/>
      </c>
      <c r="AK840" s="207"/>
      <c r="AL840" s="207"/>
      <c r="AM840" s="207" t="str">
        <f>IFERROR(IF(ISBLANK($D840),"",VLOOKUP($N840,'TABLE CHARGE RATE'!$A$30:$K$106,5,0)),"Check")</f>
        <v/>
      </c>
      <c r="AN840" s="207" t="str">
        <f>IFERROR(IF(ISBLANK($D840),"",VLOOKUP($N840,'TABLE CHARGE RATE'!$A$30:$K$106,6,0)),"Check")</f>
        <v/>
      </c>
      <c r="AO840" s="207" t="str">
        <f>IFERROR(IF(ISBLANK($D840),"",VLOOKUP($N840,'TABLE CHARGE RATE'!$A$30:$K$106,7,0)),"Check")</f>
        <v/>
      </c>
      <c r="AP840" s="207" t="str">
        <f>IFERROR(IF(ISBLANK($D840),"",VLOOKUP($N840,'TABLE CHARGE RATE'!$A$30:$K$106,8,0)),"Check")</f>
        <v/>
      </c>
      <c r="AQ840" s="207" t="str">
        <f>IFERROR(IF(ISBLANK($D840),"",VLOOKUP($N840,'TABLE CHARGE RATE'!$A$30:$K$106,9,0)),"Check")</f>
        <v/>
      </c>
      <c r="AR840" s="207" t="str">
        <f>IFERROR(IF(ISBLANK($D840),"",VLOOKUP($N840,'TABLE CHARGE RATE'!$A$30:$K$106,10,0)),"Check")</f>
        <v/>
      </c>
      <c r="AS840" s="207" t="str">
        <f>IFERROR(IF(ISBLANK($D840),"",VLOOKUP($N840,'TABLE CHARGE RATE'!$A$30:$K$106,11,0)),"Check")</f>
        <v/>
      </c>
      <c r="AT840" s="207"/>
    </row>
    <row r="841" spans="1:46" x14ac:dyDescent="0.2">
      <c r="A841" s="207" t="str">
        <f t="shared" si="116"/>
        <v/>
      </c>
      <c r="B841" s="208" t="str">
        <f>IF(ISBLANK(D841),"",VLOOKUP(WEEKDAY($C841,1),INDEX!$J$2:$K$8,2,0))</f>
        <v/>
      </c>
      <c r="C841" s="209"/>
      <c r="D841" s="207"/>
      <c r="E841" s="207"/>
      <c r="F841" s="207"/>
      <c r="G841" s="207"/>
      <c r="H841" s="207"/>
      <c r="I841" s="207"/>
      <c r="J841" s="207"/>
      <c r="K841" s="207"/>
      <c r="L841" s="207"/>
      <c r="M841" s="207"/>
      <c r="N841" s="207"/>
      <c r="O841" s="207"/>
      <c r="P841" s="207"/>
      <c r="Q841" s="207"/>
      <c r="R841" s="207"/>
      <c r="S841" s="207"/>
      <c r="T841" s="207"/>
      <c r="U841" s="209"/>
      <c r="V841" s="207"/>
      <c r="W841" s="207"/>
      <c r="X841" s="209"/>
      <c r="Y841" s="209"/>
      <c r="Z841" s="207" t="str">
        <f t="shared" ca="1" si="118"/>
        <v/>
      </c>
      <c r="AA841" s="209" t="str">
        <f t="shared" si="115"/>
        <v/>
      </c>
      <c r="AB841" s="209"/>
      <c r="AC841" s="207" t="str">
        <f t="shared" ca="1" si="119"/>
        <v/>
      </c>
      <c r="AD841" s="207"/>
      <c r="AE841" s="207"/>
      <c r="AF841" s="208" t="str">
        <f>IF(ISBLANK(D841),"",VLOOKUP(F841,'SIZE CALCULATION'!$F:$G,2,0))</f>
        <v/>
      </c>
      <c r="AG841" s="207" t="str">
        <f t="shared" si="117"/>
        <v/>
      </c>
      <c r="AH841" s="207" t="str">
        <f t="shared" si="120"/>
        <v/>
      </c>
      <c r="AI841" s="210" t="str">
        <f>IF(ISBLANK(D841),"",VLOOKUP($A841,INDEX!$D$2:$F$13,3,0))</f>
        <v/>
      </c>
      <c r="AJ841" s="207" t="str">
        <f t="shared" si="121"/>
        <v/>
      </c>
      <c r="AK841" s="207"/>
      <c r="AL841" s="207"/>
      <c r="AM841" s="207" t="str">
        <f>IFERROR(IF(ISBLANK($D841),"",VLOOKUP($N841,'TABLE CHARGE RATE'!$A$30:$K$106,5,0)),"Check")</f>
        <v/>
      </c>
      <c r="AN841" s="207" t="str">
        <f>IFERROR(IF(ISBLANK($D841),"",VLOOKUP($N841,'TABLE CHARGE RATE'!$A$30:$K$106,6,0)),"Check")</f>
        <v/>
      </c>
      <c r="AO841" s="207" t="str">
        <f>IFERROR(IF(ISBLANK($D841),"",VLOOKUP($N841,'TABLE CHARGE RATE'!$A$30:$K$106,7,0)),"Check")</f>
        <v/>
      </c>
      <c r="AP841" s="207" t="str">
        <f>IFERROR(IF(ISBLANK($D841),"",VLOOKUP($N841,'TABLE CHARGE RATE'!$A$30:$K$106,8,0)),"Check")</f>
        <v/>
      </c>
      <c r="AQ841" s="207" t="str">
        <f>IFERROR(IF(ISBLANK($D841),"",VLOOKUP($N841,'TABLE CHARGE RATE'!$A$30:$K$106,9,0)),"Check")</f>
        <v/>
      </c>
      <c r="AR841" s="207" t="str">
        <f>IFERROR(IF(ISBLANK($D841),"",VLOOKUP($N841,'TABLE CHARGE RATE'!$A$30:$K$106,10,0)),"Check")</f>
        <v/>
      </c>
      <c r="AS841" s="207" t="str">
        <f>IFERROR(IF(ISBLANK($D841),"",VLOOKUP($N841,'TABLE CHARGE RATE'!$A$30:$K$106,11,0)),"Check")</f>
        <v/>
      </c>
      <c r="AT841" s="207"/>
    </row>
    <row r="842" spans="1:46" x14ac:dyDescent="0.2">
      <c r="A842" s="207" t="str">
        <f t="shared" si="116"/>
        <v/>
      </c>
      <c r="B842" s="208" t="str">
        <f>IF(ISBLANK(D842),"",VLOOKUP(WEEKDAY($C842,1),INDEX!$J$2:$K$8,2,0))</f>
        <v/>
      </c>
      <c r="C842" s="209"/>
      <c r="D842" s="207"/>
      <c r="E842" s="207"/>
      <c r="F842" s="207"/>
      <c r="G842" s="207"/>
      <c r="H842" s="207"/>
      <c r="I842" s="207"/>
      <c r="J842" s="207"/>
      <c r="K842" s="207"/>
      <c r="L842" s="207"/>
      <c r="M842" s="207"/>
      <c r="N842" s="207"/>
      <c r="O842" s="207"/>
      <c r="P842" s="207"/>
      <c r="Q842" s="207"/>
      <c r="R842" s="207"/>
      <c r="S842" s="207"/>
      <c r="T842" s="207"/>
      <c r="U842" s="209"/>
      <c r="V842" s="207"/>
      <c r="W842" s="207"/>
      <c r="X842" s="209"/>
      <c r="Y842" s="209"/>
      <c r="Z842" s="207" t="str">
        <f t="shared" ca="1" si="118"/>
        <v/>
      </c>
      <c r="AA842" s="209" t="str">
        <f t="shared" si="115"/>
        <v/>
      </c>
      <c r="AB842" s="209"/>
      <c r="AC842" s="207" t="str">
        <f t="shared" ca="1" si="119"/>
        <v/>
      </c>
      <c r="AD842" s="207"/>
      <c r="AE842" s="207"/>
      <c r="AF842" s="208" t="str">
        <f>IF(ISBLANK(D842),"",VLOOKUP(F842,'SIZE CALCULATION'!$F:$G,2,0))</f>
        <v/>
      </c>
      <c r="AG842" s="207" t="str">
        <f t="shared" si="117"/>
        <v/>
      </c>
      <c r="AH842" s="207" t="str">
        <f t="shared" si="120"/>
        <v/>
      </c>
      <c r="AI842" s="210" t="str">
        <f>IF(ISBLANK(D842),"",VLOOKUP($A842,INDEX!$D$2:$F$13,3,0))</f>
        <v/>
      </c>
      <c r="AJ842" s="207" t="str">
        <f t="shared" si="121"/>
        <v/>
      </c>
      <c r="AK842" s="207"/>
      <c r="AL842" s="207"/>
      <c r="AM842" s="207" t="str">
        <f>IFERROR(IF(ISBLANK($D842),"",VLOOKUP($N842,'TABLE CHARGE RATE'!$A$30:$K$106,5,0)),"Check")</f>
        <v/>
      </c>
      <c r="AN842" s="207" t="str">
        <f>IFERROR(IF(ISBLANK($D842),"",VLOOKUP($N842,'TABLE CHARGE RATE'!$A$30:$K$106,6,0)),"Check")</f>
        <v/>
      </c>
      <c r="AO842" s="207" t="str">
        <f>IFERROR(IF(ISBLANK($D842),"",VLOOKUP($N842,'TABLE CHARGE RATE'!$A$30:$K$106,7,0)),"Check")</f>
        <v/>
      </c>
      <c r="AP842" s="207" t="str">
        <f>IFERROR(IF(ISBLANK($D842),"",VLOOKUP($N842,'TABLE CHARGE RATE'!$A$30:$K$106,8,0)),"Check")</f>
        <v/>
      </c>
      <c r="AQ842" s="207" t="str">
        <f>IFERROR(IF(ISBLANK($D842),"",VLOOKUP($N842,'TABLE CHARGE RATE'!$A$30:$K$106,9,0)),"Check")</f>
        <v/>
      </c>
      <c r="AR842" s="207" t="str">
        <f>IFERROR(IF(ISBLANK($D842),"",VLOOKUP($N842,'TABLE CHARGE RATE'!$A$30:$K$106,10,0)),"Check")</f>
        <v/>
      </c>
      <c r="AS842" s="207" t="str">
        <f>IFERROR(IF(ISBLANK($D842),"",VLOOKUP($N842,'TABLE CHARGE RATE'!$A$30:$K$106,11,0)),"Check")</f>
        <v/>
      </c>
      <c r="AT842" s="207"/>
    </row>
    <row r="843" spans="1:46" x14ac:dyDescent="0.2">
      <c r="A843" s="207" t="str">
        <f t="shared" si="116"/>
        <v/>
      </c>
      <c r="B843" s="208" t="str">
        <f>IF(ISBLANK(D843),"",VLOOKUP(WEEKDAY($C843,1),INDEX!$J$2:$K$8,2,0))</f>
        <v/>
      </c>
      <c r="C843" s="209"/>
      <c r="D843" s="207"/>
      <c r="E843" s="207"/>
      <c r="F843" s="207"/>
      <c r="G843" s="207"/>
      <c r="H843" s="207"/>
      <c r="I843" s="207"/>
      <c r="J843" s="207"/>
      <c r="K843" s="207"/>
      <c r="L843" s="207"/>
      <c r="M843" s="207"/>
      <c r="N843" s="207"/>
      <c r="O843" s="207"/>
      <c r="P843" s="207"/>
      <c r="Q843" s="207"/>
      <c r="R843" s="207"/>
      <c r="S843" s="207"/>
      <c r="T843" s="207"/>
      <c r="U843" s="209"/>
      <c r="V843" s="207"/>
      <c r="W843" s="207"/>
      <c r="X843" s="209"/>
      <c r="Y843" s="209"/>
      <c r="Z843" s="207" t="str">
        <f t="shared" ca="1" si="118"/>
        <v/>
      </c>
      <c r="AA843" s="209" t="str">
        <f t="shared" si="115"/>
        <v/>
      </c>
      <c r="AB843" s="209"/>
      <c r="AC843" s="207" t="str">
        <f t="shared" ca="1" si="119"/>
        <v/>
      </c>
      <c r="AD843" s="207"/>
      <c r="AE843" s="207"/>
      <c r="AF843" s="208" t="str">
        <f>IF(ISBLANK(D843),"",VLOOKUP(F843,'SIZE CALCULATION'!$F:$G,2,0))</f>
        <v/>
      </c>
      <c r="AG843" s="207" t="str">
        <f t="shared" si="117"/>
        <v/>
      </c>
      <c r="AH843" s="207" t="str">
        <f t="shared" si="120"/>
        <v/>
      </c>
      <c r="AI843" s="210" t="str">
        <f>IF(ISBLANK(D843),"",VLOOKUP($A843,INDEX!$D$2:$F$13,3,0))</f>
        <v/>
      </c>
      <c r="AJ843" s="207" t="str">
        <f t="shared" si="121"/>
        <v/>
      </c>
      <c r="AK843" s="207"/>
      <c r="AL843" s="207"/>
      <c r="AM843" s="207" t="str">
        <f>IFERROR(IF(ISBLANK($D843),"",VLOOKUP($N843,'TABLE CHARGE RATE'!$A$30:$K$106,5,0)),"Check")</f>
        <v/>
      </c>
      <c r="AN843" s="207" t="str">
        <f>IFERROR(IF(ISBLANK($D843),"",VLOOKUP($N843,'TABLE CHARGE RATE'!$A$30:$K$106,6,0)),"Check")</f>
        <v/>
      </c>
      <c r="AO843" s="207" t="str">
        <f>IFERROR(IF(ISBLANK($D843),"",VLOOKUP($N843,'TABLE CHARGE RATE'!$A$30:$K$106,7,0)),"Check")</f>
        <v/>
      </c>
      <c r="AP843" s="207" t="str">
        <f>IFERROR(IF(ISBLANK($D843),"",VLOOKUP($N843,'TABLE CHARGE RATE'!$A$30:$K$106,8,0)),"Check")</f>
        <v/>
      </c>
      <c r="AQ843" s="207" t="str">
        <f>IFERROR(IF(ISBLANK($D843),"",VLOOKUP($N843,'TABLE CHARGE RATE'!$A$30:$K$106,9,0)),"Check")</f>
        <v/>
      </c>
      <c r="AR843" s="207" t="str">
        <f>IFERROR(IF(ISBLANK($D843),"",VLOOKUP($N843,'TABLE CHARGE RATE'!$A$30:$K$106,10,0)),"Check")</f>
        <v/>
      </c>
      <c r="AS843" s="207" t="str">
        <f>IFERROR(IF(ISBLANK($D843),"",VLOOKUP($N843,'TABLE CHARGE RATE'!$A$30:$K$106,11,0)),"Check")</f>
        <v/>
      </c>
      <c r="AT843" s="207"/>
    </row>
    <row r="844" spans="1:46" x14ac:dyDescent="0.2">
      <c r="A844" s="207" t="str">
        <f t="shared" si="116"/>
        <v/>
      </c>
      <c r="B844" s="208" t="str">
        <f>IF(ISBLANK(D844),"",VLOOKUP(WEEKDAY($C844,1),INDEX!$J$2:$K$8,2,0))</f>
        <v/>
      </c>
      <c r="C844" s="209"/>
      <c r="D844" s="207"/>
      <c r="E844" s="207"/>
      <c r="F844" s="207"/>
      <c r="G844" s="207"/>
      <c r="H844" s="207"/>
      <c r="I844" s="207"/>
      <c r="J844" s="207"/>
      <c r="K844" s="207"/>
      <c r="L844" s="207"/>
      <c r="M844" s="207"/>
      <c r="N844" s="207"/>
      <c r="O844" s="207"/>
      <c r="P844" s="207"/>
      <c r="Q844" s="207"/>
      <c r="R844" s="207"/>
      <c r="S844" s="207"/>
      <c r="T844" s="207"/>
      <c r="U844" s="209"/>
      <c r="V844" s="207"/>
      <c r="W844" s="207"/>
      <c r="X844" s="209"/>
      <c r="Y844" s="209"/>
      <c r="Z844" s="207" t="str">
        <f t="shared" ca="1" si="118"/>
        <v/>
      </c>
      <c r="AA844" s="209" t="str">
        <f t="shared" si="115"/>
        <v/>
      </c>
      <c r="AB844" s="209"/>
      <c r="AC844" s="207" t="str">
        <f t="shared" ca="1" si="119"/>
        <v/>
      </c>
      <c r="AD844" s="207"/>
      <c r="AE844" s="207"/>
      <c r="AF844" s="208" t="str">
        <f>IF(ISBLANK(D844),"",VLOOKUP(F844,'SIZE CALCULATION'!$F:$G,2,0))</f>
        <v/>
      </c>
      <c r="AG844" s="207" t="str">
        <f t="shared" si="117"/>
        <v/>
      </c>
      <c r="AH844" s="207" t="str">
        <f t="shared" si="120"/>
        <v/>
      </c>
      <c r="AI844" s="210" t="str">
        <f>IF(ISBLANK(D844),"",VLOOKUP($A844,INDEX!$D$2:$F$13,3,0))</f>
        <v/>
      </c>
      <c r="AJ844" s="207" t="str">
        <f t="shared" si="121"/>
        <v/>
      </c>
      <c r="AK844" s="207"/>
      <c r="AL844" s="207"/>
      <c r="AM844" s="207" t="str">
        <f>IFERROR(IF(ISBLANK($D844),"",VLOOKUP($N844,'TABLE CHARGE RATE'!$A$30:$K$106,5,0)),"Check")</f>
        <v/>
      </c>
      <c r="AN844" s="207" t="str">
        <f>IFERROR(IF(ISBLANK($D844),"",VLOOKUP($N844,'TABLE CHARGE RATE'!$A$30:$K$106,6,0)),"Check")</f>
        <v/>
      </c>
      <c r="AO844" s="207" t="str">
        <f>IFERROR(IF(ISBLANK($D844),"",VLOOKUP($N844,'TABLE CHARGE RATE'!$A$30:$K$106,7,0)),"Check")</f>
        <v/>
      </c>
      <c r="AP844" s="207" t="str">
        <f>IFERROR(IF(ISBLANK($D844),"",VLOOKUP($N844,'TABLE CHARGE RATE'!$A$30:$K$106,8,0)),"Check")</f>
        <v/>
      </c>
      <c r="AQ844" s="207" t="str">
        <f>IFERROR(IF(ISBLANK($D844),"",VLOOKUP($N844,'TABLE CHARGE RATE'!$A$30:$K$106,9,0)),"Check")</f>
        <v/>
      </c>
      <c r="AR844" s="207" t="str">
        <f>IFERROR(IF(ISBLANK($D844),"",VLOOKUP($N844,'TABLE CHARGE RATE'!$A$30:$K$106,10,0)),"Check")</f>
        <v/>
      </c>
      <c r="AS844" s="207" t="str">
        <f>IFERROR(IF(ISBLANK($D844),"",VLOOKUP($N844,'TABLE CHARGE RATE'!$A$30:$K$106,11,0)),"Check")</f>
        <v/>
      </c>
      <c r="AT844" s="207"/>
    </row>
    <row r="845" spans="1:46" x14ac:dyDescent="0.2">
      <c r="A845" s="207" t="str">
        <f t="shared" si="116"/>
        <v/>
      </c>
      <c r="B845" s="208" t="str">
        <f>IF(ISBLANK(D845),"",VLOOKUP(WEEKDAY($C845,1),INDEX!$J$2:$K$8,2,0))</f>
        <v/>
      </c>
      <c r="C845" s="209"/>
      <c r="D845" s="207"/>
      <c r="E845" s="207"/>
      <c r="F845" s="207"/>
      <c r="G845" s="207"/>
      <c r="H845" s="207"/>
      <c r="I845" s="207"/>
      <c r="J845" s="207"/>
      <c r="K845" s="207"/>
      <c r="L845" s="207"/>
      <c r="M845" s="207"/>
      <c r="N845" s="207"/>
      <c r="O845" s="207"/>
      <c r="P845" s="207"/>
      <c r="Q845" s="207"/>
      <c r="R845" s="207"/>
      <c r="S845" s="207"/>
      <c r="T845" s="207"/>
      <c r="U845" s="209"/>
      <c r="V845" s="207"/>
      <c r="W845" s="207"/>
      <c r="X845" s="209"/>
      <c r="Y845" s="209"/>
      <c r="Z845" s="207" t="str">
        <f t="shared" ca="1" si="118"/>
        <v/>
      </c>
      <c r="AA845" s="209" t="str">
        <f t="shared" si="115"/>
        <v/>
      </c>
      <c r="AB845" s="209"/>
      <c r="AC845" s="207" t="str">
        <f t="shared" ca="1" si="119"/>
        <v/>
      </c>
      <c r="AD845" s="207"/>
      <c r="AE845" s="207"/>
      <c r="AF845" s="208" t="str">
        <f>IF(ISBLANK(D845),"",VLOOKUP(F845,'SIZE CALCULATION'!$F:$G,2,0))</f>
        <v/>
      </c>
      <c r="AG845" s="207" t="str">
        <f t="shared" si="117"/>
        <v/>
      </c>
      <c r="AH845" s="207" t="str">
        <f t="shared" si="120"/>
        <v/>
      </c>
      <c r="AI845" s="210" t="str">
        <f>IF(ISBLANK(D845),"",VLOOKUP($A845,INDEX!$D$2:$F$13,3,0))</f>
        <v/>
      </c>
      <c r="AJ845" s="207" t="str">
        <f t="shared" si="121"/>
        <v/>
      </c>
      <c r="AK845" s="207"/>
      <c r="AL845" s="207"/>
      <c r="AM845" s="207" t="str">
        <f>IFERROR(IF(ISBLANK($D845),"",VLOOKUP($N845,'TABLE CHARGE RATE'!$A$30:$K$106,5,0)),"Check")</f>
        <v/>
      </c>
      <c r="AN845" s="207" t="str">
        <f>IFERROR(IF(ISBLANK($D845),"",VLOOKUP($N845,'TABLE CHARGE RATE'!$A$30:$K$106,6,0)),"Check")</f>
        <v/>
      </c>
      <c r="AO845" s="207" t="str">
        <f>IFERROR(IF(ISBLANK($D845),"",VLOOKUP($N845,'TABLE CHARGE RATE'!$A$30:$K$106,7,0)),"Check")</f>
        <v/>
      </c>
      <c r="AP845" s="207" t="str">
        <f>IFERROR(IF(ISBLANK($D845),"",VLOOKUP($N845,'TABLE CHARGE RATE'!$A$30:$K$106,8,0)),"Check")</f>
        <v/>
      </c>
      <c r="AQ845" s="207" t="str">
        <f>IFERROR(IF(ISBLANK($D845),"",VLOOKUP($N845,'TABLE CHARGE RATE'!$A$30:$K$106,9,0)),"Check")</f>
        <v/>
      </c>
      <c r="AR845" s="207" t="str">
        <f>IFERROR(IF(ISBLANK($D845),"",VLOOKUP($N845,'TABLE CHARGE RATE'!$A$30:$K$106,10,0)),"Check")</f>
        <v/>
      </c>
      <c r="AS845" s="207" t="str">
        <f>IFERROR(IF(ISBLANK($D845),"",VLOOKUP($N845,'TABLE CHARGE RATE'!$A$30:$K$106,11,0)),"Check")</f>
        <v/>
      </c>
      <c r="AT845" s="207"/>
    </row>
    <row r="846" spans="1:46" x14ac:dyDescent="0.2">
      <c r="A846" s="207" t="str">
        <f t="shared" si="116"/>
        <v/>
      </c>
      <c r="B846" s="208" t="str">
        <f>IF(ISBLANK(D846),"",VLOOKUP(WEEKDAY($C846,1),INDEX!$J$2:$K$8,2,0))</f>
        <v/>
      </c>
      <c r="C846" s="209"/>
      <c r="D846" s="207"/>
      <c r="E846" s="207"/>
      <c r="F846" s="207"/>
      <c r="G846" s="207"/>
      <c r="H846" s="207"/>
      <c r="I846" s="207"/>
      <c r="J846" s="207"/>
      <c r="K846" s="207"/>
      <c r="L846" s="207"/>
      <c r="M846" s="207"/>
      <c r="N846" s="207"/>
      <c r="O846" s="207"/>
      <c r="P846" s="207"/>
      <c r="Q846" s="207"/>
      <c r="R846" s="207"/>
      <c r="S846" s="207"/>
      <c r="T846" s="207"/>
      <c r="U846" s="209"/>
      <c r="V846" s="207"/>
      <c r="W846" s="207"/>
      <c r="X846" s="209"/>
      <c r="Y846" s="209"/>
      <c r="Z846" s="207" t="str">
        <f t="shared" ca="1" si="118"/>
        <v/>
      </c>
      <c r="AA846" s="209" t="str">
        <f t="shared" si="115"/>
        <v/>
      </c>
      <c r="AB846" s="209"/>
      <c r="AC846" s="207" t="str">
        <f t="shared" ca="1" si="119"/>
        <v/>
      </c>
      <c r="AD846" s="207"/>
      <c r="AE846" s="207"/>
      <c r="AF846" s="208" t="str">
        <f>IF(ISBLANK(D846),"",VLOOKUP(F846,'SIZE CALCULATION'!$F:$G,2,0))</f>
        <v/>
      </c>
      <c r="AG846" s="207" t="str">
        <f t="shared" si="117"/>
        <v/>
      </c>
      <c r="AH846" s="207" t="str">
        <f t="shared" si="120"/>
        <v/>
      </c>
      <c r="AI846" s="210" t="str">
        <f>IF(ISBLANK(D846),"",VLOOKUP($A846,INDEX!$D$2:$F$13,3,0))</f>
        <v/>
      </c>
      <c r="AJ846" s="207" t="str">
        <f t="shared" si="121"/>
        <v/>
      </c>
      <c r="AK846" s="207"/>
      <c r="AL846" s="207"/>
      <c r="AM846" s="207" t="str">
        <f>IFERROR(IF(ISBLANK($D846),"",VLOOKUP($N846,'TABLE CHARGE RATE'!$A$30:$K$106,5,0)),"Check")</f>
        <v/>
      </c>
      <c r="AN846" s="207" t="str">
        <f>IFERROR(IF(ISBLANK($D846),"",VLOOKUP($N846,'TABLE CHARGE RATE'!$A$30:$K$106,6,0)),"Check")</f>
        <v/>
      </c>
      <c r="AO846" s="207" t="str">
        <f>IFERROR(IF(ISBLANK($D846),"",VLOOKUP($N846,'TABLE CHARGE RATE'!$A$30:$K$106,7,0)),"Check")</f>
        <v/>
      </c>
      <c r="AP846" s="207" t="str">
        <f>IFERROR(IF(ISBLANK($D846),"",VLOOKUP($N846,'TABLE CHARGE RATE'!$A$30:$K$106,8,0)),"Check")</f>
        <v/>
      </c>
      <c r="AQ846" s="207" t="str">
        <f>IFERROR(IF(ISBLANK($D846),"",VLOOKUP($N846,'TABLE CHARGE RATE'!$A$30:$K$106,9,0)),"Check")</f>
        <v/>
      </c>
      <c r="AR846" s="207" t="str">
        <f>IFERROR(IF(ISBLANK($D846),"",VLOOKUP($N846,'TABLE CHARGE RATE'!$A$30:$K$106,10,0)),"Check")</f>
        <v/>
      </c>
      <c r="AS846" s="207" t="str">
        <f>IFERROR(IF(ISBLANK($D846),"",VLOOKUP($N846,'TABLE CHARGE RATE'!$A$30:$K$106,11,0)),"Check")</f>
        <v/>
      </c>
      <c r="AT846" s="207"/>
    </row>
    <row r="847" spans="1:46" x14ac:dyDescent="0.2">
      <c r="A847" s="207" t="str">
        <f t="shared" si="116"/>
        <v/>
      </c>
      <c r="B847" s="208" t="str">
        <f>IF(ISBLANK(D847),"",VLOOKUP(WEEKDAY($C847,1),INDEX!$J$2:$K$8,2,0))</f>
        <v/>
      </c>
      <c r="C847" s="209"/>
      <c r="D847" s="207"/>
      <c r="E847" s="207"/>
      <c r="F847" s="207"/>
      <c r="G847" s="207"/>
      <c r="H847" s="207"/>
      <c r="I847" s="207"/>
      <c r="J847" s="207"/>
      <c r="K847" s="207"/>
      <c r="L847" s="207"/>
      <c r="M847" s="207"/>
      <c r="N847" s="207"/>
      <c r="O847" s="207"/>
      <c r="P847" s="207"/>
      <c r="Q847" s="207"/>
      <c r="R847" s="207"/>
      <c r="S847" s="207"/>
      <c r="T847" s="207"/>
      <c r="U847" s="209"/>
      <c r="V847" s="207"/>
      <c r="W847" s="207"/>
      <c r="X847" s="209"/>
      <c r="Y847" s="209"/>
      <c r="Z847" s="207" t="str">
        <f t="shared" ca="1" si="118"/>
        <v/>
      </c>
      <c r="AA847" s="209" t="str">
        <f t="shared" si="115"/>
        <v/>
      </c>
      <c r="AB847" s="209"/>
      <c r="AC847" s="207" t="str">
        <f t="shared" ca="1" si="119"/>
        <v/>
      </c>
      <c r="AD847" s="207"/>
      <c r="AE847" s="207"/>
      <c r="AF847" s="208" t="str">
        <f>IF(ISBLANK(D847),"",VLOOKUP(F847,'SIZE CALCULATION'!$F:$G,2,0))</f>
        <v/>
      </c>
      <c r="AG847" s="207" t="str">
        <f t="shared" si="117"/>
        <v/>
      </c>
      <c r="AH847" s="207" t="str">
        <f t="shared" si="120"/>
        <v/>
      </c>
      <c r="AI847" s="210" t="str">
        <f>IF(ISBLANK(D847),"",VLOOKUP($A847,INDEX!$D$2:$F$13,3,0))</f>
        <v/>
      </c>
      <c r="AJ847" s="207" t="str">
        <f t="shared" si="121"/>
        <v/>
      </c>
      <c r="AK847" s="207"/>
      <c r="AL847" s="207"/>
      <c r="AM847" s="207" t="str">
        <f>IFERROR(IF(ISBLANK($D847),"",VLOOKUP($N847,'TABLE CHARGE RATE'!$A$30:$K$106,5,0)),"Check")</f>
        <v/>
      </c>
      <c r="AN847" s="207" t="str">
        <f>IFERROR(IF(ISBLANK($D847),"",VLOOKUP($N847,'TABLE CHARGE RATE'!$A$30:$K$106,6,0)),"Check")</f>
        <v/>
      </c>
      <c r="AO847" s="207" t="str">
        <f>IFERROR(IF(ISBLANK($D847),"",VLOOKUP($N847,'TABLE CHARGE RATE'!$A$30:$K$106,7,0)),"Check")</f>
        <v/>
      </c>
      <c r="AP847" s="207" t="str">
        <f>IFERROR(IF(ISBLANK($D847),"",VLOOKUP($N847,'TABLE CHARGE RATE'!$A$30:$K$106,8,0)),"Check")</f>
        <v/>
      </c>
      <c r="AQ847" s="207" t="str">
        <f>IFERROR(IF(ISBLANK($D847),"",VLOOKUP($N847,'TABLE CHARGE RATE'!$A$30:$K$106,9,0)),"Check")</f>
        <v/>
      </c>
      <c r="AR847" s="207" t="str">
        <f>IFERROR(IF(ISBLANK($D847),"",VLOOKUP($N847,'TABLE CHARGE RATE'!$A$30:$K$106,10,0)),"Check")</f>
        <v/>
      </c>
      <c r="AS847" s="207" t="str">
        <f>IFERROR(IF(ISBLANK($D847),"",VLOOKUP($N847,'TABLE CHARGE RATE'!$A$30:$K$106,11,0)),"Check")</f>
        <v/>
      </c>
      <c r="AT847" s="207"/>
    </row>
    <row r="848" spans="1:46" x14ac:dyDescent="0.2">
      <c r="A848" s="207" t="str">
        <f t="shared" si="116"/>
        <v/>
      </c>
      <c r="B848" s="208" t="str">
        <f>IF(ISBLANK(D848),"",VLOOKUP(WEEKDAY($C848,1),INDEX!$J$2:$K$8,2,0))</f>
        <v/>
      </c>
      <c r="C848" s="209"/>
      <c r="D848" s="207"/>
      <c r="E848" s="207"/>
      <c r="F848" s="207"/>
      <c r="G848" s="207"/>
      <c r="H848" s="207"/>
      <c r="I848" s="207"/>
      <c r="J848" s="207"/>
      <c r="K848" s="207"/>
      <c r="L848" s="207"/>
      <c r="M848" s="207"/>
      <c r="N848" s="207"/>
      <c r="O848" s="207"/>
      <c r="P848" s="207"/>
      <c r="Q848" s="207"/>
      <c r="R848" s="207"/>
      <c r="S848" s="207"/>
      <c r="T848" s="207"/>
      <c r="U848" s="209"/>
      <c r="V848" s="207"/>
      <c r="W848" s="207"/>
      <c r="X848" s="209"/>
      <c r="Y848" s="209"/>
      <c r="Z848" s="207" t="str">
        <f t="shared" ca="1" si="118"/>
        <v/>
      </c>
      <c r="AA848" s="209" t="str">
        <f t="shared" si="115"/>
        <v/>
      </c>
      <c r="AB848" s="209"/>
      <c r="AC848" s="207" t="str">
        <f t="shared" ca="1" si="119"/>
        <v/>
      </c>
      <c r="AD848" s="207"/>
      <c r="AE848" s="207"/>
      <c r="AF848" s="208" t="str">
        <f>IF(ISBLANK(D848),"",VLOOKUP(F848,'SIZE CALCULATION'!$F:$G,2,0))</f>
        <v/>
      </c>
      <c r="AG848" s="207" t="str">
        <f t="shared" si="117"/>
        <v/>
      </c>
      <c r="AH848" s="207" t="str">
        <f t="shared" si="120"/>
        <v/>
      </c>
      <c r="AI848" s="210" t="str">
        <f>IF(ISBLANK(D848),"",VLOOKUP($A848,INDEX!$D$2:$F$13,3,0))</f>
        <v/>
      </c>
      <c r="AJ848" s="207" t="str">
        <f t="shared" si="121"/>
        <v/>
      </c>
      <c r="AK848" s="207"/>
      <c r="AL848" s="207"/>
      <c r="AM848" s="207" t="str">
        <f>IFERROR(IF(ISBLANK($D848),"",VLOOKUP($N848,'TABLE CHARGE RATE'!$A$30:$K$106,5,0)),"Check")</f>
        <v/>
      </c>
      <c r="AN848" s="207" t="str">
        <f>IFERROR(IF(ISBLANK($D848),"",VLOOKUP($N848,'TABLE CHARGE RATE'!$A$30:$K$106,6,0)),"Check")</f>
        <v/>
      </c>
      <c r="AO848" s="207" t="str">
        <f>IFERROR(IF(ISBLANK($D848),"",VLOOKUP($N848,'TABLE CHARGE RATE'!$A$30:$K$106,7,0)),"Check")</f>
        <v/>
      </c>
      <c r="AP848" s="207" t="str">
        <f>IFERROR(IF(ISBLANK($D848),"",VLOOKUP($N848,'TABLE CHARGE RATE'!$A$30:$K$106,8,0)),"Check")</f>
        <v/>
      </c>
      <c r="AQ848" s="207" t="str">
        <f>IFERROR(IF(ISBLANK($D848),"",VLOOKUP($N848,'TABLE CHARGE RATE'!$A$30:$K$106,9,0)),"Check")</f>
        <v/>
      </c>
      <c r="AR848" s="207" t="str">
        <f>IFERROR(IF(ISBLANK($D848),"",VLOOKUP($N848,'TABLE CHARGE RATE'!$A$30:$K$106,10,0)),"Check")</f>
        <v/>
      </c>
      <c r="AS848" s="207" t="str">
        <f>IFERROR(IF(ISBLANK($D848),"",VLOOKUP($N848,'TABLE CHARGE RATE'!$A$30:$K$106,11,0)),"Check")</f>
        <v/>
      </c>
      <c r="AT848" s="207"/>
    </row>
    <row r="849" spans="1:46" x14ac:dyDescent="0.2">
      <c r="A849" s="207" t="str">
        <f t="shared" si="116"/>
        <v/>
      </c>
      <c r="B849" s="208" t="str">
        <f>IF(ISBLANK(D849),"",VLOOKUP(WEEKDAY($C849,1),INDEX!$J$2:$K$8,2,0))</f>
        <v/>
      </c>
      <c r="C849" s="209"/>
      <c r="D849" s="207"/>
      <c r="E849" s="207"/>
      <c r="F849" s="207"/>
      <c r="G849" s="207"/>
      <c r="H849" s="207"/>
      <c r="I849" s="207"/>
      <c r="J849" s="207"/>
      <c r="K849" s="207"/>
      <c r="L849" s="207"/>
      <c r="M849" s="207"/>
      <c r="N849" s="207"/>
      <c r="O849" s="207"/>
      <c r="P849" s="207"/>
      <c r="Q849" s="207"/>
      <c r="R849" s="207"/>
      <c r="S849" s="207"/>
      <c r="T849" s="207"/>
      <c r="U849" s="209"/>
      <c r="V849" s="207"/>
      <c r="W849" s="207"/>
      <c r="X849" s="209"/>
      <c r="Y849" s="209"/>
      <c r="Z849" s="207" t="str">
        <f t="shared" ca="1" si="118"/>
        <v/>
      </c>
      <c r="AA849" s="209" t="str">
        <f t="shared" si="115"/>
        <v/>
      </c>
      <c r="AB849" s="209"/>
      <c r="AC849" s="207" t="str">
        <f t="shared" ca="1" si="119"/>
        <v/>
      </c>
      <c r="AD849" s="207"/>
      <c r="AE849" s="207"/>
      <c r="AF849" s="208" t="str">
        <f>IF(ISBLANK(D849),"",VLOOKUP(F849,'SIZE CALCULATION'!$F:$G,2,0))</f>
        <v/>
      </c>
      <c r="AG849" s="207" t="str">
        <f t="shared" si="117"/>
        <v/>
      </c>
      <c r="AH849" s="207" t="str">
        <f t="shared" si="120"/>
        <v/>
      </c>
      <c r="AI849" s="210" t="str">
        <f>IF(ISBLANK(D849),"",VLOOKUP($A849,INDEX!$D$2:$F$13,3,0))</f>
        <v/>
      </c>
      <c r="AJ849" s="207" t="str">
        <f t="shared" si="121"/>
        <v/>
      </c>
      <c r="AK849" s="207"/>
      <c r="AL849" s="207"/>
      <c r="AM849" s="207" t="str">
        <f>IFERROR(IF(ISBLANK($D849),"",VLOOKUP($N849,'TABLE CHARGE RATE'!$A$30:$K$106,5,0)),"Check")</f>
        <v/>
      </c>
      <c r="AN849" s="207" t="str">
        <f>IFERROR(IF(ISBLANK($D849),"",VLOOKUP($N849,'TABLE CHARGE RATE'!$A$30:$K$106,6,0)),"Check")</f>
        <v/>
      </c>
      <c r="AO849" s="207" t="str">
        <f>IFERROR(IF(ISBLANK($D849),"",VLOOKUP($N849,'TABLE CHARGE RATE'!$A$30:$K$106,7,0)),"Check")</f>
        <v/>
      </c>
      <c r="AP849" s="207" t="str">
        <f>IFERROR(IF(ISBLANK($D849),"",VLOOKUP($N849,'TABLE CHARGE RATE'!$A$30:$K$106,8,0)),"Check")</f>
        <v/>
      </c>
      <c r="AQ849" s="207" t="str">
        <f>IFERROR(IF(ISBLANK($D849),"",VLOOKUP($N849,'TABLE CHARGE RATE'!$A$30:$K$106,9,0)),"Check")</f>
        <v/>
      </c>
      <c r="AR849" s="207" t="str">
        <f>IFERROR(IF(ISBLANK($D849),"",VLOOKUP($N849,'TABLE CHARGE RATE'!$A$30:$K$106,10,0)),"Check")</f>
        <v/>
      </c>
      <c r="AS849" s="207" t="str">
        <f>IFERROR(IF(ISBLANK($D849),"",VLOOKUP($N849,'TABLE CHARGE RATE'!$A$30:$K$106,11,0)),"Check")</f>
        <v/>
      </c>
      <c r="AT849" s="207"/>
    </row>
    <row r="850" spans="1:46" x14ac:dyDescent="0.2">
      <c r="A850" s="207" t="str">
        <f t="shared" si="116"/>
        <v/>
      </c>
      <c r="B850" s="208" t="str">
        <f>IF(ISBLANK(D850),"",VLOOKUP(WEEKDAY($C850,1),INDEX!$J$2:$K$8,2,0))</f>
        <v/>
      </c>
      <c r="C850" s="209"/>
      <c r="D850" s="207"/>
      <c r="E850" s="207"/>
      <c r="F850" s="207"/>
      <c r="G850" s="207"/>
      <c r="H850" s="207"/>
      <c r="I850" s="207"/>
      <c r="J850" s="207"/>
      <c r="K850" s="207"/>
      <c r="L850" s="207"/>
      <c r="M850" s="207"/>
      <c r="N850" s="207"/>
      <c r="O850" s="207"/>
      <c r="P850" s="207"/>
      <c r="Q850" s="207"/>
      <c r="R850" s="207"/>
      <c r="S850" s="207"/>
      <c r="T850" s="207"/>
      <c r="U850" s="209"/>
      <c r="V850" s="207"/>
      <c r="W850" s="207"/>
      <c r="X850" s="209"/>
      <c r="Y850" s="209"/>
      <c r="Z850" s="207" t="str">
        <f t="shared" ca="1" si="118"/>
        <v/>
      </c>
      <c r="AA850" s="209" t="str">
        <f t="shared" si="115"/>
        <v/>
      </c>
      <c r="AB850" s="209"/>
      <c r="AC850" s="207" t="str">
        <f t="shared" ca="1" si="119"/>
        <v/>
      </c>
      <c r="AD850" s="207"/>
      <c r="AE850" s="207"/>
      <c r="AF850" s="208" t="str">
        <f>IF(ISBLANK(D850),"",VLOOKUP(F850,'SIZE CALCULATION'!$F:$G,2,0))</f>
        <v/>
      </c>
      <c r="AG850" s="207" t="str">
        <f t="shared" si="117"/>
        <v/>
      </c>
      <c r="AH850" s="207" t="str">
        <f t="shared" si="120"/>
        <v/>
      </c>
      <c r="AI850" s="210" t="str">
        <f>IF(ISBLANK(D850),"",VLOOKUP($A850,INDEX!$D$2:$F$13,3,0))</f>
        <v/>
      </c>
      <c r="AJ850" s="207" t="str">
        <f t="shared" si="121"/>
        <v/>
      </c>
      <c r="AK850" s="207"/>
      <c r="AL850" s="207"/>
      <c r="AM850" s="207" t="str">
        <f>IFERROR(IF(ISBLANK($D850),"",VLOOKUP($N850,'TABLE CHARGE RATE'!$A$30:$K$106,5,0)),"Check")</f>
        <v/>
      </c>
      <c r="AN850" s="207" t="str">
        <f>IFERROR(IF(ISBLANK($D850),"",VLOOKUP($N850,'TABLE CHARGE RATE'!$A$30:$K$106,6,0)),"Check")</f>
        <v/>
      </c>
      <c r="AO850" s="207" t="str">
        <f>IFERROR(IF(ISBLANK($D850),"",VLOOKUP($N850,'TABLE CHARGE RATE'!$A$30:$K$106,7,0)),"Check")</f>
        <v/>
      </c>
      <c r="AP850" s="207" t="str">
        <f>IFERROR(IF(ISBLANK($D850),"",VLOOKUP($N850,'TABLE CHARGE RATE'!$A$30:$K$106,8,0)),"Check")</f>
        <v/>
      </c>
      <c r="AQ850" s="207" t="str">
        <f>IFERROR(IF(ISBLANK($D850),"",VLOOKUP($N850,'TABLE CHARGE RATE'!$A$30:$K$106,9,0)),"Check")</f>
        <v/>
      </c>
      <c r="AR850" s="207" t="str">
        <f>IFERROR(IF(ISBLANK($D850),"",VLOOKUP($N850,'TABLE CHARGE RATE'!$A$30:$K$106,10,0)),"Check")</f>
        <v/>
      </c>
      <c r="AS850" s="207" t="str">
        <f>IFERROR(IF(ISBLANK($D850),"",VLOOKUP($N850,'TABLE CHARGE RATE'!$A$30:$K$106,11,0)),"Check")</f>
        <v/>
      </c>
      <c r="AT850" s="207"/>
    </row>
    <row r="851" spans="1:46" x14ac:dyDescent="0.2">
      <c r="A851" s="207" t="str">
        <f t="shared" si="116"/>
        <v/>
      </c>
      <c r="B851" s="208" t="str">
        <f>IF(ISBLANK(D851),"",VLOOKUP(WEEKDAY($C851,1),INDEX!$J$2:$K$8,2,0))</f>
        <v/>
      </c>
      <c r="C851" s="209"/>
      <c r="D851" s="207"/>
      <c r="E851" s="207"/>
      <c r="F851" s="207"/>
      <c r="G851" s="207"/>
      <c r="H851" s="207"/>
      <c r="I851" s="207"/>
      <c r="J851" s="207"/>
      <c r="K851" s="207"/>
      <c r="L851" s="207"/>
      <c r="M851" s="207"/>
      <c r="N851" s="207"/>
      <c r="O851" s="207"/>
      <c r="P851" s="207"/>
      <c r="Q851" s="207"/>
      <c r="R851" s="207"/>
      <c r="S851" s="207"/>
      <c r="T851" s="207"/>
      <c r="U851" s="209"/>
      <c r="V851" s="207"/>
      <c r="W851" s="207"/>
      <c r="X851" s="209"/>
      <c r="Y851" s="209"/>
      <c r="Z851" s="207" t="str">
        <f t="shared" ca="1" si="118"/>
        <v/>
      </c>
      <c r="AA851" s="209" t="str">
        <f t="shared" si="115"/>
        <v/>
      </c>
      <c r="AB851" s="209"/>
      <c r="AC851" s="207" t="str">
        <f t="shared" ca="1" si="119"/>
        <v/>
      </c>
      <c r="AD851" s="207"/>
      <c r="AE851" s="207"/>
      <c r="AF851" s="208" t="str">
        <f>IF(ISBLANK(D851),"",VLOOKUP(F851,'SIZE CALCULATION'!$F:$G,2,0))</f>
        <v/>
      </c>
      <c r="AG851" s="207" t="str">
        <f t="shared" si="117"/>
        <v/>
      </c>
      <c r="AH851" s="207" t="str">
        <f t="shared" si="120"/>
        <v/>
      </c>
      <c r="AI851" s="210" t="str">
        <f>IF(ISBLANK(D851),"",VLOOKUP($A851,INDEX!$D$2:$F$13,3,0))</f>
        <v/>
      </c>
      <c r="AJ851" s="207" t="str">
        <f t="shared" si="121"/>
        <v/>
      </c>
      <c r="AK851" s="207"/>
      <c r="AL851" s="207"/>
      <c r="AM851" s="207" t="str">
        <f>IFERROR(IF(ISBLANK($D851),"",VLOOKUP($N851,'TABLE CHARGE RATE'!$A$30:$K$106,5,0)),"Check")</f>
        <v/>
      </c>
      <c r="AN851" s="207" t="str">
        <f>IFERROR(IF(ISBLANK($D851),"",VLOOKUP($N851,'TABLE CHARGE RATE'!$A$30:$K$106,6,0)),"Check")</f>
        <v/>
      </c>
      <c r="AO851" s="207" t="str">
        <f>IFERROR(IF(ISBLANK($D851),"",VLOOKUP($N851,'TABLE CHARGE RATE'!$A$30:$K$106,7,0)),"Check")</f>
        <v/>
      </c>
      <c r="AP851" s="207" t="str">
        <f>IFERROR(IF(ISBLANK($D851),"",VLOOKUP($N851,'TABLE CHARGE RATE'!$A$30:$K$106,8,0)),"Check")</f>
        <v/>
      </c>
      <c r="AQ851" s="207" t="str">
        <f>IFERROR(IF(ISBLANK($D851),"",VLOOKUP($N851,'TABLE CHARGE RATE'!$A$30:$K$106,9,0)),"Check")</f>
        <v/>
      </c>
      <c r="AR851" s="207" t="str">
        <f>IFERROR(IF(ISBLANK($D851),"",VLOOKUP($N851,'TABLE CHARGE RATE'!$A$30:$K$106,10,0)),"Check")</f>
        <v/>
      </c>
      <c r="AS851" s="207" t="str">
        <f>IFERROR(IF(ISBLANK($D851),"",VLOOKUP($N851,'TABLE CHARGE RATE'!$A$30:$K$106,11,0)),"Check")</f>
        <v/>
      </c>
      <c r="AT851" s="207"/>
    </row>
    <row r="852" spans="1:46" x14ac:dyDescent="0.2">
      <c r="A852" s="207" t="str">
        <f t="shared" si="116"/>
        <v/>
      </c>
      <c r="B852" s="208" t="str">
        <f>IF(ISBLANK(D852),"",VLOOKUP(WEEKDAY($C852,1),INDEX!$J$2:$K$8,2,0))</f>
        <v/>
      </c>
      <c r="C852" s="209"/>
      <c r="D852" s="207"/>
      <c r="E852" s="207"/>
      <c r="F852" s="207"/>
      <c r="G852" s="207"/>
      <c r="H852" s="207"/>
      <c r="I852" s="207"/>
      <c r="J852" s="207"/>
      <c r="K852" s="207"/>
      <c r="L852" s="207"/>
      <c r="M852" s="207"/>
      <c r="N852" s="207"/>
      <c r="O852" s="207"/>
      <c r="P852" s="207"/>
      <c r="Q852" s="207"/>
      <c r="R852" s="207"/>
      <c r="S852" s="207"/>
      <c r="T852" s="207"/>
      <c r="U852" s="209"/>
      <c r="V852" s="207"/>
      <c r="W852" s="207"/>
      <c r="X852" s="209"/>
      <c r="Y852" s="209"/>
      <c r="Z852" s="207" t="str">
        <f t="shared" ca="1" si="118"/>
        <v/>
      </c>
      <c r="AA852" s="209" t="str">
        <f t="shared" si="115"/>
        <v/>
      </c>
      <c r="AB852" s="209"/>
      <c r="AC852" s="207" t="str">
        <f t="shared" ca="1" si="119"/>
        <v/>
      </c>
      <c r="AD852" s="207"/>
      <c r="AE852" s="207"/>
      <c r="AF852" s="208" t="str">
        <f>IF(ISBLANK(D852),"",VLOOKUP(F852,'SIZE CALCULATION'!$F:$G,2,0))</f>
        <v/>
      </c>
      <c r="AG852" s="207" t="str">
        <f t="shared" si="117"/>
        <v/>
      </c>
      <c r="AH852" s="207" t="str">
        <f t="shared" si="120"/>
        <v/>
      </c>
      <c r="AI852" s="210" t="str">
        <f>IF(ISBLANK(D852),"",VLOOKUP($A852,INDEX!$D$2:$F$13,3,0))</f>
        <v/>
      </c>
      <c r="AJ852" s="207" t="str">
        <f t="shared" si="121"/>
        <v/>
      </c>
      <c r="AK852" s="207"/>
      <c r="AL852" s="207"/>
      <c r="AM852" s="207" t="str">
        <f>IFERROR(IF(ISBLANK($D852),"",VLOOKUP($N852,'TABLE CHARGE RATE'!$A$30:$K$106,5,0)),"Check")</f>
        <v/>
      </c>
      <c r="AN852" s="207" t="str">
        <f>IFERROR(IF(ISBLANK($D852),"",VLOOKUP($N852,'TABLE CHARGE RATE'!$A$30:$K$106,6,0)),"Check")</f>
        <v/>
      </c>
      <c r="AO852" s="207" t="str">
        <f>IFERROR(IF(ISBLANK($D852),"",VLOOKUP($N852,'TABLE CHARGE RATE'!$A$30:$K$106,7,0)),"Check")</f>
        <v/>
      </c>
      <c r="AP852" s="207" t="str">
        <f>IFERROR(IF(ISBLANK($D852),"",VLOOKUP($N852,'TABLE CHARGE RATE'!$A$30:$K$106,8,0)),"Check")</f>
        <v/>
      </c>
      <c r="AQ852" s="207" t="str">
        <f>IFERROR(IF(ISBLANK($D852),"",VLOOKUP($N852,'TABLE CHARGE RATE'!$A$30:$K$106,9,0)),"Check")</f>
        <v/>
      </c>
      <c r="AR852" s="207" t="str">
        <f>IFERROR(IF(ISBLANK($D852),"",VLOOKUP($N852,'TABLE CHARGE RATE'!$A$30:$K$106,10,0)),"Check")</f>
        <v/>
      </c>
      <c r="AS852" s="207" t="str">
        <f>IFERROR(IF(ISBLANK($D852),"",VLOOKUP($N852,'TABLE CHARGE RATE'!$A$30:$K$106,11,0)),"Check")</f>
        <v/>
      </c>
      <c r="AT852" s="207"/>
    </row>
    <row r="853" spans="1:46" x14ac:dyDescent="0.2">
      <c r="A853" s="207" t="str">
        <f t="shared" si="116"/>
        <v/>
      </c>
      <c r="B853" s="208" t="str">
        <f>IF(ISBLANK(D853),"",VLOOKUP(WEEKDAY($C853,1),INDEX!$J$2:$K$8,2,0))</f>
        <v/>
      </c>
      <c r="C853" s="209"/>
      <c r="D853" s="207"/>
      <c r="E853" s="207"/>
      <c r="F853" s="207"/>
      <c r="G853" s="207"/>
      <c r="H853" s="207"/>
      <c r="I853" s="207"/>
      <c r="J853" s="207"/>
      <c r="K853" s="207"/>
      <c r="L853" s="207"/>
      <c r="M853" s="207"/>
      <c r="N853" s="207"/>
      <c r="O853" s="207"/>
      <c r="P853" s="207"/>
      <c r="Q853" s="207"/>
      <c r="R853" s="207"/>
      <c r="S853" s="207"/>
      <c r="T853" s="207"/>
      <c r="U853" s="209"/>
      <c r="V853" s="207"/>
      <c r="W853" s="207"/>
      <c r="X853" s="209"/>
      <c r="Y853" s="209"/>
      <c r="Z853" s="207" t="str">
        <f t="shared" ca="1" si="118"/>
        <v/>
      </c>
      <c r="AA853" s="209" t="str">
        <f t="shared" si="115"/>
        <v/>
      </c>
      <c r="AB853" s="209"/>
      <c r="AC853" s="207" t="str">
        <f t="shared" ca="1" si="119"/>
        <v/>
      </c>
      <c r="AD853" s="207"/>
      <c r="AE853" s="207"/>
      <c r="AF853" s="208" t="str">
        <f>IF(ISBLANK(D853),"",VLOOKUP(F853,'SIZE CALCULATION'!$F:$G,2,0))</f>
        <v/>
      </c>
      <c r="AG853" s="207" t="str">
        <f t="shared" si="117"/>
        <v/>
      </c>
      <c r="AH853" s="207" t="str">
        <f t="shared" si="120"/>
        <v/>
      </c>
      <c r="AI853" s="210" t="str">
        <f>IF(ISBLANK(D853),"",VLOOKUP($A853,INDEX!$D$2:$F$13,3,0))</f>
        <v/>
      </c>
      <c r="AJ853" s="207" t="str">
        <f t="shared" si="121"/>
        <v/>
      </c>
      <c r="AK853" s="207"/>
      <c r="AL853" s="207"/>
      <c r="AM853" s="207" t="str">
        <f>IFERROR(IF(ISBLANK($D853),"",VLOOKUP($N853,'TABLE CHARGE RATE'!$A$30:$K$106,5,0)),"Check")</f>
        <v/>
      </c>
      <c r="AN853" s="207" t="str">
        <f>IFERROR(IF(ISBLANK($D853),"",VLOOKUP($N853,'TABLE CHARGE RATE'!$A$30:$K$106,6,0)),"Check")</f>
        <v/>
      </c>
      <c r="AO853" s="207" t="str">
        <f>IFERROR(IF(ISBLANK($D853),"",VLOOKUP($N853,'TABLE CHARGE RATE'!$A$30:$K$106,7,0)),"Check")</f>
        <v/>
      </c>
      <c r="AP853" s="207" t="str">
        <f>IFERROR(IF(ISBLANK($D853),"",VLOOKUP($N853,'TABLE CHARGE RATE'!$A$30:$K$106,8,0)),"Check")</f>
        <v/>
      </c>
      <c r="AQ853" s="207" t="str">
        <f>IFERROR(IF(ISBLANK($D853),"",VLOOKUP($N853,'TABLE CHARGE RATE'!$A$30:$K$106,9,0)),"Check")</f>
        <v/>
      </c>
      <c r="AR853" s="207" t="str">
        <f>IFERROR(IF(ISBLANK($D853),"",VLOOKUP($N853,'TABLE CHARGE RATE'!$A$30:$K$106,10,0)),"Check")</f>
        <v/>
      </c>
      <c r="AS853" s="207" t="str">
        <f>IFERROR(IF(ISBLANK($D853),"",VLOOKUP($N853,'TABLE CHARGE RATE'!$A$30:$K$106,11,0)),"Check")</f>
        <v/>
      </c>
      <c r="AT853" s="207"/>
    </row>
    <row r="854" spans="1:46" x14ac:dyDescent="0.2">
      <c r="A854" s="207" t="str">
        <f t="shared" si="116"/>
        <v/>
      </c>
      <c r="B854" s="208" t="str">
        <f>IF(ISBLANK(D854),"",VLOOKUP(WEEKDAY($C854,1),INDEX!$J$2:$K$8,2,0))</f>
        <v/>
      </c>
      <c r="C854" s="209"/>
      <c r="D854" s="207"/>
      <c r="E854" s="207"/>
      <c r="F854" s="207"/>
      <c r="G854" s="207"/>
      <c r="H854" s="207"/>
      <c r="I854" s="207"/>
      <c r="J854" s="207"/>
      <c r="K854" s="207"/>
      <c r="L854" s="207"/>
      <c r="M854" s="207"/>
      <c r="N854" s="207"/>
      <c r="O854" s="207"/>
      <c r="P854" s="207"/>
      <c r="Q854" s="207"/>
      <c r="R854" s="207"/>
      <c r="S854" s="207"/>
      <c r="T854" s="207"/>
      <c r="U854" s="209"/>
      <c r="V854" s="207"/>
      <c r="W854" s="207"/>
      <c r="X854" s="209"/>
      <c r="Y854" s="209"/>
      <c r="Z854" s="207" t="str">
        <f t="shared" ca="1" si="118"/>
        <v/>
      </c>
      <c r="AA854" s="209" t="str">
        <f t="shared" si="115"/>
        <v/>
      </c>
      <c r="AB854" s="209"/>
      <c r="AC854" s="207" t="str">
        <f t="shared" ca="1" si="119"/>
        <v/>
      </c>
      <c r="AD854" s="207"/>
      <c r="AE854" s="207"/>
      <c r="AF854" s="208" t="str">
        <f>IF(ISBLANK(D854),"",VLOOKUP(F854,'SIZE CALCULATION'!$F:$G,2,0))</f>
        <v/>
      </c>
      <c r="AG854" s="207" t="str">
        <f t="shared" si="117"/>
        <v/>
      </c>
      <c r="AH854" s="207" t="str">
        <f t="shared" si="120"/>
        <v/>
      </c>
      <c r="AI854" s="210" t="str">
        <f>IF(ISBLANK(D854),"",VLOOKUP($A854,INDEX!$D$2:$F$13,3,0))</f>
        <v/>
      </c>
      <c r="AJ854" s="207" t="str">
        <f t="shared" si="121"/>
        <v/>
      </c>
      <c r="AK854" s="207"/>
      <c r="AL854" s="207"/>
      <c r="AM854" s="207" t="str">
        <f>IFERROR(IF(ISBLANK($D854),"",VLOOKUP($N854,'TABLE CHARGE RATE'!$A$30:$K$106,5,0)),"Check")</f>
        <v/>
      </c>
      <c r="AN854" s="207" t="str">
        <f>IFERROR(IF(ISBLANK($D854),"",VLOOKUP($N854,'TABLE CHARGE RATE'!$A$30:$K$106,6,0)),"Check")</f>
        <v/>
      </c>
      <c r="AO854" s="207" t="str">
        <f>IFERROR(IF(ISBLANK($D854),"",VLOOKUP($N854,'TABLE CHARGE RATE'!$A$30:$K$106,7,0)),"Check")</f>
        <v/>
      </c>
      <c r="AP854" s="207" t="str">
        <f>IFERROR(IF(ISBLANK($D854),"",VLOOKUP($N854,'TABLE CHARGE RATE'!$A$30:$K$106,8,0)),"Check")</f>
        <v/>
      </c>
      <c r="AQ854" s="207" t="str">
        <f>IFERROR(IF(ISBLANK($D854),"",VLOOKUP($N854,'TABLE CHARGE RATE'!$A$30:$K$106,9,0)),"Check")</f>
        <v/>
      </c>
      <c r="AR854" s="207" t="str">
        <f>IFERROR(IF(ISBLANK($D854),"",VLOOKUP($N854,'TABLE CHARGE RATE'!$A$30:$K$106,10,0)),"Check")</f>
        <v/>
      </c>
      <c r="AS854" s="207" t="str">
        <f>IFERROR(IF(ISBLANK($D854),"",VLOOKUP($N854,'TABLE CHARGE RATE'!$A$30:$K$106,11,0)),"Check")</f>
        <v/>
      </c>
      <c r="AT854" s="207"/>
    </row>
    <row r="855" spans="1:46" x14ac:dyDescent="0.2">
      <c r="A855" s="207" t="str">
        <f t="shared" si="116"/>
        <v/>
      </c>
      <c r="B855" s="208" t="str">
        <f>IF(ISBLANK(D855),"",VLOOKUP(WEEKDAY($C855,1),INDEX!$J$2:$K$8,2,0))</f>
        <v/>
      </c>
      <c r="C855" s="209"/>
      <c r="D855" s="207"/>
      <c r="E855" s="207"/>
      <c r="F855" s="207"/>
      <c r="G855" s="207"/>
      <c r="H855" s="207"/>
      <c r="I855" s="207"/>
      <c r="J855" s="207"/>
      <c r="K855" s="207"/>
      <c r="L855" s="207"/>
      <c r="M855" s="207"/>
      <c r="N855" s="207"/>
      <c r="O855" s="207"/>
      <c r="P855" s="207"/>
      <c r="Q855" s="207"/>
      <c r="R855" s="207"/>
      <c r="S855" s="207"/>
      <c r="T855" s="207"/>
      <c r="U855" s="209"/>
      <c r="V855" s="207"/>
      <c r="W855" s="207"/>
      <c r="X855" s="209"/>
      <c r="Y855" s="209"/>
      <c r="Z855" s="207" t="str">
        <f t="shared" ca="1" si="118"/>
        <v/>
      </c>
      <c r="AA855" s="209" t="str">
        <f t="shared" si="115"/>
        <v/>
      </c>
      <c r="AB855" s="209"/>
      <c r="AC855" s="207" t="str">
        <f t="shared" ca="1" si="119"/>
        <v/>
      </c>
      <c r="AD855" s="207"/>
      <c r="AE855" s="207"/>
      <c r="AF855" s="208" t="str">
        <f>IF(ISBLANK(D855),"",VLOOKUP(F855,'SIZE CALCULATION'!$F:$G,2,0))</f>
        <v/>
      </c>
      <c r="AG855" s="207" t="str">
        <f t="shared" si="117"/>
        <v/>
      </c>
      <c r="AH855" s="207" t="str">
        <f t="shared" si="120"/>
        <v/>
      </c>
      <c r="AI855" s="210" t="str">
        <f>IF(ISBLANK(D855),"",VLOOKUP($A855,INDEX!$D$2:$F$13,3,0))</f>
        <v/>
      </c>
      <c r="AJ855" s="207" t="str">
        <f t="shared" si="121"/>
        <v/>
      </c>
      <c r="AK855" s="207"/>
      <c r="AL855" s="207"/>
      <c r="AM855" s="207" t="str">
        <f>IFERROR(IF(ISBLANK($D855),"",VLOOKUP($N855,'TABLE CHARGE RATE'!$A$30:$K$106,5,0)),"Check")</f>
        <v/>
      </c>
      <c r="AN855" s="207" t="str">
        <f>IFERROR(IF(ISBLANK($D855),"",VLOOKUP($N855,'TABLE CHARGE RATE'!$A$30:$K$106,6,0)),"Check")</f>
        <v/>
      </c>
      <c r="AO855" s="207" t="str">
        <f>IFERROR(IF(ISBLANK($D855),"",VLOOKUP($N855,'TABLE CHARGE RATE'!$A$30:$K$106,7,0)),"Check")</f>
        <v/>
      </c>
      <c r="AP855" s="207" t="str">
        <f>IFERROR(IF(ISBLANK($D855),"",VLOOKUP($N855,'TABLE CHARGE RATE'!$A$30:$K$106,8,0)),"Check")</f>
        <v/>
      </c>
      <c r="AQ855" s="207" t="str">
        <f>IFERROR(IF(ISBLANK($D855),"",VLOOKUP($N855,'TABLE CHARGE RATE'!$A$30:$K$106,9,0)),"Check")</f>
        <v/>
      </c>
      <c r="AR855" s="207" t="str">
        <f>IFERROR(IF(ISBLANK($D855),"",VLOOKUP($N855,'TABLE CHARGE RATE'!$A$30:$K$106,10,0)),"Check")</f>
        <v/>
      </c>
      <c r="AS855" s="207" t="str">
        <f>IFERROR(IF(ISBLANK($D855),"",VLOOKUP($N855,'TABLE CHARGE RATE'!$A$30:$K$106,11,0)),"Check")</f>
        <v/>
      </c>
      <c r="AT855" s="207"/>
    </row>
    <row r="856" spans="1:46" x14ac:dyDescent="0.2">
      <c r="A856" s="207" t="str">
        <f t="shared" si="116"/>
        <v/>
      </c>
      <c r="B856" s="208" t="str">
        <f>IF(ISBLANK(D856),"",VLOOKUP(WEEKDAY($C856,1),INDEX!$J$2:$K$8,2,0))</f>
        <v/>
      </c>
      <c r="C856" s="209"/>
      <c r="D856" s="207"/>
      <c r="E856" s="207"/>
      <c r="F856" s="207"/>
      <c r="G856" s="207"/>
      <c r="H856" s="207"/>
      <c r="I856" s="207"/>
      <c r="J856" s="207"/>
      <c r="K856" s="207"/>
      <c r="L856" s="207"/>
      <c r="M856" s="207"/>
      <c r="N856" s="207"/>
      <c r="O856" s="207"/>
      <c r="P856" s="207"/>
      <c r="Q856" s="207"/>
      <c r="R856" s="207"/>
      <c r="S856" s="207"/>
      <c r="T856" s="207"/>
      <c r="U856" s="209"/>
      <c r="V856" s="207"/>
      <c r="W856" s="207"/>
      <c r="X856" s="209"/>
      <c r="Y856" s="209"/>
      <c r="Z856" s="207" t="str">
        <f t="shared" ca="1" si="118"/>
        <v/>
      </c>
      <c r="AA856" s="209" t="str">
        <f t="shared" si="115"/>
        <v/>
      </c>
      <c r="AB856" s="209"/>
      <c r="AC856" s="207" t="str">
        <f t="shared" ca="1" si="119"/>
        <v/>
      </c>
      <c r="AD856" s="207"/>
      <c r="AE856" s="207"/>
      <c r="AF856" s="208" t="str">
        <f>IF(ISBLANK(D856),"",VLOOKUP(F856,'SIZE CALCULATION'!$F:$G,2,0))</f>
        <v/>
      </c>
      <c r="AG856" s="207" t="str">
        <f t="shared" si="117"/>
        <v/>
      </c>
      <c r="AH856" s="207" t="str">
        <f t="shared" si="120"/>
        <v/>
      </c>
      <c r="AI856" s="210" t="str">
        <f>IF(ISBLANK(D856),"",VLOOKUP($A856,INDEX!$D$2:$F$13,3,0))</f>
        <v/>
      </c>
      <c r="AJ856" s="207" t="str">
        <f t="shared" si="121"/>
        <v/>
      </c>
      <c r="AK856" s="207"/>
      <c r="AL856" s="207"/>
      <c r="AM856" s="207" t="str">
        <f>IFERROR(IF(ISBLANK($D856),"",VLOOKUP($N856,'TABLE CHARGE RATE'!$A$30:$K$106,5,0)),"Check")</f>
        <v/>
      </c>
      <c r="AN856" s="207" t="str">
        <f>IFERROR(IF(ISBLANK($D856),"",VLOOKUP($N856,'TABLE CHARGE RATE'!$A$30:$K$106,6,0)),"Check")</f>
        <v/>
      </c>
      <c r="AO856" s="207" t="str">
        <f>IFERROR(IF(ISBLANK($D856),"",VLOOKUP($N856,'TABLE CHARGE RATE'!$A$30:$K$106,7,0)),"Check")</f>
        <v/>
      </c>
      <c r="AP856" s="207" t="str">
        <f>IFERROR(IF(ISBLANK($D856),"",VLOOKUP($N856,'TABLE CHARGE RATE'!$A$30:$K$106,8,0)),"Check")</f>
        <v/>
      </c>
      <c r="AQ856" s="207" t="str">
        <f>IFERROR(IF(ISBLANK($D856),"",VLOOKUP($N856,'TABLE CHARGE RATE'!$A$30:$K$106,9,0)),"Check")</f>
        <v/>
      </c>
      <c r="AR856" s="207" t="str">
        <f>IFERROR(IF(ISBLANK($D856),"",VLOOKUP($N856,'TABLE CHARGE RATE'!$A$30:$K$106,10,0)),"Check")</f>
        <v/>
      </c>
      <c r="AS856" s="207" t="str">
        <f>IFERROR(IF(ISBLANK($D856),"",VLOOKUP($N856,'TABLE CHARGE RATE'!$A$30:$K$106,11,0)),"Check")</f>
        <v/>
      </c>
      <c r="AT856" s="207"/>
    </row>
    <row r="857" spans="1:46" x14ac:dyDescent="0.2">
      <c r="A857" s="207" t="str">
        <f t="shared" si="116"/>
        <v/>
      </c>
      <c r="B857" s="208" t="str">
        <f>IF(ISBLANK(D857),"",VLOOKUP(WEEKDAY($C857,1),INDEX!$J$2:$K$8,2,0))</f>
        <v/>
      </c>
      <c r="C857" s="209"/>
      <c r="D857" s="207"/>
      <c r="E857" s="207"/>
      <c r="F857" s="207"/>
      <c r="G857" s="207"/>
      <c r="H857" s="207"/>
      <c r="I857" s="207"/>
      <c r="J857" s="207"/>
      <c r="K857" s="207"/>
      <c r="L857" s="207"/>
      <c r="M857" s="207"/>
      <c r="N857" s="207"/>
      <c r="O857" s="207"/>
      <c r="P857" s="207"/>
      <c r="Q857" s="207"/>
      <c r="R857" s="207"/>
      <c r="S857" s="207"/>
      <c r="T857" s="207"/>
      <c r="U857" s="209"/>
      <c r="V857" s="207"/>
      <c r="W857" s="207"/>
      <c r="X857" s="209"/>
      <c r="Y857" s="209"/>
      <c r="Z857" s="207" t="str">
        <f t="shared" ca="1" si="118"/>
        <v/>
      </c>
      <c r="AA857" s="209" t="str">
        <f t="shared" si="115"/>
        <v/>
      </c>
      <c r="AB857" s="209"/>
      <c r="AC857" s="207" t="str">
        <f t="shared" ca="1" si="119"/>
        <v/>
      </c>
      <c r="AD857" s="207"/>
      <c r="AE857" s="207"/>
      <c r="AF857" s="208" t="str">
        <f>IF(ISBLANK(D857),"",VLOOKUP(F857,'SIZE CALCULATION'!$F:$G,2,0))</f>
        <v/>
      </c>
      <c r="AG857" s="207" t="str">
        <f t="shared" si="117"/>
        <v/>
      </c>
      <c r="AH857" s="207" t="str">
        <f t="shared" si="120"/>
        <v/>
      </c>
      <c r="AI857" s="210" t="str">
        <f>IF(ISBLANK(D857),"",VLOOKUP($A857,INDEX!$D$2:$F$13,3,0))</f>
        <v/>
      </c>
      <c r="AJ857" s="207" t="str">
        <f t="shared" si="121"/>
        <v/>
      </c>
      <c r="AK857" s="207"/>
      <c r="AL857" s="207"/>
      <c r="AM857" s="207" t="str">
        <f>IFERROR(IF(ISBLANK($D857),"",VLOOKUP($N857,'TABLE CHARGE RATE'!$A$30:$K$106,5,0)),"Check")</f>
        <v/>
      </c>
      <c r="AN857" s="207" t="str">
        <f>IFERROR(IF(ISBLANK($D857),"",VLOOKUP($N857,'TABLE CHARGE RATE'!$A$30:$K$106,6,0)),"Check")</f>
        <v/>
      </c>
      <c r="AO857" s="207" t="str">
        <f>IFERROR(IF(ISBLANK($D857),"",VLOOKUP($N857,'TABLE CHARGE RATE'!$A$30:$K$106,7,0)),"Check")</f>
        <v/>
      </c>
      <c r="AP857" s="207" t="str">
        <f>IFERROR(IF(ISBLANK($D857),"",VLOOKUP($N857,'TABLE CHARGE RATE'!$A$30:$K$106,8,0)),"Check")</f>
        <v/>
      </c>
      <c r="AQ857" s="207" t="str">
        <f>IFERROR(IF(ISBLANK($D857),"",VLOOKUP($N857,'TABLE CHARGE RATE'!$A$30:$K$106,9,0)),"Check")</f>
        <v/>
      </c>
      <c r="AR857" s="207" t="str">
        <f>IFERROR(IF(ISBLANK($D857),"",VLOOKUP($N857,'TABLE CHARGE RATE'!$A$30:$K$106,10,0)),"Check")</f>
        <v/>
      </c>
      <c r="AS857" s="207" t="str">
        <f>IFERROR(IF(ISBLANK($D857),"",VLOOKUP($N857,'TABLE CHARGE RATE'!$A$30:$K$106,11,0)),"Check")</f>
        <v/>
      </c>
      <c r="AT857" s="207"/>
    </row>
    <row r="858" spans="1:46" x14ac:dyDescent="0.2">
      <c r="A858" s="207" t="str">
        <f t="shared" si="116"/>
        <v/>
      </c>
      <c r="B858" s="208" t="str">
        <f>IF(ISBLANK(D858),"",VLOOKUP(WEEKDAY($C858,1),INDEX!$J$2:$K$8,2,0))</f>
        <v/>
      </c>
      <c r="C858" s="209"/>
      <c r="D858" s="207"/>
      <c r="E858" s="207"/>
      <c r="F858" s="207"/>
      <c r="G858" s="207"/>
      <c r="H858" s="207"/>
      <c r="I858" s="207"/>
      <c r="J858" s="207"/>
      <c r="K858" s="207"/>
      <c r="L858" s="207"/>
      <c r="M858" s="207"/>
      <c r="N858" s="207"/>
      <c r="O858" s="207"/>
      <c r="P858" s="207"/>
      <c r="Q858" s="207"/>
      <c r="R858" s="207"/>
      <c r="S858" s="207"/>
      <c r="T858" s="207"/>
      <c r="U858" s="209"/>
      <c r="V858" s="207"/>
      <c r="W858" s="207"/>
      <c r="X858" s="209"/>
      <c r="Y858" s="209"/>
      <c r="Z858" s="207" t="str">
        <f t="shared" ca="1" si="118"/>
        <v/>
      </c>
      <c r="AA858" s="209" t="str">
        <f t="shared" si="115"/>
        <v/>
      </c>
      <c r="AB858" s="209"/>
      <c r="AC858" s="207" t="str">
        <f t="shared" ca="1" si="119"/>
        <v/>
      </c>
      <c r="AD858" s="207"/>
      <c r="AE858" s="207"/>
      <c r="AF858" s="208" t="str">
        <f>IF(ISBLANK(D858),"",VLOOKUP(F858,'SIZE CALCULATION'!$F:$G,2,0))</f>
        <v/>
      </c>
      <c r="AG858" s="207" t="str">
        <f t="shared" si="117"/>
        <v/>
      </c>
      <c r="AH858" s="207" t="str">
        <f t="shared" si="120"/>
        <v/>
      </c>
      <c r="AI858" s="210" t="str">
        <f>IF(ISBLANK(D858),"",VLOOKUP($A858,INDEX!$D$2:$F$13,3,0))</f>
        <v/>
      </c>
      <c r="AJ858" s="207" t="str">
        <f t="shared" si="121"/>
        <v/>
      </c>
      <c r="AK858" s="207"/>
      <c r="AL858" s="207"/>
      <c r="AM858" s="207" t="str">
        <f>IFERROR(IF(ISBLANK($D858),"",VLOOKUP($N858,'TABLE CHARGE RATE'!$A$30:$K$106,5,0)),"Check")</f>
        <v/>
      </c>
      <c r="AN858" s="207" t="str">
        <f>IFERROR(IF(ISBLANK($D858),"",VLOOKUP($N858,'TABLE CHARGE RATE'!$A$30:$K$106,6,0)),"Check")</f>
        <v/>
      </c>
      <c r="AO858" s="207" t="str">
        <f>IFERROR(IF(ISBLANK($D858),"",VLOOKUP($N858,'TABLE CHARGE RATE'!$A$30:$K$106,7,0)),"Check")</f>
        <v/>
      </c>
      <c r="AP858" s="207" t="str">
        <f>IFERROR(IF(ISBLANK($D858),"",VLOOKUP($N858,'TABLE CHARGE RATE'!$A$30:$K$106,8,0)),"Check")</f>
        <v/>
      </c>
      <c r="AQ858" s="207" t="str">
        <f>IFERROR(IF(ISBLANK($D858),"",VLOOKUP($N858,'TABLE CHARGE RATE'!$A$30:$K$106,9,0)),"Check")</f>
        <v/>
      </c>
      <c r="AR858" s="207" t="str">
        <f>IFERROR(IF(ISBLANK($D858),"",VLOOKUP($N858,'TABLE CHARGE RATE'!$A$30:$K$106,10,0)),"Check")</f>
        <v/>
      </c>
      <c r="AS858" s="207" t="str">
        <f>IFERROR(IF(ISBLANK($D858),"",VLOOKUP($N858,'TABLE CHARGE RATE'!$A$30:$K$106,11,0)),"Check")</f>
        <v/>
      </c>
      <c r="AT858" s="207"/>
    </row>
    <row r="859" spans="1:46" x14ac:dyDescent="0.2">
      <c r="A859" s="207" t="str">
        <f t="shared" si="116"/>
        <v/>
      </c>
      <c r="B859" s="208" t="str">
        <f>IF(ISBLANK(D859),"",VLOOKUP(WEEKDAY($C859,1),INDEX!$J$2:$K$8,2,0))</f>
        <v/>
      </c>
      <c r="C859" s="209"/>
      <c r="D859" s="207"/>
      <c r="E859" s="207"/>
      <c r="F859" s="207"/>
      <c r="G859" s="207"/>
      <c r="H859" s="207"/>
      <c r="I859" s="207"/>
      <c r="J859" s="207"/>
      <c r="K859" s="207"/>
      <c r="L859" s="207"/>
      <c r="M859" s="207"/>
      <c r="N859" s="207"/>
      <c r="O859" s="207"/>
      <c r="P859" s="207"/>
      <c r="Q859" s="207"/>
      <c r="R859" s="207"/>
      <c r="S859" s="207"/>
      <c r="T859" s="207"/>
      <c r="U859" s="209"/>
      <c r="V859" s="207"/>
      <c r="W859" s="207"/>
      <c r="X859" s="209"/>
      <c r="Y859" s="209"/>
      <c r="Z859" s="207" t="str">
        <f t="shared" ca="1" si="118"/>
        <v/>
      </c>
      <c r="AA859" s="209" t="str">
        <f t="shared" si="115"/>
        <v/>
      </c>
      <c r="AB859" s="209"/>
      <c r="AC859" s="207" t="str">
        <f t="shared" ca="1" si="119"/>
        <v/>
      </c>
      <c r="AD859" s="207"/>
      <c r="AE859" s="207"/>
      <c r="AF859" s="208" t="str">
        <f>IF(ISBLANK(D859),"",VLOOKUP(F859,'SIZE CALCULATION'!$F:$G,2,0))</f>
        <v/>
      </c>
      <c r="AG859" s="207" t="str">
        <f t="shared" si="117"/>
        <v/>
      </c>
      <c r="AH859" s="207" t="str">
        <f t="shared" si="120"/>
        <v/>
      </c>
      <c r="AI859" s="210" t="str">
        <f>IF(ISBLANK(D859),"",VLOOKUP($A859,INDEX!$D$2:$F$13,3,0))</f>
        <v/>
      </c>
      <c r="AJ859" s="207" t="str">
        <f t="shared" si="121"/>
        <v/>
      </c>
      <c r="AK859" s="207"/>
      <c r="AL859" s="207"/>
      <c r="AM859" s="207" t="str">
        <f>IFERROR(IF(ISBLANK($D859),"",VLOOKUP($N859,'TABLE CHARGE RATE'!$A$30:$K$106,5,0)),"Check")</f>
        <v/>
      </c>
      <c r="AN859" s="207" t="str">
        <f>IFERROR(IF(ISBLANK($D859),"",VLOOKUP($N859,'TABLE CHARGE RATE'!$A$30:$K$106,6,0)),"Check")</f>
        <v/>
      </c>
      <c r="AO859" s="207" t="str">
        <f>IFERROR(IF(ISBLANK($D859),"",VLOOKUP($N859,'TABLE CHARGE RATE'!$A$30:$K$106,7,0)),"Check")</f>
        <v/>
      </c>
      <c r="AP859" s="207" t="str">
        <f>IFERROR(IF(ISBLANK($D859),"",VLOOKUP($N859,'TABLE CHARGE RATE'!$A$30:$K$106,8,0)),"Check")</f>
        <v/>
      </c>
      <c r="AQ859" s="207" t="str">
        <f>IFERROR(IF(ISBLANK($D859),"",VLOOKUP($N859,'TABLE CHARGE RATE'!$A$30:$K$106,9,0)),"Check")</f>
        <v/>
      </c>
      <c r="AR859" s="207" t="str">
        <f>IFERROR(IF(ISBLANK($D859),"",VLOOKUP($N859,'TABLE CHARGE RATE'!$A$30:$K$106,10,0)),"Check")</f>
        <v/>
      </c>
      <c r="AS859" s="207" t="str">
        <f>IFERROR(IF(ISBLANK($D859),"",VLOOKUP($N859,'TABLE CHARGE RATE'!$A$30:$K$106,11,0)),"Check")</f>
        <v/>
      </c>
      <c r="AT859" s="207"/>
    </row>
    <row r="860" spans="1:46" x14ac:dyDescent="0.2">
      <c r="A860" s="207" t="str">
        <f t="shared" si="116"/>
        <v/>
      </c>
      <c r="B860" s="208" t="str">
        <f>IF(ISBLANK(D860),"",VLOOKUP(WEEKDAY($C860,1),INDEX!$J$2:$K$8,2,0))</f>
        <v/>
      </c>
      <c r="C860" s="209"/>
      <c r="D860" s="207"/>
      <c r="E860" s="207"/>
      <c r="F860" s="207"/>
      <c r="G860" s="207"/>
      <c r="H860" s="207"/>
      <c r="I860" s="207"/>
      <c r="J860" s="207"/>
      <c r="K860" s="207"/>
      <c r="L860" s="207"/>
      <c r="M860" s="207"/>
      <c r="N860" s="207"/>
      <c r="O860" s="207"/>
      <c r="P860" s="207"/>
      <c r="Q860" s="207"/>
      <c r="R860" s="207"/>
      <c r="S860" s="207"/>
      <c r="T860" s="207"/>
      <c r="U860" s="209"/>
      <c r="V860" s="207"/>
      <c r="W860" s="207"/>
      <c r="X860" s="209"/>
      <c r="Y860" s="209"/>
      <c r="Z860" s="207" t="str">
        <f t="shared" ca="1" si="118"/>
        <v/>
      </c>
      <c r="AA860" s="209" t="str">
        <f t="shared" si="115"/>
        <v/>
      </c>
      <c r="AB860" s="209"/>
      <c r="AC860" s="207" t="str">
        <f t="shared" ca="1" si="119"/>
        <v/>
      </c>
      <c r="AD860" s="207"/>
      <c r="AE860" s="207"/>
      <c r="AF860" s="208" t="str">
        <f>IF(ISBLANK(D860),"",VLOOKUP(F860,'SIZE CALCULATION'!$F:$G,2,0))</f>
        <v/>
      </c>
      <c r="AG860" s="207" t="str">
        <f t="shared" si="117"/>
        <v/>
      </c>
      <c r="AH860" s="207" t="str">
        <f t="shared" si="120"/>
        <v/>
      </c>
      <c r="AI860" s="210" t="str">
        <f>IF(ISBLANK(D860),"",VLOOKUP($A860,INDEX!$D$2:$F$13,3,0))</f>
        <v/>
      </c>
      <c r="AJ860" s="207" t="str">
        <f t="shared" si="121"/>
        <v/>
      </c>
      <c r="AK860" s="207"/>
      <c r="AL860" s="207"/>
      <c r="AM860" s="207" t="str">
        <f>IFERROR(IF(ISBLANK($D860),"",VLOOKUP($N860,'TABLE CHARGE RATE'!$A$30:$K$106,5,0)),"Check")</f>
        <v/>
      </c>
      <c r="AN860" s="207" t="str">
        <f>IFERROR(IF(ISBLANK($D860),"",VLOOKUP($N860,'TABLE CHARGE RATE'!$A$30:$K$106,6,0)),"Check")</f>
        <v/>
      </c>
      <c r="AO860" s="207" t="str">
        <f>IFERROR(IF(ISBLANK($D860),"",VLOOKUP($N860,'TABLE CHARGE RATE'!$A$30:$K$106,7,0)),"Check")</f>
        <v/>
      </c>
      <c r="AP860" s="207" t="str">
        <f>IFERROR(IF(ISBLANK($D860),"",VLOOKUP($N860,'TABLE CHARGE RATE'!$A$30:$K$106,8,0)),"Check")</f>
        <v/>
      </c>
      <c r="AQ860" s="207" t="str">
        <f>IFERROR(IF(ISBLANK($D860),"",VLOOKUP($N860,'TABLE CHARGE RATE'!$A$30:$K$106,9,0)),"Check")</f>
        <v/>
      </c>
      <c r="AR860" s="207" t="str">
        <f>IFERROR(IF(ISBLANK($D860),"",VLOOKUP($N860,'TABLE CHARGE RATE'!$A$30:$K$106,10,0)),"Check")</f>
        <v/>
      </c>
      <c r="AS860" s="207" t="str">
        <f>IFERROR(IF(ISBLANK($D860),"",VLOOKUP($N860,'TABLE CHARGE RATE'!$A$30:$K$106,11,0)),"Check")</f>
        <v/>
      </c>
      <c r="AT860" s="207"/>
    </row>
    <row r="861" spans="1:46" x14ac:dyDescent="0.2">
      <c r="A861" s="207" t="str">
        <f t="shared" si="116"/>
        <v/>
      </c>
      <c r="B861" s="208" t="str">
        <f>IF(ISBLANK(D861),"",VLOOKUP(WEEKDAY($C861,1),INDEX!$J$2:$K$8,2,0))</f>
        <v/>
      </c>
      <c r="C861" s="209"/>
      <c r="D861" s="207"/>
      <c r="E861" s="207"/>
      <c r="F861" s="207"/>
      <c r="G861" s="207"/>
      <c r="H861" s="207"/>
      <c r="I861" s="207"/>
      <c r="J861" s="207"/>
      <c r="K861" s="207"/>
      <c r="L861" s="207"/>
      <c r="M861" s="207"/>
      <c r="N861" s="207"/>
      <c r="O861" s="207"/>
      <c r="P861" s="207"/>
      <c r="Q861" s="207"/>
      <c r="R861" s="207"/>
      <c r="S861" s="207"/>
      <c r="T861" s="207"/>
      <c r="U861" s="209"/>
      <c r="V861" s="207"/>
      <c r="W861" s="207"/>
      <c r="X861" s="209"/>
      <c r="Y861" s="209"/>
      <c r="Z861" s="207" t="str">
        <f t="shared" ca="1" si="118"/>
        <v/>
      </c>
      <c r="AA861" s="209" t="str">
        <f t="shared" si="115"/>
        <v/>
      </c>
      <c r="AB861" s="209"/>
      <c r="AC861" s="207" t="str">
        <f t="shared" ca="1" si="119"/>
        <v/>
      </c>
      <c r="AD861" s="207"/>
      <c r="AE861" s="207"/>
      <c r="AF861" s="208" t="str">
        <f>IF(ISBLANK(D861),"",VLOOKUP(F861,'SIZE CALCULATION'!$F:$G,2,0))</f>
        <v/>
      </c>
      <c r="AG861" s="207" t="str">
        <f t="shared" si="117"/>
        <v/>
      </c>
      <c r="AH861" s="207" t="str">
        <f t="shared" si="120"/>
        <v/>
      </c>
      <c r="AI861" s="210" t="str">
        <f>IF(ISBLANK(D861),"",VLOOKUP($A861,INDEX!$D$2:$F$13,3,0))</f>
        <v/>
      </c>
      <c r="AJ861" s="207" t="str">
        <f t="shared" si="121"/>
        <v/>
      </c>
      <c r="AK861" s="207"/>
      <c r="AL861" s="207"/>
      <c r="AM861" s="207" t="str">
        <f>IFERROR(IF(ISBLANK($D861),"",VLOOKUP($N861,'TABLE CHARGE RATE'!$A$30:$K$106,5,0)),"Check")</f>
        <v/>
      </c>
      <c r="AN861" s="207" t="str">
        <f>IFERROR(IF(ISBLANK($D861),"",VLOOKUP($N861,'TABLE CHARGE RATE'!$A$30:$K$106,6,0)),"Check")</f>
        <v/>
      </c>
      <c r="AO861" s="207" t="str">
        <f>IFERROR(IF(ISBLANK($D861),"",VLOOKUP($N861,'TABLE CHARGE RATE'!$A$30:$K$106,7,0)),"Check")</f>
        <v/>
      </c>
      <c r="AP861" s="207" t="str">
        <f>IFERROR(IF(ISBLANK($D861),"",VLOOKUP($N861,'TABLE CHARGE RATE'!$A$30:$K$106,8,0)),"Check")</f>
        <v/>
      </c>
      <c r="AQ861" s="207" t="str">
        <f>IFERROR(IF(ISBLANK($D861),"",VLOOKUP($N861,'TABLE CHARGE RATE'!$A$30:$K$106,9,0)),"Check")</f>
        <v/>
      </c>
      <c r="AR861" s="207" t="str">
        <f>IFERROR(IF(ISBLANK($D861),"",VLOOKUP($N861,'TABLE CHARGE RATE'!$A$30:$K$106,10,0)),"Check")</f>
        <v/>
      </c>
      <c r="AS861" s="207" t="str">
        <f>IFERROR(IF(ISBLANK($D861),"",VLOOKUP($N861,'TABLE CHARGE RATE'!$A$30:$K$106,11,0)),"Check")</f>
        <v/>
      </c>
      <c r="AT861" s="207"/>
    </row>
    <row r="862" spans="1:46" x14ac:dyDescent="0.2">
      <c r="A862" s="207" t="str">
        <f t="shared" si="116"/>
        <v/>
      </c>
      <c r="B862" s="208" t="str">
        <f>IF(ISBLANK(D862),"",VLOOKUP(WEEKDAY($C862,1),INDEX!$J$2:$K$8,2,0))</f>
        <v/>
      </c>
      <c r="C862" s="209"/>
      <c r="D862" s="207"/>
      <c r="E862" s="207"/>
      <c r="F862" s="207"/>
      <c r="G862" s="207"/>
      <c r="H862" s="207"/>
      <c r="I862" s="207"/>
      <c r="J862" s="207"/>
      <c r="K862" s="207"/>
      <c r="L862" s="207"/>
      <c r="M862" s="207"/>
      <c r="N862" s="207"/>
      <c r="O862" s="207"/>
      <c r="P862" s="207"/>
      <c r="Q862" s="207"/>
      <c r="R862" s="207"/>
      <c r="S862" s="207"/>
      <c r="T862" s="207"/>
      <c r="U862" s="209"/>
      <c r="V862" s="207"/>
      <c r="W862" s="207"/>
      <c r="X862" s="209"/>
      <c r="Y862" s="209"/>
      <c r="Z862" s="207" t="str">
        <f t="shared" ca="1" si="118"/>
        <v/>
      </c>
      <c r="AA862" s="209" t="str">
        <f t="shared" si="115"/>
        <v/>
      </c>
      <c r="AB862" s="209"/>
      <c r="AC862" s="207" t="str">
        <f t="shared" ca="1" si="119"/>
        <v/>
      </c>
      <c r="AD862" s="207"/>
      <c r="AE862" s="207"/>
      <c r="AF862" s="208" t="str">
        <f>IF(ISBLANK(D862),"",VLOOKUP(F862,'SIZE CALCULATION'!$F:$G,2,0))</f>
        <v/>
      </c>
      <c r="AG862" s="207" t="str">
        <f t="shared" si="117"/>
        <v/>
      </c>
      <c r="AH862" s="207" t="str">
        <f t="shared" si="120"/>
        <v/>
      </c>
      <c r="AI862" s="210" t="str">
        <f>IF(ISBLANK(D862),"",VLOOKUP($A862,INDEX!$D$2:$F$13,3,0))</f>
        <v/>
      </c>
      <c r="AJ862" s="207" t="str">
        <f t="shared" si="121"/>
        <v/>
      </c>
      <c r="AK862" s="207"/>
      <c r="AL862" s="207"/>
      <c r="AM862" s="207" t="str">
        <f>IFERROR(IF(ISBLANK($D862),"",VLOOKUP($N862,'TABLE CHARGE RATE'!$A$30:$K$106,5,0)),"Check")</f>
        <v/>
      </c>
      <c r="AN862" s="207" t="str">
        <f>IFERROR(IF(ISBLANK($D862),"",VLOOKUP($N862,'TABLE CHARGE RATE'!$A$30:$K$106,6,0)),"Check")</f>
        <v/>
      </c>
      <c r="AO862" s="207" t="str">
        <f>IFERROR(IF(ISBLANK($D862),"",VLOOKUP($N862,'TABLE CHARGE RATE'!$A$30:$K$106,7,0)),"Check")</f>
        <v/>
      </c>
      <c r="AP862" s="207" t="str">
        <f>IFERROR(IF(ISBLANK($D862),"",VLOOKUP($N862,'TABLE CHARGE RATE'!$A$30:$K$106,8,0)),"Check")</f>
        <v/>
      </c>
      <c r="AQ862" s="207" t="str">
        <f>IFERROR(IF(ISBLANK($D862),"",VLOOKUP($N862,'TABLE CHARGE RATE'!$A$30:$K$106,9,0)),"Check")</f>
        <v/>
      </c>
      <c r="AR862" s="207" t="str">
        <f>IFERROR(IF(ISBLANK($D862),"",VLOOKUP($N862,'TABLE CHARGE RATE'!$A$30:$K$106,10,0)),"Check")</f>
        <v/>
      </c>
      <c r="AS862" s="207" t="str">
        <f>IFERROR(IF(ISBLANK($D862),"",VLOOKUP($N862,'TABLE CHARGE RATE'!$A$30:$K$106,11,0)),"Check")</f>
        <v/>
      </c>
      <c r="AT862" s="207"/>
    </row>
    <row r="863" spans="1:46" x14ac:dyDescent="0.2">
      <c r="A863" s="207" t="str">
        <f t="shared" si="116"/>
        <v/>
      </c>
      <c r="B863" s="208" t="str">
        <f>IF(ISBLANK(D863),"",VLOOKUP(WEEKDAY($C863,1),INDEX!$J$2:$K$8,2,0))</f>
        <v/>
      </c>
      <c r="C863" s="209"/>
      <c r="D863" s="207"/>
      <c r="E863" s="207"/>
      <c r="F863" s="207"/>
      <c r="G863" s="207"/>
      <c r="H863" s="207"/>
      <c r="I863" s="207"/>
      <c r="J863" s="207"/>
      <c r="K863" s="207"/>
      <c r="L863" s="207"/>
      <c r="M863" s="207"/>
      <c r="N863" s="207"/>
      <c r="O863" s="207"/>
      <c r="P863" s="207"/>
      <c r="Q863" s="207"/>
      <c r="R863" s="207"/>
      <c r="S863" s="207"/>
      <c r="T863" s="207"/>
      <c r="U863" s="209"/>
      <c r="V863" s="207"/>
      <c r="W863" s="207"/>
      <c r="X863" s="209"/>
      <c r="Y863" s="209"/>
      <c r="Z863" s="207" t="str">
        <f t="shared" ca="1" si="118"/>
        <v/>
      </c>
      <c r="AA863" s="209" t="str">
        <f t="shared" si="115"/>
        <v/>
      </c>
      <c r="AB863" s="209"/>
      <c r="AC863" s="207" t="str">
        <f t="shared" ca="1" si="119"/>
        <v/>
      </c>
      <c r="AD863" s="207"/>
      <c r="AE863" s="207"/>
      <c r="AF863" s="208" t="str">
        <f>IF(ISBLANK(D863),"",VLOOKUP(F863,'SIZE CALCULATION'!$F:$G,2,0))</f>
        <v/>
      </c>
      <c r="AG863" s="207" t="str">
        <f t="shared" si="117"/>
        <v/>
      </c>
      <c r="AH863" s="207" t="str">
        <f t="shared" si="120"/>
        <v/>
      </c>
      <c r="AI863" s="210" t="str">
        <f>IF(ISBLANK(D863),"",VLOOKUP($A863,INDEX!$D$2:$F$13,3,0))</f>
        <v/>
      </c>
      <c r="AJ863" s="207" t="str">
        <f t="shared" si="121"/>
        <v/>
      </c>
      <c r="AK863" s="207"/>
      <c r="AL863" s="207"/>
      <c r="AM863" s="207" t="str">
        <f>IFERROR(IF(ISBLANK($D863),"",VLOOKUP($N863,'TABLE CHARGE RATE'!$A$30:$K$106,5,0)),"Check")</f>
        <v/>
      </c>
      <c r="AN863" s="207" t="str">
        <f>IFERROR(IF(ISBLANK($D863),"",VLOOKUP($N863,'TABLE CHARGE RATE'!$A$30:$K$106,6,0)),"Check")</f>
        <v/>
      </c>
      <c r="AO863" s="207" t="str">
        <f>IFERROR(IF(ISBLANK($D863),"",VLOOKUP($N863,'TABLE CHARGE RATE'!$A$30:$K$106,7,0)),"Check")</f>
        <v/>
      </c>
      <c r="AP863" s="207" t="str">
        <f>IFERROR(IF(ISBLANK($D863),"",VLOOKUP($N863,'TABLE CHARGE RATE'!$A$30:$K$106,8,0)),"Check")</f>
        <v/>
      </c>
      <c r="AQ863" s="207" t="str">
        <f>IFERROR(IF(ISBLANK($D863),"",VLOOKUP($N863,'TABLE CHARGE RATE'!$A$30:$K$106,9,0)),"Check")</f>
        <v/>
      </c>
      <c r="AR863" s="207" t="str">
        <f>IFERROR(IF(ISBLANK($D863),"",VLOOKUP($N863,'TABLE CHARGE RATE'!$A$30:$K$106,10,0)),"Check")</f>
        <v/>
      </c>
      <c r="AS863" s="207" t="str">
        <f>IFERROR(IF(ISBLANK($D863),"",VLOOKUP($N863,'TABLE CHARGE RATE'!$A$30:$K$106,11,0)),"Check")</f>
        <v/>
      </c>
      <c r="AT863" s="207"/>
    </row>
    <row r="864" spans="1:46" x14ac:dyDescent="0.2">
      <c r="A864" s="207" t="str">
        <f t="shared" si="116"/>
        <v/>
      </c>
      <c r="B864" s="208" t="str">
        <f>IF(ISBLANK(D864),"",VLOOKUP(WEEKDAY($C864,1),INDEX!$J$2:$K$8,2,0))</f>
        <v/>
      </c>
      <c r="C864" s="209"/>
      <c r="D864" s="207"/>
      <c r="E864" s="207"/>
      <c r="F864" s="207"/>
      <c r="G864" s="207"/>
      <c r="H864" s="207"/>
      <c r="I864" s="207"/>
      <c r="J864" s="207"/>
      <c r="K864" s="207"/>
      <c r="L864" s="207"/>
      <c r="M864" s="207"/>
      <c r="N864" s="207"/>
      <c r="O864" s="207"/>
      <c r="P864" s="207"/>
      <c r="Q864" s="207"/>
      <c r="R864" s="207"/>
      <c r="S864" s="207"/>
      <c r="T864" s="207"/>
      <c r="U864" s="209"/>
      <c r="V864" s="207"/>
      <c r="W864" s="207"/>
      <c r="X864" s="209"/>
      <c r="Y864" s="209"/>
      <c r="Z864" s="207" t="str">
        <f t="shared" ca="1" si="118"/>
        <v/>
      </c>
      <c r="AA864" s="209" t="str">
        <f t="shared" si="115"/>
        <v/>
      </c>
      <c r="AB864" s="209"/>
      <c r="AC864" s="207" t="str">
        <f t="shared" ca="1" si="119"/>
        <v/>
      </c>
      <c r="AD864" s="207"/>
      <c r="AE864" s="207"/>
      <c r="AF864" s="208" t="str">
        <f>IF(ISBLANK(D864),"",VLOOKUP(F864,'SIZE CALCULATION'!$F:$G,2,0))</f>
        <v/>
      </c>
      <c r="AG864" s="207" t="str">
        <f t="shared" si="117"/>
        <v/>
      </c>
      <c r="AH864" s="207" t="str">
        <f t="shared" si="120"/>
        <v/>
      </c>
      <c r="AI864" s="210" t="str">
        <f>IF(ISBLANK(D864),"",VLOOKUP($A864,INDEX!$D$2:$F$13,3,0))</f>
        <v/>
      </c>
      <c r="AJ864" s="207" t="str">
        <f t="shared" si="121"/>
        <v/>
      </c>
      <c r="AK864" s="207"/>
      <c r="AL864" s="207"/>
      <c r="AM864" s="207" t="str">
        <f>IFERROR(IF(ISBLANK($D864),"",VLOOKUP($N864,'TABLE CHARGE RATE'!$A$30:$K$106,5,0)),"Check")</f>
        <v/>
      </c>
      <c r="AN864" s="207" t="str">
        <f>IFERROR(IF(ISBLANK($D864),"",VLOOKUP($N864,'TABLE CHARGE RATE'!$A$30:$K$106,6,0)),"Check")</f>
        <v/>
      </c>
      <c r="AO864" s="207" t="str">
        <f>IFERROR(IF(ISBLANK($D864),"",VLOOKUP($N864,'TABLE CHARGE RATE'!$A$30:$K$106,7,0)),"Check")</f>
        <v/>
      </c>
      <c r="AP864" s="207" t="str">
        <f>IFERROR(IF(ISBLANK($D864),"",VLOOKUP($N864,'TABLE CHARGE RATE'!$A$30:$K$106,8,0)),"Check")</f>
        <v/>
      </c>
      <c r="AQ864" s="207" t="str">
        <f>IFERROR(IF(ISBLANK($D864),"",VLOOKUP($N864,'TABLE CHARGE RATE'!$A$30:$K$106,9,0)),"Check")</f>
        <v/>
      </c>
      <c r="AR864" s="207" t="str">
        <f>IFERROR(IF(ISBLANK($D864),"",VLOOKUP($N864,'TABLE CHARGE RATE'!$A$30:$K$106,10,0)),"Check")</f>
        <v/>
      </c>
      <c r="AS864" s="207" t="str">
        <f>IFERROR(IF(ISBLANK($D864),"",VLOOKUP($N864,'TABLE CHARGE RATE'!$A$30:$K$106,11,0)),"Check")</f>
        <v/>
      </c>
      <c r="AT864" s="207"/>
    </row>
    <row r="865" spans="1:46" x14ac:dyDescent="0.2">
      <c r="A865" s="207" t="str">
        <f t="shared" si="116"/>
        <v/>
      </c>
      <c r="B865" s="208" t="str">
        <f>IF(ISBLANK(D865),"",VLOOKUP(WEEKDAY($C865,1),INDEX!$J$2:$K$8,2,0))</f>
        <v/>
      </c>
      <c r="C865" s="209"/>
      <c r="D865" s="207"/>
      <c r="E865" s="207"/>
      <c r="F865" s="207"/>
      <c r="G865" s="207"/>
      <c r="H865" s="207"/>
      <c r="I865" s="207"/>
      <c r="J865" s="207"/>
      <c r="K865" s="207"/>
      <c r="L865" s="207"/>
      <c r="M865" s="207"/>
      <c r="N865" s="207"/>
      <c r="O865" s="207"/>
      <c r="P865" s="207"/>
      <c r="Q865" s="207"/>
      <c r="R865" s="207"/>
      <c r="S865" s="207"/>
      <c r="T865" s="207"/>
      <c r="U865" s="209"/>
      <c r="V865" s="207"/>
      <c r="W865" s="207"/>
      <c r="X865" s="209"/>
      <c r="Y865" s="209"/>
      <c r="Z865" s="207" t="str">
        <f t="shared" ca="1" si="118"/>
        <v/>
      </c>
      <c r="AA865" s="209" t="str">
        <f t="shared" ref="AA865:AA928" si="122">IF(ISBLANK(D865),"",Y865+10)</f>
        <v/>
      </c>
      <c r="AB865" s="209"/>
      <c r="AC865" s="207" t="str">
        <f t="shared" ca="1" si="119"/>
        <v/>
      </c>
      <c r="AD865" s="207"/>
      <c r="AE865" s="207"/>
      <c r="AF865" s="208" t="str">
        <f>IF(ISBLANK(D865),"",VLOOKUP(F865,'SIZE CALCULATION'!$F:$G,2,0))</f>
        <v/>
      </c>
      <c r="AG865" s="207" t="str">
        <f t="shared" si="117"/>
        <v/>
      </c>
      <c r="AH865" s="207" t="str">
        <f t="shared" si="120"/>
        <v/>
      </c>
      <c r="AI865" s="210" t="str">
        <f>IF(ISBLANK(D865),"",VLOOKUP($A865,INDEX!$D$2:$F$13,3,0))</f>
        <v/>
      </c>
      <c r="AJ865" s="207" t="str">
        <f t="shared" si="121"/>
        <v/>
      </c>
      <c r="AK865" s="207"/>
      <c r="AL865" s="207"/>
      <c r="AM865" s="207" t="str">
        <f>IFERROR(IF(ISBLANK($D865),"",VLOOKUP($N865,'TABLE CHARGE RATE'!$A$30:$K$106,5,0)),"Check")</f>
        <v/>
      </c>
      <c r="AN865" s="207" t="str">
        <f>IFERROR(IF(ISBLANK($D865),"",VLOOKUP($N865,'TABLE CHARGE RATE'!$A$30:$K$106,6,0)),"Check")</f>
        <v/>
      </c>
      <c r="AO865" s="207" t="str">
        <f>IFERROR(IF(ISBLANK($D865),"",VLOOKUP($N865,'TABLE CHARGE RATE'!$A$30:$K$106,7,0)),"Check")</f>
        <v/>
      </c>
      <c r="AP865" s="207" t="str">
        <f>IFERROR(IF(ISBLANK($D865),"",VLOOKUP($N865,'TABLE CHARGE RATE'!$A$30:$K$106,8,0)),"Check")</f>
        <v/>
      </c>
      <c r="AQ865" s="207" t="str">
        <f>IFERROR(IF(ISBLANK($D865),"",VLOOKUP($N865,'TABLE CHARGE RATE'!$A$30:$K$106,9,0)),"Check")</f>
        <v/>
      </c>
      <c r="AR865" s="207" t="str">
        <f>IFERROR(IF(ISBLANK($D865),"",VLOOKUP($N865,'TABLE CHARGE RATE'!$A$30:$K$106,10,0)),"Check")</f>
        <v/>
      </c>
      <c r="AS865" s="207" t="str">
        <f>IFERROR(IF(ISBLANK($D865),"",VLOOKUP($N865,'TABLE CHARGE RATE'!$A$30:$K$106,11,0)),"Check")</f>
        <v/>
      </c>
      <c r="AT865" s="207"/>
    </row>
    <row r="866" spans="1:46" x14ac:dyDescent="0.2">
      <c r="A866" s="207" t="str">
        <f t="shared" si="116"/>
        <v/>
      </c>
      <c r="B866" s="208" t="str">
        <f>IF(ISBLANK(D866),"",VLOOKUP(WEEKDAY($C866,1),INDEX!$J$2:$K$8,2,0))</f>
        <v/>
      </c>
      <c r="C866" s="209"/>
      <c r="D866" s="207"/>
      <c r="E866" s="207"/>
      <c r="F866" s="207"/>
      <c r="G866" s="207"/>
      <c r="H866" s="207"/>
      <c r="I866" s="207"/>
      <c r="J866" s="207"/>
      <c r="K866" s="207"/>
      <c r="L866" s="207"/>
      <c r="M866" s="207"/>
      <c r="N866" s="207"/>
      <c r="O866" s="207"/>
      <c r="P866" s="207"/>
      <c r="Q866" s="207"/>
      <c r="R866" s="207"/>
      <c r="S866" s="207"/>
      <c r="T866" s="207"/>
      <c r="U866" s="209"/>
      <c r="V866" s="207"/>
      <c r="W866" s="207"/>
      <c r="X866" s="209"/>
      <c r="Y866" s="209"/>
      <c r="Z866" s="207" t="str">
        <f t="shared" ca="1" si="118"/>
        <v/>
      </c>
      <c r="AA866" s="209" t="str">
        <f t="shared" si="122"/>
        <v/>
      </c>
      <c r="AB866" s="209"/>
      <c r="AC866" s="207" t="str">
        <f t="shared" ca="1" si="119"/>
        <v/>
      </c>
      <c r="AD866" s="207"/>
      <c r="AE866" s="207"/>
      <c r="AF866" s="208" t="str">
        <f>IF(ISBLANK(D866),"",VLOOKUP(F866,'SIZE CALCULATION'!$F:$G,2,0))</f>
        <v/>
      </c>
      <c r="AG866" s="207" t="str">
        <f t="shared" si="117"/>
        <v/>
      </c>
      <c r="AH866" s="207" t="str">
        <f t="shared" si="120"/>
        <v/>
      </c>
      <c r="AI866" s="210" t="str">
        <f>IF(ISBLANK(D866),"",VLOOKUP($A866,INDEX!$D$2:$F$13,3,0))</f>
        <v/>
      </c>
      <c r="AJ866" s="207" t="str">
        <f t="shared" si="121"/>
        <v/>
      </c>
      <c r="AK866" s="207"/>
      <c r="AL866" s="207"/>
      <c r="AM866" s="207" t="str">
        <f>IFERROR(IF(ISBLANK($D866),"",VLOOKUP($N866,'TABLE CHARGE RATE'!$A$30:$K$106,5,0)),"Check")</f>
        <v/>
      </c>
      <c r="AN866" s="207" t="str">
        <f>IFERROR(IF(ISBLANK($D866),"",VLOOKUP($N866,'TABLE CHARGE RATE'!$A$30:$K$106,6,0)),"Check")</f>
        <v/>
      </c>
      <c r="AO866" s="207" t="str">
        <f>IFERROR(IF(ISBLANK($D866),"",VLOOKUP($N866,'TABLE CHARGE RATE'!$A$30:$K$106,7,0)),"Check")</f>
        <v/>
      </c>
      <c r="AP866" s="207" t="str">
        <f>IFERROR(IF(ISBLANK($D866),"",VLOOKUP($N866,'TABLE CHARGE RATE'!$A$30:$K$106,8,0)),"Check")</f>
        <v/>
      </c>
      <c r="AQ866" s="207" t="str">
        <f>IFERROR(IF(ISBLANK($D866),"",VLOOKUP($N866,'TABLE CHARGE RATE'!$A$30:$K$106,9,0)),"Check")</f>
        <v/>
      </c>
      <c r="AR866" s="207" t="str">
        <f>IFERROR(IF(ISBLANK($D866),"",VLOOKUP($N866,'TABLE CHARGE RATE'!$A$30:$K$106,10,0)),"Check")</f>
        <v/>
      </c>
      <c r="AS866" s="207" t="str">
        <f>IFERROR(IF(ISBLANK($D866),"",VLOOKUP($N866,'TABLE CHARGE RATE'!$A$30:$K$106,11,0)),"Check")</f>
        <v/>
      </c>
      <c r="AT866" s="207"/>
    </row>
    <row r="867" spans="1:46" x14ac:dyDescent="0.2">
      <c r="A867" s="207" t="str">
        <f t="shared" si="116"/>
        <v/>
      </c>
      <c r="B867" s="208" t="str">
        <f>IF(ISBLANK(D867),"",VLOOKUP(WEEKDAY($C867,1),INDEX!$J$2:$K$8,2,0))</f>
        <v/>
      </c>
      <c r="C867" s="209"/>
      <c r="D867" s="207"/>
      <c r="E867" s="207"/>
      <c r="F867" s="207"/>
      <c r="G867" s="207"/>
      <c r="H867" s="207"/>
      <c r="I867" s="207"/>
      <c r="J867" s="207"/>
      <c r="K867" s="207"/>
      <c r="L867" s="207"/>
      <c r="M867" s="207"/>
      <c r="N867" s="207"/>
      <c r="O867" s="207"/>
      <c r="P867" s="207"/>
      <c r="Q867" s="207"/>
      <c r="R867" s="207"/>
      <c r="S867" s="207"/>
      <c r="T867" s="207"/>
      <c r="U867" s="209"/>
      <c r="V867" s="207"/>
      <c r="W867" s="207"/>
      <c r="X867" s="209"/>
      <c r="Y867" s="209"/>
      <c r="Z867" s="207" t="str">
        <f t="shared" ca="1" si="118"/>
        <v/>
      </c>
      <c r="AA867" s="209" t="str">
        <f t="shared" si="122"/>
        <v/>
      </c>
      <c r="AB867" s="209"/>
      <c r="AC867" s="207" t="str">
        <f t="shared" ca="1" si="119"/>
        <v/>
      </c>
      <c r="AD867" s="207"/>
      <c r="AE867" s="207"/>
      <c r="AF867" s="208" t="str">
        <f>IF(ISBLANK(D867),"",VLOOKUP(F867,'SIZE CALCULATION'!$F:$G,2,0))</f>
        <v/>
      </c>
      <c r="AG867" s="207" t="str">
        <f t="shared" si="117"/>
        <v/>
      </c>
      <c r="AH867" s="207" t="str">
        <f t="shared" si="120"/>
        <v/>
      </c>
      <c r="AI867" s="210" t="str">
        <f>IF(ISBLANK(D867),"",VLOOKUP($A867,INDEX!$D$2:$F$13,3,0))</f>
        <v/>
      </c>
      <c r="AJ867" s="207" t="str">
        <f t="shared" si="121"/>
        <v/>
      </c>
      <c r="AK867" s="207"/>
      <c r="AL867" s="207"/>
      <c r="AM867" s="207" t="str">
        <f>IFERROR(IF(ISBLANK($D867),"",VLOOKUP($N867,'TABLE CHARGE RATE'!$A$30:$K$106,5,0)),"Check")</f>
        <v/>
      </c>
      <c r="AN867" s="207" t="str">
        <f>IFERROR(IF(ISBLANK($D867),"",VLOOKUP($N867,'TABLE CHARGE RATE'!$A$30:$K$106,6,0)),"Check")</f>
        <v/>
      </c>
      <c r="AO867" s="207" t="str">
        <f>IFERROR(IF(ISBLANK($D867),"",VLOOKUP($N867,'TABLE CHARGE RATE'!$A$30:$K$106,7,0)),"Check")</f>
        <v/>
      </c>
      <c r="AP867" s="207" t="str">
        <f>IFERROR(IF(ISBLANK($D867),"",VLOOKUP($N867,'TABLE CHARGE RATE'!$A$30:$K$106,8,0)),"Check")</f>
        <v/>
      </c>
      <c r="AQ867" s="207" t="str">
        <f>IFERROR(IF(ISBLANK($D867),"",VLOOKUP($N867,'TABLE CHARGE RATE'!$A$30:$K$106,9,0)),"Check")</f>
        <v/>
      </c>
      <c r="AR867" s="207" t="str">
        <f>IFERROR(IF(ISBLANK($D867),"",VLOOKUP($N867,'TABLE CHARGE RATE'!$A$30:$K$106,10,0)),"Check")</f>
        <v/>
      </c>
      <c r="AS867" s="207" t="str">
        <f>IFERROR(IF(ISBLANK($D867),"",VLOOKUP($N867,'TABLE CHARGE RATE'!$A$30:$K$106,11,0)),"Check")</f>
        <v/>
      </c>
      <c r="AT867" s="207"/>
    </row>
    <row r="868" spans="1:46" x14ac:dyDescent="0.2">
      <c r="A868" s="207" t="str">
        <f t="shared" si="116"/>
        <v/>
      </c>
      <c r="B868" s="208" t="str">
        <f>IF(ISBLANK(D868),"",VLOOKUP(WEEKDAY($C868,1),INDEX!$J$2:$K$8,2,0))</f>
        <v/>
      </c>
      <c r="C868" s="209"/>
      <c r="D868" s="207"/>
      <c r="E868" s="207"/>
      <c r="F868" s="207"/>
      <c r="G868" s="207"/>
      <c r="H868" s="207"/>
      <c r="I868" s="207"/>
      <c r="J868" s="207"/>
      <c r="K868" s="207"/>
      <c r="L868" s="207"/>
      <c r="M868" s="207"/>
      <c r="N868" s="207"/>
      <c r="O868" s="207"/>
      <c r="P868" s="207"/>
      <c r="Q868" s="207"/>
      <c r="R868" s="207"/>
      <c r="S868" s="207"/>
      <c r="T868" s="207"/>
      <c r="U868" s="209"/>
      <c r="V868" s="207"/>
      <c r="W868" s="207"/>
      <c r="X868" s="209"/>
      <c r="Y868" s="209"/>
      <c r="Z868" s="207" t="str">
        <f t="shared" ca="1" si="118"/>
        <v/>
      </c>
      <c r="AA868" s="209" t="str">
        <f t="shared" si="122"/>
        <v/>
      </c>
      <c r="AB868" s="209"/>
      <c r="AC868" s="207" t="str">
        <f t="shared" ca="1" si="119"/>
        <v/>
      </c>
      <c r="AD868" s="207"/>
      <c r="AE868" s="207"/>
      <c r="AF868" s="208" t="str">
        <f>IF(ISBLANK(D868),"",VLOOKUP(F868,'SIZE CALCULATION'!$F:$G,2,0))</f>
        <v/>
      </c>
      <c r="AG868" s="207" t="str">
        <f t="shared" si="117"/>
        <v/>
      </c>
      <c r="AH868" s="207" t="str">
        <f t="shared" si="120"/>
        <v/>
      </c>
      <c r="AI868" s="210" t="str">
        <f>IF(ISBLANK(D868),"",VLOOKUP($A868,INDEX!$D$2:$F$13,3,0))</f>
        <v/>
      </c>
      <c r="AJ868" s="207" t="str">
        <f t="shared" si="121"/>
        <v/>
      </c>
      <c r="AK868" s="207"/>
      <c r="AL868" s="207"/>
      <c r="AM868" s="207" t="str">
        <f>IFERROR(IF(ISBLANK($D868),"",VLOOKUP($N868,'TABLE CHARGE RATE'!$A$30:$K$106,5,0)),"Check")</f>
        <v/>
      </c>
      <c r="AN868" s="207" t="str">
        <f>IFERROR(IF(ISBLANK($D868),"",VLOOKUP($N868,'TABLE CHARGE RATE'!$A$30:$K$106,6,0)),"Check")</f>
        <v/>
      </c>
      <c r="AO868" s="207" t="str">
        <f>IFERROR(IF(ISBLANK($D868),"",VLOOKUP($N868,'TABLE CHARGE RATE'!$A$30:$K$106,7,0)),"Check")</f>
        <v/>
      </c>
      <c r="AP868" s="207" t="str">
        <f>IFERROR(IF(ISBLANK($D868),"",VLOOKUP($N868,'TABLE CHARGE RATE'!$A$30:$K$106,8,0)),"Check")</f>
        <v/>
      </c>
      <c r="AQ868" s="207" t="str">
        <f>IFERROR(IF(ISBLANK($D868),"",VLOOKUP($N868,'TABLE CHARGE RATE'!$A$30:$K$106,9,0)),"Check")</f>
        <v/>
      </c>
      <c r="AR868" s="207" t="str">
        <f>IFERROR(IF(ISBLANK($D868),"",VLOOKUP($N868,'TABLE CHARGE RATE'!$A$30:$K$106,10,0)),"Check")</f>
        <v/>
      </c>
      <c r="AS868" s="207" t="str">
        <f>IFERROR(IF(ISBLANK($D868),"",VLOOKUP($N868,'TABLE CHARGE RATE'!$A$30:$K$106,11,0)),"Check")</f>
        <v/>
      </c>
      <c r="AT868" s="207"/>
    </row>
    <row r="869" spans="1:46" x14ac:dyDescent="0.2">
      <c r="A869" s="207" t="str">
        <f t="shared" si="116"/>
        <v/>
      </c>
      <c r="B869" s="208" t="str">
        <f>IF(ISBLANK(D869),"",VLOOKUP(WEEKDAY($C869,1),INDEX!$J$2:$K$8,2,0))</f>
        <v/>
      </c>
      <c r="C869" s="209"/>
      <c r="D869" s="207"/>
      <c r="E869" s="207"/>
      <c r="F869" s="207"/>
      <c r="G869" s="207"/>
      <c r="H869" s="207"/>
      <c r="I869" s="207"/>
      <c r="J869" s="207"/>
      <c r="K869" s="207"/>
      <c r="L869" s="207"/>
      <c r="M869" s="207"/>
      <c r="N869" s="207"/>
      <c r="O869" s="207"/>
      <c r="P869" s="207"/>
      <c r="Q869" s="207"/>
      <c r="R869" s="207"/>
      <c r="S869" s="207"/>
      <c r="T869" s="207"/>
      <c r="U869" s="209"/>
      <c r="V869" s="207"/>
      <c r="W869" s="207"/>
      <c r="X869" s="209"/>
      <c r="Y869" s="209"/>
      <c r="Z869" s="207" t="str">
        <f t="shared" ca="1" si="118"/>
        <v/>
      </c>
      <c r="AA869" s="209" t="str">
        <f t="shared" si="122"/>
        <v/>
      </c>
      <c r="AB869" s="209"/>
      <c r="AC869" s="207" t="str">
        <f t="shared" ca="1" si="119"/>
        <v/>
      </c>
      <c r="AD869" s="207"/>
      <c r="AE869" s="207"/>
      <c r="AF869" s="208" t="str">
        <f>IF(ISBLANK(D869),"",VLOOKUP(F869,'SIZE CALCULATION'!$F:$G,2,0))</f>
        <v/>
      </c>
      <c r="AG869" s="207" t="str">
        <f t="shared" si="117"/>
        <v/>
      </c>
      <c r="AH869" s="207" t="str">
        <f t="shared" si="120"/>
        <v/>
      </c>
      <c r="AI869" s="210" t="str">
        <f>IF(ISBLANK(D869),"",VLOOKUP($A869,INDEX!$D$2:$F$13,3,0))</f>
        <v/>
      </c>
      <c r="AJ869" s="207" t="str">
        <f t="shared" si="121"/>
        <v/>
      </c>
      <c r="AK869" s="207"/>
      <c r="AL869" s="207"/>
      <c r="AM869" s="207" t="str">
        <f>IFERROR(IF(ISBLANK($D869),"",VLOOKUP($N869,'TABLE CHARGE RATE'!$A$30:$K$106,5,0)),"Check")</f>
        <v/>
      </c>
      <c r="AN869" s="207" t="str">
        <f>IFERROR(IF(ISBLANK($D869),"",VLOOKUP($N869,'TABLE CHARGE RATE'!$A$30:$K$106,6,0)),"Check")</f>
        <v/>
      </c>
      <c r="AO869" s="207" t="str">
        <f>IFERROR(IF(ISBLANK($D869),"",VLOOKUP($N869,'TABLE CHARGE RATE'!$A$30:$K$106,7,0)),"Check")</f>
        <v/>
      </c>
      <c r="AP869" s="207" t="str">
        <f>IFERROR(IF(ISBLANK($D869),"",VLOOKUP($N869,'TABLE CHARGE RATE'!$A$30:$K$106,8,0)),"Check")</f>
        <v/>
      </c>
      <c r="AQ869" s="207" t="str">
        <f>IFERROR(IF(ISBLANK($D869),"",VLOOKUP($N869,'TABLE CHARGE RATE'!$A$30:$K$106,9,0)),"Check")</f>
        <v/>
      </c>
      <c r="AR869" s="207" t="str">
        <f>IFERROR(IF(ISBLANK($D869),"",VLOOKUP($N869,'TABLE CHARGE RATE'!$A$30:$K$106,10,0)),"Check")</f>
        <v/>
      </c>
      <c r="AS869" s="207" t="str">
        <f>IFERROR(IF(ISBLANK($D869),"",VLOOKUP($N869,'TABLE CHARGE RATE'!$A$30:$K$106,11,0)),"Check")</f>
        <v/>
      </c>
      <c r="AT869" s="207"/>
    </row>
    <row r="870" spans="1:46" x14ac:dyDescent="0.2">
      <c r="A870" s="207" t="str">
        <f t="shared" si="116"/>
        <v/>
      </c>
      <c r="B870" s="208" t="str">
        <f>IF(ISBLANK(D870),"",VLOOKUP(WEEKDAY($C870,1),INDEX!$J$2:$K$8,2,0))</f>
        <v/>
      </c>
      <c r="C870" s="209"/>
      <c r="D870" s="207"/>
      <c r="E870" s="207"/>
      <c r="F870" s="207"/>
      <c r="G870" s="207"/>
      <c r="H870" s="207"/>
      <c r="I870" s="207"/>
      <c r="J870" s="207"/>
      <c r="K870" s="207"/>
      <c r="L870" s="207"/>
      <c r="M870" s="207"/>
      <c r="N870" s="207"/>
      <c r="O870" s="207"/>
      <c r="P870" s="207"/>
      <c r="Q870" s="207"/>
      <c r="R870" s="207"/>
      <c r="S870" s="207"/>
      <c r="T870" s="207"/>
      <c r="U870" s="209"/>
      <c r="V870" s="207"/>
      <c r="W870" s="207"/>
      <c r="X870" s="209"/>
      <c r="Y870" s="209"/>
      <c r="Z870" s="207" t="str">
        <f t="shared" ca="1" si="118"/>
        <v/>
      </c>
      <c r="AA870" s="209" t="str">
        <f t="shared" si="122"/>
        <v/>
      </c>
      <c r="AB870" s="209"/>
      <c r="AC870" s="207" t="str">
        <f t="shared" ca="1" si="119"/>
        <v/>
      </c>
      <c r="AD870" s="207"/>
      <c r="AE870" s="207"/>
      <c r="AF870" s="208" t="str">
        <f>IF(ISBLANK(D870),"",VLOOKUP(F870,'SIZE CALCULATION'!$F:$G,2,0))</f>
        <v/>
      </c>
      <c r="AG870" s="207" t="str">
        <f t="shared" si="117"/>
        <v/>
      </c>
      <c r="AH870" s="207" t="str">
        <f t="shared" si="120"/>
        <v/>
      </c>
      <c r="AI870" s="210" t="str">
        <f>IF(ISBLANK(D870),"",VLOOKUP($A870,INDEX!$D$2:$F$13,3,0))</f>
        <v/>
      </c>
      <c r="AJ870" s="207" t="str">
        <f t="shared" si="121"/>
        <v/>
      </c>
      <c r="AK870" s="207"/>
      <c r="AL870" s="207"/>
      <c r="AM870" s="207" t="str">
        <f>IFERROR(IF(ISBLANK($D870),"",VLOOKUP($N870,'TABLE CHARGE RATE'!$A$30:$K$106,5,0)),"Check")</f>
        <v/>
      </c>
      <c r="AN870" s="207" t="str">
        <f>IFERROR(IF(ISBLANK($D870),"",VLOOKUP($N870,'TABLE CHARGE RATE'!$A$30:$K$106,6,0)),"Check")</f>
        <v/>
      </c>
      <c r="AO870" s="207" t="str">
        <f>IFERROR(IF(ISBLANK($D870),"",VLOOKUP($N870,'TABLE CHARGE RATE'!$A$30:$K$106,7,0)),"Check")</f>
        <v/>
      </c>
      <c r="AP870" s="207" t="str">
        <f>IFERROR(IF(ISBLANK($D870),"",VLOOKUP($N870,'TABLE CHARGE RATE'!$A$30:$K$106,8,0)),"Check")</f>
        <v/>
      </c>
      <c r="AQ870" s="207" t="str">
        <f>IFERROR(IF(ISBLANK($D870),"",VLOOKUP($N870,'TABLE CHARGE RATE'!$A$30:$K$106,9,0)),"Check")</f>
        <v/>
      </c>
      <c r="AR870" s="207" t="str">
        <f>IFERROR(IF(ISBLANK($D870),"",VLOOKUP($N870,'TABLE CHARGE RATE'!$A$30:$K$106,10,0)),"Check")</f>
        <v/>
      </c>
      <c r="AS870" s="207" t="str">
        <f>IFERROR(IF(ISBLANK($D870),"",VLOOKUP($N870,'TABLE CHARGE RATE'!$A$30:$K$106,11,0)),"Check")</f>
        <v/>
      </c>
      <c r="AT870" s="207"/>
    </row>
    <row r="871" spans="1:46" x14ac:dyDescent="0.2">
      <c r="A871" s="207" t="str">
        <f t="shared" si="116"/>
        <v/>
      </c>
      <c r="B871" s="208" t="str">
        <f>IF(ISBLANK(D871),"",VLOOKUP(WEEKDAY($C871,1),INDEX!$J$2:$K$8,2,0))</f>
        <v/>
      </c>
      <c r="C871" s="209"/>
      <c r="D871" s="207"/>
      <c r="E871" s="207"/>
      <c r="F871" s="207"/>
      <c r="G871" s="207"/>
      <c r="H871" s="207"/>
      <c r="I871" s="207"/>
      <c r="J871" s="207"/>
      <c r="K871" s="207"/>
      <c r="L871" s="207"/>
      <c r="M871" s="207"/>
      <c r="N871" s="207"/>
      <c r="O871" s="207"/>
      <c r="P871" s="207"/>
      <c r="Q871" s="207"/>
      <c r="R871" s="207"/>
      <c r="S871" s="207"/>
      <c r="T871" s="207"/>
      <c r="U871" s="209"/>
      <c r="V871" s="207"/>
      <c r="W871" s="207"/>
      <c r="X871" s="209"/>
      <c r="Y871" s="209"/>
      <c r="Z871" s="207" t="str">
        <f t="shared" ca="1" si="118"/>
        <v/>
      </c>
      <c r="AA871" s="209" t="str">
        <f t="shared" si="122"/>
        <v/>
      </c>
      <c r="AB871" s="209"/>
      <c r="AC871" s="207" t="str">
        <f t="shared" ca="1" si="119"/>
        <v/>
      </c>
      <c r="AD871" s="207"/>
      <c r="AE871" s="207"/>
      <c r="AF871" s="208" t="str">
        <f>IF(ISBLANK(D871),"",VLOOKUP(F871,'SIZE CALCULATION'!$F:$G,2,0))</f>
        <v/>
      </c>
      <c r="AG871" s="207" t="str">
        <f t="shared" si="117"/>
        <v/>
      </c>
      <c r="AH871" s="207" t="str">
        <f t="shared" si="120"/>
        <v/>
      </c>
      <c r="AI871" s="210" t="str">
        <f>IF(ISBLANK(D871),"",VLOOKUP($A871,INDEX!$D$2:$F$13,3,0))</f>
        <v/>
      </c>
      <c r="AJ871" s="207" t="str">
        <f t="shared" si="121"/>
        <v/>
      </c>
      <c r="AK871" s="207"/>
      <c r="AL871" s="207"/>
      <c r="AM871" s="207" t="str">
        <f>IFERROR(IF(ISBLANK($D871),"",VLOOKUP($N871,'TABLE CHARGE RATE'!$A$30:$K$106,5,0)),"Check")</f>
        <v/>
      </c>
      <c r="AN871" s="207" t="str">
        <f>IFERROR(IF(ISBLANK($D871),"",VLOOKUP($N871,'TABLE CHARGE RATE'!$A$30:$K$106,6,0)),"Check")</f>
        <v/>
      </c>
      <c r="AO871" s="207" t="str">
        <f>IFERROR(IF(ISBLANK($D871),"",VLOOKUP($N871,'TABLE CHARGE RATE'!$A$30:$K$106,7,0)),"Check")</f>
        <v/>
      </c>
      <c r="AP871" s="207" t="str">
        <f>IFERROR(IF(ISBLANK($D871),"",VLOOKUP($N871,'TABLE CHARGE RATE'!$A$30:$K$106,8,0)),"Check")</f>
        <v/>
      </c>
      <c r="AQ871" s="207" t="str">
        <f>IFERROR(IF(ISBLANK($D871),"",VLOOKUP($N871,'TABLE CHARGE RATE'!$A$30:$K$106,9,0)),"Check")</f>
        <v/>
      </c>
      <c r="AR871" s="207" t="str">
        <f>IFERROR(IF(ISBLANK($D871),"",VLOOKUP($N871,'TABLE CHARGE RATE'!$A$30:$K$106,10,0)),"Check")</f>
        <v/>
      </c>
      <c r="AS871" s="207" t="str">
        <f>IFERROR(IF(ISBLANK($D871),"",VLOOKUP($N871,'TABLE CHARGE RATE'!$A$30:$K$106,11,0)),"Check")</f>
        <v/>
      </c>
      <c r="AT871" s="207"/>
    </row>
    <row r="872" spans="1:46" x14ac:dyDescent="0.2">
      <c r="A872" s="207" t="str">
        <f t="shared" si="116"/>
        <v/>
      </c>
      <c r="B872" s="208" t="str">
        <f>IF(ISBLANK(D872),"",VLOOKUP(WEEKDAY($C872,1),INDEX!$J$2:$K$8,2,0))</f>
        <v/>
      </c>
      <c r="C872" s="209"/>
      <c r="D872" s="207"/>
      <c r="E872" s="207"/>
      <c r="F872" s="207"/>
      <c r="G872" s="207"/>
      <c r="H872" s="207"/>
      <c r="I872" s="207"/>
      <c r="J872" s="207"/>
      <c r="K872" s="207"/>
      <c r="L872" s="207"/>
      <c r="M872" s="207"/>
      <c r="N872" s="207"/>
      <c r="O872" s="207"/>
      <c r="P872" s="207"/>
      <c r="Q872" s="207"/>
      <c r="R872" s="207"/>
      <c r="S872" s="207"/>
      <c r="T872" s="207"/>
      <c r="U872" s="209"/>
      <c r="V872" s="207"/>
      <c r="W872" s="207"/>
      <c r="X872" s="209"/>
      <c r="Y872" s="209"/>
      <c r="Z872" s="207" t="str">
        <f t="shared" ca="1" si="118"/>
        <v/>
      </c>
      <c r="AA872" s="209" t="str">
        <f t="shared" si="122"/>
        <v/>
      </c>
      <c r="AB872" s="209"/>
      <c r="AC872" s="207" t="str">
        <f t="shared" ca="1" si="119"/>
        <v/>
      </c>
      <c r="AD872" s="207"/>
      <c r="AE872" s="207"/>
      <c r="AF872" s="208" t="str">
        <f>IF(ISBLANK(D872),"",VLOOKUP(F872,'SIZE CALCULATION'!$F:$G,2,0))</f>
        <v/>
      </c>
      <c r="AG872" s="207" t="str">
        <f t="shared" si="117"/>
        <v/>
      </c>
      <c r="AH872" s="207" t="str">
        <f t="shared" si="120"/>
        <v/>
      </c>
      <c r="AI872" s="210" t="str">
        <f>IF(ISBLANK(D872),"",VLOOKUP($A872,INDEX!$D$2:$F$13,3,0))</f>
        <v/>
      </c>
      <c r="AJ872" s="207" t="str">
        <f t="shared" si="121"/>
        <v/>
      </c>
      <c r="AK872" s="207"/>
      <c r="AL872" s="207"/>
      <c r="AM872" s="207" t="str">
        <f>IFERROR(IF(ISBLANK($D872),"",VLOOKUP($N872,'TABLE CHARGE RATE'!$A$30:$K$106,5,0)),"Check")</f>
        <v/>
      </c>
      <c r="AN872" s="207" t="str">
        <f>IFERROR(IF(ISBLANK($D872),"",VLOOKUP($N872,'TABLE CHARGE RATE'!$A$30:$K$106,6,0)),"Check")</f>
        <v/>
      </c>
      <c r="AO872" s="207" t="str">
        <f>IFERROR(IF(ISBLANK($D872),"",VLOOKUP($N872,'TABLE CHARGE RATE'!$A$30:$K$106,7,0)),"Check")</f>
        <v/>
      </c>
      <c r="AP872" s="207" t="str">
        <f>IFERROR(IF(ISBLANK($D872),"",VLOOKUP($N872,'TABLE CHARGE RATE'!$A$30:$K$106,8,0)),"Check")</f>
        <v/>
      </c>
      <c r="AQ872" s="207" t="str">
        <f>IFERROR(IF(ISBLANK($D872),"",VLOOKUP($N872,'TABLE CHARGE RATE'!$A$30:$K$106,9,0)),"Check")</f>
        <v/>
      </c>
      <c r="AR872" s="207" t="str">
        <f>IFERROR(IF(ISBLANK($D872),"",VLOOKUP($N872,'TABLE CHARGE RATE'!$A$30:$K$106,10,0)),"Check")</f>
        <v/>
      </c>
      <c r="AS872" s="207" t="str">
        <f>IFERROR(IF(ISBLANK($D872),"",VLOOKUP($N872,'TABLE CHARGE RATE'!$A$30:$K$106,11,0)),"Check")</f>
        <v/>
      </c>
      <c r="AT872" s="207"/>
    </row>
    <row r="873" spans="1:46" x14ac:dyDescent="0.2">
      <c r="A873" s="207" t="str">
        <f t="shared" si="116"/>
        <v/>
      </c>
      <c r="B873" s="208" t="str">
        <f>IF(ISBLANK(D873),"",VLOOKUP(WEEKDAY($C873,1),INDEX!$J$2:$K$8,2,0))</f>
        <v/>
      </c>
      <c r="C873" s="209"/>
      <c r="D873" s="207"/>
      <c r="E873" s="207"/>
      <c r="F873" s="207"/>
      <c r="G873" s="207"/>
      <c r="H873" s="207"/>
      <c r="I873" s="207"/>
      <c r="J873" s="207"/>
      <c r="K873" s="207"/>
      <c r="L873" s="207"/>
      <c r="M873" s="207"/>
      <c r="N873" s="207"/>
      <c r="O873" s="207"/>
      <c r="P873" s="207"/>
      <c r="Q873" s="207"/>
      <c r="R873" s="207"/>
      <c r="S873" s="207"/>
      <c r="T873" s="207"/>
      <c r="U873" s="209"/>
      <c r="V873" s="207"/>
      <c r="W873" s="207"/>
      <c r="X873" s="209"/>
      <c r="Y873" s="209"/>
      <c r="Z873" s="207" t="str">
        <f t="shared" ca="1" si="118"/>
        <v/>
      </c>
      <c r="AA873" s="209" t="str">
        <f t="shared" si="122"/>
        <v/>
      </c>
      <c r="AB873" s="209"/>
      <c r="AC873" s="207" t="str">
        <f t="shared" ca="1" si="119"/>
        <v/>
      </c>
      <c r="AD873" s="207"/>
      <c r="AE873" s="207"/>
      <c r="AF873" s="208" t="str">
        <f>IF(ISBLANK(D873),"",VLOOKUP(F873,'SIZE CALCULATION'!$F:$G,2,0))</f>
        <v/>
      </c>
      <c r="AG873" s="207" t="str">
        <f t="shared" si="117"/>
        <v/>
      </c>
      <c r="AH873" s="207" t="str">
        <f t="shared" si="120"/>
        <v/>
      </c>
      <c r="AI873" s="210" t="str">
        <f>IF(ISBLANK(D873),"",VLOOKUP($A873,INDEX!$D$2:$F$13,3,0))</f>
        <v/>
      </c>
      <c r="AJ873" s="207" t="str">
        <f t="shared" si="121"/>
        <v/>
      </c>
      <c r="AK873" s="207"/>
      <c r="AL873" s="207"/>
      <c r="AM873" s="207" t="str">
        <f>IFERROR(IF(ISBLANK($D873),"",VLOOKUP($N873,'TABLE CHARGE RATE'!$A$30:$K$106,5,0)),"Check")</f>
        <v/>
      </c>
      <c r="AN873" s="207" t="str">
        <f>IFERROR(IF(ISBLANK($D873),"",VLOOKUP($N873,'TABLE CHARGE RATE'!$A$30:$K$106,6,0)),"Check")</f>
        <v/>
      </c>
      <c r="AO873" s="207" t="str">
        <f>IFERROR(IF(ISBLANK($D873),"",VLOOKUP($N873,'TABLE CHARGE RATE'!$A$30:$K$106,7,0)),"Check")</f>
        <v/>
      </c>
      <c r="AP873" s="207" t="str">
        <f>IFERROR(IF(ISBLANK($D873),"",VLOOKUP($N873,'TABLE CHARGE RATE'!$A$30:$K$106,8,0)),"Check")</f>
        <v/>
      </c>
      <c r="AQ873" s="207" t="str">
        <f>IFERROR(IF(ISBLANK($D873),"",VLOOKUP($N873,'TABLE CHARGE RATE'!$A$30:$K$106,9,0)),"Check")</f>
        <v/>
      </c>
      <c r="AR873" s="207" t="str">
        <f>IFERROR(IF(ISBLANK($D873),"",VLOOKUP($N873,'TABLE CHARGE RATE'!$A$30:$K$106,10,0)),"Check")</f>
        <v/>
      </c>
      <c r="AS873" s="207" t="str">
        <f>IFERROR(IF(ISBLANK($D873),"",VLOOKUP($N873,'TABLE CHARGE RATE'!$A$30:$K$106,11,0)),"Check")</f>
        <v/>
      </c>
      <c r="AT873" s="207"/>
    </row>
    <row r="874" spans="1:46" x14ac:dyDescent="0.2">
      <c r="A874" s="207" t="str">
        <f t="shared" ref="A874:A937" si="123">IF(ISBLANK(D874),"",MONTH(C874))</f>
        <v/>
      </c>
      <c r="B874" s="208" t="str">
        <f>IF(ISBLANK(D874),"",VLOOKUP(WEEKDAY($C874,1),INDEX!$J$2:$K$8,2,0))</f>
        <v/>
      </c>
      <c r="C874" s="209"/>
      <c r="D874" s="207"/>
      <c r="E874" s="207"/>
      <c r="F874" s="207"/>
      <c r="G874" s="207"/>
      <c r="H874" s="207"/>
      <c r="I874" s="207"/>
      <c r="J874" s="207"/>
      <c r="K874" s="207"/>
      <c r="L874" s="207"/>
      <c r="M874" s="207"/>
      <c r="N874" s="207"/>
      <c r="O874" s="207"/>
      <c r="P874" s="207"/>
      <c r="Q874" s="207"/>
      <c r="R874" s="207"/>
      <c r="S874" s="207"/>
      <c r="T874" s="207"/>
      <c r="U874" s="209"/>
      <c r="V874" s="207"/>
      <c r="W874" s="207"/>
      <c r="X874" s="209"/>
      <c r="Y874" s="209"/>
      <c r="Z874" s="207" t="str">
        <f t="shared" ca="1" si="118"/>
        <v/>
      </c>
      <c r="AA874" s="209" t="str">
        <f t="shared" si="122"/>
        <v/>
      </c>
      <c r="AB874" s="209"/>
      <c r="AC874" s="207" t="str">
        <f t="shared" ca="1" si="119"/>
        <v/>
      </c>
      <c r="AD874" s="207"/>
      <c r="AE874" s="207"/>
      <c r="AF874" s="208" t="str">
        <f>IF(ISBLANK(D874),"",VLOOKUP(F874,'SIZE CALCULATION'!$F:$G,2,0))</f>
        <v/>
      </c>
      <c r="AG874" s="207" t="str">
        <f t="shared" si="117"/>
        <v/>
      </c>
      <c r="AH874" s="207" t="str">
        <f t="shared" si="120"/>
        <v/>
      </c>
      <c r="AI874" s="210" t="str">
        <f>IF(ISBLANK(D874),"",VLOOKUP($A874,INDEX!$D$2:$F$13,3,0))</f>
        <v/>
      </c>
      <c r="AJ874" s="207" t="str">
        <f t="shared" si="121"/>
        <v/>
      </c>
      <c r="AK874" s="207"/>
      <c r="AL874" s="207"/>
      <c r="AM874" s="207" t="str">
        <f>IFERROR(IF(ISBLANK($D874),"",VLOOKUP($N874,'TABLE CHARGE RATE'!$A$30:$K$106,5,0)),"Check")</f>
        <v/>
      </c>
      <c r="AN874" s="207" t="str">
        <f>IFERROR(IF(ISBLANK($D874),"",VLOOKUP($N874,'TABLE CHARGE RATE'!$A$30:$K$106,6,0)),"Check")</f>
        <v/>
      </c>
      <c r="AO874" s="207" t="str">
        <f>IFERROR(IF(ISBLANK($D874),"",VLOOKUP($N874,'TABLE CHARGE RATE'!$A$30:$K$106,7,0)),"Check")</f>
        <v/>
      </c>
      <c r="AP874" s="207" t="str">
        <f>IFERROR(IF(ISBLANK($D874),"",VLOOKUP($N874,'TABLE CHARGE RATE'!$A$30:$K$106,8,0)),"Check")</f>
        <v/>
      </c>
      <c r="AQ874" s="207" t="str">
        <f>IFERROR(IF(ISBLANK($D874),"",VLOOKUP($N874,'TABLE CHARGE RATE'!$A$30:$K$106,9,0)),"Check")</f>
        <v/>
      </c>
      <c r="AR874" s="207" t="str">
        <f>IFERROR(IF(ISBLANK($D874),"",VLOOKUP($N874,'TABLE CHARGE RATE'!$A$30:$K$106,10,0)),"Check")</f>
        <v/>
      </c>
      <c r="AS874" s="207" t="str">
        <f>IFERROR(IF(ISBLANK($D874),"",VLOOKUP($N874,'TABLE CHARGE RATE'!$A$30:$K$106,11,0)),"Check")</f>
        <v/>
      </c>
      <c r="AT874" s="207"/>
    </row>
    <row r="875" spans="1:46" x14ac:dyDescent="0.2">
      <c r="A875" s="207" t="str">
        <f t="shared" si="123"/>
        <v/>
      </c>
      <c r="B875" s="208" t="str">
        <f>IF(ISBLANK(D875),"",VLOOKUP(WEEKDAY($C875,1),INDEX!$J$2:$K$8,2,0))</f>
        <v/>
      </c>
      <c r="C875" s="209"/>
      <c r="D875" s="207"/>
      <c r="E875" s="207"/>
      <c r="F875" s="207"/>
      <c r="G875" s="207"/>
      <c r="H875" s="207"/>
      <c r="I875" s="207"/>
      <c r="J875" s="207"/>
      <c r="K875" s="207"/>
      <c r="L875" s="207"/>
      <c r="M875" s="207"/>
      <c r="N875" s="207"/>
      <c r="O875" s="207"/>
      <c r="P875" s="207"/>
      <c r="Q875" s="207"/>
      <c r="R875" s="207"/>
      <c r="S875" s="207"/>
      <c r="T875" s="207"/>
      <c r="U875" s="209"/>
      <c r="V875" s="207"/>
      <c r="W875" s="207"/>
      <c r="X875" s="209"/>
      <c r="Y875" s="209"/>
      <c r="Z875" s="207" t="str">
        <f t="shared" ca="1" si="118"/>
        <v/>
      </c>
      <c r="AA875" s="209" t="str">
        <f t="shared" si="122"/>
        <v/>
      </c>
      <c r="AB875" s="209"/>
      <c r="AC875" s="207" t="str">
        <f t="shared" ca="1" si="119"/>
        <v/>
      </c>
      <c r="AD875" s="207"/>
      <c r="AE875" s="207"/>
      <c r="AF875" s="208" t="str">
        <f>IF(ISBLANK(D875),"",VLOOKUP(F875,'SIZE CALCULATION'!$F:$G,2,0))</f>
        <v/>
      </c>
      <c r="AG875" s="207" t="str">
        <f t="shared" si="117"/>
        <v/>
      </c>
      <c r="AH875" s="207" t="str">
        <f t="shared" si="120"/>
        <v/>
      </c>
      <c r="AI875" s="210" t="str">
        <f>IF(ISBLANK(D875),"",VLOOKUP($A875,INDEX!$D$2:$F$13,3,0))</f>
        <v/>
      </c>
      <c r="AJ875" s="207" t="str">
        <f t="shared" si="121"/>
        <v/>
      </c>
      <c r="AK875" s="207"/>
      <c r="AL875" s="207"/>
      <c r="AM875" s="207" t="str">
        <f>IFERROR(IF(ISBLANK($D875),"",VLOOKUP($N875,'TABLE CHARGE RATE'!$A$30:$K$106,5,0)),"Check")</f>
        <v/>
      </c>
      <c r="AN875" s="207" t="str">
        <f>IFERROR(IF(ISBLANK($D875),"",VLOOKUP($N875,'TABLE CHARGE RATE'!$A$30:$K$106,6,0)),"Check")</f>
        <v/>
      </c>
      <c r="AO875" s="207" t="str">
        <f>IFERROR(IF(ISBLANK($D875),"",VLOOKUP($N875,'TABLE CHARGE RATE'!$A$30:$K$106,7,0)),"Check")</f>
        <v/>
      </c>
      <c r="AP875" s="207" t="str">
        <f>IFERROR(IF(ISBLANK($D875),"",VLOOKUP($N875,'TABLE CHARGE RATE'!$A$30:$K$106,8,0)),"Check")</f>
        <v/>
      </c>
      <c r="AQ875" s="207" t="str">
        <f>IFERROR(IF(ISBLANK($D875),"",VLOOKUP($N875,'TABLE CHARGE RATE'!$A$30:$K$106,9,0)),"Check")</f>
        <v/>
      </c>
      <c r="AR875" s="207" t="str">
        <f>IFERROR(IF(ISBLANK($D875),"",VLOOKUP($N875,'TABLE CHARGE RATE'!$A$30:$K$106,10,0)),"Check")</f>
        <v/>
      </c>
      <c r="AS875" s="207" t="str">
        <f>IFERROR(IF(ISBLANK($D875),"",VLOOKUP($N875,'TABLE CHARGE RATE'!$A$30:$K$106,11,0)),"Check")</f>
        <v/>
      </c>
      <c r="AT875" s="207"/>
    </row>
    <row r="876" spans="1:46" x14ac:dyDescent="0.2">
      <c r="A876" s="207" t="str">
        <f t="shared" si="123"/>
        <v/>
      </c>
      <c r="B876" s="208" t="str">
        <f>IF(ISBLANK(D876),"",VLOOKUP(WEEKDAY($C876,1),INDEX!$J$2:$K$8,2,0))</f>
        <v/>
      </c>
      <c r="C876" s="209"/>
      <c r="D876" s="207"/>
      <c r="E876" s="207"/>
      <c r="F876" s="207"/>
      <c r="G876" s="207"/>
      <c r="H876" s="207"/>
      <c r="I876" s="207"/>
      <c r="J876" s="207"/>
      <c r="K876" s="207"/>
      <c r="L876" s="207"/>
      <c r="M876" s="207"/>
      <c r="N876" s="207"/>
      <c r="O876" s="207"/>
      <c r="P876" s="207"/>
      <c r="Q876" s="207"/>
      <c r="R876" s="207"/>
      <c r="S876" s="207"/>
      <c r="T876" s="207"/>
      <c r="U876" s="209"/>
      <c r="V876" s="207"/>
      <c r="W876" s="207"/>
      <c r="X876" s="209"/>
      <c r="Y876" s="209"/>
      <c r="Z876" s="207" t="str">
        <f t="shared" ca="1" si="118"/>
        <v/>
      </c>
      <c r="AA876" s="209" t="str">
        <f t="shared" si="122"/>
        <v/>
      </c>
      <c r="AB876" s="209"/>
      <c r="AC876" s="207" t="str">
        <f t="shared" ca="1" si="119"/>
        <v/>
      </c>
      <c r="AD876" s="207"/>
      <c r="AE876" s="207"/>
      <c r="AF876" s="208" t="str">
        <f>IF(ISBLANK(D876),"",VLOOKUP(F876,'SIZE CALCULATION'!$F:$G,2,0))</f>
        <v/>
      </c>
      <c r="AG876" s="207" t="str">
        <f t="shared" si="117"/>
        <v/>
      </c>
      <c r="AH876" s="207" t="str">
        <f t="shared" si="120"/>
        <v/>
      </c>
      <c r="AI876" s="210" t="str">
        <f>IF(ISBLANK(D876),"",VLOOKUP($A876,INDEX!$D$2:$F$13,3,0))</f>
        <v/>
      </c>
      <c r="AJ876" s="207" t="str">
        <f t="shared" si="121"/>
        <v/>
      </c>
      <c r="AK876" s="207"/>
      <c r="AL876" s="207"/>
      <c r="AM876" s="207" t="str">
        <f>IFERROR(IF(ISBLANK($D876),"",VLOOKUP($N876,'TABLE CHARGE RATE'!$A$30:$K$106,5,0)),"Check")</f>
        <v/>
      </c>
      <c r="AN876" s="207" t="str">
        <f>IFERROR(IF(ISBLANK($D876),"",VLOOKUP($N876,'TABLE CHARGE RATE'!$A$30:$K$106,6,0)),"Check")</f>
        <v/>
      </c>
      <c r="AO876" s="207" t="str">
        <f>IFERROR(IF(ISBLANK($D876),"",VLOOKUP($N876,'TABLE CHARGE RATE'!$A$30:$K$106,7,0)),"Check")</f>
        <v/>
      </c>
      <c r="AP876" s="207" t="str">
        <f>IFERROR(IF(ISBLANK($D876),"",VLOOKUP($N876,'TABLE CHARGE RATE'!$A$30:$K$106,8,0)),"Check")</f>
        <v/>
      </c>
      <c r="AQ876" s="207" t="str">
        <f>IFERROR(IF(ISBLANK($D876),"",VLOOKUP($N876,'TABLE CHARGE RATE'!$A$30:$K$106,9,0)),"Check")</f>
        <v/>
      </c>
      <c r="AR876" s="207" t="str">
        <f>IFERROR(IF(ISBLANK($D876),"",VLOOKUP($N876,'TABLE CHARGE RATE'!$A$30:$K$106,10,0)),"Check")</f>
        <v/>
      </c>
      <c r="AS876" s="207" t="str">
        <f>IFERROR(IF(ISBLANK($D876),"",VLOOKUP($N876,'TABLE CHARGE RATE'!$A$30:$K$106,11,0)),"Check")</f>
        <v/>
      </c>
      <c r="AT876" s="207"/>
    </row>
    <row r="877" spans="1:46" x14ac:dyDescent="0.2">
      <c r="A877" s="207" t="str">
        <f t="shared" si="123"/>
        <v/>
      </c>
      <c r="B877" s="208" t="str">
        <f>IF(ISBLANK(D877),"",VLOOKUP(WEEKDAY($C877,1),INDEX!$J$2:$K$8,2,0))</f>
        <v/>
      </c>
      <c r="C877" s="209"/>
      <c r="D877" s="207"/>
      <c r="E877" s="207"/>
      <c r="F877" s="207"/>
      <c r="G877" s="207"/>
      <c r="H877" s="207"/>
      <c r="I877" s="207"/>
      <c r="J877" s="207"/>
      <c r="K877" s="207"/>
      <c r="L877" s="207"/>
      <c r="M877" s="207"/>
      <c r="N877" s="207"/>
      <c r="O877" s="207"/>
      <c r="P877" s="207"/>
      <c r="Q877" s="207"/>
      <c r="R877" s="207"/>
      <c r="S877" s="207"/>
      <c r="T877" s="207"/>
      <c r="U877" s="209"/>
      <c r="V877" s="207"/>
      <c r="W877" s="207"/>
      <c r="X877" s="209"/>
      <c r="Y877" s="209"/>
      <c r="Z877" s="207" t="str">
        <f t="shared" ca="1" si="118"/>
        <v/>
      </c>
      <c r="AA877" s="209" t="str">
        <f t="shared" si="122"/>
        <v/>
      </c>
      <c r="AB877" s="209"/>
      <c r="AC877" s="207" t="str">
        <f t="shared" ca="1" si="119"/>
        <v/>
      </c>
      <c r="AD877" s="207"/>
      <c r="AE877" s="207"/>
      <c r="AF877" s="208" t="str">
        <f>IF(ISBLANK(D877),"",VLOOKUP(F877,'SIZE CALCULATION'!$F:$G,2,0))</f>
        <v/>
      </c>
      <c r="AG877" s="207" t="str">
        <f t="shared" si="117"/>
        <v/>
      </c>
      <c r="AH877" s="207" t="str">
        <f t="shared" si="120"/>
        <v/>
      </c>
      <c r="AI877" s="210" t="str">
        <f>IF(ISBLANK(D877),"",VLOOKUP($A877,INDEX!$D$2:$F$13,3,0))</f>
        <v/>
      </c>
      <c r="AJ877" s="207" t="str">
        <f t="shared" si="121"/>
        <v/>
      </c>
      <c r="AK877" s="207"/>
      <c r="AL877" s="207"/>
      <c r="AM877" s="207" t="str">
        <f>IFERROR(IF(ISBLANK($D877),"",VLOOKUP($N877,'TABLE CHARGE RATE'!$A$30:$K$106,5,0)),"Check")</f>
        <v/>
      </c>
      <c r="AN877" s="207" t="str">
        <f>IFERROR(IF(ISBLANK($D877),"",VLOOKUP($N877,'TABLE CHARGE RATE'!$A$30:$K$106,6,0)),"Check")</f>
        <v/>
      </c>
      <c r="AO877" s="207" t="str">
        <f>IFERROR(IF(ISBLANK($D877),"",VLOOKUP($N877,'TABLE CHARGE RATE'!$A$30:$K$106,7,0)),"Check")</f>
        <v/>
      </c>
      <c r="AP877" s="207" t="str">
        <f>IFERROR(IF(ISBLANK($D877),"",VLOOKUP($N877,'TABLE CHARGE RATE'!$A$30:$K$106,8,0)),"Check")</f>
        <v/>
      </c>
      <c r="AQ877" s="207" t="str">
        <f>IFERROR(IF(ISBLANK($D877),"",VLOOKUP($N877,'TABLE CHARGE RATE'!$A$30:$K$106,9,0)),"Check")</f>
        <v/>
      </c>
      <c r="AR877" s="207" t="str">
        <f>IFERROR(IF(ISBLANK($D877),"",VLOOKUP($N877,'TABLE CHARGE RATE'!$A$30:$K$106,10,0)),"Check")</f>
        <v/>
      </c>
      <c r="AS877" s="207" t="str">
        <f>IFERROR(IF(ISBLANK($D877),"",VLOOKUP($N877,'TABLE CHARGE RATE'!$A$30:$K$106,11,0)),"Check")</f>
        <v/>
      </c>
      <c r="AT877" s="207"/>
    </row>
    <row r="878" spans="1:46" x14ac:dyDescent="0.2">
      <c r="A878" s="207" t="str">
        <f t="shared" si="123"/>
        <v/>
      </c>
      <c r="B878" s="208" t="str">
        <f>IF(ISBLANK(D878),"",VLOOKUP(WEEKDAY($C878,1),INDEX!$J$2:$K$8,2,0))</f>
        <v/>
      </c>
      <c r="C878" s="209"/>
      <c r="D878" s="207"/>
      <c r="E878" s="207"/>
      <c r="F878" s="207"/>
      <c r="G878" s="207"/>
      <c r="H878" s="207"/>
      <c r="I878" s="207"/>
      <c r="J878" s="207"/>
      <c r="K878" s="207"/>
      <c r="L878" s="207"/>
      <c r="M878" s="207"/>
      <c r="N878" s="207"/>
      <c r="O878" s="207"/>
      <c r="P878" s="207"/>
      <c r="Q878" s="207"/>
      <c r="R878" s="207"/>
      <c r="S878" s="207"/>
      <c r="T878" s="207"/>
      <c r="U878" s="209"/>
      <c r="V878" s="207"/>
      <c r="W878" s="207"/>
      <c r="X878" s="209"/>
      <c r="Y878" s="209"/>
      <c r="Z878" s="207" t="str">
        <f t="shared" ca="1" si="118"/>
        <v/>
      </c>
      <c r="AA878" s="209" t="str">
        <f t="shared" si="122"/>
        <v/>
      </c>
      <c r="AB878" s="209"/>
      <c r="AC878" s="207" t="str">
        <f t="shared" ca="1" si="119"/>
        <v/>
      </c>
      <c r="AD878" s="207"/>
      <c r="AE878" s="207"/>
      <c r="AF878" s="208" t="str">
        <f>IF(ISBLANK(D878),"",VLOOKUP(F878,'SIZE CALCULATION'!$F:$G,2,0))</f>
        <v/>
      </c>
      <c r="AG878" s="207" t="str">
        <f t="shared" si="117"/>
        <v/>
      </c>
      <c r="AH878" s="207" t="str">
        <f t="shared" si="120"/>
        <v/>
      </c>
      <c r="AI878" s="210" t="str">
        <f>IF(ISBLANK(D878),"",VLOOKUP($A878,INDEX!$D$2:$F$13,3,0))</f>
        <v/>
      </c>
      <c r="AJ878" s="207" t="str">
        <f t="shared" si="121"/>
        <v/>
      </c>
      <c r="AK878" s="207"/>
      <c r="AL878" s="207"/>
      <c r="AM878" s="207" t="str">
        <f>IFERROR(IF(ISBLANK($D878),"",VLOOKUP($N878,'TABLE CHARGE RATE'!$A$30:$K$106,5,0)),"Check")</f>
        <v/>
      </c>
      <c r="AN878" s="207" t="str">
        <f>IFERROR(IF(ISBLANK($D878),"",VLOOKUP($N878,'TABLE CHARGE RATE'!$A$30:$K$106,6,0)),"Check")</f>
        <v/>
      </c>
      <c r="AO878" s="207" t="str">
        <f>IFERROR(IF(ISBLANK($D878),"",VLOOKUP($N878,'TABLE CHARGE RATE'!$A$30:$K$106,7,0)),"Check")</f>
        <v/>
      </c>
      <c r="AP878" s="207" t="str">
        <f>IFERROR(IF(ISBLANK($D878),"",VLOOKUP($N878,'TABLE CHARGE RATE'!$A$30:$K$106,8,0)),"Check")</f>
        <v/>
      </c>
      <c r="AQ878" s="207" t="str">
        <f>IFERROR(IF(ISBLANK($D878),"",VLOOKUP($N878,'TABLE CHARGE RATE'!$A$30:$K$106,9,0)),"Check")</f>
        <v/>
      </c>
      <c r="AR878" s="207" t="str">
        <f>IFERROR(IF(ISBLANK($D878),"",VLOOKUP($N878,'TABLE CHARGE RATE'!$A$30:$K$106,10,0)),"Check")</f>
        <v/>
      </c>
      <c r="AS878" s="207" t="str">
        <f>IFERROR(IF(ISBLANK($D878),"",VLOOKUP($N878,'TABLE CHARGE RATE'!$A$30:$K$106,11,0)),"Check")</f>
        <v/>
      </c>
      <c r="AT878" s="207"/>
    </row>
    <row r="879" spans="1:46" x14ac:dyDescent="0.2">
      <c r="A879" s="207" t="str">
        <f t="shared" si="123"/>
        <v/>
      </c>
      <c r="B879" s="208" t="str">
        <f>IF(ISBLANK(D879),"",VLOOKUP(WEEKDAY($C879,1),INDEX!$J$2:$K$8,2,0))</f>
        <v/>
      </c>
      <c r="C879" s="209"/>
      <c r="D879" s="207"/>
      <c r="E879" s="207"/>
      <c r="F879" s="207"/>
      <c r="G879" s="207"/>
      <c r="H879" s="207"/>
      <c r="I879" s="207"/>
      <c r="J879" s="207"/>
      <c r="K879" s="207"/>
      <c r="L879" s="207"/>
      <c r="M879" s="207"/>
      <c r="N879" s="207"/>
      <c r="O879" s="207"/>
      <c r="P879" s="207"/>
      <c r="Q879" s="207"/>
      <c r="R879" s="207"/>
      <c r="S879" s="207"/>
      <c r="T879" s="207"/>
      <c r="U879" s="209"/>
      <c r="V879" s="207"/>
      <c r="W879" s="207"/>
      <c r="X879" s="209"/>
      <c r="Y879" s="209"/>
      <c r="Z879" s="207" t="str">
        <f t="shared" ca="1" si="118"/>
        <v/>
      </c>
      <c r="AA879" s="209" t="str">
        <f t="shared" si="122"/>
        <v/>
      </c>
      <c r="AB879" s="209"/>
      <c r="AC879" s="207" t="str">
        <f t="shared" ca="1" si="119"/>
        <v/>
      </c>
      <c r="AD879" s="207"/>
      <c r="AE879" s="207"/>
      <c r="AF879" s="208" t="str">
        <f>IF(ISBLANK(D879),"",VLOOKUP(F879,'SIZE CALCULATION'!$F:$G,2,0))</f>
        <v/>
      </c>
      <c r="AG879" s="207" t="str">
        <f t="shared" si="117"/>
        <v/>
      </c>
      <c r="AH879" s="207" t="str">
        <f t="shared" si="120"/>
        <v/>
      </c>
      <c r="AI879" s="210" t="str">
        <f>IF(ISBLANK(D879),"",VLOOKUP($A879,INDEX!$D$2:$F$13,3,0))</f>
        <v/>
      </c>
      <c r="AJ879" s="207" t="str">
        <f t="shared" si="121"/>
        <v/>
      </c>
      <c r="AK879" s="207"/>
      <c r="AL879" s="207"/>
      <c r="AM879" s="207" t="str">
        <f>IFERROR(IF(ISBLANK($D879),"",VLOOKUP($N879,'TABLE CHARGE RATE'!$A$30:$K$106,5,0)),"Check")</f>
        <v/>
      </c>
      <c r="AN879" s="207" t="str">
        <f>IFERROR(IF(ISBLANK($D879),"",VLOOKUP($N879,'TABLE CHARGE RATE'!$A$30:$K$106,6,0)),"Check")</f>
        <v/>
      </c>
      <c r="AO879" s="207" t="str">
        <f>IFERROR(IF(ISBLANK($D879),"",VLOOKUP($N879,'TABLE CHARGE RATE'!$A$30:$K$106,7,0)),"Check")</f>
        <v/>
      </c>
      <c r="AP879" s="207" t="str">
        <f>IFERROR(IF(ISBLANK($D879),"",VLOOKUP($N879,'TABLE CHARGE RATE'!$A$30:$K$106,8,0)),"Check")</f>
        <v/>
      </c>
      <c r="AQ879" s="207" t="str">
        <f>IFERROR(IF(ISBLANK($D879),"",VLOOKUP($N879,'TABLE CHARGE RATE'!$A$30:$K$106,9,0)),"Check")</f>
        <v/>
      </c>
      <c r="AR879" s="207" t="str">
        <f>IFERROR(IF(ISBLANK($D879),"",VLOOKUP($N879,'TABLE CHARGE RATE'!$A$30:$K$106,10,0)),"Check")</f>
        <v/>
      </c>
      <c r="AS879" s="207" t="str">
        <f>IFERROR(IF(ISBLANK($D879),"",VLOOKUP($N879,'TABLE CHARGE RATE'!$A$30:$K$106,11,0)),"Check")</f>
        <v/>
      </c>
      <c r="AT879" s="207"/>
    </row>
    <row r="880" spans="1:46" x14ac:dyDescent="0.2">
      <c r="A880" s="207" t="str">
        <f t="shared" si="123"/>
        <v/>
      </c>
      <c r="B880" s="208" t="str">
        <f>IF(ISBLANK(D880),"",VLOOKUP(WEEKDAY($C880,1),INDEX!$J$2:$K$8,2,0))</f>
        <v/>
      </c>
      <c r="C880" s="209"/>
      <c r="D880" s="207"/>
      <c r="E880" s="207"/>
      <c r="F880" s="207"/>
      <c r="G880" s="207"/>
      <c r="H880" s="207"/>
      <c r="I880" s="207"/>
      <c r="J880" s="207"/>
      <c r="K880" s="207"/>
      <c r="L880" s="207"/>
      <c r="M880" s="207"/>
      <c r="N880" s="207"/>
      <c r="O880" s="207"/>
      <c r="P880" s="207"/>
      <c r="Q880" s="207"/>
      <c r="R880" s="207"/>
      <c r="S880" s="207"/>
      <c r="T880" s="207"/>
      <c r="U880" s="209"/>
      <c r="V880" s="207"/>
      <c r="W880" s="207"/>
      <c r="X880" s="209"/>
      <c r="Y880" s="209"/>
      <c r="Z880" s="207" t="str">
        <f t="shared" ca="1" si="118"/>
        <v/>
      </c>
      <c r="AA880" s="209" t="str">
        <f t="shared" si="122"/>
        <v/>
      </c>
      <c r="AB880" s="209"/>
      <c r="AC880" s="207" t="str">
        <f t="shared" ca="1" si="119"/>
        <v/>
      </c>
      <c r="AD880" s="207"/>
      <c r="AE880" s="207"/>
      <c r="AF880" s="208" t="str">
        <f>IF(ISBLANK(D880),"",VLOOKUP(F880,'SIZE CALCULATION'!$F:$G,2,0))</f>
        <v/>
      </c>
      <c r="AG880" s="207" t="str">
        <f t="shared" si="117"/>
        <v/>
      </c>
      <c r="AH880" s="207" t="str">
        <f t="shared" si="120"/>
        <v/>
      </c>
      <c r="AI880" s="210" t="str">
        <f>IF(ISBLANK(D880),"",VLOOKUP($A880,INDEX!$D$2:$F$13,3,0))</f>
        <v/>
      </c>
      <c r="AJ880" s="207" t="str">
        <f t="shared" si="121"/>
        <v/>
      </c>
      <c r="AK880" s="207"/>
      <c r="AL880" s="207"/>
      <c r="AM880" s="207" t="str">
        <f>IFERROR(IF(ISBLANK($D880),"",VLOOKUP($N880,'TABLE CHARGE RATE'!$A$30:$K$106,5,0)),"Check")</f>
        <v/>
      </c>
      <c r="AN880" s="207" t="str">
        <f>IFERROR(IF(ISBLANK($D880),"",VLOOKUP($N880,'TABLE CHARGE RATE'!$A$30:$K$106,6,0)),"Check")</f>
        <v/>
      </c>
      <c r="AO880" s="207" t="str">
        <f>IFERROR(IF(ISBLANK($D880),"",VLOOKUP($N880,'TABLE CHARGE RATE'!$A$30:$K$106,7,0)),"Check")</f>
        <v/>
      </c>
      <c r="AP880" s="207" t="str">
        <f>IFERROR(IF(ISBLANK($D880),"",VLOOKUP($N880,'TABLE CHARGE RATE'!$A$30:$K$106,8,0)),"Check")</f>
        <v/>
      </c>
      <c r="AQ880" s="207" t="str">
        <f>IFERROR(IF(ISBLANK($D880),"",VLOOKUP($N880,'TABLE CHARGE RATE'!$A$30:$K$106,9,0)),"Check")</f>
        <v/>
      </c>
      <c r="AR880" s="207" t="str">
        <f>IFERROR(IF(ISBLANK($D880),"",VLOOKUP($N880,'TABLE CHARGE RATE'!$A$30:$K$106,10,0)),"Check")</f>
        <v/>
      </c>
      <c r="AS880" s="207" t="str">
        <f>IFERROR(IF(ISBLANK($D880),"",VLOOKUP($N880,'TABLE CHARGE RATE'!$A$30:$K$106,11,0)),"Check")</f>
        <v/>
      </c>
      <c r="AT880" s="207"/>
    </row>
    <row r="881" spans="1:46" x14ac:dyDescent="0.2">
      <c r="A881" s="207" t="str">
        <f t="shared" si="123"/>
        <v/>
      </c>
      <c r="B881" s="208" t="str">
        <f>IF(ISBLANK(D881),"",VLOOKUP(WEEKDAY($C881,1),INDEX!$J$2:$K$8,2,0))</f>
        <v/>
      </c>
      <c r="C881" s="209"/>
      <c r="D881" s="207"/>
      <c r="E881" s="207"/>
      <c r="F881" s="207"/>
      <c r="G881" s="207"/>
      <c r="H881" s="207"/>
      <c r="I881" s="207"/>
      <c r="J881" s="207"/>
      <c r="K881" s="207"/>
      <c r="L881" s="207"/>
      <c r="M881" s="207"/>
      <c r="N881" s="207"/>
      <c r="O881" s="207"/>
      <c r="P881" s="207"/>
      <c r="Q881" s="207"/>
      <c r="R881" s="207"/>
      <c r="S881" s="207"/>
      <c r="T881" s="207"/>
      <c r="U881" s="209"/>
      <c r="V881" s="207"/>
      <c r="W881" s="207"/>
      <c r="X881" s="209"/>
      <c r="Y881" s="209"/>
      <c r="Z881" s="207" t="str">
        <f t="shared" ca="1" si="118"/>
        <v/>
      </c>
      <c r="AA881" s="209" t="str">
        <f t="shared" si="122"/>
        <v/>
      </c>
      <c r="AB881" s="209"/>
      <c r="AC881" s="207" t="str">
        <f t="shared" ca="1" si="119"/>
        <v/>
      </c>
      <c r="AD881" s="207"/>
      <c r="AE881" s="207"/>
      <c r="AF881" s="208" t="str">
        <f>IF(ISBLANK(D881),"",VLOOKUP(F881,'SIZE CALCULATION'!$F:$G,2,0))</f>
        <v/>
      </c>
      <c r="AG881" s="207" t="str">
        <f t="shared" si="117"/>
        <v/>
      </c>
      <c r="AH881" s="207" t="str">
        <f t="shared" si="120"/>
        <v/>
      </c>
      <c r="AI881" s="210" t="str">
        <f>IF(ISBLANK(D881),"",VLOOKUP($A881,INDEX!$D$2:$F$13,3,0))</f>
        <v/>
      </c>
      <c r="AJ881" s="207" t="str">
        <f t="shared" si="121"/>
        <v/>
      </c>
      <c r="AK881" s="207"/>
      <c r="AL881" s="207"/>
      <c r="AM881" s="207" t="str">
        <f>IFERROR(IF(ISBLANK($D881),"",VLOOKUP($N881,'TABLE CHARGE RATE'!$A$30:$K$106,5,0)),"Check")</f>
        <v/>
      </c>
      <c r="AN881" s="207" t="str">
        <f>IFERROR(IF(ISBLANK($D881),"",VLOOKUP($N881,'TABLE CHARGE RATE'!$A$30:$K$106,6,0)),"Check")</f>
        <v/>
      </c>
      <c r="AO881" s="207" t="str">
        <f>IFERROR(IF(ISBLANK($D881),"",VLOOKUP($N881,'TABLE CHARGE RATE'!$A$30:$K$106,7,0)),"Check")</f>
        <v/>
      </c>
      <c r="AP881" s="207" t="str">
        <f>IFERROR(IF(ISBLANK($D881),"",VLOOKUP($N881,'TABLE CHARGE RATE'!$A$30:$K$106,8,0)),"Check")</f>
        <v/>
      </c>
      <c r="AQ881" s="207" t="str">
        <f>IFERROR(IF(ISBLANK($D881),"",VLOOKUP($N881,'TABLE CHARGE RATE'!$A$30:$K$106,9,0)),"Check")</f>
        <v/>
      </c>
      <c r="AR881" s="207" t="str">
        <f>IFERROR(IF(ISBLANK($D881),"",VLOOKUP($N881,'TABLE CHARGE RATE'!$A$30:$K$106,10,0)),"Check")</f>
        <v/>
      </c>
      <c r="AS881" s="207" t="str">
        <f>IFERROR(IF(ISBLANK($D881),"",VLOOKUP($N881,'TABLE CHARGE RATE'!$A$30:$K$106,11,0)),"Check")</f>
        <v/>
      </c>
      <c r="AT881" s="207"/>
    </row>
    <row r="882" spans="1:46" x14ac:dyDescent="0.2">
      <c r="A882" s="207" t="str">
        <f t="shared" si="123"/>
        <v/>
      </c>
      <c r="B882" s="208" t="str">
        <f>IF(ISBLANK(D882),"",VLOOKUP(WEEKDAY($C882,1),INDEX!$J$2:$K$8,2,0))</f>
        <v/>
      </c>
      <c r="C882" s="209"/>
      <c r="D882" s="207"/>
      <c r="E882" s="207"/>
      <c r="F882" s="207"/>
      <c r="G882" s="207"/>
      <c r="H882" s="207"/>
      <c r="I882" s="207"/>
      <c r="J882" s="207"/>
      <c r="K882" s="207"/>
      <c r="L882" s="207"/>
      <c r="M882" s="207"/>
      <c r="N882" s="207"/>
      <c r="O882" s="207"/>
      <c r="P882" s="207"/>
      <c r="Q882" s="207"/>
      <c r="R882" s="207"/>
      <c r="S882" s="207"/>
      <c r="T882" s="207"/>
      <c r="U882" s="209"/>
      <c r="V882" s="207"/>
      <c r="W882" s="207"/>
      <c r="X882" s="209"/>
      <c r="Y882" s="209"/>
      <c r="Z882" s="207" t="str">
        <f t="shared" ca="1" si="118"/>
        <v/>
      </c>
      <c r="AA882" s="209" t="str">
        <f t="shared" si="122"/>
        <v/>
      </c>
      <c r="AB882" s="209"/>
      <c r="AC882" s="207" t="str">
        <f t="shared" ca="1" si="119"/>
        <v/>
      </c>
      <c r="AD882" s="207"/>
      <c r="AE882" s="207"/>
      <c r="AF882" s="208" t="str">
        <f>IF(ISBLANK(D882),"",VLOOKUP(F882,'SIZE CALCULATION'!$F:$G,2,0))</f>
        <v/>
      </c>
      <c r="AG882" s="207" t="str">
        <f t="shared" si="117"/>
        <v/>
      </c>
      <c r="AH882" s="207" t="str">
        <f t="shared" si="120"/>
        <v/>
      </c>
      <c r="AI882" s="210" t="str">
        <f>IF(ISBLANK(D882),"",VLOOKUP($A882,INDEX!$D$2:$F$13,3,0))</f>
        <v/>
      </c>
      <c r="AJ882" s="207" t="str">
        <f t="shared" si="121"/>
        <v/>
      </c>
      <c r="AK882" s="207"/>
      <c r="AL882" s="207"/>
      <c r="AM882" s="207" t="str">
        <f>IFERROR(IF(ISBLANK($D882),"",VLOOKUP($N882,'TABLE CHARGE RATE'!$A$30:$K$106,5,0)),"Check")</f>
        <v/>
      </c>
      <c r="AN882" s="207" t="str">
        <f>IFERROR(IF(ISBLANK($D882),"",VLOOKUP($N882,'TABLE CHARGE RATE'!$A$30:$K$106,6,0)),"Check")</f>
        <v/>
      </c>
      <c r="AO882" s="207" t="str">
        <f>IFERROR(IF(ISBLANK($D882),"",VLOOKUP($N882,'TABLE CHARGE RATE'!$A$30:$K$106,7,0)),"Check")</f>
        <v/>
      </c>
      <c r="AP882" s="207" t="str">
        <f>IFERROR(IF(ISBLANK($D882),"",VLOOKUP($N882,'TABLE CHARGE RATE'!$A$30:$K$106,8,0)),"Check")</f>
        <v/>
      </c>
      <c r="AQ882" s="207" t="str">
        <f>IFERROR(IF(ISBLANK($D882),"",VLOOKUP($N882,'TABLE CHARGE RATE'!$A$30:$K$106,9,0)),"Check")</f>
        <v/>
      </c>
      <c r="AR882" s="207" t="str">
        <f>IFERROR(IF(ISBLANK($D882),"",VLOOKUP($N882,'TABLE CHARGE RATE'!$A$30:$K$106,10,0)),"Check")</f>
        <v/>
      </c>
      <c r="AS882" s="207" t="str">
        <f>IFERROR(IF(ISBLANK($D882),"",VLOOKUP($N882,'TABLE CHARGE RATE'!$A$30:$K$106,11,0)),"Check")</f>
        <v/>
      </c>
      <c r="AT882" s="207"/>
    </row>
    <row r="883" spans="1:46" x14ac:dyDescent="0.2">
      <c r="A883" s="207" t="str">
        <f t="shared" si="123"/>
        <v/>
      </c>
      <c r="B883" s="208" t="str">
        <f>IF(ISBLANK(D883),"",VLOOKUP(WEEKDAY($C883,1),INDEX!$J$2:$K$8,2,0))</f>
        <v/>
      </c>
      <c r="C883" s="209"/>
      <c r="D883" s="207"/>
      <c r="E883" s="207"/>
      <c r="F883" s="207"/>
      <c r="G883" s="207"/>
      <c r="H883" s="207"/>
      <c r="I883" s="207"/>
      <c r="J883" s="207"/>
      <c r="K883" s="207"/>
      <c r="L883" s="207"/>
      <c r="M883" s="207"/>
      <c r="N883" s="207"/>
      <c r="O883" s="207"/>
      <c r="P883" s="207"/>
      <c r="Q883" s="207"/>
      <c r="R883" s="207"/>
      <c r="S883" s="207"/>
      <c r="T883" s="207"/>
      <c r="U883" s="209"/>
      <c r="V883" s="207"/>
      <c r="W883" s="207"/>
      <c r="X883" s="209"/>
      <c r="Y883" s="209"/>
      <c r="Z883" s="207" t="str">
        <f t="shared" ca="1" si="118"/>
        <v/>
      </c>
      <c r="AA883" s="209" t="str">
        <f t="shared" si="122"/>
        <v/>
      </c>
      <c r="AB883" s="209"/>
      <c r="AC883" s="207" t="str">
        <f t="shared" ca="1" si="119"/>
        <v/>
      </c>
      <c r="AD883" s="207"/>
      <c r="AE883" s="207"/>
      <c r="AF883" s="208" t="str">
        <f>IF(ISBLANK(D883),"",VLOOKUP(F883,'SIZE CALCULATION'!$F:$G,2,0))</f>
        <v/>
      </c>
      <c r="AG883" s="207" t="str">
        <f t="shared" ref="AG883:AG946" si="124">IF(ISBLANK(D883),"",HLOOKUP($AF883,$AM$1:$AR$966,$AT883,0))</f>
        <v/>
      </c>
      <c r="AH883" s="207" t="str">
        <f t="shared" si="120"/>
        <v/>
      </c>
      <c r="AI883" s="210" t="str">
        <f>IF(ISBLANK(D883),"",VLOOKUP($A883,INDEX!$D$2:$F$13,3,0))</f>
        <v/>
      </c>
      <c r="AJ883" s="207" t="str">
        <f t="shared" si="121"/>
        <v/>
      </c>
      <c r="AK883" s="207"/>
      <c r="AL883" s="207"/>
      <c r="AM883" s="207" t="str">
        <f>IFERROR(IF(ISBLANK($D883),"",VLOOKUP($N883,'TABLE CHARGE RATE'!$A$30:$K$106,5,0)),"Check")</f>
        <v/>
      </c>
      <c r="AN883" s="207" t="str">
        <f>IFERROR(IF(ISBLANK($D883),"",VLOOKUP($N883,'TABLE CHARGE RATE'!$A$30:$K$106,6,0)),"Check")</f>
        <v/>
      </c>
      <c r="AO883" s="207" t="str">
        <f>IFERROR(IF(ISBLANK($D883),"",VLOOKUP($N883,'TABLE CHARGE RATE'!$A$30:$K$106,7,0)),"Check")</f>
        <v/>
      </c>
      <c r="AP883" s="207" t="str">
        <f>IFERROR(IF(ISBLANK($D883),"",VLOOKUP($N883,'TABLE CHARGE RATE'!$A$30:$K$106,8,0)),"Check")</f>
        <v/>
      </c>
      <c r="AQ883" s="207" t="str">
        <f>IFERROR(IF(ISBLANK($D883),"",VLOOKUP($N883,'TABLE CHARGE RATE'!$A$30:$K$106,9,0)),"Check")</f>
        <v/>
      </c>
      <c r="AR883" s="207" t="str">
        <f>IFERROR(IF(ISBLANK($D883),"",VLOOKUP($N883,'TABLE CHARGE RATE'!$A$30:$K$106,10,0)),"Check")</f>
        <v/>
      </c>
      <c r="AS883" s="207" t="str">
        <f>IFERROR(IF(ISBLANK($D883),"",VLOOKUP($N883,'TABLE CHARGE RATE'!$A$30:$K$106,11,0)),"Check")</f>
        <v/>
      </c>
      <c r="AT883" s="207"/>
    </row>
    <row r="884" spans="1:46" x14ac:dyDescent="0.2">
      <c r="A884" s="207" t="str">
        <f t="shared" si="123"/>
        <v/>
      </c>
      <c r="B884" s="208" t="str">
        <f>IF(ISBLANK(D884),"",VLOOKUP(WEEKDAY($C884,1),INDEX!$J$2:$K$8,2,0))</f>
        <v/>
      </c>
      <c r="C884" s="209"/>
      <c r="D884" s="207"/>
      <c r="E884" s="207"/>
      <c r="F884" s="207"/>
      <c r="G884" s="207"/>
      <c r="H884" s="207"/>
      <c r="I884" s="207"/>
      <c r="J884" s="207"/>
      <c r="K884" s="207"/>
      <c r="L884" s="207"/>
      <c r="M884" s="207"/>
      <c r="N884" s="207"/>
      <c r="O884" s="207"/>
      <c r="P884" s="207"/>
      <c r="Q884" s="207"/>
      <c r="R884" s="207"/>
      <c r="S884" s="207"/>
      <c r="T884" s="207"/>
      <c r="U884" s="209"/>
      <c r="V884" s="207"/>
      <c r="W884" s="207"/>
      <c r="X884" s="209"/>
      <c r="Y884" s="209"/>
      <c r="Z884" s="207" t="str">
        <f t="shared" ca="1" si="118"/>
        <v/>
      </c>
      <c r="AA884" s="209" t="str">
        <f t="shared" si="122"/>
        <v/>
      </c>
      <c r="AB884" s="209"/>
      <c r="AC884" s="207" t="str">
        <f t="shared" ca="1" si="119"/>
        <v/>
      </c>
      <c r="AD884" s="207"/>
      <c r="AE884" s="207"/>
      <c r="AF884" s="208" t="str">
        <f>IF(ISBLANK(D884),"",VLOOKUP(F884,'SIZE CALCULATION'!$F:$G,2,0))</f>
        <v/>
      </c>
      <c r="AG884" s="207" t="str">
        <f t="shared" si="124"/>
        <v/>
      </c>
      <c r="AH884" s="207" t="str">
        <f t="shared" si="120"/>
        <v/>
      </c>
      <c r="AI884" s="210" t="str">
        <f>IF(ISBLANK(D884),"",VLOOKUP($A884,INDEX!$D$2:$F$13,3,0))</f>
        <v/>
      </c>
      <c r="AJ884" s="207" t="str">
        <f t="shared" si="121"/>
        <v/>
      </c>
      <c r="AK884" s="207"/>
      <c r="AL884" s="207"/>
      <c r="AM884" s="207" t="str">
        <f>IFERROR(IF(ISBLANK($D884),"",VLOOKUP($N884,'TABLE CHARGE RATE'!$A$30:$K$106,5,0)),"Check")</f>
        <v/>
      </c>
      <c r="AN884" s="207" t="str">
        <f>IFERROR(IF(ISBLANK($D884),"",VLOOKUP($N884,'TABLE CHARGE RATE'!$A$30:$K$106,6,0)),"Check")</f>
        <v/>
      </c>
      <c r="AO884" s="207" t="str">
        <f>IFERROR(IF(ISBLANK($D884),"",VLOOKUP($N884,'TABLE CHARGE RATE'!$A$30:$K$106,7,0)),"Check")</f>
        <v/>
      </c>
      <c r="AP884" s="207" t="str">
        <f>IFERROR(IF(ISBLANK($D884),"",VLOOKUP($N884,'TABLE CHARGE RATE'!$A$30:$K$106,8,0)),"Check")</f>
        <v/>
      </c>
      <c r="AQ884" s="207" t="str">
        <f>IFERROR(IF(ISBLANK($D884),"",VLOOKUP($N884,'TABLE CHARGE RATE'!$A$30:$K$106,9,0)),"Check")</f>
        <v/>
      </c>
      <c r="AR884" s="207" t="str">
        <f>IFERROR(IF(ISBLANK($D884),"",VLOOKUP($N884,'TABLE CHARGE RATE'!$A$30:$K$106,10,0)),"Check")</f>
        <v/>
      </c>
      <c r="AS884" s="207" t="str">
        <f>IFERROR(IF(ISBLANK($D884),"",VLOOKUP($N884,'TABLE CHARGE RATE'!$A$30:$K$106,11,0)),"Check")</f>
        <v/>
      </c>
      <c r="AT884" s="207"/>
    </row>
    <row r="885" spans="1:46" x14ac:dyDescent="0.2">
      <c r="A885" s="207" t="str">
        <f t="shared" si="123"/>
        <v/>
      </c>
      <c r="B885" s="208" t="str">
        <f>IF(ISBLANK(D885),"",VLOOKUP(WEEKDAY($C885,1),INDEX!$J$2:$K$8,2,0))</f>
        <v/>
      </c>
      <c r="C885" s="209"/>
      <c r="D885" s="207"/>
      <c r="E885" s="207"/>
      <c r="F885" s="207"/>
      <c r="G885" s="207"/>
      <c r="H885" s="207"/>
      <c r="I885" s="207"/>
      <c r="J885" s="207"/>
      <c r="K885" s="207"/>
      <c r="L885" s="207"/>
      <c r="M885" s="207"/>
      <c r="N885" s="207"/>
      <c r="O885" s="207"/>
      <c r="P885" s="207"/>
      <c r="Q885" s="207"/>
      <c r="R885" s="207"/>
      <c r="S885" s="207"/>
      <c r="T885" s="207"/>
      <c r="U885" s="209"/>
      <c r="V885" s="207"/>
      <c r="W885" s="207"/>
      <c r="X885" s="209"/>
      <c r="Y885" s="209"/>
      <c r="Z885" s="207" t="str">
        <f t="shared" ca="1" si="118"/>
        <v/>
      </c>
      <c r="AA885" s="209" t="str">
        <f t="shared" si="122"/>
        <v/>
      </c>
      <c r="AB885" s="209"/>
      <c r="AC885" s="207" t="str">
        <f t="shared" ca="1" si="119"/>
        <v/>
      </c>
      <c r="AD885" s="207"/>
      <c r="AE885" s="207"/>
      <c r="AF885" s="208" t="str">
        <f>IF(ISBLANK(D885),"",VLOOKUP(F885,'SIZE CALCULATION'!$F:$G,2,0))</f>
        <v/>
      </c>
      <c r="AG885" s="207" t="str">
        <f t="shared" si="124"/>
        <v/>
      </c>
      <c r="AH885" s="207" t="str">
        <f t="shared" si="120"/>
        <v/>
      </c>
      <c r="AI885" s="210" t="str">
        <f>IF(ISBLANK(D885),"",VLOOKUP($A885,INDEX!$D$2:$F$13,3,0))</f>
        <v/>
      </c>
      <c r="AJ885" s="207" t="str">
        <f t="shared" si="121"/>
        <v/>
      </c>
      <c r="AK885" s="207"/>
      <c r="AL885" s="207"/>
      <c r="AM885" s="207" t="str">
        <f>IFERROR(IF(ISBLANK($D885),"",VLOOKUP($N885,'TABLE CHARGE RATE'!$A$30:$K$106,5,0)),"Check")</f>
        <v/>
      </c>
      <c r="AN885" s="207" t="str">
        <f>IFERROR(IF(ISBLANK($D885),"",VLOOKUP($N885,'TABLE CHARGE RATE'!$A$30:$K$106,6,0)),"Check")</f>
        <v/>
      </c>
      <c r="AO885" s="207" t="str">
        <f>IFERROR(IF(ISBLANK($D885),"",VLOOKUP($N885,'TABLE CHARGE RATE'!$A$30:$K$106,7,0)),"Check")</f>
        <v/>
      </c>
      <c r="AP885" s="207" t="str">
        <f>IFERROR(IF(ISBLANK($D885),"",VLOOKUP($N885,'TABLE CHARGE RATE'!$A$30:$K$106,8,0)),"Check")</f>
        <v/>
      </c>
      <c r="AQ885" s="207" t="str">
        <f>IFERROR(IF(ISBLANK($D885),"",VLOOKUP($N885,'TABLE CHARGE RATE'!$A$30:$K$106,9,0)),"Check")</f>
        <v/>
      </c>
      <c r="AR885" s="207" t="str">
        <f>IFERROR(IF(ISBLANK($D885),"",VLOOKUP($N885,'TABLE CHARGE RATE'!$A$30:$K$106,10,0)),"Check")</f>
        <v/>
      </c>
      <c r="AS885" s="207" t="str">
        <f>IFERROR(IF(ISBLANK($D885),"",VLOOKUP($N885,'TABLE CHARGE RATE'!$A$30:$K$106,11,0)),"Check")</f>
        <v/>
      </c>
      <c r="AT885" s="207"/>
    </row>
    <row r="886" spans="1:46" x14ac:dyDescent="0.2">
      <c r="A886" s="207" t="str">
        <f t="shared" si="123"/>
        <v/>
      </c>
      <c r="B886" s="208" t="str">
        <f>IF(ISBLANK(D886),"",VLOOKUP(WEEKDAY($C886,1),INDEX!$J$2:$K$8,2,0))</f>
        <v/>
      </c>
      <c r="C886" s="209"/>
      <c r="D886" s="207"/>
      <c r="E886" s="207"/>
      <c r="F886" s="207"/>
      <c r="G886" s="207"/>
      <c r="H886" s="207"/>
      <c r="I886" s="207"/>
      <c r="J886" s="207"/>
      <c r="K886" s="207"/>
      <c r="L886" s="207"/>
      <c r="M886" s="207"/>
      <c r="N886" s="207"/>
      <c r="O886" s="207"/>
      <c r="P886" s="207"/>
      <c r="Q886" s="207"/>
      <c r="R886" s="207"/>
      <c r="S886" s="207"/>
      <c r="T886" s="207"/>
      <c r="U886" s="209"/>
      <c r="V886" s="207"/>
      <c r="W886" s="207"/>
      <c r="X886" s="209"/>
      <c r="Y886" s="209"/>
      <c r="Z886" s="207" t="str">
        <f t="shared" ca="1" si="118"/>
        <v/>
      </c>
      <c r="AA886" s="209" t="str">
        <f t="shared" si="122"/>
        <v/>
      </c>
      <c r="AB886" s="209"/>
      <c r="AC886" s="207" t="str">
        <f t="shared" ca="1" si="119"/>
        <v/>
      </c>
      <c r="AD886" s="207"/>
      <c r="AE886" s="207"/>
      <c r="AF886" s="208" t="str">
        <f>IF(ISBLANK(D886),"",VLOOKUP(F886,'SIZE CALCULATION'!$F:$G,2,0))</f>
        <v/>
      </c>
      <c r="AG886" s="207" t="str">
        <f t="shared" si="124"/>
        <v/>
      </c>
      <c r="AH886" s="207" t="str">
        <f t="shared" si="120"/>
        <v/>
      </c>
      <c r="AI886" s="210" t="str">
        <f>IF(ISBLANK(D886),"",VLOOKUP($A886,INDEX!$D$2:$F$13,3,0))</f>
        <v/>
      </c>
      <c r="AJ886" s="207" t="str">
        <f t="shared" si="121"/>
        <v/>
      </c>
      <c r="AK886" s="207"/>
      <c r="AL886" s="207"/>
      <c r="AM886" s="207" t="str">
        <f>IFERROR(IF(ISBLANK($D886),"",VLOOKUP($N886,'TABLE CHARGE RATE'!$A$30:$K$106,5,0)),"Check")</f>
        <v/>
      </c>
      <c r="AN886" s="207" t="str">
        <f>IFERROR(IF(ISBLANK($D886),"",VLOOKUP($N886,'TABLE CHARGE RATE'!$A$30:$K$106,6,0)),"Check")</f>
        <v/>
      </c>
      <c r="AO886" s="207" t="str">
        <f>IFERROR(IF(ISBLANK($D886),"",VLOOKUP($N886,'TABLE CHARGE RATE'!$A$30:$K$106,7,0)),"Check")</f>
        <v/>
      </c>
      <c r="AP886" s="207" t="str">
        <f>IFERROR(IF(ISBLANK($D886),"",VLOOKUP($N886,'TABLE CHARGE RATE'!$A$30:$K$106,8,0)),"Check")</f>
        <v/>
      </c>
      <c r="AQ886" s="207" t="str">
        <f>IFERROR(IF(ISBLANK($D886),"",VLOOKUP($N886,'TABLE CHARGE RATE'!$A$30:$K$106,9,0)),"Check")</f>
        <v/>
      </c>
      <c r="AR886" s="207" t="str">
        <f>IFERROR(IF(ISBLANK($D886),"",VLOOKUP($N886,'TABLE CHARGE RATE'!$A$30:$K$106,10,0)),"Check")</f>
        <v/>
      </c>
      <c r="AS886" s="207" t="str">
        <f>IFERROR(IF(ISBLANK($D886),"",VLOOKUP($N886,'TABLE CHARGE RATE'!$A$30:$K$106,11,0)),"Check")</f>
        <v/>
      </c>
      <c r="AT886" s="207"/>
    </row>
    <row r="887" spans="1:46" x14ac:dyDescent="0.2">
      <c r="A887" s="207" t="str">
        <f t="shared" si="123"/>
        <v/>
      </c>
      <c r="B887" s="208" t="str">
        <f>IF(ISBLANK(D887),"",VLOOKUP(WEEKDAY($C887,1),INDEX!$J$2:$K$8,2,0))</f>
        <v/>
      </c>
      <c r="C887" s="209"/>
      <c r="D887" s="207"/>
      <c r="E887" s="207"/>
      <c r="F887" s="207"/>
      <c r="G887" s="207"/>
      <c r="H887" s="207"/>
      <c r="I887" s="207"/>
      <c r="J887" s="207"/>
      <c r="K887" s="207"/>
      <c r="L887" s="207"/>
      <c r="M887" s="207"/>
      <c r="N887" s="207"/>
      <c r="O887" s="207"/>
      <c r="P887" s="207"/>
      <c r="Q887" s="207"/>
      <c r="R887" s="207"/>
      <c r="S887" s="207"/>
      <c r="T887" s="207"/>
      <c r="U887" s="209"/>
      <c r="V887" s="207"/>
      <c r="W887" s="207"/>
      <c r="X887" s="209"/>
      <c r="Y887" s="209"/>
      <c r="Z887" s="207" t="str">
        <f t="shared" ca="1" si="118"/>
        <v/>
      </c>
      <c r="AA887" s="209" t="str">
        <f t="shared" si="122"/>
        <v/>
      </c>
      <c r="AB887" s="209"/>
      <c r="AC887" s="207" t="str">
        <f t="shared" ca="1" si="119"/>
        <v/>
      </c>
      <c r="AD887" s="207"/>
      <c r="AE887" s="207"/>
      <c r="AF887" s="208" t="str">
        <f>IF(ISBLANK(D887),"",VLOOKUP(F887,'SIZE CALCULATION'!$F:$G,2,0))</f>
        <v/>
      </c>
      <c r="AG887" s="207" t="str">
        <f t="shared" si="124"/>
        <v/>
      </c>
      <c r="AH887" s="207" t="str">
        <f t="shared" si="120"/>
        <v/>
      </c>
      <c r="AI887" s="210" t="str">
        <f>IF(ISBLANK(D887),"",VLOOKUP($A887,INDEX!$D$2:$F$13,3,0))</f>
        <v/>
      </c>
      <c r="AJ887" s="207" t="str">
        <f t="shared" si="121"/>
        <v/>
      </c>
      <c r="AK887" s="207"/>
      <c r="AL887" s="207"/>
      <c r="AM887" s="207" t="str">
        <f>IFERROR(IF(ISBLANK($D887),"",VLOOKUP($N887,'TABLE CHARGE RATE'!$A$30:$K$106,5,0)),"Check")</f>
        <v/>
      </c>
      <c r="AN887" s="207" t="str">
        <f>IFERROR(IF(ISBLANK($D887),"",VLOOKUP($N887,'TABLE CHARGE RATE'!$A$30:$K$106,6,0)),"Check")</f>
        <v/>
      </c>
      <c r="AO887" s="207" t="str">
        <f>IFERROR(IF(ISBLANK($D887),"",VLOOKUP($N887,'TABLE CHARGE RATE'!$A$30:$K$106,7,0)),"Check")</f>
        <v/>
      </c>
      <c r="AP887" s="207" t="str">
        <f>IFERROR(IF(ISBLANK($D887),"",VLOOKUP($N887,'TABLE CHARGE RATE'!$A$30:$K$106,8,0)),"Check")</f>
        <v/>
      </c>
      <c r="AQ887" s="207" t="str">
        <f>IFERROR(IF(ISBLANK($D887),"",VLOOKUP($N887,'TABLE CHARGE RATE'!$A$30:$K$106,9,0)),"Check")</f>
        <v/>
      </c>
      <c r="AR887" s="207" t="str">
        <f>IFERROR(IF(ISBLANK($D887),"",VLOOKUP($N887,'TABLE CHARGE RATE'!$A$30:$K$106,10,0)),"Check")</f>
        <v/>
      </c>
      <c r="AS887" s="207" t="str">
        <f>IFERROR(IF(ISBLANK($D887),"",VLOOKUP($N887,'TABLE CHARGE RATE'!$A$30:$K$106,11,0)),"Check")</f>
        <v/>
      </c>
      <c r="AT887" s="207"/>
    </row>
    <row r="888" spans="1:46" x14ac:dyDescent="0.2">
      <c r="A888" s="207" t="str">
        <f t="shared" si="123"/>
        <v/>
      </c>
      <c r="B888" s="208" t="str">
        <f>IF(ISBLANK(D888),"",VLOOKUP(WEEKDAY($C888,1),INDEX!$J$2:$K$8,2,0))</f>
        <v/>
      </c>
      <c r="C888" s="209"/>
      <c r="D888" s="207"/>
      <c r="E888" s="207"/>
      <c r="F888" s="207"/>
      <c r="G888" s="207"/>
      <c r="H888" s="207"/>
      <c r="I888" s="207"/>
      <c r="J888" s="207"/>
      <c r="K888" s="207"/>
      <c r="L888" s="207"/>
      <c r="M888" s="207"/>
      <c r="N888" s="207"/>
      <c r="O888" s="207"/>
      <c r="P888" s="207"/>
      <c r="Q888" s="207"/>
      <c r="R888" s="207"/>
      <c r="S888" s="207"/>
      <c r="T888" s="207"/>
      <c r="U888" s="209"/>
      <c r="V888" s="207"/>
      <c r="W888" s="207"/>
      <c r="X888" s="209"/>
      <c r="Y888" s="209"/>
      <c r="Z888" s="207" t="str">
        <f t="shared" ca="1" si="118"/>
        <v/>
      </c>
      <c r="AA888" s="209" t="str">
        <f t="shared" si="122"/>
        <v/>
      </c>
      <c r="AB888" s="209"/>
      <c r="AC888" s="207" t="str">
        <f t="shared" ca="1" si="119"/>
        <v/>
      </c>
      <c r="AD888" s="207"/>
      <c r="AE888" s="207"/>
      <c r="AF888" s="208" t="str">
        <f>IF(ISBLANK(D888),"",VLOOKUP(F888,'SIZE CALCULATION'!$F:$G,2,0))</f>
        <v/>
      </c>
      <c r="AG888" s="207" t="str">
        <f t="shared" si="124"/>
        <v/>
      </c>
      <c r="AH888" s="207" t="str">
        <f t="shared" si="120"/>
        <v/>
      </c>
      <c r="AI888" s="210" t="str">
        <f>IF(ISBLANK(D888),"",VLOOKUP($A888,INDEX!$D$2:$F$13,3,0))</f>
        <v/>
      </c>
      <c r="AJ888" s="207" t="str">
        <f t="shared" si="121"/>
        <v/>
      </c>
      <c r="AK888" s="207"/>
      <c r="AL888" s="207"/>
      <c r="AM888" s="207" t="str">
        <f>IFERROR(IF(ISBLANK($D888),"",VLOOKUP($N888,'TABLE CHARGE RATE'!$A$30:$K$106,5,0)),"Check")</f>
        <v/>
      </c>
      <c r="AN888" s="207" t="str">
        <f>IFERROR(IF(ISBLANK($D888),"",VLOOKUP($N888,'TABLE CHARGE RATE'!$A$30:$K$106,6,0)),"Check")</f>
        <v/>
      </c>
      <c r="AO888" s="207" t="str">
        <f>IFERROR(IF(ISBLANK($D888),"",VLOOKUP($N888,'TABLE CHARGE RATE'!$A$30:$K$106,7,0)),"Check")</f>
        <v/>
      </c>
      <c r="AP888" s="207" t="str">
        <f>IFERROR(IF(ISBLANK($D888),"",VLOOKUP($N888,'TABLE CHARGE RATE'!$A$30:$K$106,8,0)),"Check")</f>
        <v/>
      </c>
      <c r="AQ888" s="207" t="str">
        <f>IFERROR(IF(ISBLANK($D888),"",VLOOKUP($N888,'TABLE CHARGE RATE'!$A$30:$K$106,9,0)),"Check")</f>
        <v/>
      </c>
      <c r="AR888" s="207" t="str">
        <f>IFERROR(IF(ISBLANK($D888),"",VLOOKUP($N888,'TABLE CHARGE RATE'!$A$30:$K$106,10,0)),"Check")</f>
        <v/>
      </c>
      <c r="AS888" s="207" t="str">
        <f>IFERROR(IF(ISBLANK($D888),"",VLOOKUP($N888,'TABLE CHARGE RATE'!$A$30:$K$106,11,0)),"Check")</f>
        <v/>
      </c>
      <c r="AT888" s="207"/>
    </row>
    <row r="889" spans="1:46" x14ac:dyDescent="0.2">
      <c r="A889" s="207" t="str">
        <f t="shared" si="123"/>
        <v/>
      </c>
      <c r="B889" s="208" t="str">
        <f>IF(ISBLANK(D889),"",VLOOKUP(WEEKDAY($C889,1),INDEX!$J$2:$K$8,2,0))</f>
        <v/>
      </c>
      <c r="C889" s="209"/>
      <c r="D889" s="207"/>
      <c r="E889" s="207"/>
      <c r="F889" s="207"/>
      <c r="G889" s="207"/>
      <c r="H889" s="207"/>
      <c r="I889" s="207"/>
      <c r="J889" s="207"/>
      <c r="K889" s="207"/>
      <c r="L889" s="207"/>
      <c r="M889" s="207"/>
      <c r="N889" s="207"/>
      <c r="O889" s="207"/>
      <c r="P889" s="207"/>
      <c r="Q889" s="207"/>
      <c r="R889" s="207"/>
      <c r="S889" s="207"/>
      <c r="T889" s="207"/>
      <c r="U889" s="209"/>
      <c r="V889" s="207"/>
      <c r="W889" s="207"/>
      <c r="X889" s="209"/>
      <c r="Y889" s="209"/>
      <c r="Z889" s="207" t="str">
        <f t="shared" ca="1" si="118"/>
        <v/>
      </c>
      <c r="AA889" s="209" t="str">
        <f t="shared" si="122"/>
        <v/>
      </c>
      <c r="AB889" s="209"/>
      <c r="AC889" s="207" t="str">
        <f t="shared" ca="1" si="119"/>
        <v/>
      </c>
      <c r="AD889" s="207"/>
      <c r="AE889" s="207"/>
      <c r="AF889" s="208" t="str">
        <f>IF(ISBLANK(D889),"",VLOOKUP(F889,'SIZE CALCULATION'!$F:$G,2,0))</f>
        <v/>
      </c>
      <c r="AG889" s="207" t="str">
        <f t="shared" si="124"/>
        <v/>
      </c>
      <c r="AH889" s="207" t="str">
        <f t="shared" si="120"/>
        <v/>
      </c>
      <c r="AI889" s="210" t="str">
        <f>IF(ISBLANK(D889),"",VLOOKUP($A889,INDEX!$D$2:$F$13,3,0))</f>
        <v/>
      </c>
      <c r="AJ889" s="207" t="str">
        <f t="shared" si="121"/>
        <v/>
      </c>
      <c r="AK889" s="207"/>
      <c r="AL889" s="207"/>
      <c r="AM889" s="207" t="str">
        <f>IFERROR(IF(ISBLANK($D889),"",VLOOKUP($N889,'TABLE CHARGE RATE'!$A$30:$K$106,5,0)),"Check")</f>
        <v/>
      </c>
      <c r="AN889" s="207" t="str">
        <f>IFERROR(IF(ISBLANK($D889),"",VLOOKUP($N889,'TABLE CHARGE RATE'!$A$30:$K$106,6,0)),"Check")</f>
        <v/>
      </c>
      <c r="AO889" s="207" t="str">
        <f>IFERROR(IF(ISBLANK($D889),"",VLOOKUP($N889,'TABLE CHARGE RATE'!$A$30:$K$106,7,0)),"Check")</f>
        <v/>
      </c>
      <c r="AP889" s="207" t="str">
        <f>IFERROR(IF(ISBLANK($D889),"",VLOOKUP($N889,'TABLE CHARGE RATE'!$A$30:$K$106,8,0)),"Check")</f>
        <v/>
      </c>
      <c r="AQ889" s="207" t="str">
        <f>IFERROR(IF(ISBLANK($D889),"",VLOOKUP($N889,'TABLE CHARGE RATE'!$A$30:$K$106,9,0)),"Check")</f>
        <v/>
      </c>
      <c r="AR889" s="207" t="str">
        <f>IFERROR(IF(ISBLANK($D889),"",VLOOKUP($N889,'TABLE CHARGE RATE'!$A$30:$K$106,10,0)),"Check")</f>
        <v/>
      </c>
      <c r="AS889" s="207" t="str">
        <f>IFERROR(IF(ISBLANK($D889),"",VLOOKUP($N889,'TABLE CHARGE RATE'!$A$30:$K$106,11,0)),"Check")</f>
        <v/>
      </c>
      <c r="AT889" s="207"/>
    </row>
    <row r="890" spans="1:46" x14ac:dyDescent="0.2">
      <c r="A890" s="207" t="str">
        <f t="shared" si="123"/>
        <v/>
      </c>
      <c r="B890" s="208" t="str">
        <f>IF(ISBLANK(D890),"",VLOOKUP(WEEKDAY($C890,1),INDEX!$J$2:$K$8,2,0))</f>
        <v/>
      </c>
      <c r="C890" s="209"/>
      <c r="D890" s="207"/>
      <c r="E890" s="207"/>
      <c r="F890" s="207"/>
      <c r="G890" s="207"/>
      <c r="H890" s="207"/>
      <c r="I890" s="207"/>
      <c r="J890" s="207"/>
      <c r="K890" s="207"/>
      <c r="L890" s="207"/>
      <c r="M890" s="207"/>
      <c r="N890" s="207"/>
      <c r="O890" s="207"/>
      <c r="P890" s="207"/>
      <c r="Q890" s="207"/>
      <c r="R890" s="207"/>
      <c r="S890" s="207"/>
      <c r="T890" s="207"/>
      <c r="U890" s="209"/>
      <c r="V890" s="207"/>
      <c r="W890" s="207"/>
      <c r="X890" s="209"/>
      <c r="Y890" s="209"/>
      <c r="Z890" s="207" t="str">
        <f t="shared" ca="1" si="118"/>
        <v/>
      </c>
      <c r="AA890" s="209" t="str">
        <f t="shared" si="122"/>
        <v/>
      </c>
      <c r="AB890" s="209"/>
      <c r="AC890" s="207" t="str">
        <f t="shared" ca="1" si="119"/>
        <v/>
      </c>
      <c r="AD890" s="207"/>
      <c r="AE890" s="207"/>
      <c r="AF890" s="208" t="str">
        <f>IF(ISBLANK(D890),"",VLOOKUP(F890,'SIZE CALCULATION'!$F:$G,2,0))</f>
        <v/>
      </c>
      <c r="AG890" s="207" t="str">
        <f t="shared" si="124"/>
        <v/>
      </c>
      <c r="AH890" s="207" t="str">
        <f t="shared" si="120"/>
        <v/>
      </c>
      <c r="AI890" s="210" t="str">
        <f>IF(ISBLANK(D890),"",VLOOKUP($A890,INDEX!$D$2:$F$13,3,0))</f>
        <v/>
      </c>
      <c r="AJ890" s="207" t="str">
        <f t="shared" si="121"/>
        <v/>
      </c>
      <c r="AK890" s="207"/>
      <c r="AL890" s="207"/>
      <c r="AM890" s="207" t="str">
        <f>IFERROR(IF(ISBLANK($D890),"",VLOOKUP($N890,'TABLE CHARGE RATE'!$A$30:$K$106,5,0)),"Check")</f>
        <v/>
      </c>
      <c r="AN890" s="207" t="str">
        <f>IFERROR(IF(ISBLANK($D890),"",VLOOKUP($N890,'TABLE CHARGE RATE'!$A$30:$K$106,6,0)),"Check")</f>
        <v/>
      </c>
      <c r="AO890" s="207" t="str">
        <f>IFERROR(IF(ISBLANK($D890),"",VLOOKUP($N890,'TABLE CHARGE RATE'!$A$30:$K$106,7,0)),"Check")</f>
        <v/>
      </c>
      <c r="AP890" s="207" t="str">
        <f>IFERROR(IF(ISBLANK($D890),"",VLOOKUP($N890,'TABLE CHARGE RATE'!$A$30:$K$106,8,0)),"Check")</f>
        <v/>
      </c>
      <c r="AQ890" s="207" t="str">
        <f>IFERROR(IF(ISBLANK($D890),"",VLOOKUP($N890,'TABLE CHARGE RATE'!$A$30:$K$106,9,0)),"Check")</f>
        <v/>
      </c>
      <c r="AR890" s="207" t="str">
        <f>IFERROR(IF(ISBLANK($D890),"",VLOOKUP($N890,'TABLE CHARGE RATE'!$A$30:$K$106,10,0)),"Check")</f>
        <v/>
      </c>
      <c r="AS890" s="207" t="str">
        <f>IFERROR(IF(ISBLANK($D890),"",VLOOKUP($N890,'TABLE CHARGE RATE'!$A$30:$K$106,11,0)),"Check")</f>
        <v/>
      </c>
      <c r="AT890" s="207"/>
    </row>
    <row r="891" spans="1:46" x14ac:dyDescent="0.2">
      <c r="A891" s="207" t="str">
        <f t="shared" si="123"/>
        <v/>
      </c>
      <c r="B891" s="208" t="str">
        <f>IF(ISBLANK(D891),"",VLOOKUP(WEEKDAY($C891,1),INDEX!$J$2:$K$8,2,0))</f>
        <v/>
      </c>
      <c r="C891" s="209"/>
      <c r="D891" s="207"/>
      <c r="E891" s="207"/>
      <c r="F891" s="207"/>
      <c r="G891" s="207"/>
      <c r="H891" s="207"/>
      <c r="I891" s="207"/>
      <c r="J891" s="207"/>
      <c r="K891" s="207"/>
      <c r="L891" s="207"/>
      <c r="M891" s="207"/>
      <c r="N891" s="207"/>
      <c r="O891" s="207"/>
      <c r="P891" s="207"/>
      <c r="Q891" s="207"/>
      <c r="R891" s="207"/>
      <c r="S891" s="207"/>
      <c r="T891" s="207"/>
      <c r="U891" s="209"/>
      <c r="V891" s="207"/>
      <c r="W891" s="207"/>
      <c r="X891" s="209"/>
      <c r="Y891" s="209"/>
      <c r="Z891" s="207" t="str">
        <f t="shared" ca="1" si="118"/>
        <v/>
      </c>
      <c r="AA891" s="209" t="str">
        <f t="shared" si="122"/>
        <v/>
      </c>
      <c r="AB891" s="209"/>
      <c r="AC891" s="207" t="str">
        <f t="shared" ca="1" si="119"/>
        <v/>
      </c>
      <c r="AD891" s="207"/>
      <c r="AE891" s="207"/>
      <c r="AF891" s="208" t="str">
        <f>IF(ISBLANK(D891),"",VLOOKUP(F891,'SIZE CALCULATION'!$F:$G,2,0))</f>
        <v/>
      </c>
      <c r="AG891" s="207" t="str">
        <f t="shared" si="124"/>
        <v/>
      </c>
      <c r="AH891" s="207" t="str">
        <f t="shared" si="120"/>
        <v/>
      </c>
      <c r="AI891" s="210" t="str">
        <f>IF(ISBLANK(D891),"",VLOOKUP($A891,INDEX!$D$2:$F$13,3,0))</f>
        <v/>
      </c>
      <c r="AJ891" s="207" t="str">
        <f t="shared" si="121"/>
        <v/>
      </c>
      <c r="AK891" s="207"/>
      <c r="AL891" s="207"/>
      <c r="AM891" s="207" t="str">
        <f>IFERROR(IF(ISBLANK($D891),"",VLOOKUP($N891,'TABLE CHARGE RATE'!$A$30:$K$106,5,0)),"Check")</f>
        <v/>
      </c>
      <c r="AN891" s="207" t="str">
        <f>IFERROR(IF(ISBLANK($D891),"",VLOOKUP($N891,'TABLE CHARGE RATE'!$A$30:$K$106,6,0)),"Check")</f>
        <v/>
      </c>
      <c r="AO891" s="207" t="str">
        <f>IFERROR(IF(ISBLANK($D891),"",VLOOKUP($N891,'TABLE CHARGE RATE'!$A$30:$K$106,7,0)),"Check")</f>
        <v/>
      </c>
      <c r="AP891" s="207" t="str">
        <f>IFERROR(IF(ISBLANK($D891),"",VLOOKUP($N891,'TABLE CHARGE RATE'!$A$30:$K$106,8,0)),"Check")</f>
        <v/>
      </c>
      <c r="AQ891" s="207" t="str">
        <f>IFERROR(IF(ISBLANK($D891),"",VLOOKUP($N891,'TABLE CHARGE RATE'!$A$30:$K$106,9,0)),"Check")</f>
        <v/>
      </c>
      <c r="AR891" s="207" t="str">
        <f>IFERROR(IF(ISBLANK($D891),"",VLOOKUP($N891,'TABLE CHARGE RATE'!$A$30:$K$106,10,0)),"Check")</f>
        <v/>
      </c>
      <c r="AS891" s="207" t="str">
        <f>IFERROR(IF(ISBLANK($D891),"",VLOOKUP($N891,'TABLE CHARGE RATE'!$A$30:$K$106,11,0)),"Check")</f>
        <v/>
      </c>
      <c r="AT891" s="207"/>
    </row>
    <row r="892" spans="1:46" x14ac:dyDescent="0.2">
      <c r="A892" s="207" t="str">
        <f t="shared" si="123"/>
        <v/>
      </c>
      <c r="B892" s="208" t="str">
        <f>IF(ISBLANK(D892),"",VLOOKUP(WEEKDAY($C892,1),INDEX!$J$2:$K$8,2,0))</f>
        <v/>
      </c>
      <c r="C892" s="209"/>
      <c r="D892" s="207"/>
      <c r="E892" s="207"/>
      <c r="F892" s="207"/>
      <c r="G892" s="207"/>
      <c r="H892" s="207"/>
      <c r="I892" s="207"/>
      <c r="J892" s="207"/>
      <c r="K892" s="207"/>
      <c r="L892" s="207"/>
      <c r="M892" s="207"/>
      <c r="N892" s="207"/>
      <c r="O892" s="207"/>
      <c r="P892" s="207"/>
      <c r="Q892" s="207"/>
      <c r="R892" s="207"/>
      <c r="S892" s="207"/>
      <c r="T892" s="207"/>
      <c r="U892" s="209"/>
      <c r="V892" s="207"/>
      <c r="W892" s="207"/>
      <c r="X892" s="209"/>
      <c r="Y892" s="209"/>
      <c r="Z892" s="207" t="str">
        <f t="shared" ca="1" si="118"/>
        <v/>
      </c>
      <c r="AA892" s="209" t="str">
        <f t="shared" si="122"/>
        <v/>
      </c>
      <c r="AB892" s="209"/>
      <c r="AC892" s="207" t="str">
        <f t="shared" ca="1" si="119"/>
        <v/>
      </c>
      <c r="AD892" s="207"/>
      <c r="AE892" s="207"/>
      <c r="AF892" s="208" t="str">
        <f>IF(ISBLANK(D892),"",VLOOKUP(F892,'SIZE CALCULATION'!$F:$G,2,0))</f>
        <v/>
      </c>
      <c r="AG892" s="207" t="str">
        <f t="shared" si="124"/>
        <v/>
      </c>
      <c r="AH892" s="207" t="str">
        <f t="shared" si="120"/>
        <v/>
      </c>
      <c r="AI892" s="210" t="str">
        <f>IF(ISBLANK(D892),"",VLOOKUP($A892,INDEX!$D$2:$F$13,3,0))</f>
        <v/>
      </c>
      <c r="AJ892" s="207" t="str">
        <f t="shared" si="121"/>
        <v/>
      </c>
      <c r="AK892" s="207"/>
      <c r="AL892" s="207"/>
      <c r="AM892" s="207" t="str">
        <f>IFERROR(IF(ISBLANK($D892),"",VLOOKUP($N892,'TABLE CHARGE RATE'!$A$30:$K$106,5,0)),"Check")</f>
        <v/>
      </c>
      <c r="AN892" s="207" t="str">
        <f>IFERROR(IF(ISBLANK($D892),"",VLOOKUP($N892,'TABLE CHARGE RATE'!$A$30:$K$106,6,0)),"Check")</f>
        <v/>
      </c>
      <c r="AO892" s="207" t="str">
        <f>IFERROR(IF(ISBLANK($D892),"",VLOOKUP($N892,'TABLE CHARGE RATE'!$A$30:$K$106,7,0)),"Check")</f>
        <v/>
      </c>
      <c r="AP892" s="207" t="str">
        <f>IFERROR(IF(ISBLANK($D892),"",VLOOKUP($N892,'TABLE CHARGE RATE'!$A$30:$K$106,8,0)),"Check")</f>
        <v/>
      </c>
      <c r="AQ892" s="207" t="str">
        <f>IFERROR(IF(ISBLANK($D892),"",VLOOKUP($N892,'TABLE CHARGE RATE'!$A$30:$K$106,9,0)),"Check")</f>
        <v/>
      </c>
      <c r="AR892" s="207" t="str">
        <f>IFERROR(IF(ISBLANK($D892),"",VLOOKUP($N892,'TABLE CHARGE RATE'!$A$30:$K$106,10,0)),"Check")</f>
        <v/>
      </c>
      <c r="AS892" s="207" t="str">
        <f>IFERROR(IF(ISBLANK($D892),"",VLOOKUP($N892,'TABLE CHARGE RATE'!$A$30:$K$106,11,0)),"Check")</f>
        <v/>
      </c>
      <c r="AT892" s="207"/>
    </row>
    <row r="893" spans="1:46" x14ac:dyDescent="0.2">
      <c r="A893" s="207" t="str">
        <f t="shared" si="123"/>
        <v/>
      </c>
      <c r="B893" s="208" t="str">
        <f>IF(ISBLANK(D893),"",VLOOKUP(WEEKDAY($C893,1),INDEX!$J$2:$K$8,2,0))</f>
        <v/>
      </c>
      <c r="C893" s="209"/>
      <c r="D893" s="207"/>
      <c r="E893" s="207"/>
      <c r="F893" s="207"/>
      <c r="G893" s="207"/>
      <c r="H893" s="207"/>
      <c r="I893" s="207"/>
      <c r="J893" s="207"/>
      <c r="K893" s="207"/>
      <c r="L893" s="207"/>
      <c r="M893" s="207"/>
      <c r="N893" s="207"/>
      <c r="O893" s="207"/>
      <c r="P893" s="207"/>
      <c r="Q893" s="207"/>
      <c r="R893" s="207"/>
      <c r="S893" s="207"/>
      <c r="T893" s="207"/>
      <c r="U893" s="209"/>
      <c r="V893" s="207"/>
      <c r="W893" s="207"/>
      <c r="X893" s="209"/>
      <c r="Y893" s="209"/>
      <c r="Z893" s="207" t="str">
        <f t="shared" ca="1" si="118"/>
        <v/>
      </c>
      <c r="AA893" s="209" t="str">
        <f t="shared" si="122"/>
        <v/>
      </c>
      <c r="AB893" s="209"/>
      <c r="AC893" s="207" t="str">
        <f t="shared" ca="1" si="119"/>
        <v/>
      </c>
      <c r="AD893" s="207"/>
      <c r="AE893" s="207"/>
      <c r="AF893" s="208" t="str">
        <f>IF(ISBLANK(D893),"",VLOOKUP(F893,'SIZE CALCULATION'!$F:$G,2,0))</f>
        <v/>
      </c>
      <c r="AG893" s="207" t="str">
        <f t="shared" si="124"/>
        <v/>
      </c>
      <c r="AH893" s="207" t="str">
        <f t="shared" si="120"/>
        <v/>
      </c>
      <c r="AI893" s="210" t="str">
        <f>IF(ISBLANK(D893),"",VLOOKUP($A893,INDEX!$D$2:$F$13,3,0))</f>
        <v/>
      </c>
      <c r="AJ893" s="207" t="str">
        <f t="shared" si="121"/>
        <v/>
      </c>
      <c r="AK893" s="207"/>
      <c r="AL893" s="207"/>
      <c r="AM893" s="207" t="str">
        <f>IFERROR(IF(ISBLANK($D893),"",VLOOKUP($N893,'TABLE CHARGE RATE'!$A$30:$K$106,5,0)),"Check")</f>
        <v/>
      </c>
      <c r="AN893" s="207" t="str">
        <f>IFERROR(IF(ISBLANK($D893),"",VLOOKUP($N893,'TABLE CHARGE RATE'!$A$30:$K$106,6,0)),"Check")</f>
        <v/>
      </c>
      <c r="AO893" s="207" t="str">
        <f>IFERROR(IF(ISBLANK($D893),"",VLOOKUP($N893,'TABLE CHARGE RATE'!$A$30:$K$106,7,0)),"Check")</f>
        <v/>
      </c>
      <c r="AP893" s="207" t="str">
        <f>IFERROR(IF(ISBLANK($D893),"",VLOOKUP($N893,'TABLE CHARGE RATE'!$A$30:$K$106,8,0)),"Check")</f>
        <v/>
      </c>
      <c r="AQ893" s="207" t="str">
        <f>IFERROR(IF(ISBLANK($D893),"",VLOOKUP($N893,'TABLE CHARGE RATE'!$A$30:$K$106,9,0)),"Check")</f>
        <v/>
      </c>
      <c r="AR893" s="207" t="str">
        <f>IFERROR(IF(ISBLANK($D893),"",VLOOKUP($N893,'TABLE CHARGE RATE'!$A$30:$K$106,10,0)),"Check")</f>
        <v/>
      </c>
      <c r="AS893" s="207" t="str">
        <f>IFERROR(IF(ISBLANK($D893),"",VLOOKUP($N893,'TABLE CHARGE RATE'!$A$30:$K$106,11,0)),"Check")</f>
        <v/>
      </c>
      <c r="AT893" s="207"/>
    </row>
    <row r="894" spans="1:46" x14ac:dyDescent="0.2">
      <c r="A894" s="207" t="str">
        <f t="shared" si="123"/>
        <v/>
      </c>
      <c r="B894" s="208" t="str">
        <f>IF(ISBLANK(D894),"",VLOOKUP(WEEKDAY($C894,1),INDEX!$J$2:$K$8,2,0))</f>
        <v/>
      </c>
      <c r="C894" s="209"/>
      <c r="D894" s="207"/>
      <c r="E894" s="207"/>
      <c r="F894" s="207"/>
      <c r="G894" s="207"/>
      <c r="H894" s="207"/>
      <c r="I894" s="207"/>
      <c r="J894" s="207"/>
      <c r="K894" s="207"/>
      <c r="L894" s="207"/>
      <c r="M894" s="207"/>
      <c r="N894" s="207"/>
      <c r="O894" s="207"/>
      <c r="P894" s="207"/>
      <c r="Q894" s="207"/>
      <c r="R894" s="207"/>
      <c r="S894" s="207"/>
      <c r="T894" s="207"/>
      <c r="U894" s="209"/>
      <c r="V894" s="207"/>
      <c r="W894" s="207"/>
      <c r="X894" s="209"/>
      <c r="Y894" s="209"/>
      <c r="Z894" s="207" t="str">
        <f t="shared" ca="1" si="118"/>
        <v/>
      </c>
      <c r="AA894" s="209" t="str">
        <f t="shared" si="122"/>
        <v/>
      </c>
      <c r="AB894" s="209"/>
      <c r="AC894" s="207" t="str">
        <f t="shared" ca="1" si="119"/>
        <v/>
      </c>
      <c r="AD894" s="207"/>
      <c r="AE894" s="207"/>
      <c r="AF894" s="208" t="str">
        <f>IF(ISBLANK(D894),"",VLOOKUP(F894,'SIZE CALCULATION'!$F:$G,2,0))</f>
        <v/>
      </c>
      <c r="AG894" s="207" t="str">
        <f t="shared" si="124"/>
        <v/>
      </c>
      <c r="AH894" s="207" t="str">
        <f t="shared" si="120"/>
        <v/>
      </c>
      <c r="AI894" s="210" t="str">
        <f>IF(ISBLANK(D894),"",VLOOKUP($A894,INDEX!$D$2:$F$13,3,0))</f>
        <v/>
      </c>
      <c r="AJ894" s="207" t="str">
        <f t="shared" si="121"/>
        <v/>
      </c>
      <c r="AK894" s="207"/>
      <c r="AL894" s="207"/>
      <c r="AM894" s="207" t="str">
        <f>IFERROR(IF(ISBLANK($D894),"",VLOOKUP($N894,'TABLE CHARGE RATE'!$A$30:$K$106,5,0)),"Check")</f>
        <v/>
      </c>
      <c r="AN894" s="207" t="str">
        <f>IFERROR(IF(ISBLANK($D894),"",VLOOKUP($N894,'TABLE CHARGE RATE'!$A$30:$K$106,6,0)),"Check")</f>
        <v/>
      </c>
      <c r="AO894" s="207" t="str">
        <f>IFERROR(IF(ISBLANK($D894),"",VLOOKUP($N894,'TABLE CHARGE RATE'!$A$30:$K$106,7,0)),"Check")</f>
        <v/>
      </c>
      <c r="AP894" s="207" t="str">
        <f>IFERROR(IF(ISBLANK($D894),"",VLOOKUP($N894,'TABLE CHARGE RATE'!$A$30:$K$106,8,0)),"Check")</f>
        <v/>
      </c>
      <c r="AQ894" s="207" t="str">
        <f>IFERROR(IF(ISBLANK($D894),"",VLOOKUP($N894,'TABLE CHARGE RATE'!$A$30:$K$106,9,0)),"Check")</f>
        <v/>
      </c>
      <c r="AR894" s="207" t="str">
        <f>IFERROR(IF(ISBLANK($D894),"",VLOOKUP($N894,'TABLE CHARGE RATE'!$A$30:$K$106,10,0)),"Check")</f>
        <v/>
      </c>
      <c r="AS894" s="207" t="str">
        <f>IFERROR(IF(ISBLANK($D894),"",VLOOKUP($N894,'TABLE CHARGE RATE'!$A$30:$K$106,11,0)),"Check")</f>
        <v/>
      </c>
      <c r="AT894" s="207"/>
    </row>
    <row r="895" spans="1:46" x14ac:dyDescent="0.2">
      <c r="A895" s="207" t="str">
        <f t="shared" si="123"/>
        <v/>
      </c>
      <c r="B895" s="208" t="str">
        <f>IF(ISBLANK(D895),"",VLOOKUP(WEEKDAY($C895,1),INDEX!$J$2:$K$8,2,0))</f>
        <v/>
      </c>
      <c r="C895" s="209"/>
      <c r="D895" s="207"/>
      <c r="E895" s="207"/>
      <c r="F895" s="207"/>
      <c r="G895" s="207"/>
      <c r="H895" s="207"/>
      <c r="I895" s="207"/>
      <c r="J895" s="207"/>
      <c r="K895" s="207"/>
      <c r="L895" s="207"/>
      <c r="M895" s="207"/>
      <c r="N895" s="207"/>
      <c r="O895" s="207"/>
      <c r="P895" s="207"/>
      <c r="Q895" s="207"/>
      <c r="R895" s="207"/>
      <c r="S895" s="207"/>
      <c r="T895" s="207"/>
      <c r="U895" s="209"/>
      <c r="V895" s="207"/>
      <c r="W895" s="207"/>
      <c r="X895" s="209"/>
      <c r="Y895" s="209"/>
      <c r="Z895" s="207" t="str">
        <f t="shared" ca="1" si="118"/>
        <v/>
      </c>
      <c r="AA895" s="209" t="str">
        <f t="shared" si="122"/>
        <v/>
      </c>
      <c r="AB895" s="209"/>
      <c r="AC895" s="207" t="str">
        <f t="shared" ca="1" si="119"/>
        <v/>
      </c>
      <c r="AD895" s="207"/>
      <c r="AE895" s="207"/>
      <c r="AF895" s="208" t="str">
        <f>IF(ISBLANK(D895),"",VLOOKUP(F895,'SIZE CALCULATION'!$F:$G,2,0))</f>
        <v/>
      </c>
      <c r="AG895" s="207" t="str">
        <f t="shared" si="124"/>
        <v/>
      </c>
      <c r="AH895" s="207" t="str">
        <f t="shared" si="120"/>
        <v/>
      </c>
      <c r="AI895" s="210" t="str">
        <f>IF(ISBLANK(D895),"",VLOOKUP($A895,INDEX!$D$2:$F$13,3,0))</f>
        <v/>
      </c>
      <c r="AJ895" s="207" t="str">
        <f t="shared" si="121"/>
        <v/>
      </c>
      <c r="AK895" s="207"/>
      <c r="AL895" s="207"/>
      <c r="AM895" s="207" t="str">
        <f>IFERROR(IF(ISBLANK($D895),"",VLOOKUP($N895,'TABLE CHARGE RATE'!$A$30:$K$106,5,0)),"Check")</f>
        <v/>
      </c>
      <c r="AN895" s="207" t="str">
        <f>IFERROR(IF(ISBLANK($D895),"",VLOOKUP($N895,'TABLE CHARGE RATE'!$A$30:$K$106,6,0)),"Check")</f>
        <v/>
      </c>
      <c r="AO895" s="207" t="str">
        <f>IFERROR(IF(ISBLANK($D895),"",VLOOKUP($N895,'TABLE CHARGE RATE'!$A$30:$K$106,7,0)),"Check")</f>
        <v/>
      </c>
      <c r="AP895" s="207" t="str">
        <f>IFERROR(IF(ISBLANK($D895),"",VLOOKUP($N895,'TABLE CHARGE RATE'!$A$30:$K$106,8,0)),"Check")</f>
        <v/>
      </c>
      <c r="AQ895" s="207" t="str">
        <f>IFERROR(IF(ISBLANK($D895),"",VLOOKUP($N895,'TABLE CHARGE RATE'!$A$30:$K$106,9,0)),"Check")</f>
        <v/>
      </c>
      <c r="AR895" s="207" t="str">
        <f>IFERROR(IF(ISBLANK($D895),"",VLOOKUP($N895,'TABLE CHARGE RATE'!$A$30:$K$106,10,0)),"Check")</f>
        <v/>
      </c>
      <c r="AS895" s="207" t="str">
        <f>IFERROR(IF(ISBLANK($D895),"",VLOOKUP($N895,'TABLE CHARGE RATE'!$A$30:$K$106,11,0)),"Check")</f>
        <v/>
      </c>
      <c r="AT895" s="207"/>
    </row>
    <row r="896" spans="1:46" x14ac:dyDescent="0.2">
      <c r="A896" s="207" t="str">
        <f t="shared" si="123"/>
        <v/>
      </c>
      <c r="B896" s="208" t="str">
        <f>IF(ISBLANK(D896),"",VLOOKUP(WEEKDAY($C896,1),INDEX!$J$2:$K$8,2,0))</f>
        <v/>
      </c>
      <c r="C896" s="209"/>
      <c r="D896" s="207"/>
      <c r="E896" s="207"/>
      <c r="F896" s="207"/>
      <c r="G896" s="207"/>
      <c r="H896" s="207"/>
      <c r="I896" s="207"/>
      <c r="J896" s="207"/>
      <c r="K896" s="207"/>
      <c r="L896" s="207"/>
      <c r="M896" s="207"/>
      <c r="N896" s="207"/>
      <c r="O896" s="207"/>
      <c r="P896" s="207"/>
      <c r="Q896" s="207"/>
      <c r="R896" s="207"/>
      <c r="S896" s="207"/>
      <c r="T896" s="207"/>
      <c r="U896" s="209"/>
      <c r="V896" s="207"/>
      <c r="W896" s="207"/>
      <c r="X896" s="209"/>
      <c r="Y896" s="209"/>
      <c r="Z896" s="207" t="str">
        <f t="shared" ca="1" si="118"/>
        <v/>
      </c>
      <c r="AA896" s="209" t="str">
        <f t="shared" si="122"/>
        <v/>
      </c>
      <c r="AB896" s="209"/>
      <c r="AC896" s="207" t="str">
        <f t="shared" ca="1" si="119"/>
        <v/>
      </c>
      <c r="AD896" s="207"/>
      <c r="AE896" s="207"/>
      <c r="AF896" s="208" t="str">
        <f>IF(ISBLANK(D896),"",VLOOKUP(F896,'SIZE CALCULATION'!$F:$G,2,0))</f>
        <v/>
      </c>
      <c r="AG896" s="207" t="str">
        <f t="shared" si="124"/>
        <v/>
      </c>
      <c r="AH896" s="207" t="str">
        <f t="shared" si="120"/>
        <v/>
      </c>
      <c r="AI896" s="210" t="str">
        <f>IF(ISBLANK(D896),"",VLOOKUP($A896,INDEX!$D$2:$F$13,3,0))</f>
        <v/>
      </c>
      <c r="AJ896" s="207" t="str">
        <f t="shared" si="121"/>
        <v/>
      </c>
      <c r="AK896" s="207"/>
      <c r="AL896" s="207"/>
      <c r="AM896" s="207" t="str">
        <f>IFERROR(IF(ISBLANK($D896),"",VLOOKUP($N896,'TABLE CHARGE RATE'!$A$30:$K$106,5,0)),"Check")</f>
        <v/>
      </c>
      <c r="AN896" s="207" t="str">
        <f>IFERROR(IF(ISBLANK($D896),"",VLOOKUP($N896,'TABLE CHARGE RATE'!$A$30:$K$106,6,0)),"Check")</f>
        <v/>
      </c>
      <c r="AO896" s="207" t="str">
        <f>IFERROR(IF(ISBLANK($D896),"",VLOOKUP($N896,'TABLE CHARGE RATE'!$A$30:$K$106,7,0)),"Check")</f>
        <v/>
      </c>
      <c r="AP896" s="207" t="str">
        <f>IFERROR(IF(ISBLANK($D896),"",VLOOKUP($N896,'TABLE CHARGE RATE'!$A$30:$K$106,8,0)),"Check")</f>
        <v/>
      </c>
      <c r="AQ896" s="207" t="str">
        <f>IFERROR(IF(ISBLANK($D896),"",VLOOKUP($N896,'TABLE CHARGE RATE'!$A$30:$K$106,9,0)),"Check")</f>
        <v/>
      </c>
      <c r="AR896" s="207" t="str">
        <f>IFERROR(IF(ISBLANK($D896),"",VLOOKUP($N896,'TABLE CHARGE RATE'!$A$30:$K$106,10,0)),"Check")</f>
        <v/>
      </c>
      <c r="AS896" s="207" t="str">
        <f>IFERROR(IF(ISBLANK($D896),"",VLOOKUP($N896,'TABLE CHARGE RATE'!$A$30:$K$106,11,0)),"Check")</f>
        <v/>
      </c>
      <c r="AT896" s="207"/>
    </row>
    <row r="897" spans="1:46" x14ac:dyDescent="0.2">
      <c r="A897" s="207" t="str">
        <f t="shared" si="123"/>
        <v/>
      </c>
      <c r="B897" s="208" t="str">
        <f>IF(ISBLANK(D897),"",VLOOKUP(WEEKDAY($C897,1),INDEX!$J$2:$K$8,2,0))</f>
        <v/>
      </c>
      <c r="C897" s="209"/>
      <c r="D897" s="207"/>
      <c r="E897" s="207"/>
      <c r="F897" s="207"/>
      <c r="G897" s="207"/>
      <c r="H897" s="207"/>
      <c r="I897" s="207"/>
      <c r="J897" s="207"/>
      <c r="K897" s="207"/>
      <c r="L897" s="207"/>
      <c r="M897" s="207"/>
      <c r="N897" s="207"/>
      <c r="O897" s="207"/>
      <c r="P897" s="207"/>
      <c r="Q897" s="207"/>
      <c r="R897" s="207"/>
      <c r="S897" s="207"/>
      <c r="T897" s="207"/>
      <c r="U897" s="209"/>
      <c r="V897" s="207"/>
      <c r="W897" s="207"/>
      <c r="X897" s="209"/>
      <c r="Y897" s="209"/>
      <c r="Z897" s="207" t="str">
        <f t="shared" ca="1" si="118"/>
        <v/>
      </c>
      <c r="AA897" s="209" t="str">
        <f t="shared" si="122"/>
        <v/>
      </c>
      <c r="AB897" s="209"/>
      <c r="AC897" s="207" t="str">
        <f t="shared" ca="1" si="119"/>
        <v/>
      </c>
      <c r="AD897" s="207"/>
      <c r="AE897" s="207"/>
      <c r="AF897" s="208" t="str">
        <f>IF(ISBLANK(D897),"",VLOOKUP(F897,'SIZE CALCULATION'!$F:$G,2,0))</f>
        <v/>
      </c>
      <c r="AG897" s="207" t="str">
        <f t="shared" si="124"/>
        <v/>
      </c>
      <c r="AH897" s="207" t="str">
        <f t="shared" si="120"/>
        <v/>
      </c>
      <c r="AI897" s="210" t="str">
        <f>IF(ISBLANK(D897),"",VLOOKUP($A897,INDEX!$D$2:$F$13,3,0))</f>
        <v/>
      </c>
      <c r="AJ897" s="207" t="str">
        <f t="shared" si="121"/>
        <v/>
      </c>
      <c r="AK897" s="207"/>
      <c r="AL897" s="207"/>
      <c r="AM897" s="207" t="str">
        <f>IFERROR(IF(ISBLANK($D897),"",VLOOKUP($N897,'TABLE CHARGE RATE'!$A$30:$K$106,5,0)),"Check")</f>
        <v/>
      </c>
      <c r="AN897" s="207" t="str">
        <f>IFERROR(IF(ISBLANK($D897),"",VLOOKUP($N897,'TABLE CHARGE RATE'!$A$30:$K$106,6,0)),"Check")</f>
        <v/>
      </c>
      <c r="AO897" s="207" t="str">
        <f>IFERROR(IF(ISBLANK($D897),"",VLOOKUP($N897,'TABLE CHARGE RATE'!$A$30:$K$106,7,0)),"Check")</f>
        <v/>
      </c>
      <c r="AP897" s="207" t="str">
        <f>IFERROR(IF(ISBLANK($D897),"",VLOOKUP($N897,'TABLE CHARGE RATE'!$A$30:$K$106,8,0)),"Check")</f>
        <v/>
      </c>
      <c r="AQ897" s="207" t="str">
        <f>IFERROR(IF(ISBLANK($D897),"",VLOOKUP($N897,'TABLE CHARGE RATE'!$A$30:$K$106,9,0)),"Check")</f>
        <v/>
      </c>
      <c r="AR897" s="207" t="str">
        <f>IFERROR(IF(ISBLANK($D897),"",VLOOKUP($N897,'TABLE CHARGE RATE'!$A$30:$K$106,10,0)),"Check")</f>
        <v/>
      </c>
      <c r="AS897" s="207" t="str">
        <f>IFERROR(IF(ISBLANK($D897),"",VLOOKUP($N897,'TABLE CHARGE RATE'!$A$30:$K$106,11,0)),"Check")</f>
        <v/>
      </c>
      <c r="AT897" s="207"/>
    </row>
    <row r="898" spans="1:46" x14ac:dyDescent="0.2">
      <c r="A898" s="207" t="str">
        <f t="shared" si="123"/>
        <v/>
      </c>
      <c r="B898" s="208" t="str">
        <f>IF(ISBLANK(D898),"",VLOOKUP(WEEKDAY($C898,1),INDEX!$J$2:$K$8,2,0))</f>
        <v/>
      </c>
      <c r="C898" s="209"/>
      <c r="D898" s="207"/>
      <c r="E898" s="207"/>
      <c r="F898" s="207"/>
      <c r="G898" s="207"/>
      <c r="H898" s="207"/>
      <c r="I898" s="207"/>
      <c r="J898" s="207"/>
      <c r="K898" s="207"/>
      <c r="L898" s="207"/>
      <c r="M898" s="207"/>
      <c r="N898" s="207"/>
      <c r="O898" s="207"/>
      <c r="P898" s="207"/>
      <c r="Q898" s="207"/>
      <c r="R898" s="207"/>
      <c r="S898" s="207"/>
      <c r="T898" s="207"/>
      <c r="U898" s="209"/>
      <c r="V898" s="207"/>
      <c r="W898" s="207"/>
      <c r="X898" s="209"/>
      <c r="Y898" s="209"/>
      <c r="Z898" s="207" t="str">
        <f t="shared" ca="1" si="118"/>
        <v/>
      </c>
      <c r="AA898" s="209" t="str">
        <f t="shared" si="122"/>
        <v/>
      </c>
      <c r="AB898" s="209"/>
      <c r="AC898" s="207" t="str">
        <f t="shared" ca="1" si="119"/>
        <v/>
      </c>
      <c r="AD898" s="207"/>
      <c r="AE898" s="207"/>
      <c r="AF898" s="208" t="str">
        <f>IF(ISBLANK(D898),"",VLOOKUP(F898,'SIZE CALCULATION'!$F:$G,2,0))</f>
        <v/>
      </c>
      <c r="AG898" s="207" t="str">
        <f t="shared" si="124"/>
        <v/>
      </c>
      <c r="AH898" s="207" t="str">
        <f t="shared" si="120"/>
        <v/>
      </c>
      <c r="AI898" s="210" t="str">
        <f>IF(ISBLANK(D898),"",VLOOKUP($A898,INDEX!$D$2:$F$13,3,0))</f>
        <v/>
      </c>
      <c r="AJ898" s="207" t="str">
        <f t="shared" si="121"/>
        <v/>
      </c>
      <c r="AK898" s="207"/>
      <c r="AL898" s="207"/>
      <c r="AM898" s="207" t="str">
        <f>IFERROR(IF(ISBLANK($D898),"",VLOOKUP($N898,'TABLE CHARGE RATE'!$A$30:$K$106,5,0)),"Check")</f>
        <v/>
      </c>
      <c r="AN898" s="207" t="str">
        <f>IFERROR(IF(ISBLANK($D898),"",VLOOKUP($N898,'TABLE CHARGE RATE'!$A$30:$K$106,6,0)),"Check")</f>
        <v/>
      </c>
      <c r="AO898" s="207" t="str">
        <f>IFERROR(IF(ISBLANK($D898),"",VLOOKUP($N898,'TABLE CHARGE RATE'!$A$30:$K$106,7,0)),"Check")</f>
        <v/>
      </c>
      <c r="AP898" s="207" t="str">
        <f>IFERROR(IF(ISBLANK($D898),"",VLOOKUP($N898,'TABLE CHARGE RATE'!$A$30:$K$106,8,0)),"Check")</f>
        <v/>
      </c>
      <c r="AQ898" s="207" t="str">
        <f>IFERROR(IF(ISBLANK($D898),"",VLOOKUP($N898,'TABLE CHARGE RATE'!$A$30:$K$106,9,0)),"Check")</f>
        <v/>
      </c>
      <c r="AR898" s="207" t="str">
        <f>IFERROR(IF(ISBLANK($D898),"",VLOOKUP($N898,'TABLE CHARGE RATE'!$A$30:$K$106,10,0)),"Check")</f>
        <v/>
      </c>
      <c r="AS898" s="207" t="str">
        <f>IFERROR(IF(ISBLANK($D898),"",VLOOKUP($N898,'TABLE CHARGE RATE'!$A$30:$K$106,11,0)),"Check")</f>
        <v/>
      </c>
      <c r="AT898" s="207"/>
    </row>
    <row r="899" spans="1:46" x14ac:dyDescent="0.2">
      <c r="A899" s="207" t="str">
        <f t="shared" si="123"/>
        <v/>
      </c>
      <c r="B899" s="208" t="str">
        <f>IF(ISBLANK(D899),"",VLOOKUP(WEEKDAY($C899,1),INDEX!$J$2:$K$8,2,0))</f>
        <v/>
      </c>
      <c r="C899" s="209"/>
      <c r="D899" s="207"/>
      <c r="E899" s="207"/>
      <c r="F899" s="207"/>
      <c r="G899" s="207"/>
      <c r="H899" s="207"/>
      <c r="I899" s="207"/>
      <c r="J899" s="207"/>
      <c r="K899" s="207"/>
      <c r="L899" s="207"/>
      <c r="M899" s="207"/>
      <c r="N899" s="207"/>
      <c r="O899" s="207"/>
      <c r="P899" s="207"/>
      <c r="Q899" s="207"/>
      <c r="R899" s="207"/>
      <c r="S899" s="207"/>
      <c r="T899" s="207"/>
      <c r="U899" s="209"/>
      <c r="V899" s="207"/>
      <c r="W899" s="207"/>
      <c r="X899" s="209"/>
      <c r="Y899" s="209"/>
      <c r="Z899" s="207" t="str">
        <f t="shared" ca="1" si="118"/>
        <v/>
      </c>
      <c r="AA899" s="209" t="str">
        <f t="shared" si="122"/>
        <v/>
      </c>
      <c r="AB899" s="209"/>
      <c r="AC899" s="207" t="str">
        <f t="shared" ca="1" si="119"/>
        <v/>
      </c>
      <c r="AD899" s="207"/>
      <c r="AE899" s="207"/>
      <c r="AF899" s="208" t="str">
        <f>IF(ISBLANK(D899),"",VLOOKUP(F899,'SIZE CALCULATION'!$F:$G,2,0))</f>
        <v/>
      </c>
      <c r="AG899" s="207" t="str">
        <f t="shared" si="124"/>
        <v/>
      </c>
      <c r="AH899" s="207" t="str">
        <f t="shared" si="120"/>
        <v/>
      </c>
      <c r="AI899" s="210" t="str">
        <f>IF(ISBLANK(D899),"",VLOOKUP($A899,INDEX!$D$2:$F$13,3,0))</f>
        <v/>
      </c>
      <c r="AJ899" s="207" t="str">
        <f t="shared" si="121"/>
        <v/>
      </c>
      <c r="AK899" s="207"/>
      <c r="AL899" s="207"/>
      <c r="AM899" s="207" t="str">
        <f>IFERROR(IF(ISBLANK($D899),"",VLOOKUP($N899,'TABLE CHARGE RATE'!$A$30:$K$106,5,0)),"Check")</f>
        <v/>
      </c>
      <c r="AN899" s="207" t="str">
        <f>IFERROR(IF(ISBLANK($D899),"",VLOOKUP($N899,'TABLE CHARGE RATE'!$A$30:$K$106,6,0)),"Check")</f>
        <v/>
      </c>
      <c r="AO899" s="207" t="str">
        <f>IFERROR(IF(ISBLANK($D899),"",VLOOKUP($N899,'TABLE CHARGE RATE'!$A$30:$K$106,7,0)),"Check")</f>
        <v/>
      </c>
      <c r="AP899" s="207" t="str">
        <f>IFERROR(IF(ISBLANK($D899),"",VLOOKUP($N899,'TABLE CHARGE RATE'!$A$30:$K$106,8,0)),"Check")</f>
        <v/>
      </c>
      <c r="AQ899" s="207" t="str">
        <f>IFERROR(IF(ISBLANK($D899),"",VLOOKUP($N899,'TABLE CHARGE RATE'!$A$30:$K$106,9,0)),"Check")</f>
        <v/>
      </c>
      <c r="AR899" s="207" t="str">
        <f>IFERROR(IF(ISBLANK($D899),"",VLOOKUP($N899,'TABLE CHARGE RATE'!$A$30:$K$106,10,0)),"Check")</f>
        <v/>
      </c>
      <c r="AS899" s="207" t="str">
        <f>IFERROR(IF(ISBLANK($D899),"",VLOOKUP($N899,'TABLE CHARGE RATE'!$A$30:$K$106,11,0)),"Check")</f>
        <v/>
      </c>
      <c r="AT899" s="207"/>
    </row>
    <row r="900" spans="1:46" x14ac:dyDescent="0.2">
      <c r="A900" s="207" t="str">
        <f t="shared" si="123"/>
        <v/>
      </c>
      <c r="B900" s="208" t="str">
        <f>IF(ISBLANK(D900),"",VLOOKUP(WEEKDAY($C900,1),INDEX!$J$2:$K$8,2,0))</f>
        <v/>
      </c>
      <c r="C900" s="209"/>
      <c r="D900" s="207"/>
      <c r="E900" s="207"/>
      <c r="F900" s="207"/>
      <c r="G900" s="207"/>
      <c r="H900" s="207"/>
      <c r="I900" s="207"/>
      <c r="J900" s="207"/>
      <c r="K900" s="207"/>
      <c r="L900" s="207"/>
      <c r="M900" s="207"/>
      <c r="N900" s="207"/>
      <c r="O900" s="207"/>
      <c r="P900" s="207"/>
      <c r="Q900" s="207"/>
      <c r="R900" s="207"/>
      <c r="S900" s="207"/>
      <c r="T900" s="207"/>
      <c r="U900" s="209"/>
      <c r="V900" s="207"/>
      <c r="W900" s="207"/>
      <c r="X900" s="209"/>
      <c r="Y900" s="209"/>
      <c r="Z900" s="207" t="str">
        <f t="shared" ca="1" si="118"/>
        <v/>
      </c>
      <c r="AA900" s="209" t="str">
        <f t="shared" si="122"/>
        <v/>
      </c>
      <c r="AB900" s="209"/>
      <c r="AC900" s="207" t="str">
        <f t="shared" ca="1" si="119"/>
        <v/>
      </c>
      <c r="AD900" s="207"/>
      <c r="AE900" s="207"/>
      <c r="AF900" s="208" t="str">
        <f>IF(ISBLANK(D900),"",VLOOKUP(F900,'SIZE CALCULATION'!$F:$G,2,0))</f>
        <v/>
      </c>
      <c r="AG900" s="207" t="str">
        <f t="shared" si="124"/>
        <v/>
      </c>
      <c r="AH900" s="207" t="str">
        <f t="shared" si="120"/>
        <v/>
      </c>
      <c r="AI900" s="210" t="str">
        <f>IF(ISBLANK(D900),"",VLOOKUP($A900,INDEX!$D$2:$F$13,3,0))</f>
        <v/>
      </c>
      <c r="AJ900" s="207" t="str">
        <f t="shared" si="121"/>
        <v/>
      </c>
      <c r="AK900" s="207"/>
      <c r="AL900" s="207"/>
      <c r="AM900" s="207" t="str">
        <f>IFERROR(IF(ISBLANK($D900),"",VLOOKUP($N900,'TABLE CHARGE RATE'!$A$30:$K$106,5,0)),"Check")</f>
        <v/>
      </c>
      <c r="AN900" s="207" t="str">
        <f>IFERROR(IF(ISBLANK($D900),"",VLOOKUP($N900,'TABLE CHARGE RATE'!$A$30:$K$106,6,0)),"Check")</f>
        <v/>
      </c>
      <c r="AO900" s="207" t="str">
        <f>IFERROR(IF(ISBLANK($D900),"",VLOOKUP($N900,'TABLE CHARGE RATE'!$A$30:$K$106,7,0)),"Check")</f>
        <v/>
      </c>
      <c r="AP900" s="207" t="str">
        <f>IFERROR(IF(ISBLANK($D900),"",VLOOKUP($N900,'TABLE CHARGE RATE'!$A$30:$K$106,8,0)),"Check")</f>
        <v/>
      </c>
      <c r="AQ900" s="207" t="str">
        <f>IFERROR(IF(ISBLANK($D900),"",VLOOKUP($N900,'TABLE CHARGE RATE'!$A$30:$K$106,9,0)),"Check")</f>
        <v/>
      </c>
      <c r="AR900" s="207" t="str">
        <f>IFERROR(IF(ISBLANK($D900),"",VLOOKUP($N900,'TABLE CHARGE RATE'!$A$30:$K$106,10,0)),"Check")</f>
        <v/>
      </c>
      <c r="AS900" s="207" t="str">
        <f>IFERROR(IF(ISBLANK($D900),"",VLOOKUP($N900,'TABLE CHARGE RATE'!$A$30:$K$106,11,0)),"Check")</f>
        <v/>
      </c>
      <c r="AT900" s="207"/>
    </row>
    <row r="901" spans="1:46" x14ac:dyDescent="0.2">
      <c r="A901" s="207" t="str">
        <f t="shared" si="123"/>
        <v/>
      </c>
      <c r="B901" s="208" t="str">
        <f>IF(ISBLANK(D901),"",VLOOKUP(WEEKDAY($C901,1),INDEX!$J$2:$K$8,2,0))</f>
        <v/>
      </c>
      <c r="C901" s="209"/>
      <c r="D901" s="207"/>
      <c r="E901" s="207"/>
      <c r="F901" s="207"/>
      <c r="G901" s="207"/>
      <c r="H901" s="207"/>
      <c r="I901" s="207"/>
      <c r="J901" s="207"/>
      <c r="K901" s="207"/>
      <c r="L901" s="207"/>
      <c r="M901" s="207"/>
      <c r="N901" s="207"/>
      <c r="O901" s="207"/>
      <c r="P901" s="207"/>
      <c r="Q901" s="207"/>
      <c r="R901" s="207"/>
      <c r="S901" s="207"/>
      <c r="T901" s="207"/>
      <c r="U901" s="209"/>
      <c r="V901" s="207"/>
      <c r="W901" s="207"/>
      <c r="X901" s="209"/>
      <c r="Y901" s="209"/>
      <c r="Z901" s="207" t="str">
        <f t="shared" ref="Z901:Z964" ca="1" si="125">IF(ISBLANK(D901),"",IFERROR(IF(ISBLANK($AK901),IF(X901&gt;=TODAY(),"Delivery",IF(Y901-X901=0,1,0)),$AK901),""))</f>
        <v/>
      </c>
      <c r="AA901" s="209" t="str">
        <f t="shared" si="122"/>
        <v/>
      </c>
      <c r="AB901" s="209"/>
      <c r="AC901" s="207" t="str">
        <f t="shared" ref="AC901:AC964" ca="1" si="126">IF(ISBLANK(D901),"",IFERROR(IF(ISBLANK($AL901),IF(AA901&gt;=TODAY(),"Collecting",IF(AB901-AA901=0,1,0)),$AL901),""))</f>
        <v/>
      </c>
      <c r="AD901" s="207"/>
      <c r="AE901" s="207"/>
      <c r="AF901" s="208" t="str">
        <f>IF(ISBLANK(D901),"",VLOOKUP(F901,'SIZE CALCULATION'!$F:$G,2,0))</f>
        <v/>
      </c>
      <c r="AG901" s="207" t="str">
        <f t="shared" si="124"/>
        <v/>
      </c>
      <c r="AH901" s="207" t="str">
        <f t="shared" ref="AH901:AH964" si="127">IF(ISBLANK(D901),"",IFERROR(AG901*G901,0))</f>
        <v/>
      </c>
      <c r="AI901" s="210" t="str">
        <f>IF(ISBLANK(D901),"",VLOOKUP($A901,INDEX!$D$2:$F$13,3,0))</f>
        <v/>
      </c>
      <c r="AJ901" s="207" t="str">
        <f t="shared" ref="AJ901:AJ964" si="128">IF(ISBLANK(D901),"",AH901+(AH901*AI901))</f>
        <v/>
      </c>
      <c r="AK901" s="207"/>
      <c r="AL901" s="207"/>
      <c r="AM901" s="207" t="str">
        <f>IFERROR(IF(ISBLANK($D901),"",VLOOKUP($N901,'TABLE CHARGE RATE'!$A$30:$K$106,5,0)),"Check")</f>
        <v/>
      </c>
      <c r="AN901" s="207" t="str">
        <f>IFERROR(IF(ISBLANK($D901),"",VLOOKUP($N901,'TABLE CHARGE RATE'!$A$30:$K$106,6,0)),"Check")</f>
        <v/>
      </c>
      <c r="AO901" s="207" t="str">
        <f>IFERROR(IF(ISBLANK($D901),"",VLOOKUP($N901,'TABLE CHARGE RATE'!$A$30:$K$106,7,0)),"Check")</f>
        <v/>
      </c>
      <c r="AP901" s="207" t="str">
        <f>IFERROR(IF(ISBLANK($D901),"",VLOOKUP($N901,'TABLE CHARGE RATE'!$A$30:$K$106,8,0)),"Check")</f>
        <v/>
      </c>
      <c r="AQ901" s="207" t="str">
        <f>IFERROR(IF(ISBLANK($D901),"",VLOOKUP($N901,'TABLE CHARGE RATE'!$A$30:$K$106,9,0)),"Check")</f>
        <v/>
      </c>
      <c r="AR901" s="207" t="str">
        <f>IFERROR(IF(ISBLANK($D901),"",VLOOKUP($N901,'TABLE CHARGE RATE'!$A$30:$K$106,10,0)),"Check")</f>
        <v/>
      </c>
      <c r="AS901" s="207" t="str">
        <f>IFERROR(IF(ISBLANK($D901),"",VLOOKUP($N901,'TABLE CHARGE RATE'!$A$30:$K$106,11,0)),"Check")</f>
        <v/>
      </c>
      <c r="AT901" s="207"/>
    </row>
    <row r="902" spans="1:46" x14ac:dyDescent="0.2">
      <c r="A902" s="207" t="str">
        <f t="shared" si="123"/>
        <v/>
      </c>
      <c r="B902" s="208" t="str">
        <f>IF(ISBLANK(D902),"",VLOOKUP(WEEKDAY($C902,1),INDEX!$J$2:$K$8,2,0))</f>
        <v/>
      </c>
      <c r="C902" s="209"/>
      <c r="D902" s="207"/>
      <c r="E902" s="207"/>
      <c r="F902" s="207"/>
      <c r="G902" s="207"/>
      <c r="H902" s="207"/>
      <c r="I902" s="207"/>
      <c r="J902" s="207"/>
      <c r="K902" s="207"/>
      <c r="L902" s="207"/>
      <c r="M902" s="207"/>
      <c r="N902" s="207"/>
      <c r="O902" s="207"/>
      <c r="P902" s="207"/>
      <c r="Q902" s="207"/>
      <c r="R902" s="207"/>
      <c r="S902" s="207"/>
      <c r="T902" s="207"/>
      <c r="U902" s="209"/>
      <c r="V902" s="207"/>
      <c r="W902" s="207"/>
      <c r="X902" s="209"/>
      <c r="Y902" s="209"/>
      <c r="Z902" s="207" t="str">
        <f t="shared" ca="1" si="125"/>
        <v/>
      </c>
      <c r="AA902" s="209" t="str">
        <f t="shared" si="122"/>
        <v/>
      </c>
      <c r="AB902" s="209"/>
      <c r="AC902" s="207" t="str">
        <f t="shared" ca="1" si="126"/>
        <v/>
      </c>
      <c r="AD902" s="207"/>
      <c r="AE902" s="207"/>
      <c r="AF902" s="208" t="str">
        <f>IF(ISBLANK(D902),"",VLOOKUP(F902,'SIZE CALCULATION'!$F:$G,2,0))</f>
        <v/>
      </c>
      <c r="AG902" s="207" t="str">
        <f t="shared" si="124"/>
        <v/>
      </c>
      <c r="AH902" s="207" t="str">
        <f t="shared" si="127"/>
        <v/>
      </c>
      <c r="AI902" s="210" t="str">
        <f>IF(ISBLANK(D902),"",VLOOKUP($A902,INDEX!$D$2:$F$13,3,0))</f>
        <v/>
      </c>
      <c r="AJ902" s="207" t="str">
        <f t="shared" si="128"/>
        <v/>
      </c>
      <c r="AK902" s="207"/>
      <c r="AL902" s="207"/>
      <c r="AM902" s="207" t="str">
        <f>IFERROR(IF(ISBLANK($D902),"",VLOOKUP($N902,'TABLE CHARGE RATE'!$A$30:$K$106,5,0)),"Check")</f>
        <v/>
      </c>
      <c r="AN902" s="207" t="str">
        <f>IFERROR(IF(ISBLANK($D902),"",VLOOKUP($N902,'TABLE CHARGE RATE'!$A$30:$K$106,6,0)),"Check")</f>
        <v/>
      </c>
      <c r="AO902" s="207" t="str">
        <f>IFERROR(IF(ISBLANK($D902),"",VLOOKUP($N902,'TABLE CHARGE RATE'!$A$30:$K$106,7,0)),"Check")</f>
        <v/>
      </c>
      <c r="AP902" s="207" t="str">
        <f>IFERROR(IF(ISBLANK($D902),"",VLOOKUP($N902,'TABLE CHARGE RATE'!$A$30:$K$106,8,0)),"Check")</f>
        <v/>
      </c>
      <c r="AQ902" s="207" t="str">
        <f>IFERROR(IF(ISBLANK($D902),"",VLOOKUP($N902,'TABLE CHARGE RATE'!$A$30:$K$106,9,0)),"Check")</f>
        <v/>
      </c>
      <c r="AR902" s="207" t="str">
        <f>IFERROR(IF(ISBLANK($D902),"",VLOOKUP($N902,'TABLE CHARGE RATE'!$A$30:$K$106,10,0)),"Check")</f>
        <v/>
      </c>
      <c r="AS902" s="207" t="str">
        <f>IFERROR(IF(ISBLANK($D902),"",VLOOKUP($N902,'TABLE CHARGE RATE'!$A$30:$K$106,11,0)),"Check")</f>
        <v/>
      </c>
      <c r="AT902" s="207"/>
    </row>
    <row r="903" spans="1:46" x14ac:dyDescent="0.2">
      <c r="A903" s="207" t="str">
        <f t="shared" si="123"/>
        <v/>
      </c>
      <c r="B903" s="208" t="str">
        <f>IF(ISBLANK(D903),"",VLOOKUP(WEEKDAY($C903,1),INDEX!$J$2:$K$8,2,0))</f>
        <v/>
      </c>
      <c r="C903" s="209"/>
      <c r="D903" s="207"/>
      <c r="E903" s="207"/>
      <c r="F903" s="207"/>
      <c r="G903" s="207"/>
      <c r="H903" s="207"/>
      <c r="I903" s="207"/>
      <c r="J903" s="207"/>
      <c r="K903" s="207"/>
      <c r="L903" s="207"/>
      <c r="M903" s="207"/>
      <c r="N903" s="207"/>
      <c r="O903" s="207"/>
      <c r="P903" s="207"/>
      <c r="Q903" s="207"/>
      <c r="R903" s="207"/>
      <c r="S903" s="207"/>
      <c r="T903" s="207"/>
      <c r="U903" s="209"/>
      <c r="V903" s="207"/>
      <c r="W903" s="207"/>
      <c r="X903" s="209"/>
      <c r="Y903" s="209"/>
      <c r="Z903" s="207" t="str">
        <f t="shared" ca="1" si="125"/>
        <v/>
      </c>
      <c r="AA903" s="209" t="str">
        <f t="shared" si="122"/>
        <v/>
      </c>
      <c r="AB903" s="209"/>
      <c r="AC903" s="207" t="str">
        <f t="shared" ca="1" si="126"/>
        <v/>
      </c>
      <c r="AD903" s="207"/>
      <c r="AE903" s="207"/>
      <c r="AF903" s="208" t="str">
        <f>IF(ISBLANK(D903),"",VLOOKUP(F903,'SIZE CALCULATION'!$F:$G,2,0))</f>
        <v/>
      </c>
      <c r="AG903" s="207" t="str">
        <f t="shared" si="124"/>
        <v/>
      </c>
      <c r="AH903" s="207" t="str">
        <f t="shared" si="127"/>
        <v/>
      </c>
      <c r="AI903" s="210" t="str">
        <f>IF(ISBLANK(D903),"",VLOOKUP($A903,INDEX!$D$2:$F$13,3,0))</f>
        <v/>
      </c>
      <c r="AJ903" s="207" t="str">
        <f t="shared" si="128"/>
        <v/>
      </c>
      <c r="AK903" s="207"/>
      <c r="AL903" s="207"/>
      <c r="AM903" s="207" t="str">
        <f>IFERROR(IF(ISBLANK($D903),"",VLOOKUP($N903,'TABLE CHARGE RATE'!$A$30:$K$106,5,0)),"Check")</f>
        <v/>
      </c>
      <c r="AN903" s="207" t="str">
        <f>IFERROR(IF(ISBLANK($D903),"",VLOOKUP($N903,'TABLE CHARGE RATE'!$A$30:$K$106,6,0)),"Check")</f>
        <v/>
      </c>
      <c r="AO903" s="207" t="str">
        <f>IFERROR(IF(ISBLANK($D903),"",VLOOKUP($N903,'TABLE CHARGE RATE'!$A$30:$K$106,7,0)),"Check")</f>
        <v/>
      </c>
      <c r="AP903" s="207" t="str">
        <f>IFERROR(IF(ISBLANK($D903),"",VLOOKUP($N903,'TABLE CHARGE RATE'!$A$30:$K$106,8,0)),"Check")</f>
        <v/>
      </c>
      <c r="AQ903" s="207" t="str">
        <f>IFERROR(IF(ISBLANK($D903),"",VLOOKUP($N903,'TABLE CHARGE RATE'!$A$30:$K$106,9,0)),"Check")</f>
        <v/>
      </c>
      <c r="AR903" s="207" t="str">
        <f>IFERROR(IF(ISBLANK($D903),"",VLOOKUP($N903,'TABLE CHARGE RATE'!$A$30:$K$106,10,0)),"Check")</f>
        <v/>
      </c>
      <c r="AS903" s="207" t="str">
        <f>IFERROR(IF(ISBLANK($D903),"",VLOOKUP($N903,'TABLE CHARGE RATE'!$A$30:$K$106,11,0)),"Check")</f>
        <v/>
      </c>
      <c r="AT903" s="207"/>
    </row>
    <row r="904" spans="1:46" x14ac:dyDescent="0.2">
      <c r="A904" s="207" t="str">
        <f t="shared" si="123"/>
        <v/>
      </c>
      <c r="B904" s="208" t="str">
        <f>IF(ISBLANK(D904),"",VLOOKUP(WEEKDAY($C904,1),INDEX!$J$2:$K$8,2,0))</f>
        <v/>
      </c>
      <c r="C904" s="209"/>
      <c r="D904" s="207"/>
      <c r="E904" s="207"/>
      <c r="F904" s="207"/>
      <c r="G904" s="207"/>
      <c r="H904" s="207"/>
      <c r="I904" s="207"/>
      <c r="J904" s="207"/>
      <c r="K904" s="207"/>
      <c r="L904" s="207"/>
      <c r="M904" s="207"/>
      <c r="N904" s="207"/>
      <c r="O904" s="207"/>
      <c r="P904" s="207"/>
      <c r="Q904" s="207"/>
      <c r="R904" s="207"/>
      <c r="S904" s="207"/>
      <c r="T904" s="207"/>
      <c r="U904" s="209"/>
      <c r="V904" s="207"/>
      <c r="W904" s="207"/>
      <c r="X904" s="209"/>
      <c r="Y904" s="209"/>
      <c r="Z904" s="207" t="str">
        <f t="shared" ca="1" si="125"/>
        <v/>
      </c>
      <c r="AA904" s="209" t="str">
        <f t="shared" si="122"/>
        <v/>
      </c>
      <c r="AB904" s="209"/>
      <c r="AC904" s="207" t="str">
        <f t="shared" ca="1" si="126"/>
        <v/>
      </c>
      <c r="AD904" s="207"/>
      <c r="AE904" s="207"/>
      <c r="AF904" s="208" t="str">
        <f>IF(ISBLANK(D904),"",VLOOKUP(F904,'SIZE CALCULATION'!$F:$G,2,0))</f>
        <v/>
      </c>
      <c r="AG904" s="207" t="str">
        <f t="shared" si="124"/>
        <v/>
      </c>
      <c r="AH904" s="207" t="str">
        <f t="shared" si="127"/>
        <v/>
      </c>
      <c r="AI904" s="210" t="str">
        <f>IF(ISBLANK(D904),"",VLOOKUP($A904,INDEX!$D$2:$F$13,3,0))</f>
        <v/>
      </c>
      <c r="AJ904" s="207" t="str">
        <f t="shared" si="128"/>
        <v/>
      </c>
      <c r="AK904" s="207"/>
      <c r="AL904" s="207"/>
      <c r="AM904" s="207" t="str">
        <f>IFERROR(IF(ISBLANK($D904),"",VLOOKUP($N904,'TABLE CHARGE RATE'!$A$30:$K$106,5,0)),"Check")</f>
        <v/>
      </c>
      <c r="AN904" s="207" t="str">
        <f>IFERROR(IF(ISBLANK($D904),"",VLOOKUP($N904,'TABLE CHARGE RATE'!$A$30:$K$106,6,0)),"Check")</f>
        <v/>
      </c>
      <c r="AO904" s="207" t="str">
        <f>IFERROR(IF(ISBLANK($D904),"",VLOOKUP($N904,'TABLE CHARGE RATE'!$A$30:$K$106,7,0)),"Check")</f>
        <v/>
      </c>
      <c r="AP904" s="207" t="str">
        <f>IFERROR(IF(ISBLANK($D904),"",VLOOKUP($N904,'TABLE CHARGE RATE'!$A$30:$K$106,8,0)),"Check")</f>
        <v/>
      </c>
      <c r="AQ904" s="207" t="str">
        <f>IFERROR(IF(ISBLANK($D904),"",VLOOKUP($N904,'TABLE CHARGE RATE'!$A$30:$K$106,9,0)),"Check")</f>
        <v/>
      </c>
      <c r="AR904" s="207" t="str">
        <f>IFERROR(IF(ISBLANK($D904),"",VLOOKUP($N904,'TABLE CHARGE RATE'!$A$30:$K$106,10,0)),"Check")</f>
        <v/>
      </c>
      <c r="AS904" s="207" t="str">
        <f>IFERROR(IF(ISBLANK($D904),"",VLOOKUP($N904,'TABLE CHARGE RATE'!$A$30:$K$106,11,0)),"Check")</f>
        <v/>
      </c>
      <c r="AT904" s="207"/>
    </row>
    <row r="905" spans="1:46" x14ac:dyDescent="0.2">
      <c r="A905" s="207" t="str">
        <f t="shared" si="123"/>
        <v/>
      </c>
      <c r="B905" s="208" t="str">
        <f>IF(ISBLANK(D905),"",VLOOKUP(WEEKDAY($C905,1),INDEX!$J$2:$K$8,2,0))</f>
        <v/>
      </c>
      <c r="C905" s="209"/>
      <c r="D905" s="207"/>
      <c r="E905" s="207"/>
      <c r="F905" s="207"/>
      <c r="G905" s="207"/>
      <c r="H905" s="207"/>
      <c r="I905" s="207"/>
      <c r="J905" s="207"/>
      <c r="K905" s="207"/>
      <c r="L905" s="207"/>
      <c r="M905" s="207"/>
      <c r="N905" s="207"/>
      <c r="O905" s="207"/>
      <c r="P905" s="207"/>
      <c r="Q905" s="207"/>
      <c r="R905" s="207"/>
      <c r="S905" s="207"/>
      <c r="T905" s="207"/>
      <c r="U905" s="209"/>
      <c r="V905" s="207"/>
      <c r="W905" s="207"/>
      <c r="X905" s="209"/>
      <c r="Y905" s="209"/>
      <c r="Z905" s="207" t="str">
        <f t="shared" ca="1" si="125"/>
        <v/>
      </c>
      <c r="AA905" s="209" t="str">
        <f t="shared" si="122"/>
        <v/>
      </c>
      <c r="AB905" s="209"/>
      <c r="AC905" s="207" t="str">
        <f t="shared" ca="1" si="126"/>
        <v/>
      </c>
      <c r="AD905" s="207"/>
      <c r="AE905" s="207"/>
      <c r="AF905" s="208" t="str">
        <f>IF(ISBLANK(D905),"",VLOOKUP(F905,'SIZE CALCULATION'!$F:$G,2,0))</f>
        <v/>
      </c>
      <c r="AG905" s="207" t="str">
        <f t="shared" si="124"/>
        <v/>
      </c>
      <c r="AH905" s="207" t="str">
        <f t="shared" si="127"/>
        <v/>
      </c>
      <c r="AI905" s="210" t="str">
        <f>IF(ISBLANK(D905),"",VLOOKUP($A905,INDEX!$D$2:$F$13,3,0))</f>
        <v/>
      </c>
      <c r="AJ905" s="207" t="str">
        <f t="shared" si="128"/>
        <v/>
      </c>
      <c r="AK905" s="207"/>
      <c r="AL905" s="207"/>
      <c r="AM905" s="207" t="str">
        <f>IFERROR(IF(ISBLANK($D905),"",VLOOKUP($N905,'TABLE CHARGE RATE'!$A$30:$K$106,5,0)),"Check")</f>
        <v/>
      </c>
      <c r="AN905" s="207" t="str">
        <f>IFERROR(IF(ISBLANK($D905),"",VLOOKUP($N905,'TABLE CHARGE RATE'!$A$30:$K$106,6,0)),"Check")</f>
        <v/>
      </c>
      <c r="AO905" s="207" t="str">
        <f>IFERROR(IF(ISBLANK($D905),"",VLOOKUP($N905,'TABLE CHARGE RATE'!$A$30:$K$106,7,0)),"Check")</f>
        <v/>
      </c>
      <c r="AP905" s="207" t="str">
        <f>IFERROR(IF(ISBLANK($D905),"",VLOOKUP($N905,'TABLE CHARGE RATE'!$A$30:$K$106,8,0)),"Check")</f>
        <v/>
      </c>
      <c r="AQ905" s="207" t="str">
        <f>IFERROR(IF(ISBLANK($D905),"",VLOOKUP($N905,'TABLE CHARGE RATE'!$A$30:$K$106,9,0)),"Check")</f>
        <v/>
      </c>
      <c r="AR905" s="207" t="str">
        <f>IFERROR(IF(ISBLANK($D905),"",VLOOKUP($N905,'TABLE CHARGE RATE'!$A$30:$K$106,10,0)),"Check")</f>
        <v/>
      </c>
      <c r="AS905" s="207" t="str">
        <f>IFERROR(IF(ISBLANK($D905),"",VLOOKUP($N905,'TABLE CHARGE RATE'!$A$30:$K$106,11,0)),"Check")</f>
        <v/>
      </c>
      <c r="AT905" s="207"/>
    </row>
    <row r="906" spans="1:46" x14ac:dyDescent="0.2">
      <c r="A906" s="207" t="str">
        <f t="shared" si="123"/>
        <v/>
      </c>
      <c r="B906" s="208" t="str">
        <f>IF(ISBLANK(D906),"",VLOOKUP(WEEKDAY($C906,1),INDEX!$J$2:$K$8,2,0))</f>
        <v/>
      </c>
      <c r="C906" s="209"/>
      <c r="D906" s="207"/>
      <c r="E906" s="207"/>
      <c r="F906" s="207"/>
      <c r="G906" s="207"/>
      <c r="H906" s="207"/>
      <c r="I906" s="207"/>
      <c r="J906" s="207"/>
      <c r="K906" s="207"/>
      <c r="L906" s="207"/>
      <c r="M906" s="207"/>
      <c r="N906" s="207"/>
      <c r="O906" s="207"/>
      <c r="P906" s="207"/>
      <c r="Q906" s="207"/>
      <c r="R906" s="207"/>
      <c r="S906" s="207"/>
      <c r="T906" s="207"/>
      <c r="U906" s="209"/>
      <c r="V906" s="207"/>
      <c r="W906" s="207"/>
      <c r="X906" s="209"/>
      <c r="Y906" s="209"/>
      <c r="Z906" s="207" t="str">
        <f t="shared" ca="1" si="125"/>
        <v/>
      </c>
      <c r="AA906" s="209" t="str">
        <f t="shared" si="122"/>
        <v/>
      </c>
      <c r="AB906" s="209"/>
      <c r="AC906" s="207" t="str">
        <f t="shared" ca="1" si="126"/>
        <v/>
      </c>
      <c r="AD906" s="207"/>
      <c r="AE906" s="207"/>
      <c r="AF906" s="208" t="str">
        <f>IF(ISBLANK(D906),"",VLOOKUP(F906,'SIZE CALCULATION'!$F:$G,2,0))</f>
        <v/>
      </c>
      <c r="AG906" s="207" t="str">
        <f t="shared" si="124"/>
        <v/>
      </c>
      <c r="AH906" s="207" t="str">
        <f t="shared" si="127"/>
        <v/>
      </c>
      <c r="AI906" s="210" t="str">
        <f>IF(ISBLANK(D906),"",VLOOKUP($A906,INDEX!$D$2:$F$13,3,0))</f>
        <v/>
      </c>
      <c r="AJ906" s="207" t="str">
        <f t="shared" si="128"/>
        <v/>
      </c>
      <c r="AK906" s="207"/>
      <c r="AL906" s="207"/>
      <c r="AM906" s="207" t="str">
        <f>IFERROR(IF(ISBLANK($D906),"",VLOOKUP($N906,'TABLE CHARGE RATE'!$A$30:$K$106,5,0)),"Check")</f>
        <v/>
      </c>
      <c r="AN906" s="207" t="str">
        <f>IFERROR(IF(ISBLANK($D906),"",VLOOKUP($N906,'TABLE CHARGE RATE'!$A$30:$K$106,6,0)),"Check")</f>
        <v/>
      </c>
      <c r="AO906" s="207" t="str">
        <f>IFERROR(IF(ISBLANK($D906),"",VLOOKUP($N906,'TABLE CHARGE RATE'!$A$30:$K$106,7,0)),"Check")</f>
        <v/>
      </c>
      <c r="AP906" s="207" t="str">
        <f>IFERROR(IF(ISBLANK($D906),"",VLOOKUP($N906,'TABLE CHARGE RATE'!$A$30:$K$106,8,0)),"Check")</f>
        <v/>
      </c>
      <c r="AQ906" s="207" t="str">
        <f>IFERROR(IF(ISBLANK($D906),"",VLOOKUP($N906,'TABLE CHARGE RATE'!$A$30:$K$106,9,0)),"Check")</f>
        <v/>
      </c>
      <c r="AR906" s="207" t="str">
        <f>IFERROR(IF(ISBLANK($D906),"",VLOOKUP($N906,'TABLE CHARGE RATE'!$A$30:$K$106,10,0)),"Check")</f>
        <v/>
      </c>
      <c r="AS906" s="207" t="str">
        <f>IFERROR(IF(ISBLANK($D906),"",VLOOKUP($N906,'TABLE CHARGE RATE'!$A$30:$K$106,11,0)),"Check")</f>
        <v/>
      </c>
      <c r="AT906" s="207"/>
    </row>
    <row r="907" spans="1:46" x14ac:dyDescent="0.2">
      <c r="A907" s="207" t="str">
        <f t="shared" si="123"/>
        <v/>
      </c>
      <c r="B907" s="208" t="str">
        <f>IF(ISBLANK(D907),"",VLOOKUP(WEEKDAY($C907,1),INDEX!$J$2:$K$8,2,0))</f>
        <v/>
      </c>
      <c r="C907" s="209"/>
      <c r="D907" s="207"/>
      <c r="E907" s="207"/>
      <c r="F907" s="207"/>
      <c r="G907" s="207"/>
      <c r="H907" s="207"/>
      <c r="I907" s="207"/>
      <c r="J907" s="207"/>
      <c r="K907" s="207"/>
      <c r="L907" s="207"/>
      <c r="M907" s="207"/>
      <c r="N907" s="207"/>
      <c r="O907" s="207"/>
      <c r="P907" s="207"/>
      <c r="Q907" s="207"/>
      <c r="R907" s="207"/>
      <c r="S907" s="207"/>
      <c r="T907" s="207"/>
      <c r="U907" s="209"/>
      <c r="V907" s="207"/>
      <c r="W907" s="207"/>
      <c r="X907" s="209"/>
      <c r="Y907" s="209"/>
      <c r="Z907" s="207" t="str">
        <f t="shared" ca="1" si="125"/>
        <v/>
      </c>
      <c r="AA907" s="209" t="str">
        <f t="shared" si="122"/>
        <v/>
      </c>
      <c r="AB907" s="209"/>
      <c r="AC907" s="207" t="str">
        <f t="shared" ca="1" si="126"/>
        <v/>
      </c>
      <c r="AD907" s="207"/>
      <c r="AE907" s="207"/>
      <c r="AF907" s="208" t="str">
        <f>IF(ISBLANK(D907),"",VLOOKUP(F907,'SIZE CALCULATION'!$F:$G,2,0))</f>
        <v/>
      </c>
      <c r="AG907" s="207" t="str">
        <f t="shared" si="124"/>
        <v/>
      </c>
      <c r="AH907" s="207" t="str">
        <f t="shared" si="127"/>
        <v/>
      </c>
      <c r="AI907" s="210" t="str">
        <f>IF(ISBLANK(D907),"",VLOOKUP($A907,INDEX!$D$2:$F$13,3,0))</f>
        <v/>
      </c>
      <c r="AJ907" s="207" t="str">
        <f t="shared" si="128"/>
        <v/>
      </c>
      <c r="AK907" s="207"/>
      <c r="AL907" s="207"/>
      <c r="AM907" s="207" t="str">
        <f>IFERROR(IF(ISBLANK($D907),"",VLOOKUP($N907,'TABLE CHARGE RATE'!$A$30:$K$106,5,0)),"Check")</f>
        <v/>
      </c>
      <c r="AN907" s="207" t="str">
        <f>IFERROR(IF(ISBLANK($D907),"",VLOOKUP($N907,'TABLE CHARGE RATE'!$A$30:$K$106,6,0)),"Check")</f>
        <v/>
      </c>
      <c r="AO907" s="207" t="str">
        <f>IFERROR(IF(ISBLANK($D907),"",VLOOKUP($N907,'TABLE CHARGE RATE'!$A$30:$K$106,7,0)),"Check")</f>
        <v/>
      </c>
      <c r="AP907" s="207" t="str">
        <f>IFERROR(IF(ISBLANK($D907),"",VLOOKUP($N907,'TABLE CHARGE RATE'!$A$30:$K$106,8,0)),"Check")</f>
        <v/>
      </c>
      <c r="AQ907" s="207" t="str">
        <f>IFERROR(IF(ISBLANK($D907),"",VLOOKUP($N907,'TABLE CHARGE RATE'!$A$30:$K$106,9,0)),"Check")</f>
        <v/>
      </c>
      <c r="AR907" s="207" t="str">
        <f>IFERROR(IF(ISBLANK($D907),"",VLOOKUP($N907,'TABLE CHARGE RATE'!$A$30:$K$106,10,0)),"Check")</f>
        <v/>
      </c>
      <c r="AS907" s="207" t="str">
        <f>IFERROR(IF(ISBLANK($D907),"",VLOOKUP($N907,'TABLE CHARGE RATE'!$A$30:$K$106,11,0)),"Check")</f>
        <v/>
      </c>
      <c r="AT907" s="207"/>
    </row>
    <row r="908" spans="1:46" x14ac:dyDescent="0.2">
      <c r="A908" s="207" t="str">
        <f t="shared" si="123"/>
        <v/>
      </c>
      <c r="B908" s="208" t="str">
        <f>IF(ISBLANK(D908),"",VLOOKUP(WEEKDAY($C908,1),INDEX!$J$2:$K$8,2,0))</f>
        <v/>
      </c>
      <c r="C908" s="209"/>
      <c r="D908" s="207"/>
      <c r="E908" s="207"/>
      <c r="F908" s="207"/>
      <c r="G908" s="207"/>
      <c r="H908" s="207"/>
      <c r="I908" s="207"/>
      <c r="J908" s="207"/>
      <c r="K908" s="207"/>
      <c r="L908" s="207"/>
      <c r="M908" s="207"/>
      <c r="N908" s="207"/>
      <c r="O908" s="207"/>
      <c r="P908" s="207"/>
      <c r="Q908" s="207"/>
      <c r="R908" s="207"/>
      <c r="S908" s="207"/>
      <c r="T908" s="207"/>
      <c r="U908" s="209"/>
      <c r="V908" s="207"/>
      <c r="W908" s="207"/>
      <c r="X908" s="209"/>
      <c r="Y908" s="209"/>
      <c r="Z908" s="207" t="str">
        <f t="shared" ca="1" si="125"/>
        <v/>
      </c>
      <c r="AA908" s="209" t="str">
        <f t="shared" si="122"/>
        <v/>
      </c>
      <c r="AB908" s="209"/>
      <c r="AC908" s="207" t="str">
        <f t="shared" ca="1" si="126"/>
        <v/>
      </c>
      <c r="AD908" s="207"/>
      <c r="AE908" s="207"/>
      <c r="AF908" s="208" t="str">
        <f>IF(ISBLANK(D908),"",VLOOKUP(F908,'SIZE CALCULATION'!$F:$G,2,0))</f>
        <v/>
      </c>
      <c r="AG908" s="207" t="str">
        <f t="shared" si="124"/>
        <v/>
      </c>
      <c r="AH908" s="207" t="str">
        <f t="shared" si="127"/>
        <v/>
      </c>
      <c r="AI908" s="210" t="str">
        <f>IF(ISBLANK(D908),"",VLOOKUP($A908,INDEX!$D$2:$F$13,3,0))</f>
        <v/>
      </c>
      <c r="AJ908" s="207" t="str">
        <f t="shared" si="128"/>
        <v/>
      </c>
      <c r="AK908" s="207"/>
      <c r="AL908" s="207"/>
      <c r="AM908" s="207" t="str">
        <f>IFERROR(IF(ISBLANK($D908),"",VLOOKUP($N908,'TABLE CHARGE RATE'!$A$30:$K$106,5,0)),"Check")</f>
        <v/>
      </c>
      <c r="AN908" s="207" t="str">
        <f>IFERROR(IF(ISBLANK($D908),"",VLOOKUP($N908,'TABLE CHARGE RATE'!$A$30:$K$106,6,0)),"Check")</f>
        <v/>
      </c>
      <c r="AO908" s="207" t="str">
        <f>IFERROR(IF(ISBLANK($D908),"",VLOOKUP($N908,'TABLE CHARGE RATE'!$A$30:$K$106,7,0)),"Check")</f>
        <v/>
      </c>
      <c r="AP908" s="207" t="str">
        <f>IFERROR(IF(ISBLANK($D908),"",VLOOKUP($N908,'TABLE CHARGE RATE'!$A$30:$K$106,8,0)),"Check")</f>
        <v/>
      </c>
      <c r="AQ908" s="207" t="str">
        <f>IFERROR(IF(ISBLANK($D908),"",VLOOKUP($N908,'TABLE CHARGE RATE'!$A$30:$K$106,9,0)),"Check")</f>
        <v/>
      </c>
      <c r="AR908" s="207" t="str">
        <f>IFERROR(IF(ISBLANK($D908),"",VLOOKUP($N908,'TABLE CHARGE RATE'!$A$30:$K$106,10,0)),"Check")</f>
        <v/>
      </c>
      <c r="AS908" s="207" t="str">
        <f>IFERROR(IF(ISBLANK($D908),"",VLOOKUP($N908,'TABLE CHARGE RATE'!$A$30:$K$106,11,0)),"Check")</f>
        <v/>
      </c>
      <c r="AT908" s="207"/>
    </row>
    <row r="909" spans="1:46" x14ac:dyDescent="0.2">
      <c r="A909" s="207" t="str">
        <f t="shared" si="123"/>
        <v/>
      </c>
      <c r="B909" s="208" t="str">
        <f>IF(ISBLANK(D909),"",VLOOKUP(WEEKDAY($C909,1),INDEX!$J$2:$K$8,2,0))</f>
        <v/>
      </c>
      <c r="C909" s="209"/>
      <c r="D909" s="207"/>
      <c r="E909" s="207"/>
      <c r="F909" s="207"/>
      <c r="G909" s="207"/>
      <c r="H909" s="207"/>
      <c r="I909" s="207"/>
      <c r="J909" s="207"/>
      <c r="K909" s="207"/>
      <c r="L909" s="207"/>
      <c r="M909" s="207"/>
      <c r="N909" s="207"/>
      <c r="O909" s="207"/>
      <c r="P909" s="207"/>
      <c r="Q909" s="207"/>
      <c r="R909" s="207"/>
      <c r="S909" s="207"/>
      <c r="T909" s="207"/>
      <c r="U909" s="209"/>
      <c r="V909" s="207"/>
      <c r="W909" s="207"/>
      <c r="X909" s="209"/>
      <c r="Y909" s="209"/>
      <c r="Z909" s="207" t="str">
        <f t="shared" ca="1" si="125"/>
        <v/>
      </c>
      <c r="AA909" s="209" t="str">
        <f t="shared" si="122"/>
        <v/>
      </c>
      <c r="AB909" s="209"/>
      <c r="AC909" s="207" t="str">
        <f t="shared" ca="1" si="126"/>
        <v/>
      </c>
      <c r="AD909" s="207"/>
      <c r="AE909" s="207"/>
      <c r="AF909" s="208" t="str">
        <f>IF(ISBLANK(D909),"",VLOOKUP(F909,'SIZE CALCULATION'!$F:$G,2,0))</f>
        <v/>
      </c>
      <c r="AG909" s="207" t="str">
        <f t="shared" si="124"/>
        <v/>
      </c>
      <c r="AH909" s="207" t="str">
        <f t="shared" si="127"/>
        <v/>
      </c>
      <c r="AI909" s="210" t="str">
        <f>IF(ISBLANK(D909),"",VLOOKUP($A909,INDEX!$D$2:$F$13,3,0))</f>
        <v/>
      </c>
      <c r="AJ909" s="207" t="str">
        <f t="shared" si="128"/>
        <v/>
      </c>
      <c r="AK909" s="207"/>
      <c r="AL909" s="207"/>
      <c r="AM909" s="207" t="str">
        <f>IFERROR(IF(ISBLANK($D909),"",VLOOKUP($N909,'TABLE CHARGE RATE'!$A$30:$K$106,5,0)),"Check")</f>
        <v/>
      </c>
      <c r="AN909" s="207" t="str">
        <f>IFERROR(IF(ISBLANK($D909),"",VLOOKUP($N909,'TABLE CHARGE RATE'!$A$30:$K$106,6,0)),"Check")</f>
        <v/>
      </c>
      <c r="AO909" s="207" t="str">
        <f>IFERROR(IF(ISBLANK($D909),"",VLOOKUP($N909,'TABLE CHARGE RATE'!$A$30:$K$106,7,0)),"Check")</f>
        <v/>
      </c>
      <c r="AP909" s="207" t="str">
        <f>IFERROR(IF(ISBLANK($D909),"",VLOOKUP($N909,'TABLE CHARGE RATE'!$A$30:$K$106,8,0)),"Check")</f>
        <v/>
      </c>
      <c r="AQ909" s="207" t="str">
        <f>IFERROR(IF(ISBLANK($D909),"",VLOOKUP($N909,'TABLE CHARGE RATE'!$A$30:$K$106,9,0)),"Check")</f>
        <v/>
      </c>
      <c r="AR909" s="207" t="str">
        <f>IFERROR(IF(ISBLANK($D909),"",VLOOKUP($N909,'TABLE CHARGE RATE'!$A$30:$K$106,10,0)),"Check")</f>
        <v/>
      </c>
      <c r="AS909" s="207" t="str">
        <f>IFERROR(IF(ISBLANK($D909),"",VLOOKUP($N909,'TABLE CHARGE RATE'!$A$30:$K$106,11,0)),"Check")</f>
        <v/>
      </c>
      <c r="AT909" s="207"/>
    </row>
    <row r="910" spans="1:46" x14ac:dyDescent="0.2">
      <c r="A910" s="207" t="str">
        <f t="shared" si="123"/>
        <v/>
      </c>
      <c r="B910" s="208" t="str">
        <f>IF(ISBLANK(D910),"",VLOOKUP(WEEKDAY($C910,1),INDEX!$J$2:$K$8,2,0))</f>
        <v/>
      </c>
      <c r="C910" s="209"/>
      <c r="D910" s="207"/>
      <c r="E910" s="207"/>
      <c r="F910" s="207"/>
      <c r="G910" s="207"/>
      <c r="H910" s="207"/>
      <c r="I910" s="207"/>
      <c r="J910" s="207"/>
      <c r="K910" s="207"/>
      <c r="L910" s="207"/>
      <c r="M910" s="207"/>
      <c r="N910" s="207"/>
      <c r="O910" s="207"/>
      <c r="P910" s="207"/>
      <c r="Q910" s="207"/>
      <c r="R910" s="207"/>
      <c r="S910" s="207"/>
      <c r="T910" s="207"/>
      <c r="U910" s="209"/>
      <c r="V910" s="207"/>
      <c r="W910" s="207"/>
      <c r="X910" s="209"/>
      <c r="Y910" s="209"/>
      <c r="Z910" s="207" t="str">
        <f t="shared" ca="1" si="125"/>
        <v/>
      </c>
      <c r="AA910" s="209" t="str">
        <f t="shared" si="122"/>
        <v/>
      </c>
      <c r="AB910" s="209"/>
      <c r="AC910" s="207" t="str">
        <f t="shared" ca="1" si="126"/>
        <v/>
      </c>
      <c r="AD910" s="207"/>
      <c r="AE910" s="207"/>
      <c r="AF910" s="208" t="str">
        <f>IF(ISBLANK(D910),"",VLOOKUP(F910,'SIZE CALCULATION'!$F:$G,2,0))</f>
        <v/>
      </c>
      <c r="AG910" s="207" t="str">
        <f t="shared" si="124"/>
        <v/>
      </c>
      <c r="AH910" s="207" t="str">
        <f t="shared" si="127"/>
        <v/>
      </c>
      <c r="AI910" s="210" t="str">
        <f>IF(ISBLANK(D910),"",VLOOKUP($A910,INDEX!$D$2:$F$13,3,0))</f>
        <v/>
      </c>
      <c r="AJ910" s="207" t="str">
        <f t="shared" si="128"/>
        <v/>
      </c>
      <c r="AK910" s="207"/>
      <c r="AL910" s="207"/>
      <c r="AM910" s="207" t="str">
        <f>IFERROR(IF(ISBLANK($D910),"",VLOOKUP($N910,'TABLE CHARGE RATE'!$A$30:$K$106,5,0)),"Check")</f>
        <v/>
      </c>
      <c r="AN910" s="207" t="str">
        <f>IFERROR(IF(ISBLANK($D910),"",VLOOKUP($N910,'TABLE CHARGE RATE'!$A$30:$K$106,6,0)),"Check")</f>
        <v/>
      </c>
      <c r="AO910" s="207" t="str">
        <f>IFERROR(IF(ISBLANK($D910),"",VLOOKUP($N910,'TABLE CHARGE RATE'!$A$30:$K$106,7,0)),"Check")</f>
        <v/>
      </c>
      <c r="AP910" s="207" t="str">
        <f>IFERROR(IF(ISBLANK($D910),"",VLOOKUP($N910,'TABLE CHARGE RATE'!$A$30:$K$106,8,0)),"Check")</f>
        <v/>
      </c>
      <c r="AQ910" s="207" t="str">
        <f>IFERROR(IF(ISBLANK($D910),"",VLOOKUP($N910,'TABLE CHARGE RATE'!$A$30:$K$106,9,0)),"Check")</f>
        <v/>
      </c>
      <c r="AR910" s="207" t="str">
        <f>IFERROR(IF(ISBLANK($D910),"",VLOOKUP($N910,'TABLE CHARGE RATE'!$A$30:$K$106,10,0)),"Check")</f>
        <v/>
      </c>
      <c r="AS910" s="207" t="str">
        <f>IFERROR(IF(ISBLANK($D910),"",VLOOKUP($N910,'TABLE CHARGE RATE'!$A$30:$K$106,11,0)),"Check")</f>
        <v/>
      </c>
      <c r="AT910" s="207"/>
    </row>
    <row r="911" spans="1:46" x14ac:dyDescent="0.2">
      <c r="A911" s="207" t="str">
        <f t="shared" si="123"/>
        <v/>
      </c>
      <c r="B911" s="208" t="str">
        <f>IF(ISBLANK(D911),"",VLOOKUP(WEEKDAY($C911,1),INDEX!$J$2:$K$8,2,0))</f>
        <v/>
      </c>
      <c r="C911" s="209"/>
      <c r="D911" s="207"/>
      <c r="E911" s="207"/>
      <c r="F911" s="207"/>
      <c r="G911" s="207"/>
      <c r="H911" s="207"/>
      <c r="I911" s="207"/>
      <c r="J911" s="207"/>
      <c r="K911" s="207"/>
      <c r="L911" s="207"/>
      <c r="M911" s="207"/>
      <c r="N911" s="207"/>
      <c r="O911" s="207"/>
      <c r="P911" s="207"/>
      <c r="Q911" s="207"/>
      <c r="R911" s="207"/>
      <c r="S911" s="207"/>
      <c r="T911" s="207"/>
      <c r="U911" s="209"/>
      <c r="V911" s="207"/>
      <c r="W911" s="207"/>
      <c r="X911" s="209"/>
      <c r="Y911" s="209"/>
      <c r="Z911" s="207" t="str">
        <f t="shared" ca="1" si="125"/>
        <v/>
      </c>
      <c r="AA911" s="209" t="str">
        <f t="shared" si="122"/>
        <v/>
      </c>
      <c r="AB911" s="209"/>
      <c r="AC911" s="207" t="str">
        <f t="shared" ca="1" si="126"/>
        <v/>
      </c>
      <c r="AD911" s="207"/>
      <c r="AE911" s="207"/>
      <c r="AF911" s="208" t="str">
        <f>IF(ISBLANK(D911),"",VLOOKUP(F911,'SIZE CALCULATION'!$F:$G,2,0))</f>
        <v/>
      </c>
      <c r="AG911" s="207" t="str">
        <f t="shared" si="124"/>
        <v/>
      </c>
      <c r="AH911" s="207" t="str">
        <f t="shared" si="127"/>
        <v/>
      </c>
      <c r="AI911" s="210" t="str">
        <f>IF(ISBLANK(D911),"",VLOOKUP($A911,INDEX!$D$2:$F$13,3,0))</f>
        <v/>
      </c>
      <c r="AJ911" s="207" t="str">
        <f t="shared" si="128"/>
        <v/>
      </c>
      <c r="AK911" s="207"/>
      <c r="AL911" s="207"/>
      <c r="AM911" s="207" t="str">
        <f>IFERROR(IF(ISBLANK($D911),"",VLOOKUP($N911,'TABLE CHARGE RATE'!$A$30:$K$106,5,0)),"Check")</f>
        <v/>
      </c>
      <c r="AN911" s="207" t="str">
        <f>IFERROR(IF(ISBLANK($D911),"",VLOOKUP($N911,'TABLE CHARGE RATE'!$A$30:$K$106,6,0)),"Check")</f>
        <v/>
      </c>
      <c r="AO911" s="207" t="str">
        <f>IFERROR(IF(ISBLANK($D911),"",VLOOKUP($N911,'TABLE CHARGE RATE'!$A$30:$K$106,7,0)),"Check")</f>
        <v/>
      </c>
      <c r="AP911" s="207" t="str">
        <f>IFERROR(IF(ISBLANK($D911),"",VLOOKUP($N911,'TABLE CHARGE RATE'!$A$30:$K$106,8,0)),"Check")</f>
        <v/>
      </c>
      <c r="AQ911" s="207" t="str">
        <f>IFERROR(IF(ISBLANK($D911),"",VLOOKUP($N911,'TABLE CHARGE RATE'!$A$30:$K$106,9,0)),"Check")</f>
        <v/>
      </c>
      <c r="AR911" s="207" t="str">
        <f>IFERROR(IF(ISBLANK($D911),"",VLOOKUP($N911,'TABLE CHARGE RATE'!$A$30:$K$106,10,0)),"Check")</f>
        <v/>
      </c>
      <c r="AS911" s="207" t="str">
        <f>IFERROR(IF(ISBLANK($D911),"",VLOOKUP($N911,'TABLE CHARGE RATE'!$A$30:$K$106,11,0)),"Check")</f>
        <v/>
      </c>
      <c r="AT911" s="207"/>
    </row>
    <row r="912" spans="1:46" x14ac:dyDescent="0.2">
      <c r="A912" s="207" t="str">
        <f t="shared" si="123"/>
        <v/>
      </c>
      <c r="B912" s="208" t="str">
        <f>IF(ISBLANK(D912),"",VLOOKUP(WEEKDAY($C912,1),INDEX!$J$2:$K$8,2,0))</f>
        <v/>
      </c>
      <c r="C912" s="209"/>
      <c r="D912" s="207"/>
      <c r="E912" s="207"/>
      <c r="F912" s="207"/>
      <c r="G912" s="207"/>
      <c r="H912" s="207"/>
      <c r="I912" s="207"/>
      <c r="J912" s="207"/>
      <c r="K912" s="207"/>
      <c r="L912" s="207"/>
      <c r="M912" s="207"/>
      <c r="N912" s="207"/>
      <c r="O912" s="207"/>
      <c r="P912" s="207"/>
      <c r="Q912" s="207"/>
      <c r="R912" s="207"/>
      <c r="S912" s="207"/>
      <c r="T912" s="207"/>
      <c r="U912" s="209"/>
      <c r="V912" s="207"/>
      <c r="W912" s="207"/>
      <c r="X912" s="209"/>
      <c r="Y912" s="209"/>
      <c r="Z912" s="207" t="str">
        <f t="shared" ca="1" si="125"/>
        <v/>
      </c>
      <c r="AA912" s="209" t="str">
        <f t="shared" si="122"/>
        <v/>
      </c>
      <c r="AB912" s="209"/>
      <c r="AC912" s="207" t="str">
        <f t="shared" ca="1" si="126"/>
        <v/>
      </c>
      <c r="AD912" s="207"/>
      <c r="AE912" s="207"/>
      <c r="AF912" s="208" t="str">
        <f>IF(ISBLANK(D912),"",VLOOKUP(F912,'SIZE CALCULATION'!$F:$G,2,0))</f>
        <v/>
      </c>
      <c r="AG912" s="207" t="str">
        <f t="shared" si="124"/>
        <v/>
      </c>
      <c r="AH912" s="207" t="str">
        <f t="shared" si="127"/>
        <v/>
      </c>
      <c r="AI912" s="210" t="str">
        <f>IF(ISBLANK(D912),"",VLOOKUP($A912,INDEX!$D$2:$F$13,3,0))</f>
        <v/>
      </c>
      <c r="AJ912" s="207" t="str">
        <f t="shared" si="128"/>
        <v/>
      </c>
      <c r="AK912" s="207"/>
      <c r="AL912" s="207"/>
      <c r="AM912" s="207" t="str">
        <f>IFERROR(IF(ISBLANK($D912),"",VLOOKUP($N912,'TABLE CHARGE RATE'!$A$30:$K$106,5,0)),"Check")</f>
        <v/>
      </c>
      <c r="AN912" s="207" t="str">
        <f>IFERROR(IF(ISBLANK($D912),"",VLOOKUP($N912,'TABLE CHARGE RATE'!$A$30:$K$106,6,0)),"Check")</f>
        <v/>
      </c>
      <c r="AO912" s="207" t="str">
        <f>IFERROR(IF(ISBLANK($D912),"",VLOOKUP($N912,'TABLE CHARGE RATE'!$A$30:$K$106,7,0)),"Check")</f>
        <v/>
      </c>
      <c r="AP912" s="207" t="str">
        <f>IFERROR(IF(ISBLANK($D912),"",VLOOKUP($N912,'TABLE CHARGE RATE'!$A$30:$K$106,8,0)),"Check")</f>
        <v/>
      </c>
      <c r="AQ912" s="207" t="str">
        <f>IFERROR(IF(ISBLANK($D912),"",VLOOKUP($N912,'TABLE CHARGE RATE'!$A$30:$K$106,9,0)),"Check")</f>
        <v/>
      </c>
      <c r="AR912" s="207" t="str">
        <f>IFERROR(IF(ISBLANK($D912),"",VLOOKUP($N912,'TABLE CHARGE RATE'!$A$30:$K$106,10,0)),"Check")</f>
        <v/>
      </c>
      <c r="AS912" s="207" t="str">
        <f>IFERROR(IF(ISBLANK($D912),"",VLOOKUP($N912,'TABLE CHARGE RATE'!$A$30:$K$106,11,0)),"Check")</f>
        <v/>
      </c>
      <c r="AT912" s="207"/>
    </row>
    <row r="913" spans="1:46" x14ac:dyDescent="0.2">
      <c r="A913" s="207" t="str">
        <f t="shared" si="123"/>
        <v/>
      </c>
      <c r="B913" s="208" t="str">
        <f>IF(ISBLANK(D913),"",VLOOKUP(WEEKDAY($C913,1),INDEX!$J$2:$K$8,2,0))</f>
        <v/>
      </c>
      <c r="C913" s="209"/>
      <c r="D913" s="207"/>
      <c r="E913" s="207"/>
      <c r="F913" s="207"/>
      <c r="G913" s="207"/>
      <c r="H913" s="207"/>
      <c r="I913" s="207"/>
      <c r="J913" s="207"/>
      <c r="K913" s="207"/>
      <c r="L913" s="207"/>
      <c r="M913" s="207"/>
      <c r="N913" s="207"/>
      <c r="O913" s="207"/>
      <c r="P913" s="207"/>
      <c r="Q913" s="207"/>
      <c r="R913" s="207"/>
      <c r="S913" s="207"/>
      <c r="T913" s="207"/>
      <c r="U913" s="209"/>
      <c r="V913" s="207"/>
      <c r="W913" s="207"/>
      <c r="X913" s="209"/>
      <c r="Y913" s="209"/>
      <c r="Z913" s="207" t="str">
        <f t="shared" ca="1" si="125"/>
        <v/>
      </c>
      <c r="AA913" s="209" t="str">
        <f t="shared" si="122"/>
        <v/>
      </c>
      <c r="AB913" s="209"/>
      <c r="AC913" s="207" t="str">
        <f t="shared" ca="1" si="126"/>
        <v/>
      </c>
      <c r="AD913" s="207"/>
      <c r="AE913" s="207"/>
      <c r="AF913" s="208" t="str">
        <f>IF(ISBLANK(D913),"",VLOOKUP(F913,'SIZE CALCULATION'!$F:$G,2,0))</f>
        <v/>
      </c>
      <c r="AG913" s="207" t="str">
        <f t="shared" si="124"/>
        <v/>
      </c>
      <c r="AH913" s="207" t="str">
        <f t="shared" si="127"/>
        <v/>
      </c>
      <c r="AI913" s="210" t="str">
        <f>IF(ISBLANK(D913),"",VLOOKUP($A913,INDEX!$D$2:$F$13,3,0))</f>
        <v/>
      </c>
      <c r="AJ913" s="207" t="str">
        <f t="shared" si="128"/>
        <v/>
      </c>
      <c r="AK913" s="207"/>
      <c r="AL913" s="207"/>
      <c r="AM913" s="207" t="str">
        <f>IFERROR(IF(ISBLANK($D913),"",VLOOKUP($N913,'TABLE CHARGE RATE'!$A$30:$K$106,5,0)),"Check")</f>
        <v/>
      </c>
      <c r="AN913" s="207" t="str">
        <f>IFERROR(IF(ISBLANK($D913),"",VLOOKUP($N913,'TABLE CHARGE RATE'!$A$30:$K$106,6,0)),"Check")</f>
        <v/>
      </c>
      <c r="AO913" s="207" t="str">
        <f>IFERROR(IF(ISBLANK($D913),"",VLOOKUP($N913,'TABLE CHARGE RATE'!$A$30:$K$106,7,0)),"Check")</f>
        <v/>
      </c>
      <c r="AP913" s="207" t="str">
        <f>IFERROR(IF(ISBLANK($D913),"",VLOOKUP($N913,'TABLE CHARGE RATE'!$A$30:$K$106,8,0)),"Check")</f>
        <v/>
      </c>
      <c r="AQ913" s="207" t="str">
        <f>IFERROR(IF(ISBLANK($D913),"",VLOOKUP($N913,'TABLE CHARGE RATE'!$A$30:$K$106,9,0)),"Check")</f>
        <v/>
      </c>
      <c r="AR913" s="207" t="str">
        <f>IFERROR(IF(ISBLANK($D913),"",VLOOKUP($N913,'TABLE CHARGE RATE'!$A$30:$K$106,10,0)),"Check")</f>
        <v/>
      </c>
      <c r="AS913" s="207" t="str">
        <f>IFERROR(IF(ISBLANK($D913),"",VLOOKUP($N913,'TABLE CHARGE RATE'!$A$30:$K$106,11,0)),"Check")</f>
        <v/>
      </c>
      <c r="AT913" s="207"/>
    </row>
    <row r="914" spans="1:46" x14ac:dyDescent="0.2">
      <c r="A914" s="207" t="str">
        <f t="shared" si="123"/>
        <v/>
      </c>
      <c r="B914" s="208" t="str">
        <f>IF(ISBLANK(D914),"",VLOOKUP(WEEKDAY($C914,1),INDEX!$J$2:$K$8,2,0))</f>
        <v/>
      </c>
      <c r="C914" s="209"/>
      <c r="D914" s="207"/>
      <c r="E914" s="207"/>
      <c r="F914" s="207"/>
      <c r="G914" s="207"/>
      <c r="H914" s="207"/>
      <c r="I914" s="207"/>
      <c r="J914" s="207"/>
      <c r="K914" s="207"/>
      <c r="L914" s="207"/>
      <c r="M914" s="207"/>
      <c r="N914" s="207"/>
      <c r="O914" s="207"/>
      <c r="P914" s="207"/>
      <c r="Q914" s="207"/>
      <c r="R914" s="207"/>
      <c r="S914" s="207"/>
      <c r="T914" s="207"/>
      <c r="U914" s="209"/>
      <c r="V914" s="207"/>
      <c r="W914" s="207"/>
      <c r="X914" s="209"/>
      <c r="Y914" s="209"/>
      <c r="Z914" s="207" t="str">
        <f t="shared" ca="1" si="125"/>
        <v/>
      </c>
      <c r="AA914" s="209" t="str">
        <f t="shared" si="122"/>
        <v/>
      </c>
      <c r="AB914" s="209"/>
      <c r="AC914" s="207" t="str">
        <f t="shared" ca="1" si="126"/>
        <v/>
      </c>
      <c r="AD914" s="207"/>
      <c r="AE914" s="207"/>
      <c r="AF914" s="208" t="str">
        <f>IF(ISBLANK(D914),"",VLOOKUP(F914,'SIZE CALCULATION'!$F:$G,2,0))</f>
        <v/>
      </c>
      <c r="AG914" s="207" t="str">
        <f t="shared" si="124"/>
        <v/>
      </c>
      <c r="AH914" s="207" t="str">
        <f t="shared" si="127"/>
        <v/>
      </c>
      <c r="AI914" s="210" t="str">
        <f>IF(ISBLANK(D914),"",VLOOKUP($A914,INDEX!$D$2:$F$13,3,0))</f>
        <v/>
      </c>
      <c r="AJ914" s="207" t="str">
        <f t="shared" si="128"/>
        <v/>
      </c>
      <c r="AK914" s="207"/>
      <c r="AL914" s="207"/>
      <c r="AM914" s="207" t="str">
        <f>IFERROR(IF(ISBLANK($D914),"",VLOOKUP($N914,'TABLE CHARGE RATE'!$A$30:$K$106,5,0)),"Check")</f>
        <v/>
      </c>
      <c r="AN914" s="207" t="str">
        <f>IFERROR(IF(ISBLANK($D914),"",VLOOKUP($N914,'TABLE CHARGE RATE'!$A$30:$K$106,6,0)),"Check")</f>
        <v/>
      </c>
      <c r="AO914" s="207" t="str">
        <f>IFERROR(IF(ISBLANK($D914),"",VLOOKUP($N914,'TABLE CHARGE RATE'!$A$30:$K$106,7,0)),"Check")</f>
        <v/>
      </c>
      <c r="AP914" s="207" t="str">
        <f>IFERROR(IF(ISBLANK($D914),"",VLOOKUP($N914,'TABLE CHARGE RATE'!$A$30:$K$106,8,0)),"Check")</f>
        <v/>
      </c>
      <c r="AQ914" s="207" t="str">
        <f>IFERROR(IF(ISBLANK($D914),"",VLOOKUP($N914,'TABLE CHARGE RATE'!$A$30:$K$106,9,0)),"Check")</f>
        <v/>
      </c>
      <c r="AR914" s="207" t="str">
        <f>IFERROR(IF(ISBLANK($D914),"",VLOOKUP($N914,'TABLE CHARGE RATE'!$A$30:$K$106,10,0)),"Check")</f>
        <v/>
      </c>
      <c r="AS914" s="207" t="str">
        <f>IFERROR(IF(ISBLANK($D914),"",VLOOKUP($N914,'TABLE CHARGE RATE'!$A$30:$K$106,11,0)),"Check")</f>
        <v/>
      </c>
      <c r="AT914" s="207"/>
    </row>
    <row r="915" spans="1:46" x14ac:dyDescent="0.2">
      <c r="A915" s="207" t="str">
        <f t="shared" si="123"/>
        <v/>
      </c>
      <c r="B915" s="208" t="str">
        <f>IF(ISBLANK(D915),"",VLOOKUP(WEEKDAY($C915,1),INDEX!$J$2:$K$8,2,0))</f>
        <v/>
      </c>
      <c r="C915" s="209"/>
      <c r="D915" s="207"/>
      <c r="E915" s="207"/>
      <c r="F915" s="207"/>
      <c r="G915" s="207"/>
      <c r="H915" s="207"/>
      <c r="I915" s="207"/>
      <c r="J915" s="207"/>
      <c r="K915" s="207"/>
      <c r="L915" s="207"/>
      <c r="M915" s="207"/>
      <c r="N915" s="207"/>
      <c r="O915" s="207"/>
      <c r="P915" s="207"/>
      <c r="Q915" s="207"/>
      <c r="R915" s="207"/>
      <c r="S915" s="207"/>
      <c r="T915" s="207"/>
      <c r="U915" s="209"/>
      <c r="V915" s="207"/>
      <c r="W915" s="207"/>
      <c r="X915" s="209"/>
      <c r="Y915" s="209"/>
      <c r="Z915" s="207" t="str">
        <f t="shared" ca="1" si="125"/>
        <v/>
      </c>
      <c r="AA915" s="209" t="str">
        <f t="shared" si="122"/>
        <v/>
      </c>
      <c r="AB915" s="209"/>
      <c r="AC915" s="207" t="str">
        <f t="shared" ca="1" si="126"/>
        <v/>
      </c>
      <c r="AD915" s="207"/>
      <c r="AE915" s="207"/>
      <c r="AF915" s="208" t="str">
        <f>IF(ISBLANK(D915),"",VLOOKUP(F915,'SIZE CALCULATION'!$F:$G,2,0))</f>
        <v/>
      </c>
      <c r="AG915" s="207" t="str">
        <f t="shared" si="124"/>
        <v/>
      </c>
      <c r="AH915" s="207" t="str">
        <f t="shared" si="127"/>
        <v/>
      </c>
      <c r="AI915" s="210" t="str">
        <f>IF(ISBLANK(D915),"",VLOOKUP($A915,INDEX!$D$2:$F$13,3,0))</f>
        <v/>
      </c>
      <c r="AJ915" s="207" t="str">
        <f t="shared" si="128"/>
        <v/>
      </c>
      <c r="AK915" s="207"/>
      <c r="AL915" s="207"/>
      <c r="AM915" s="207" t="str">
        <f>IFERROR(IF(ISBLANK($D915),"",VLOOKUP($N915,'TABLE CHARGE RATE'!$A$30:$K$106,5,0)),"Check")</f>
        <v/>
      </c>
      <c r="AN915" s="207" t="str">
        <f>IFERROR(IF(ISBLANK($D915),"",VLOOKUP($N915,'TABLE CHARGE RATE'!$A$30:$K$106,6,0)),"Check")</f>
        <v/>
      </c>
      <c r="AO915" s="207" t="str">
        <f>IFERROR(IF(ISBLANK($D915),"",VLOOKUP($N915,'TABLE CHARGE RATE'!$A$30:$K$106,7,0)),"Check")</f>
        <v/>
      </c>
      <c r="AP915" s="207" t="str">
        <f>IFERROR(IF(ISBLANK($D915),"",VLOOKUP($N915,'TABLE CHARGE RATE'!$A$30:$K$106,8,0)),"Check")</f>
        <v/>
      </c>
      <c r="AQ915" s="207" t="str">
        <f>IFERROR(IF(ISBLANK($D915),"",VLOOKUP($N915,'TABLE CHARGE RATE'!$A$30:$K$106,9,0)),"Check")</f>
        <v/>
      </c>
      <c r="AR915" s="207" t="str">
        <f>IFERROR(IF(ISBLANK($D915),"",VLOOKUP($N915,'TABLE CHARGE RATE'!$A$30:$K$106,10,0)),"Check")</f>
        <v/>
      </c>
      <c r="AS915" s="207" t="str">
        <f>IFERROR(IF(ISBLANK($D915),"",VLOOKUP($N915,'TABLE CHARGE RATE'!$A$30:$K$106,11,0)),"Check")</f>
        <v/>
      </c>
      <c r="AT915" s="207"/>
    </row>
    <row r="916" spans="1:46" x14ac:dyDescent="0.2">
      <c r="A916" s="207" t="str">
        <f t="shared" si="123"/>
        <v/>
      </c>
      <c r="B916" s="208" t="str">
        <f>IF(ISBLANK(D916),"",VLOOKUP(WEEKDAY($C916,1),INDEX!$J$2:$K$8,2,0))</f>
        <v/>
      </c>
      <c r="C916" s="209"/>
      <c r="D916" s="207"/>
      <c r="E916" s="207"/>
      <c r="F916" s="207"/>
      <c r="G916" s="207"/>
      <c r="H916" s="207"/>
      <c r="I916" s="207"/>
      <c r="J916" s="207"/>
      <c r="K916" s="207"/>
      <c r="L916" s="207"/>
      <c r="M916" s="207"/>
      <c r="N916" s="207"/>
      <c r="O916" s="207"/>
      <c r="P916" s="207"/>
      <c r="Q916" s="207"/>
      <c r="R916" s="207"/>
      <c r="S916" s="207"/>
      <c r="T916" s="207"/>
      <c r="U916" s="209"/>
      <c r="V916" s="207"/>
      <c r="W916" s="207"/>
      <c r="X916" s="209"/>
      <c r="Y916" s="209"/>
      <c r="Z916" s="207" t="str">
        <f t="shared" ca="1" si="125"/>
        <v/>
      </c>
      <c r="AA916" s="209" t="str">
        <f t="shared" si="122"/>
        <v/>
      </c>
      <c r="AB916" s="209"/>
      <c r="AC916" s="207" t="str">
        <f t="shared" ca="1" si="126"/>
        <v/>
      </c>
      <c r="AD916" s="207"/>
      <c r="AE916" s="207"/>
      <c r="AF916" s="208" t="str">
        <f>IF(ISBLANK(D916),"",VLOOKUP(F916,'SIZE CALCULATION'!$F:$G,2,0))</f>
        <v/>
      </c>
      <c r="AG916" s="207" t="str">
        <f t="shared" si="124"/>
        <v/>
      </c>
      <c r="AH916" s="207" t="str">
        <f t="shared" si="127"/>
        <v/>
      </c>
      <c r="AI916" s="210" t="str">
        <f>IF(ISBLANK(D916),"",VLOOKUP($A916,INDEX!$D$2:$F$13,3,0))</f>
        <v/>
      </c>
      <c r="AJ916" s="207" t="str">
        <f t="shared" si="128"/>
        <v/>
      </c>
      <c r="AK916" s="207"/>
      <c r="AL916" s="207"/>
      <c r="AM916" s="207" t="str">
        <f>IFERROR(IF(ISBLANK($D916),"",VLOOKUP($N916,'TABLE CHARGE RATE'!$A$30:$K$106,5,0)),"Check")</f>
        <v/>
      </c>
      <c r="AN916" s="207" t="str">
        <f>IFERROR(IF(ISBLANK($D916),"",VLOOKUP($N916,'TABLE CHARGE RATE'!$A$30:$K$106,6,0)),"Check")</f>
        <v/>
      </c>
      <c r="AO916" s="207" t="str">
        <f>IFERROR(IF(ISBLANK($D916),"",VLOOKUP($N916,'TABLE CHARGE RATE'!$A$30:$K$106,7,0)),"Check")</f>
        <v/>
      </c>
      <c r="AP916" s="207" t="str">
        <f>IFERROR(IF(ISBLANK($D916),"",VLOOKUP($N916,'TABLE CHARGE RATE'!$A$30:$K$106,8,0)),"Check")</f>
        <v/>
      </c>
      <c r="AQ916" s="207" t="str">
        <f>IFERROR(IF(ISBLANK($D916),"",VLOOKUP($N916,'TABLE CHARGE RATE'!$A$30:$K$106,9,0)),"Check")</f>
        <v/>
      </c>
      <c r="AR916" s="207" t="str">
        <f>IFERROR(IF(ISBLANK($D916),"",VLOOKUP($N916,'TABLE CHARGE RATE'!$A$30:$K$106,10,0)),"Check")</f>
        <v/>
      </c>
      <c r="AS916" s="207" t="str">
        <f>IFERROR(IF(ISBLANK($D916),"",VLOOKUP($N916,'TABLE CHARGE RATE'!$A$30:$K$106,11,0)),"Check")</f>
        <v/>
      </c>
      <c r="AT916" s="207"/>
    </row>
    <row r="917" spans="1:46" x14ac:dyDescent="0.2">
      <c r="A917" s="207" t="str">
        <f t="shared" si="123"/>
        <v/>
      </c>
      <c r="B917" s="208" t="str">
        <f>IF(ISBLANK(D917),"",VLOOKUP(WEEKDAY($C917,1),INDEX!$J$2:$K$8,2,0))</f>
        <v/>
      </c>
      <c r="C917" s="209"/>
      <c r="D917" s="207"/>
      <c r="E917" s="207"/>
      <c r="F917" s="207"/>
      <c r="G917" s="207"/>
      <c r="H917" s="207"/>
      <c r="I917" s="207"/>
      <c r="J917" s="207"/>
      <c r="K917" s="207"/>
      <c r="L917" s="207"/>
      <c r="M917" s="207"/>
      <c r="N917" s="207"/>
      <c r="O917" s="207"/>
      <c r="P917" s="207"/>
      <c r="Q917" s="207"/>
      <c r="R917" s="207"/>
      <c r="S917" s="207"/>
      <c r="T917" s="207"/>
      <c r="U917" s="209"/>
      <c r="V917" s="207"/>
      <c r="W917" s="207"/>
      <c r="X917" s="209"/>
      <c r="Y917" s="209"/>
      <c r="Z917" s="207" t="str">
        <f t="shared" ca="1" si="125"/>
        <v/>
      </c>
      <c r="AA917" s="209" t="str">
        <f t="shared" si="122"/>
        <v/>
      </c>
      <c r="AB917" s="209"/>
      <c r="AC917" s="207" t="str">
        <f t="shared" ca="1" si="126"/>
        <v/>
      </c>
      <c r="AD917" s="207"/>
      <c r="AE917" s="207"/>
      <c r="AF917" s="208" t="str">
        <f>IF(ISBLANK(D917),"",VLOOKUP(F917,'SIZE CALCULATION'!$F:$G,2,0))</f>
        <v/>
      </c>
      <c r="AG917" s="207" t="str">
        <f t="shared" si="124"/>
        <v/>
      </c>
      <c r="AH917" s="207" t="str">
        <f t="shared" si="127"/>
        <v/>
      </c>
      <c r="AI917" s="210" t="str">
        <f>IF(ISBLANK(D917),"",VLOOKUP($A917,INDEX!$D$2:$F$13,3,0))</f>
        <v/>
      </c>
      <c r="AJ917" s="207" t="str">
        <f t="shared" si="128"/>
        <v/>
      </c>
      <c r="AK917" s="207"/>
      <c r="AL917" s="207"/>
      <c r="AM917" s="207" t="str">
        <f>IFERROR(IF(ISBLANK($D917),"",VLOOKUP($N917,'TABLE CHARGE RATE'!$A$30:$K$106,5,0)),"Check")</f>
        <v/>
      </c>
      <c r="AN917" s="207" t="str">
        <f>IFERROR(IF(ISBLANK($D917),"",VLOOKUP($N917,'TABLE CHARGE RATE'!$A$30:$K$106,6,0)),"Check")</f>
        <v/>
      </c>
      <c r="AO917" s="207" t="str">
        <f>IFERROR(IF(ISBLANK($D917),"",VLOOKUP($N917,'TABLE CHARGE RATE'!$A$30:$K$106,7,0)),"Check")</f>
        <v/>
      </c>
      <c r="AP917" s="207" t="str">
        <f>IFERROR(IF(ISBLANK($D917),"",VLOOKUP($N917,'TABLE CHARGE RATE'!$A$30:$K$106,8,0)),"Check")</f>
        <v/>
      </c>
      <c r="AQ917" s="207" t="str">
        <f>IFERROR(IF(ISBLANK($D917),"",VLOOKUP($N917,'TABLE CHARGE RATE'!$A$30:$K$106,9,0)),"Check")</f>
        <v/>
      </c>
      <c r="AR917" s="207" t="str">
        <f>IFERROR(IF(ISBLANK($D917),"",VLOOKUP($N917,'TABLE CHARGE RATE'!$A$30:$K$106,10,0)),"Check")</f>
        <v/>
      </c>
      <c r="AS917" s="207" t="str">
        <f>IFERROR(IF(ISBLANK($D917),"",VLOOKUP($N917,'TABLE CHARGE RATE'!$A$30:$K$106,11,0)),"Check")</f>
        <v/>
      </c>
      <c r="AT917" s="207"/>
    </row>
    <row r="918" spans="1:46" x14ac:dyDescent="0.2">
      <c r="A918" s="207" t="str">
        <f t="shared" si="123"/>
        <v/>
      </c>
      <c r="B918" s="208" t="str">
        <f>IF(ISBLANK(D918),"",VLOOKUP(WEEKDAY($C918,1),INDEX!$J$2:$K$8,2,0))</f>
        <v/>
      </c>
      <c r="C918" s="209"/>
      <c r="D918" s="207"/>
      <c r="E918" s="207"/>
      <c r="F918" s="207"/>
      <c r="G918" s="207"/>
      <c r="H918" s="207"/>
      <c r="I918" s="207"/>
      <c r="J918" s="207"/>
      <c r="K918" s="207"/>
      <c r="L918" s="207"/>
      <c r="M918" s="207"/>
      <c r="N918" s="207"/>
      <c r="O918" s="207"/>
      <c r="P918" s="207"/>
      <c r="Q918" s="207"/>
      <c r="R918" s="207"/>
      <c r="S918" s="207"/>
      <c r="T918" s="207"/>
      <c r="U918" s="209"/>
      <c r="V918" s="207"/>
      <c r="W918" s="207"/>
      <c r="X918" s="209"/>
      <c r="Y918" s="209"/>
      <c r="Z918" s="207" t="str">
        <f t="shared" ca="1" si="125"/>
        <v/>
      </c>
      <c r="AA918" s="209" t="str">
        <f t="shared" si="122"/>
        <v/>
      </c>
      <c r="AB918" s="209"/>
      <c r="AC918" s="207" t="str">
        <f t="shared" ca="1" si="126"/>
        <v/>
      </c>
      <c r="AD918" s="207"/>
      <c r="AE918" s="207"/>
      <c r="AF918" s="208" t="str">
        <f>IF(ISBLANK(D918),"",VLOOKUP(F918,'SIZE CALCULATION'!$F:$G,2,0))</f>
        <v/>
      </c>
      <c r="AG918" s="207" t="str">
        <f t="shared" si="124"/>
        <v/>
      </c>
      <c r="AH918" s="207" t="str">
        <f t="shared" si="127"/>
        <v/>
      </c>
      <c r="AI918" s="210" t="str">
        <f>IF(ISBLANK(D918),"",VLOOKUP($A918,INDEX!$D$2:$F$13,3,0))</f>
        <v/>
      </c>
      <c r="AJ918" s="207" t="str">
        <f t="shared" si="128"/>
        <v/>
      </c>
      <c r="AK918" s="207"/>
      <c r="AL918" s="207"/>
      <c r="AM918" s="207" t="str">
        <f>IFERROR(IF(ISBLANK($D918),"",VLOOKUP($N918,'TABLE CHARGE RATE'!$A$30:$K$106,5,0)),"Check")</f>
        <v/>
      </c>
      <c r="AN918" s="207" t="str">
        <f>IFERROR(IF(ISBLANK($D918),"",VLOOKUP($N918,'TABLE CHARGE RATE'!$A$30:$K$106,6,0)),"Check")</f>
        <v/>
      </c>
      <c r="AO918" s="207" t="str">
        <f>IFERROR(IF(ISBLANK($D918),"",VLOOKUP($N918,'TABLE CHARGE RATE'!$A$30:$K$106,7,0)),"Check")</f>
        <v/>
      </c>
      <c r="AP918" s="207" t="str">
        <f>IFERROR(IF(ISBLANK($D918),"",VLOOKUP($N918,'TABLE CHARGE RATE'!$A$30:$K$106,8,0)),"Check")</f>
        <v/>
      </c>
      <c r="AQ918" s="207" t="str">
        <f>IFERROR(IF(ISBLANK($D918),"",VLOOKUP($N918,'TABLE CHARGE RATE'!$A$30:$K$106,9,0)),"Check")</f>
        <v/>
      </c>
      <c r="AR918" s="207" t="str">
        <f>IFERROR(IF(ISBLANK($D918),"",VLOOKUP($N918,'TABLE CHARGE RATE'!$A$30:$K$106,10,0)),"Check")</f>
        <v/>
      </c>
      <c r="AS918" s="207" t="str">
        <f>IFERROR(IF(ISBLANK($D918),"",VLOOKUP($N918,'TABLE CHARGE RATE'!$A$30:$K$106,11,0)),"Check")</f>
        <v/>
      </c>
      <c r="AT918" s="207"/>
    </row>
    <row r="919" spans="1:46" x14ac:dyDescent="0.2">
      <c r="A919" s="207" t="str">
        <f t="shared" si="123"/>
        <v/>
      </c>
      <c r="B919" s="208" t="str">
        <f>IF(ISBLANK(D919),"",VLOOKUP(WEEKDAY($C919,1),INDEX!$J$2:$K$8,2,0))</f>
        <v/>
      </c>
      <c r="C919" s="209"/>
      <c r="D919" s="207"/>
      <c r="E919" s="207"/>
      <c r="F919" s="207"/>
      <c r="G919" s="207"/>
      <c r="H919" s="207"/>
      <c r="I919" s="207"/>
      <c r="J919" s="207"/>
      <c r="K919" s="207"/>
      <c r="L919" s="207"/>
      <c r="M919" s="207"/>
      <c r="N919" s="207"/>
      <c r="O919" s="207"/>
      <c r="P919" s="207"/>
      <c r="Q919" s="207"/>
      <c r="R919" s="207"/>
      <c r="S919" s="207"/>
      <c r="T919" s="207"/>
      <c r="U919" s="209"/>
      <c r="V919" s="207"/>
      <c r="W919" s="207"/>
      <c r="X919" s="209"/>
      <c r="Y919" s="209"/>
      <c r="Z919" s="207" t="str">
        <f t="shared" ca="1" si="125"/>
        <v/>
      </c>
      <c r="AA919" s="209" t="str">
        <f t="shared" si="122"/>
        <v/>
      </c>
      <c r="AB919" s="209"/>
      <c r="AC919" s="207" t="str">
        <f t="shared" ca="1" si="126"/>
        <v/>
      </c>
      <c r="AD919" s="207"/>
      <c r="AE919" s="207"/>
      <c r="AF919" s="208" t="str">
        <f>IF(ISBLANK(D919),"",VLOOKUP(F919,'SIZE CALCULATION'!$F:$G,2,0))</f>
        <v/>
      </c>
      <c r="AG919" s="207" t="str">
        <f t="shared" si="124"/>
        <v/>
      </c>
      <c r="AH919" s="207" t="str">
        <f t="shared" si="127"/>
        <v/>
      </c>
      <c r="AI919" s="210" t="str">
        <f>IF(ISBLANK(D919),"",VLOOKUP($A919,INDEX!$D$2:$F$13,3,0))</f>
        <v/>
      </c>
      <c r="AJ919" s="207" t="str">
        <f t="shared" si="128"/>
        <v/>
      </c>
      <c r="AK919" s="207"/>
      <c r="AL919" s="207"/>
      <c r="AM919" s="207" t="str">
        <f>IFERROR(IF(ISBLANK($D919),"",VLOOKUP($N919,'TABLE CHARGE RATE'!$A$30:$K$106,5,0)),"Check")</f>
        <v/>
      </c>
      <c r="AN919" s="207" t="str">
        <f>IFERROR(IF(ISBLANK($D919),"",VLOOKUP($N919,'TABLE CHARGE RATE'!$A$30:$K$106,6,0)),"Check")</f>
        <v/>
      </c>
      <c r="AO919" s="207" t="str">
        <f>IFERROR(IF(ISBLANK($D919),"",VLOOKUP($N919,'TABLE CHARGE RATE'!$A$30:$K$106,7,0)),"Check")</f>
        <v/>
      </c>
      <c r="AP919" s="207" t="str">
        <f>IFERROR(IF(ISBLANK($D919),"",VLOOKUP($N919,'TABLE CHARGE RATE'!$A$30:$K$106,8,0)),"Check")</f>
        <v/>
      </c>
      <c r="AQ919" s="207" t="str">
        <f>IFERROR(IF(ISBLANK($D919),"",VLOOKUP($N919,'TABLE CHARGE RATE'!$A$30:$K$106,9,0)),"Check")</f>
        <v/>
      </c>
      <c r="AR919" s="207" t="str">
        <f>IFERROR(IF(ISBLANK($D919),"",VLOOKUP($N919,'TABLE CHARGE RATE'!$A$30:$K$106,10,0)),"Check")</f>
        <v/>
      </c>
      <c r="AS919" s="207" t="str">
        <f>IFERROR(IF(ISBLANK($D919),"",VLOOKUP($N919,'TABLE CHARGE RATE'!$A$30:$K$106,11,0)),"Check")</f>
        <v/>
      </c>
      <c r="AT919" s="207"/>
    </row>
    <row r="920" spans="1:46" x14ac:dyDescent="0.2">
      <c r="A920" s="207" t="str">
        <f t="shared" si="123"/>
        <v/>
      </c>
      <c r="B920" s="208" t="str">
        <f>IF(ISBLANK(D920),"",VLOOKUP(WEEKDAY($C920,1),INDEX!$J$2:$K$8,2,0))</f>
        <v/>
      </c>
      <c r="C920" s="209"/>
      <c r="D920" s="207"/>
      <c r="E920" s="207"/>
      <c r="F920" s="207"/>
      <c r="G920" s="207"/>
      <c r="H920" s="207"/>
      <c r="I920" s="207"/>
      <c r="J920" s="207"/>
      <c r="K920" s="207"/>
      <c r="L920" s="207"/>
      <c r="M920" s="207"/>
      <c r="N920" s="207"/>
      <c r="O920" s="207"/>
      <c r="P920" s="207"/>
      <c r="Q920" s="207"/>
      <c r="R920" s="207"/>
      <c r="S920" s="207"/>
      <c r="T920" s="207"/>
      <c r="U920" s="209"/>
      <c r="V920" s="207"/>
      <c r="W920" s="207"/>
      <c r="X920" s="209"/>
      <c r="Y920" s="209"/>
      <c r="Z920" s="207" t="str">
        <f t="shared" ca="1" si="125"/>
        <v/>
      </c>
      <c r="AA920" s="209" t="str">
        <f t="shared" si="122"/>
        <v/>
      </c>
      <c r="AB920" s="209"/>
      <c r="AC920" s="207" t="str">
        <f t="shared" ca="1" si="126"/>
        <v/>
      </c>
      <c r="AD920" s="207"/>
      <c r="AE920" s="207"/>
      <c r="AF920" s="208" t="str">
        <f>IF(ISBLANK(D920),"",VLOOKUP(F920,'SIZE CALCULATION'!$F:$G,2,0))</f>
        <v/>
      </c>
      <c r="AG920" s="207" t="str">
        <f t="shared" si="124"/>
        <v/>
      </c>
      <c r="AH920" s="207" t="str">
        <f t="shared" si="127"/>
        <v/>
      </c>
      <c r="AI920" s="210" t="str">
        <f>IF(ISBLANK(D920),"",VLOOKUP($A920,INDEX!$D$2:$F$13,3,0))</f>
        <v/>
      </c>
      <c r="AJ920" s="207" t="str">
        <f t="shared" si="128"/>
        <v/>
      </c>
      <c r="AK920" s="207"/>
      <c r="AL920" s="207"/>
      <c r="AM920" s="207" t="str">
        <f>IFERROR(IF(ISBLANK($D920),"",VLOOKUP($N920,'TABLE CHARGE RATE'!$A$30:$K$106,5,0)),"Check")</f>
        <v/>
      </c>
      <c r="AN920" s="207" t="str">
        <f>IFERROR(IF(ISBLANK($D920),"",VLOOKUP($N920,'TABLE CHARGE RATE'!$A$30:$K$106,6,0)),"Check")</f>
        <v/>
      </c>
      <c r="AO920" s="207" t="str">
        <f>IFERROR(IF(ISBLANK($D920),"",VLOOKUP($N920,'TABLE CHARGE RATE'!$A$30:$K$106,7,0)),"Check")</f>
        <v/>
      </c>
      <c r="AP920" s="207" t="str">
        <f>IFERROR(IF(ISBLANK($D920),"",VLOOKUP($N920,'TABLE CHARGE RATE'!$A$30:$K$106,8,0)),"Check")</f>
        <v/>
      </c>
      <c r="AQ920" s="207" t="str">
        <f>IFERROR(IF(ISBLANK($D920),"",VLOOKUP($N920,'TABLE CHARGE RATE'!$A$30:$K$106,9,0)),"Check")</f>
        <v/>
      </c>
      <c r="AR920" s="207" t="str">
        <f>IFERROR(IF(ISBLANK($D920),"",VLOOKUP($N920,'TABLE CHARGE RATE'!$A$30:$K$106,10,0)),"Check")</f>
        <v/>
      </c>
      <c r="AS920" s="207" t="str">
        <f>IFERROR(IF(ISBLANK($D920),"",VLOOKUP($N920,'TABLE CHARGE RATE'!$A$30:$K$106,11,0)),"Check")</f>
        <v/>
      </c>
      <c r="AT920" s="207"/>
    </row>
    <row r="921" spans="1:46" x14ac:dyDescent="0.2">
      <c r="A921" s="207" t="str">
        <f t="shared" si="123"/>
        <v/>
      </c>
      <c r="B921" s="208" t="str">
        <f>IF(ISBLANK(D921),"",VLOOKUP(WEEKDAY($C921,1),INDEX!$J$2:$K$8,2,0))</f>
        <v/>
      </c>
      <c r="C921" s="209"/>
      <c r="D921" s="207"/>
      <c r="E921" s="207"/>
      <c r="F921" s="207"/>
      <c r="G921" s="207"/>
      <c r="H921" s="207"/>
      <c r="I921" s="207"/>
      <c r="J921" s="207"/>
      <c r="K921" s="207"/>
      <c r="L921" s="207"/>
      <c r="M921" s="207"/>
      <c r="N921" s="207"/>
      <c r="O921" s="207"/>
      <c r="P921" s="207"/>
      <c r="Q921" s="207"/>
      <c r="R921" s="207"/>
      <c r="S921" s="207"/>
      <c r="T921" s="207"/>
      <c r="U921" s="209"/>
      <c r="V921" s="207"/>
      <c r="W921" s="207"/>
      <c r="X921" s="209"/>
      <c r="Y921" s="209"/>
      <c r="Z921" s="207" t="str">
        <f t="shared" ca="1" si="125"/>
        <v/>
      </c>
      <c r="AA921" s="209" t="str">
        <f t="shared" si="122"/>
        <v/>
      </c>
      <c r="AB921" s="209"/>
      <c r="AC921" s="207" t="str">
        <f t="shared" ca="1" si="126"/>
        <v/>
      </c>
      <c r="AD921" s="207"/>
      <c r="AE921" s="207"/>
      <c r="AF921" s="208" t="str">
        <f>IF(ISBLANK(D921),"",VLOOKUP(F921,'SIZE CALCULATION'!$F:$G,2,0))</f>
        <v/>
      </c>
      <c r="AG921" s="207" t="str">
        <f t="shared" si="124"/>
        <v/>
      </c>
      <c r="AH921" s="207" t="str">
        <f t="shared" si="127"/>
        <v/>
      </c>
      <c r="AI921" s="210" t="str">
        <f>IF(ISBLANK(D921),"",VLOOKUP($A921,INDEX!$D$2:$F$13,3,0))</f>
        <v/>
      </c>
      <c r="AJ921" s="207" t="str">
        <f t="shared" si="128"/>
        <v/>
      </c>
      <c r="AK921" s="207"/>
      <c r="AL921" s="207"/>
      <c r="AM921" s="207" t="str">
        <f>IFERROR(IF(ISBLANK($D921),"",VLOOKUP($N921,'TABLE CHARGE RATE'!$A$30:$K$106,5,0)),"Check")</f>
        <v/>
      </c>
      <c r="AN921" s="207" t="str">
        <f>IFERROR(IF(ISBLANK($D921),"",VLOOKUP($N921,'TABLE CHARGE RATE'!$A$30:$K$106,6,0)),"Check")</f>
        <v/>
      </c>
      <c r="AO921" s="207" t="str">
        <f>IFERROR(IF(ISBLANK($D921),"",VLOOKUP($N921,'TABLE CHARGE RATE'!$A$30:$K$106,7,0)),"Check")</f>
        <v/>
      </c>
      <c r="AP921" s="207" t="str">
        <f>IFERROR(IF(ISBLANK($D921),"",VLOOKUP($N921,'TABLE CHARGE RATE'!$A$30:$K$106,8,0)),"Check")</f>
        <v/>
      </c>
      <c r="AQ921" s="207" t="str">
        <f>IFERROR(IF(ISBLANK($D921),"",VLOOKUP($N921,'TABLE CHARGE RATE'!$A$30:$K$106,9,0)),"Check")</f>
        <v/>
      </c>
      <c r="AR921" s="207" t="str">
        <f>IFERROR(IF(ISBLANK($D921),"",VLOOKUP($N921,'TABLE CHARGE RATE'!$A$30:$K$106,10,0)),"Check")</f>
        <v/>
      </c>
      <c r="AS921" s="207" t="str">
        <f>IFERROR(IF(ISBLANK($D921),"",VLOOKUP($N921,'TABLE CHARGE RATE'!$A$30:$K$106,11,0)),"Check")</f>
        <v/>
      </c>
      <c r="AT921" s="207"/>
    </row>
    <row r="922" spans="1:46" x14ac:dyDescent="0.2">
      <c r="A922" s="207" t="str">
        <f t="shared" si="123"/>
        <v/>
      </c>
      <c r="B922" s="208" t="str">
        <f>IF(ISBLANK(D922),"",VLOOKUP(WEEKDAY($C922,1),INDEX!$J$2:$K$8,2,0))</f>
        <v/>
      </c>
      <c r="C922" s="209"/>
      <c r="D922" s="207"/>
      <c r="E922" s="207"/>
      <c r="F922" s="207"/>
      <c r="G922" s="207"/>
      <c r="H922" s="207"/>
      <c r="I922" s="207"/>
      <c r="J922" s="207"/>
      <c r="K922" s="207"/>
      <c r="L922" s="207"/>
      <c r="M922" s="207"/>
      <c r="N922" s="207"/>
      <c r="O922" s="207"/>
      <c r="P922" s="207"/>
      <c r="Q922" s="207"/>
      <c r="R922" s="207"/>
      <c r="S922" s="207"/>
      <c r="T922" s="207"/>
      <c r="U922" s="209"/>
      <c r="V922" s="207"/>
      <c r="W922" s="207"/>
      <c r="X922" s="209"/>
      <c r="Y922" s="209"/>
      <c r="Z922" s="207" t="str">
        <f t="shared" ca="1" si="125"/>
        <v/>
      </c>
      <c r="AA922" s="209" t="str">
        <f t="shared" si="122"/>
        <v/>
      </c>
      <c r="AB922" s="209"/>
      <c r="AC922" s="207" t="str">
        <f t="shared" ca="1" si="126"/>
        <v/>
      </c>
      <c r="AD922" s="207"/>
      <c r="AE922" s="207"/>
      <c r="AF922" s="208" t="str">
        <f>IF(ISBLANK(D922),"",VLOOKUP(F922,'SIZE CALCULATION'!$F:$G,2,0))</f>
        <v/>
      </c>
      <c r="AG922" s="207" t="str">
        <f t="shared" si="124"/>
        <v/>
      </c>
      <c r="AH922" s="207" t="str">
        <f t="shared" si="127"/>
        <v/>
      </c>
      <c r="AI922" s="210" t="str">
        <f>IF(ISBLANK(D922),"",VLOOKUP($A922,INDEX!$D$2:$F$13,3,0))</f>
        <v/>
      </c>
      <c r="AJ922" s="207" t="str">
        <f t="shared" si="128"/>
        <v/>
      </c>
      <c r="AK922" s="207"/>
      <c r="AL922" s="207"/>
      <c r="AM922" s="207" t="str">
        <f>IFERROR(IF(ISBLANK($D922),"",VLOOKUP($N922,'TABLE CHARGE RATE'!$A$30:$K$106,5,0)),"Check")</f>
        <v/>
      </c>
      <c r="AN922" s="207" t="str">
        <f>IFERROR(IF(ISBLANK($D922),"",VLOOKUP($N922,'TABLE CHARGE RATE'!$A$30:$K$106,6,0)),"Check")</f>
        <v/>
      </c>
      <c r="AO922" s="207" t="str">
        <f>IFERROR(IF(ISBLANK($D922),"",VLOOKUP($N922,'TABLE CHARGE RATE'!$A$30:$K$106,7,0)),"Check")</f>
        <v/>
      </c>
      <c r="AP922" s="207" t="str">
        <f>IFERROR(IF(ISBLANK($D922),"",VLOOKUP($N922,'TABLE CHARGE RATE'!$A$30:$K$106,8,0)),"Check")</f>
        <v/>
      </c>
      <c r="AQ922" s="207" t="str">
        <f>IFERROR(IF(ISBLANK($D922),"",VLOOKUP($N922,'TABLE CHARGE RATE'!$A$30:$K$106,9,0)),"Check")</f>
        <v/>
      </c>
      <c r="AR922" s="207" t="str">
        <f>IFERROR(IF(ISBLANK($D922),"",VLOOKUP($N922,'TABLE CHARGE RATE'!$A$30:$K$106,10,0)),"Check")</f>
        <v/>
      </c>
      <c r="AS922" s="207" t="str">
        <f>IFERROR(IF(ISBLANK($D922),"",VLOOKUP($N922,'TABLE CHARGE RATE'!$A$30:$K$106,11,0)),"Check")</f>
        <v/>
      </c>
      <c r="AT922" s="207"/>
    </row>
    <row r="923" spans="1:46" x14ac:dyDescent="0.2">
      <c r="A923" s="207" t="str">
        <f t="shared" si="123"/>
        <v/>
      </c>
      <c r="B923" s="208" t="str">
        <f>IF(ISBLANK(D923),"",VLOOKUP(WEEKDAY($C923,1),INDEX!$J$2:$K$8,2,0))</f>
        <v/>
      </c>
      <c r="C923" s="209"/>
      <c r="D923" s="207"/>
      <c r="E923" s="207"/>
      <c r="F923" s="207"/>
      <c r="G923" s="207"/>
      <c r="H923" s="207"/>
      <c r="I923" s="207"/>
      <c r="J923" s="207"/>
      <c r="K923" s="207"/>
      <c r="L923" s="207"/>
      <c r="M923" s="207"/>
      <c r="N923" s="207"/>
      <c r="O923" s="207"/>
      <c r="P923" s="207"/>
      <c r="Q923" s="207"/>
      <c r="R923" s="207"/>
      <c r="S923" s="207"/>
      <c r="T923" s="207"/>
      <c r="U923" s="209"/>
      <c r="V923" s="207"/>
      <c r="W923" s="207"/>
      <c r="X923" s="209"/>
      <c r="Y923" s="209"/>
      <c r="Z923" s="207" t="str">
        <f t="shared" ca="1" si="125"/>
        <v/>
      </c>
      <c r="AA923" s="209" t="str">
        <f t="shared" si="122"/>
        <v/>
      </c>
      <c r="AB923" s="209"/>
      <c r="AC923" s="207" t="str">
        <f t="shared" ca="1" si="126"/>
        <v/>
      </c>
      <c r="AD923" s="207"/>
      <c r="AE923" s="207"/>
      <c r="AF923" s="208" t="str">
        <f>IF(ISBLANK(D923),"",VLOOKUP(F923,'SIZE CALCULATION'!$F:$G,2,0))</f>
        <v/>
      </c>
      <c r="AG923" s="207" t="str">
        <f t="shared" si="124"/>
        <v/>
      </c>
      <c r="AH923" s="207" t="str">
        <f t="shared" si="127"/>
        <v/>
      </c>
      <c r="AI923" s="210" t="str">
        <f>IF(ISBLANK(D923),"",VLOOKUP($A923,INDEX!$D$2:$F$13,3,0))</f>
        <v/>
      </c>
      <c r="AJ923" s="207" t="str">
        <f t="shared" si="128"/>
        <v/>
      </c>
      <c r="AK923" s="207"/>
      <c r="AL923" s="207"/>
      <c r="AM923" s="207" t="str">
        <f>IFERROR(IF(ISBLANK($D923),"",VLOOKUP($N923,'TABLE CHARGE RATE'!$A$30:$K$106,5,0)),"Check")</f>
        <v/>
      </c>
      <c r="AN923" s="207" t="str">
        <f>IFERROR(IF(ISBLANK($D923),"",VLOOKUP($N923,'TABLE CHARGE RATE'!$A$30:$K$106,6,0)),"Check")</f>
        <v/>
      </c>
      <c r="AO923" s="207" t="str">
        <f>IFERROR(IF(ISBLANK($D923),"",VLOOKUP($N923,'TABLE CHARGE RATE'!$A$30:$K$106,7,0)),"Check")</f>
        <v/>
      </c>
      <c r="AP923" s="207" t="str">
        <f>IFERROR(IF(ISBLANK($D923),"",VLOOKUP($N923,'TABLE CHARGE RATE'!$A$30:$K$106,8,0)),"Check")</f>
        <v/>
      </c>
      <c r="AQ923" s="207" t="str">
        <f>IFERROR(IF(ISBLANK($D923),"",VLOOKUP($N923,'TABLE CHARGE RATE'!$A$30:$K$106,9,0)),"Check")</f>
        <v/>
      </c>
      <c r="AR923" s="207" t="str">
        <f>IFERROR(IF(ISBLANK($D923),"",VLOOKUP($N923,'TABLE CHARGE RATE'!$A$30:$K$106,10,0)),"Check")</f>
        <v/>
      </c>
      <c r="AS923" s="207" t="str">
        <f>IFERROR(IF(ISBLANK($D923),"",VLOOKUP($N923,'TABLE CHARGE RATE'!$A$30:$K$106,11,0)),"Check")</f>
        <v/>
      </c>
      <c r="AT923" s="207"/>
    </row>
    <row r="924" spans="1:46" x14ac:dyDescent="0.2">
      <c r="A924" s="207" t="str">
        <f t="shared" si="123"/>
        <v/>
      </c>
      <c r="B924" s="208" t="str">
        <f>IF(ISBLANK(D924),"",VLOOKUP(WEEKDAY($C924,1),INDEX!$J$2:$K$8,2,0))</f>
        <v/>
      </c>
      <c r="C924" s="209"/>
      <c r="D924" s="207"/>
      <c r="E924" s="207"/>
      <c r="F924" s="207"/>
      <c r="G924" s="207"/>
      <c r="H924" s="207"/>
      <c r="I924" s="207"/>
      <c r="J924" s="207"/>
      <c r="K924" s="207"/>
      <c r="L924" s="207"/>
      <c r="M924" s="207"/>
      <c r="N924" s="207"/>
      <c r="O924" s="207"/>
      <c r="P924" s="207"/>
      <c r="Q924" s="207"/>
      <c r="R924" s="207"/>
      <c r="S924" s="207"/>
      <c r="T924" s="207"/>
      <c r="U924" s="209"/>
      <c r="V924" s="207"/>
      <c r="W924" s="207"/>
      <c r="X924" s="209"/>
      <c r="Y924" s="209"/>
      <c r="Z924" s="207" t="str">
        <f t="shared" ca="1" si="125"/>
        <v/>
      </c>
      <c r="AA924" s="209" t="str">
        <f t="shared" si="122"/>
        <v/>
      </c>
      <c r="AB924" s="209"/>
      <c r="AC924" s="207" t="str">
        <f t="shared" ca="1" si="126"/>
        <v/>
      </c>
      <c r="AD924" s="207"/>
      <c r="AE924" s="207"/>
      <c r="AF924" s="208" t="str">
        <f>IF(ISBLANK(D924),"",VLOOKUP(F924,'SIZE CALCULATION'!$F:$G,2,0))</f>
        <v/>
      </c>
      <c r="AG924" s="207" t="str">
        <f t="shared" si="124"/>
        <v/>
      </c>
      <c r="AH924" s="207" t="str">
        <f t="shared" si="127"/>
        <v/>
      </c>
      <c r="AI924" s="210" t="str">
        <f>IF(ISBLANK(D924),"",VLOOKUP($A924,INDEX!$D$2:$F$13,3,0))</f>
        <v/>
      </c>
      <c r="AJ924" s="207" t="str">
        <f t="shared" si="128"/>
        <v/>
      </c>
      <c r="AK924" s="207"/>
      <c r="AL924" s="207"/>
      <c r="AM924" s="207" t="str">
        <f>IFERROR(IF(ISBLANK($D924),"",VLOOKUP($N924,'TABLE CHARGE RATE'!$A$30:$K$106,5,0)),"Check")</f>
        <v/>
      </c>
      <c r="AN924" s="207" t="str">
        <f>IFERROR(IF(ISBLANK($D924),"",VLOOKUP($N924,'TABLE CHARGE RATE'!$A$30:$K$106,6,0)),"Check")</f>
        <v/>
      </c>
      <c r="AO924" s="207" t="str">
        <f>IFERROR(IF(ISBLANK($D924),"",VLOOKUP($N924,'TABLE CHARGE RATE'!$A$30:$K$106,7,0)),"Check")</f>
        <v/>
      </c>
      <c r="AP924" s="207" t="str">
        <f>IFERROR(IF(ISBLANK($D924),"",VLOOKUP($N924,'TABLE CHARGE RATE'!$A$30:$K$106,8,0)),"Check")</f>
        <v/>
      </c>
      <c r="AQ924" s="207" t="str">
        <f>IFERROR(IF(ISBLANK($D924),"",VLOOKUP($N924,'TABLE CHARGE RATE'!$A$30:$K$106,9,0)),"Check")</f>
        <v/>
      </c>
      <c r="AR924" s="207" t="str">
        <f>IFERROR(IF(ISBLANK($D924),"",VLOOKUP($N924,'TABLE CHARGE RATE'!$A$30:$K$106,10,0)),"Check")</f>
        <v/>
      </c>
      <c r="AS924" s="207" t="str">
        <f>IFERROR(IF(ISBLANK($D924),"",VLOOKUP($N924,'TABLE CHARGE RATE'!$A$30:$K$106,11,0)),"Check")</f>
        <v/>
      </c>
      <c r="AT924" s="207"/>
    </row>
    <row r="925" spans="1:46" x14ac:dyDescent="0.2">
      <c r="A925" s="207" t="str">
        <f t="shared" si="123"/>
        <v/>
      </c>
      <c r="B925" s="208" t="str">
        <f>IF(ISBLANK(D925),"",VLOOKUP(WEEKDAY($C925,1),INDEX!$J$2:$K$8,2,0))</f>
        <v/>
      </c>
      <c r="C925" s="209"/>
      <c r="D925" s="207"/>
      <c r="E925" s="207"/>
      <c r="F925" s="207"/>
      <c r="G925" s="207"/>
      <c r="H925" s="207"/>
      <c r="I925" s="207"/>
      <c r="J925" s="207"/>
      <c r="K925" s="207"/>
      <c r="L925" s="207"/>
      <c r="M925" s="207"/>
      <c r="N925" s="207"/>
      <c r="O925" s="207"/>
      <c r="P925" s="207"/>
      <c r="Q925" s="207"/>
      <c r="R925" s="207"/>
      <c r="S925" s="207"/>
      <c r="T925" s="207"/>
      <c r="U925" s="209"/>
      <c r="V925" s="207"/>
      <c r="W925" s="207"/>
      <c r="X925" s="209"/>
      <c r="Y925" s="209"/>
      <c r="Z925" s="207" t="str">
        <f t="shared" ca="1" si="125"/>
        <v/>
      </c>
      <c r="AA925" s="209" t="str">
        <f t="shared" si="122"/>
        <v/>
      </c>
      <c r="AB925" s="209"/>
      <c r="AC925" s="207" t="str">
        <f t="shared" ca="1" si="126"/>
        <v/>
      </c>
      <c r="AD925" s="207"/>
      <c r="AE925" s="207"/>
      <c r="AF925" s="208" t="str">
        <f>IF(ISBLANK(D925),"",VLOOKUP(F925,'SIZE CALCULATION'!$F:$G,2,0))</f>
        <v/>
      </c>
      <c r="AG925" s="207" t="str">
        <f t="shared" si="124"/>
        <v/>
      </c>
      <c r="AH925" s="207" t="str">
        <f t="shared" si="127"/>
        <v/>
      </c>
      <c r="AI925" s="210" t="str">
        <f>IF(ISBLANK(D925),"",VLOOKUP($A925,INDEX!$D$2:$F$13,3,0))</f>
        <v/>
      </c>
      <c r="AJ925" s="207" t="str">
        <f t="shared" si="128"/>
        <v/>
      </c>
      <c r="AK925" s="207"/>
      <c r="AL925" s="207"/>
      <c r="AM925" s="207" t="str">
        <f>IFERROR(IF(ISBLANK($D925),"",VLOOKUP($N925,'TABLE CHARGE RATE'!$A$30:$K$106,5,0)),"Check")</f>
        <v/>
      </c>
      <c r="AN925" s="207" t="str">
        <f>IFERROR(IF(ISBLANK($D925),"",VLOOKUP($N925,'TABLE CHARGE RATE'!$A$30:$K$106,6,0)),"Check")</f>
        <v/>
      </c>
      <c r="AO925" s="207" t="str">
        <f>IFERROR(IF(ISBLANK($D925),"",VLOOKUP($N925,'TABLE CHARGE RATE'!$A$30:$K$106,7,0)),"Check")</f>
        <v/>
      </c>
      <c r="AP925" s="207" t="str">
        <f>IFERROR(IF(ISBLANK($D925),"",VLOOKUP($N925,'TABLE CHARGE RATE'!$A$30:$K$106,8,0)),"Check")</f>
        <v/>
      </c>
      <c r="AQ925" s="207" t="str">
        <f>IFERROR(IF(ISBLANK($D925),"",VLOOKUP($N925,'TABLE CHARGE RATE'!$A$30:$K$106,9,0)),"Check")</f>
        <v/>
      </c>
      <c r="AR925" s="207" t="str">
        <f>IFERROR(IF(ISBLANK($D925),"",VLOOKUP($N925,'TABLE CHARGE RATE'!$A$30:$K$106,10,0)),"Check")</f>
        <v/>
      </c>
      <c r="AS925" s="207" t="str">
        <f>IFERROR(IF(ISBLANK($D925),"",VLOOKUP($N925,'TABLE CHARGE RATE'!$A$30:$K$106,11,0)),"Check")</f>
        <v/>
      </c>
      <c r="AT925" s="207"/>
    </row>
    <row r="926" spans="1:46" x14ac:dyDescent="0.2">
      <c r="A926" s="207" t="str">
        <f t="shared" si="123"/>
        <v/>
      </c>
      <c r="B926" s="208" t="str">
        <f>IF(ISBLANK(D926),"",VLOOKUP(WEEKDAY($C926,1),INDEX!$J$2:$K$8,2,0))</f>
        <v/>
      </c>
      <c r="C926" s="209"/>
      <c r="D926" s="207"/>
      <c r="E926" s="207"/>
      <c r="F926" s="207"/>
      <c r="G926" s="207"/>
      <c r="H926" s="207"/>
      <c r="I926" s="207"/>
      <c r="J926" s="207"/>
      <c r="K926" s="207"/>
      <c r="L926" s="207"/>
      <c r="M926" s="207"/>
      <c r="N926" s="207"/>
      <c r="O926" s="207"/>
      <c r="P926" s="207"/>
      <c r="Q926" s="207"/>
      <c r="R926" s="207"/>
      <c r="S926" s="207"/>
      <c r="T926" s="207"/>
      <c r="U926" s="209"/>
      <c r="V926" s="207"/>
      <c r="W926" s="207"/>
      <c r="X926" s="209"/>
      <c r="Y926" s="209"/>
      <c r="Z926" s="207" t="str">
        <f t="shared" ca="1" si="125"/>
        <v/>
      </c>
      <c r="AA926" s="209" t="str">
        <f t="shared" si="122"/>
        <v/>
      </c>
      <c r="AB926" s="209"/>
      <c r="AC926" s="207" t="str">
        <f t="shared" ca="1" si="126"/>
        <v/>
      </c>
      <c r="AD926" s="207"/>
      <c r="AE926" s="207"/>
      <c r="AF926" s="208" t="str">
        <f>IF(ISBLANK(D926),"",VLOOKUP(F926,'SIZE CALCULATION'!$F:$G,2,0))</f>
        <v/>
      </c>
      <c r="AG926" s="207" t="str">
        <f t="shared" si="124"/>
        <v/>
      </c>
      <c r="AH926" s="207" t="str">
        <f t="shared" si="127"/>
        <v/>
      </c>
      <c r="AI926" s="210" t="str">
        <f>IF(ISBLANK(D926),"",VLOOKUP($A926,INDEX!$D$2:$F$13,3,0))</f>
        <v/>
      </c>
      <c r="AJ926" s="207" t="str">
        <f t="shared" si="128"/>
        <v/>
      </c>
      <c r="AK926" s="207"/>
      <c r="AL926" s="207"/>
      <c r="AM926" s="207" t="str">
        <f>IFERROR(IF(ISBLANK($D926),"",VLOOKUP($N926,'TABLE CHARGE RATE'!$A$30:$K$106,5,0)),"Check")</f>
        <v/>
      </c>
      <c r="AN926" s="207" t="str">
        <f>IFERROR(IF(ISBLANK($D926),"",VLOOKUP($N926,'TABLE CHARGE RATE'!$A$30:$K$106,6,0)),"Check")</f>
        <v/>
      </c>
      <c r="AO926" s="207" t="str">
        <f>IFERROR(IF(ISBLANK($D926),"",VLOOKUP($N926,'TABLE CHARGE RATE'!$A$30:$K$106,7,0)),"Check")</f>
        <v/>
      </c>
      <c r="AP926" s="207" t="str">
        <f>IFERROR(IF(ISBLANK($D926),"",VLOOKUP($N926,'TABLE CHARGE RATE'!$A$30:$K$106,8,0)),"Check")</f>
        <v/>
      </c>
      <c r="AQ926" s="207" t="str">
        <f>IFERROR(IF(ISBLANK($D926),"",VLOOKUP($N926,'TABLE CHARGE RATE'!$A$30:$K$106,9,0)),"Check")</f>
        <v/>
      </c>
      <c r="AR926" s="207" t="str">
        <f>IFERROR(IF(ISBLANK($D926),"",VLOOKUP($N926,'TABLE CHARGE RATE'!$A$30:$K$106,10,0)),"Check")</f>
        <v/>
      </c>
      <c r="AS926" s="207" t="str">
        <f>IFERROR(IF(ISBLANK($D926),"",VLOOKUP($N926,'TABLE CHARGE RATE'!$A$30:$K$106,11,0)),"Check")</f>
        <v/>
      </c>
      <c r="AT926" s="207"/>
    </row>
    <row r="927" spans="1:46" x14ac:dyDescent="0.2">
      <c r="A927" s="207" t="str">
        <f t="shared" si="123"/>
        <v/>
      </c>
      <c r="B927" s="208" t="str">
        <f>IF(ISBLANK(D927),"",VLOOKUP(WEEKDAY($C927,1),INDEX!$J$2:$K$8,2,0))</f>
        <v/>
      </c>
      <c r="C927" s="209"/>
      <c r="D927" s="207"/>
      <c r="E927" s="207"/>
      <c r="F927" s="207"/>
      <c r="G927" s="207"/>
      <c r="H927" s="207"/>
      <c r="I927" s="207"/>
      <c r="J927" s="207"/>
      <c r="K927" s="207"/>
      <c r="L927" s="207"/>
      <c r="M927" s="207"/>
      <c r="N927" s="207"/>
      <c r="O927" s="207"/>
      <c r="P927" s="207"/>
      <c r="Q927" s="207"/>
      <c r="R927" s="207"/>
      <c r="S927" s="207"/>
      <c r="T927" s="207"/>
      <c r="U927" s="209"/>
      <c r="V927" s="207"/>
      <c r="W927" s="207"/>
      <c r="X927" s="209"/>
      <c r="Y927" s="209"/>
      <c r="Z927" s="207" t="str">
        <f t="shared" ca="1" si="125"/>
        <v/>
      </c>
      <c r="AA927" s="209" t="str">
        <f t="shared" si="122"/>
        <v/>
      </c>
      <c r="AB927" s="209"/>
      <c r="AC927" s="207" t="str">
        <f t="shared" ca="1" si="126"/>
        <v/>
      </c>
      <c r="AD927" s="207"/>
      <c r="AE927" s="207"/>
      <c r="AF927" s="208" t="str">
        <f>IF(ISBLANK(D927),"",VLOOKUP(F927,'SIZE CALCULATION'!$F:$G,2,0))</f>
        <v/>
      </c>
      <c r="AG927" s="207" t="str">
        <f t="shared" si="124"/>
        <v/>
      </c>
      <c r="AH927" s="207" t="str">
        <f t="shared" si="127"/>
        <v/>
      </c>
      <c r="AI927" s="210" t="str">
        <f>IF(ISBLANK(D927),"",VLOOKUP($A927,INDEX!$D$2:$F$13,3,0))</f>
        <v/>
      </c>
      <c r="AJ927" s="207" t="str">
        <f t="shared" si="128"/>
        <v/>
      </c>
      <c r="AK927" s="207"/>
      <c r="AL927" s="207"/>
      <c r="AM927" s="207" t="str">
        <f>IFERROR(IF(ISBLANK($D927),"",VLOOKUP($N927,'TABLE CHARGE RATE'!$A$30:$K$106,5,0)),"Check")</f>
        <v/>
      </c>
      <c r="AN927" s="207" t="str">
        <f>IFERROR(IF(ISBLANK($D927),"",VLOOKUP($N927,'TABLE CHARGE RATE'!$A$30:$K$106,6,0)),"Check")</f>
        <v/>
      </c>
      <c r="AO927" s="207" t="str">
        <f>IFERROR(IF(ISBLANK($D927),"",VLOOKUP($N927,'TABLE CHARGE RATE'!$A$30:$K$106,7,0)),"Check")</f>
        <v/>
      </c>
      <c r="AP927" s="207" t="str">
        <f>IFERROR(IF(ISBLANK($D927),"",VLOOKUP($N927,'TABLE CHARGE RATE'!$A$30:$K$106,8,0)),"Check")</f>
        <v/>
      </c>
      <c r="AQ927" s="207" t="str">
        <f>IFERROR(IF(ISBLANK($D927),"",VLOOKUP($N927,'TABLE CHARGE RATE'!$A$30:$K$106,9,0)),"Check")</f>
        <v/>
      </c>
      <c r="AR927" s="207" t="str">
        <f>IFERROR(IF(ISBLANK($D927),"",VLOOKUP($N927,'TABLE CHARGE RATE'!$A$30:$K$106,10,0)),"Check")</f>
        <v/>
      </c>
      <c r="AS927" s="207" t="str">
        <f>IFERROR(IF(ISBLANK($D927),"",VLOOKUP($N927,'TABLE CHARGE RATE'!$A$30:$K$106,11,0)),"Check")</f>
        <v/>
      </c>
      <c r="AT927" s="207"/>
    </row>
    <row r="928" spans="1:46" x14ac:dyDescent="0.2">
      <c r="A928" s="207" t="str">
        <f t="shared" si="123"/>
        <v/>
      </c>
      <c r="B928" s="208" t="str">
        <f>IF(ISBLANK(D928),"",VLOOKUP(WEEKDAY($C928,1),INDEX!$J$2:$K$8,2,0))</f>
        <v/>
      </c>
      <c r="C928" s="209"/>
      <c r="D928" s="207"/>
      <c r="E928" s="207"/>
      <c r="F928" s="207"/>
      <c r="G928" s="207"/>
      <c r="H928" s="207"/>
      <c r="I928" s="207"/>
      <c r="J928" s="207"/>
      <c r="K928" s="207"/>
      <c r="L928" s="207"/>
      <c r="M928" s="207"/>
      <c r="N928" s="207"/>
      <c r="O928" s="207"/>
      <c r="P928" s="207"/>
      <c r="Q928" s="207"/>
      <c r="R928" s="207"/>
      <c r="S928" s="207"/>
      <c r="T928" s="207"/>
      <c r="U928" s="209"/>
      <c r="V928" s="207"/>
      <c r="W928" s="207"/>
      <c r="X928" s="209"/>
      <c r="Y928" s="209"/>
      <c r="Z928" s="207" t="str">
        <f t="shared" ca="1" si="125"/>
        <v/>
      </c>
      <c r="AA928" s="209" t="str">
        <f t="shared" si="122"/>
        <v/>
      </c>
      <c r="AB928" s="209"/>
      <c r="AC928" s="207" t="str">
        <f t="shared" ca="1" si="126"/>
        <v/>
      </c>
      <c r="AD928" s="207"/>
      <c r="AE928" s="207"/>
      <c r="AF928" s="208" t="str">
        <f>IF(ISBLANK(D928),"",VLOOKUP(F928,'SIZE CALCULATION'!$F:$G,2,0))</f>
        <v/>
      </c>
      <c r="AG928" s="207" t="str">
        <f t="shared" si="124"/>
        <v/>
      </c>
      <c r="AH928" s="207" t="str">
        <f t="shared" si="127"/>
        <v/>
      </c>
      <c r="AI928" s="210" t="str">
        <f>IF(ISBLANK(D928),"",VLOOKUP($A928,INDEX!$D$2:$F$13,3,0))</f>
        <v/>
      </c>
      <c r="AJ928" s="207" t="str">
        <f t="shared" si="128"/>
        <v/>
      </c>
      <c r="AK928" s="207"/>
      <c r="AL928" s="207"/>
      <c r="AM928" s="207" t="str">
        <f>IFERROR(IF(ISBLANK($D928),"",VLOOKUP($N928,'TABLE CHARGE RATE'!$A$30:$K$106,5,0)),"Check")</f>
        <v/>
      </c>
      <c r="AN928" s="207" t="str">
        <f>IFERROR(IF(ISBLANK($D928),"",VLOOKUP($N928,'TABLE CHARGE RATE'!$A$30:$K$106,6,0)),"Check")</f>
        <v/>
      </c>
      <c r="AO928" s="207" t="str">
        <f>IFERROR(IF(ISBLANK($D928),"",VLOOKUP($N928,'TABLE CHARGE RATE'!$A$30:$K$106,7,0)),"Check")</f>
        <v/>
      </c>
      <c r="AP928" s="207" t="str">
        <f>IFERROR(IF(ISBLANK($D928),"",VLOOKUP($N928,'TABLE CHARGE RATE'!$A$30:$K$106,8,0)),"Check")</f>
        <v/>
      </c>
      <c r="AQ928" s="207" t="str">
        <f>IFERROR(IF(ISBLANK($D928),"",VLOOKUP($N928,'TABLE CHARGE RATE'!$A$30:$K$106,9,0)),"Check")</f>
        <v/>
      </c>
      <c r="AR928" s="207" t="str">
        <f>IFERROR(IF(ISBLANK($D928),"",VLOOKUP($N928,'TABLE CHARGE RATE'!$A$30:$K$106,10,0)),"Check")</f>
        <v/>
      </c>
      <c r="AS928" s="207" t="str">
        <f>IFERROR(IF(ISBLANK($D928),"",VLOOKUP($N928,'TABLE CHARGE RATE'!$A$30:$K$106,11,0)),"Check")</f>
        <v/>
      </c>
      <c r="AT928" s="207"/>
    </row>
    <row r="929" spans="1:46" x14ac:dyDescent="0.2">
      <c r="A929" s="207" t="str">
        <f t="shared" si="123"/>
        <v/>
      </c>
      <c r="B929" s="208" t="str">
        <f>IF(ISBLANK(D929),"",VLOOKUP(WEEKDAY($C929,1),INDEX!$J$2:$K$8,2,0))</f>
        <v/>
      </c>
      <c r="C929" s="209"/>
      <c r="D929" s="207"/>
      <c r="E929" s="207"/>
      <c r="F929" s="207"/>
      <c r="G929" s="207"/>
      <c r="H929" s="207"/>
      <c r="I929" s="207"/>
      <c r="J929" s="207"/>
      <c r="K929" s="207"/>
      <c r="L929" s="207"/>
      <c r="M929" s="207"/>
      <c r="N929" s="207"/>
      <c r="O929" s="207"/>
      <c r="P929" s="207"/>
      <c r="Q929" s="207"/>
      <c r="R929" s="207"/>
      <c r="S929" s="207"/>
      <c r="T929" s="207"/>
      <c r="U929" s="209"/>
      <c r="V929" s="207"/>
      <c r="W929" s="207"/>
      <c r="X929" s="209"/>
      <c r="Y929" s="209"/>
      <c r="Z929" s="207" t="str">
        <f t="shared" ca="1" si="125"/>
        <v/>
      </c>
      <c r="AA929" s="209" t="str">
        <f t="shared" ref="AA929:AA966" si="129">IF(ISBLANK(D929),"",Y929+10)</f>
        <v/>
      </c>
      <c r="AB929" s="209"/>
      <c r="AC929" s="207" t="str">
        <f t="shared" ca="1" si="126"/>
        <v/>
      </c>
      <c r="AD929" s="207"/>
      <c r="AE929" s="207"/>
      <c r="AF929" s="208" t="str">
        <f>IF(ISBLANK(D929),"",VLOOKUP(F929,'SIZE CALCULATION'!$F:$G,2,0))</f>
        <v/>
      </c>
      <c r="AG929" s="207" t="str">
        <f t="shared" si="124"/>
        <v/>
      </c>
      <c r="AH929" s="207" t="str">
        <f t="shared" si="127"/>
        <v/>
      </c>
      <c r="AI929" s="210" t="str">
        <f>IF(ISBLANK(D929),"",VLOOKUP($A929,INDEX!$D$2:$F$13,3,0))</f>
        <v/>
      </c>
      <c r="AJ929" s="207" t="str">
        <f t="shared" si="128"/>
        <v/>
      </c>
      <c r="AK929" s="207"/>
      <c r="AL929" s="207"/>
      <c r="AM929" s="207" t="str">
        <f>IFERROR(IF(ISBLANK($D929),"",VLOOKUP($N929,'TABLE CHARGE RATE'!$A$30:$K$106,5,0)),"Check")</f>
        <v/>
      </c>
      <c r="AN929" s="207" t="str">
        <f>IFERROR(IF(ISBLANK($D929),"",VLOOKUP($N929,'TABLE CHARGE RATE'!$A$30:$K$106,6,0)),"Check")</f>
        <v/>
      </c>
      <c r="AO929" s="207" t="str">
        <f>IFERROR(IF(ISBLANK($D929),"",VLOOKUP($N929,'TABLE CHARGE RATE'!$A$30:$K$106,7,0)),"Check")</f>
        <v/>
      </c>
      <c r="AP929" s="207" t="str">
        <f>IFERROR(IF(ISBLANK($D929),"",VLOOKUP($N929,'TABLE CHARGE RATE'!$A$30:$K$106,8,0)),"Check")</f>
        <v/>
      </c>
      <c r="AQ929" s="207" t="str">
        <f>IFERROR(IF(ISBLANK($D929),"",VLOOKUP($N929,'TABLE CHARGE RATE'!$A$30:$K$106,9,0)),"Check")</f>
        <v/>
      </c>
      <c r="AR929" s="207" t="str">
        <f>IFERROR(IF(ISBLANK($D929),"",VLOOKUP($N929,'TABLE CHARGE RATE'!$A$30:$K$106,10,0)),"Check")</f>
        <v/>
      </c>
      <c r="AS929" s="207" t="str">
        <f>IFERROR(IF(ISBLANK($D929),"",VLOOKUP($N929,'TABLE CHARGE RATE'!$A$30:$K$106,11,0)),"Check")</f>
        <v/>
      </c>
      <c r="AT929" s="207"/>
    </row>
    <row r="930" spans="1:46" x14ac:dyDescent="0.2">
      <c r="A930" s="207" t="str">
        <f t="shared" si="123"/>
        <v/>
      </c>
      <c r="B930" s="208" t="str">
        <f>IF(ISBLANK(D930),"",VLOOKUP(WEEKDAY($C930,1),INDEX!$J$2:$K$8,2,0))</f>
        <v/>
      </c>
      <c r="C930" s="209"/>
      <c r="D930" s="207"/>
      <c r="E930" s="207"/>
      <c r="F930" s="207"/>
      <c r="G930" s="207"/>
      <c r="H930" s="207"/>
      <c r="I930" s="207"/>
      <c r="J930" s="207"/>
      <c r="K930" s="207"/>
      <c r="L930" s="207"/>
      <c r="M930" s="207"/>
      <c r="N930" s="207"/>
      <c r="O930" s="207"/>
      <c r="P930" s="207"/>
      <c r="Q930" s="207"/>
      <c r="R930" s="207"/>
      <c r="S930" s="207"/>
      <c r="T930" s="207"/>
      <c r="U930" s="209"/>
      <c r="V930" s="207"/>
      <c r="W930" s="207"/>
      <c r="X930" s="209"/>
      <c r="Y930" s="209"/>
      <c r="Z930" s="207" t="str">
        <f t="shared" ca="1" si="125"/>
        <v/>
      </c>
      <c r="AA930" s="209" t="str">
        <f t="shared" si="129"/>
        <v/>
      </c>
      <c r="AB930" s="209"/>
      <c r="AC930" s="207" t="str">
        <f t="shared" ca="1" si="126"/>
        <v/>
      </c>
      <c r="AD930" s="207"/>
      <c r="AE930" s="207"/>
      <c r="AF930" s="208" t="str">
        <f>IF(ISBLANK(D930),"",VLOOKUP(F930,'SIZE CALCULATION'!$F:$G,2,0))</f>
        <v/>
      </c>
      <c r="AG930" s="207" t="str">
        <f t="shared" si="124"/>
        <v/>
      </c>
      <c r="AH930" s="207" t="str">
        <f t="shared" si="127"/>
        <v/>
      </c>
      <c r="AI930" s="210" t="str">
        <f>IF(ISBLANK(D930),"",VLOOKUP($A930,INDEX!$D$2:$F$13,3,0))</f>
        <v/>
      </c>
      <c r="AJ930" s="207" t="str">
        <f t="shared" si="128"/>
        <v/>
      </c>
      <c r="AK930" s="207"/>
      <c r="AL930" s="207"/>
      <c r="AM930" s="207" t="str">
        <f>IFERROR(IF(ISBLANK($D930),"",VLOOKUP($N930,'TABLE CHARGE RATE'!$A$30:$K$106,5,0)),"Check")</f>
        <v/>
      </c>
      <c r="AN930" s="207" t="str">
        <f>IFERROR(IF(ISBLANK($D930),"",VLOOKUP($N930,'TABLE CHARGE RATE'!$A$30:$K$106,6,0)),"Check")</f>
        <v/>
      </c>
      <c r="AO930" s="207" t="str">
        <f>IFERROR(IF(ISBLANK($D930),"",VLOOKUP($N930,'TABLE CHARGE RATE'!$A$30:$K$106,7,0)),"Check")</f>
        <v/>
      </c>
      <c r="AP930" s="207" t="str">
        <f>IFERROR(IF(ISBLANK($D930),"",VLOOKUP($N930,'TABLE CHARGE RATE'!$A$30:$K$106,8,0)),"Check")</f>
        <v/>
      </c>
      <c r="AQ930" s="207" t="str">
        <f>IFERROR(IF(ISBLANK($D930),"",VLOOKUP($N930,'TABLE CHARGE RATE'!$A$30:$K$106,9,0)),"Check")</f>
        <v/>
      </c>
      <c r="AR930" s="207" t="str">
        <f>IFERROR(IF(ISBLANK($D930),"",VLOOKUP($N930,'TABLE CHARGE RATE'!$A$30:$K$106,10,0)),"Check")</f>
        <v/>
      </c>
      <c r="AS930" s="207" t="str">
        <f>IFERROR(IF(ISBLANK($D930),"",VLOOKUP($N930,'TABLE CHARGE RATE'!$A$30:$K$106,11,0)),"Check")</f>
        <v/>
      </c>
      <c r="AT930" s="207"/>
    </row>
    <row r="931" spans="1:46" x14ac:dyDescent="0.2">
      <c r="A931" s="207" t="str">
        <f t="shared" si="123"/>
        <v/>
      </c>
      <c r="B931" s="208" t="str">
        <f>IF(ISBLANK(D931),"",VLOOKUP(WEEKDAY($C931,1),INDEX!$J$2:$K$8,2,0))</f>
        <v/>
      </c>
      <c r="C931" s="209"/>
      <c r="D931" s="207"/>
      <c r="E931" s="207"/>
      <c r="F931" s="207"/>
      <c r="G931" s="207"/>
      <c r="H931" s="207"/>
      <c r="I931" s="207"/>
      <c r="J931" s="207"/>
      <c r="K931" s="207"/>
      <c r="L931" s="207"/>
      <c r="M931" s="207"/>
      <c r="N931" s="207"/>
      <c r="O931" s="207"/>
      <c r="P931" s="207"/>
      <c r="Q931" s="207"/>
      <c r="R931" s="207"/>
      <c r="S931" s="207"/>
      <c r="T931" s="207"/>
      <c r="U931" s="209"/>
      <c r="V931" s="207"/>
      <c r="W931" s="207"/>
      <c r="X931" s="209"/>
      <c r="Y931" s="209"/>
      <c r="Z931" s="207" t="str">
        <f t="shared" ca="1" si="125"/>
        <v/>
      </c>
      <c r="AA931" s="209" t="str">
        <f t="shared" si="129"/>
        <v/>
      </c>
      <c r="AB931" s="209"/>
      <c r="AC931" s="207" t="str">
        <f t="shared" ca="1" si="126"/>
        <v/>
      </c>
      <c r="AD931" s="207"/>
      <c r="AE931" s="207"/>
      <c r="AF931" s="208" t="str">
        <f>IF(ISBLANK(D931),"",VLOOKUP(F931,'SIZE CALCULATION'!$F:$G,2,0))</f>
        <v/>
      </c>
      <c r="AG931" s="207" t="str">
        <f t="shared" si="124"/>
        <v/>
      </c>
      <c r="AH931" s="207" t="str">
        <f t="shared" si="127"/>
        <v/>
      </c>
      <c r="AI931" s="210" t="str">
        <f>IF(ISBLANK(D931),"",VLOOKUP($A931,INDEX!$D$2:$F$13,3,0))</f>
        <v/>
      </c>
      <c r="AJ931" s="207" t="str">
        <f t="shared" si="128"/>
        <v/>
      </c>
      <c r="AK931" s="207"/>
      <c r="AL931" s="207"/>
      <c r="AM931" s="207" t="str">
        <f>IFERROR(IF(ISBLANK($D931),"",VLOOKUP($N931,'TABLE CHARGE RATE'!$A$30:$K$106,5,0)),"Check")</f>
        <v/>
      </c>
      <c r="AN931" s="207" t="str">
        <f>IFERROR(IF(ISBLANK($D931),"",VLOOKUP($N931,'TABLE CHARGE RATE'!$A$30:$K$106,6,0)),"Check")</f>
        <v/>
      </c>
      <c r="AO931" s="207" t="str">
        <f>IFERROR(IF(ISBLANK($D931),"",VLOOKUP($N931,'TABLE CHARGE RATE'!$A$30:$K$106,7,0)),"Check")</f>
        <v/>
      </c>
      <c r="AP931" s="207" t="str">
        <f>IFERROR(IF(ISBLANK($D931),"",VLOOKUP($N931,'TABLE CHARGE RATE'!$A$30:$K$106,8,0)),"Check")</f>
        <v/>
      </c>
      <c r="AQ931" s="207" t="str">
        <f>IFERROR(IF(ISBLANK($D931),"",VLOOKUP($N931,'TABLE CHARGE RATE'!$A$30:$K$106,9,0)),"Check")</f>
        <v/>
      </c>
      <c r="AR931" s="207" t="str">
        <f>IFERROR(IF(ISBLANK($D931),"",VLOOKUP($N931,'TABLE CHARGE RATE'!$A$30:$K$106,10,0)),"Check")</f>
        <v/>
      </c>
      <c r="AS931" s="207" t="str">
        <f>IFERROR(IF(ISBLANK($D931),"",VLOOKUP($N931,'TABLE CHARGE RATE'!$A$30:$K$106,11,0)),"Check")</f>
        <v/>
      </c>
      <c r="AT931" s="207"/>
    </row>
    <row r="932" spans="1:46" x14ac:dyDescent="0.2">
      <c r="A932" s="207" t="str">
        <f t="shared" si="123"/>
        <v/>
      </c>
      <c r="B932" s="208" t="str">
        <f>IF(ISBLANK(D932),"",VLOOKUP(WEEKDAY($C932,1),INDEX!$J$2:$K$8,2,0))</f>
        <v/>
      </c>
      <c r="C932" s="209"/>
      <c r="D932" s="207"/>
      <c r="E932" s="207"/>
      <c r="F932" s="207"/>
      <c r="G932" s="207"/>
      <c r="H932" s="207"/>
      <c r="I932" s="207"/>
      <c r="J932" s="207"/>
      <c r="K932" s="207"/>
      <c r="L932" s="207"/>
      <c r="M932" s="207"/>
      <c r="N932" s="207"/>
      <c r="O932" s="207"/>
      <c r="P932" s="207"/>
      <c r="Q932" s="207"/>
      <c r="R932" s="207"/>
      <c r="S932" s="207"/>
      <c r="T932" s="207"/>
      <c r="U932" s="209"/>
      <c r="V932" s="207"/>
      <c r="W932" s="207"/>
      <c r="X932" s="209"/>
      <c r="Y932" s="209"/>
      <c r="Z932" s="207" t="str">
        <f t="shared" ca="1" si="125"/>
        <v/>
      </c>
      <c r="AA932" s="209" t="str">
        <f t="shared" si="129"/>
        <v/>
      </c>
      <c r="AB932" s="209"/>
      <c r="AC932" s="207" t="str">
        <f t="shared" ca="1" si="126"/>
        <v/>
      </c>
      <c r="AD932" s="207"/>
      <c r="AE932" s="207"/>
      <c r="AF932" s="208" t="str">
        <f>IF(ISBLANK(D932),"",VLOOKUP(F932,'SIZE CALCULATION'!$F:$G,2,0))</f>
        <v/>
      </c>
      <c r="AG932" s="207" t="str">
        <f t="shared" si="124"/>
        <v/>
      </c>
      <c r="AH932" s="207" t="str">
        <f t="shared" si="127"/>
        <v/>
      </c>
      <c r="AI932" s="210" t="str">
        <f>IF(ISBLANK(D932),"",VLOOKUP($A932,INDEX!$D$2:$F$13,3,0))</f>
        <v/>
      </c>
      <c r="AJ932" s="207" t="str">
        <f t="shared" si="128"/>
        <v/>
      </c>
      <c r="AK932" s="207"/>
      <c r="AL932" s="207"/>
      <c r="AM932" s="207" t="str">
        <f>IFERROR(IF(ISBLANK($D932),"",VLOOKUP($N932,'TABLE CHARGE RATE'!$A$30:$K$106,5,0)),"Check")</f>
        <v/>
      </c>
      <c r="AN932" s="207" t="str">
        <f>IFERROR(IF(ISBLANK($D932),"",VLOOKUP($N932,'TABLE CHARGE RATE'!$A$30:$K$106,6,0)),"Check")</f>
        <v/>
      </c>
      <c r="AO932" s="207" t="str">
        <f>IFERROR(IF(ISBLANK($D932),"",VLOOKUP($N932,'TABLE CHARGE RATE'!$A$30:$K$106,7,0)),"Check")</f>
        <v/>
      </c>
      <c r="AP932" s="207" t="str">
        <f>IFERROR(IF(ISBLANK($D932),"",VLOOKUP($N932,'TABLE CHARGE RATE'!$A$30:$K$106,8,0)),"Check")</f>
        <v/>
      </c>
      <c r="AQ932" s="207" t="str">
        <f>IFERROR(IF(ISBLANK($D932),"",VLOOKUP($N932,'TABLE CHARGE RATE'!$A$30:$K$106,9,0)),"Check")</f>
        <v/>
      </c>
      <c r="AR932" s="207" t="str">
        <f>IFERROR(IF(ISBLANK($D932),"",VLOOKUP($N932,'TABLE CHARGE RATE'!$A$30:$K$106,10,0)),"Check")</f>
        <v/>
      </c>
      <c r="AS932" s="207" t="str">
        <f>IFERROR(IF(ISBLANK($D932),"",VLOOKUP($N932,'TABLE CHARGE RATE'!$A$30:$K$106,11,0)),"Check")</f>
        <v/>
      </c>
      <c r="AT932" s="207"/>
    </row>
    <row r="933" spans="1:46" x14ac:dyDescent="0.2">
      <c r="A933" s="207" t="str">
        <f t="shared" si="123"/>
        <v/>
      </c>
      <c r="B933" s="208" t="str">
        <f>IF(ISBLANK(D933),"",VLOOKUP(WEEKDAY($C933,1),INDEX!$J$2:$K$8,2,0))</f>
        <v/>
      </c>
      <c r="C933" s="209"/>
      <c r="D933" s="207"/>
      <c r="E933" s="207"/>
      <c r="F933" s="207"/>
      <c r="G933" s="207"/>
      <c r="H933" s="207"/>
      <c r="I933" s="207"/>
      <c r="J933" s="207"/>
      <c r="K933" s="207"/>
      <c r="L933" s="207"/>
      <c r="M933" s="207"/>
      <c r="N933" s="207"/>
      <c r="O933" s="207"/>
      <c r="P933" s="207"/>
      <c r="Q933" s="207"/>
      <c r="R933" s="207"/>
      <c r="S933" s="207"/>
      <c r="T933" s="207"/>
      <c r="U933" s="209"/>
      <c r="V933" s="207"/>
      <c r="W933" s="207"/>
      <c r="X933" s="209"/>
      <c r="Y933" s="209"/>
      <c r="Z933" s="207" t="str">
        <f t="shared" ca="1" si="125"/>
        <v/>
      </c>
      <c r="AA933" s="209" t="str">
        <f t="shared" si="129"/>
        <v/>
      </c>
      <c r="AB933" s="209"/>
      <c r="AC933" s="207" t="str">
        <f t="shared" ca="1" si="126"/>
        <v/>
      </c>
      <c r="AD933" s="207"/>
      <c r="AE933" s="207"/>
      <c r="AF933" s="208" t="str">
        <f>IF(ISBLANK(D933),"",VLOOKUP(F933,'SIZE CALCULATION'!$F:$G,2,0))</f>
        <v/>
      </c>
      <c r="AG933" s="207" t="str">
        <f t="shared" si="124"/>
        <v/>
      </c>
      <c r="AH933" s="207" t="str">
        <f t="shared" si="127"/>
        <v/>
      </c>
      <c r="AI933" s="210" t="str">
        <f>IF(ISBLANK(D933),"",VLOOKUP($A933,INDEX!$D$2:$F$13,3,0))</f>
        <v/>
      </c>
      <c r="AJ933" s="207" t="str">
        <f t="shared" si="128"/>
        <v/>
      </c>
      <c r="AK933" s="207"/>
      <c r="AL933" s="207"/>
      <c r="AM933" s="207" t="str">
        <f>IFERROR(IF(ISBLANK($D933),"",VLOOKUP($N933,'TABLE CHARGE RATE'!$A$30:$K$106,5,0)),"Check")</f>
        <v/>
      </c>
      <c r="AN933" s="207" t="str">
        <f>IFERROR(IF(ISBLANK($D933),"",VLOOKUP($N933,'TABLE CHARGE RATE'!$A$30:$K$106,6,0)),"Check")</f>
        <v/>
      </c>
      <c r="AO933" s="207" t="str">
        <f>IFERROR(IF(ISBLANK($D933),"",VLOOKUP($N933,'TABLE CHARGE RATE'!$A$30:$K$106,7,0)),"Check")</f>
        <v/>
      </c>
      <c r="AP933" s="207" t="str">
        <f>IFERROR(IF(ISBLANK($D933),"",VLOOKUP($N933,'TABLE CHARGE RATE'!$A$30:$K$106,8,0)),"Check")</f>
        <v/>
      </c>
      <c r="AQ933" s="207" t="str">
        <f>IFERROR(IF(ISBLANK($D933),"",VLOOKUP($N933,'TABLE CHARGE RATE'!$A$30:$K$106,9,0)),"Check")</f>
        <v/>
      </c>
      <c r="AR933" s="207" t="str">
        <f>IFERROR(IF(ISBLANK($D933),"",VLOOKUP($N933,'TABLE CHARGE RATE'!$A$30:$K$106,10,0)),"Check")</f>
        <v/>
      </c>
      <c r="AS933" s="207" t="str">
        <f>IFERROR(IF(ISBLANK($D933),"",VLOOKUP($N933,'TABLE CHARGE RATE'!$A$30:$K$106,11,0)),"Check")</f>
        <v/>
      </c>
      <c r="AT933" s="207"/>
    </row>
    <row r="934" spans="1:46" x14ac:dyDescent="0.2">
      <c r="A934" s="207" t="str">
        <f t="shared" si="123"/>
        <v/>
      </c>
      <c r="B934" s="208" t="str">
        <f>IF(ISBLANK(D934),"",VLOOKUP(WEEKDAY($C934,1),INDEX!$J$2:$K$8,2,0))</f>
        <v/>
      </c>
      <c r="C934" s="209"/>
      <c r="D934" s="207"/>
      <c r="E934" s="207"/>
      <c r="F934" s="207"/>
      <c r="G934" s="207"/>
      <c r="H934" s="207"/>
      <c r="I934" s="207"/>
      <c r="J934" s="207"/>
      <c r="K934" s="207"/>
      <c r="L934" s="207"/>
      <c r="M934" s="207"/>
      <c r="N934" s="207"/>
      <c r="O934" s="207"/>
      <c r="P934" s="207"/>
      <c r="Q934" s="207"/>
      <c r="R934" s="207"/>
      <c r="S934" s="207"/>
      <c r="T934" s="207"/>
      <c r="U934" s="209"/>
      <c r="V934" s="207"/>
      <c r="W934" s="207"/>
      <c r="X934" s="209"/>
      <c r="Y934" s="209"/>
      <c r="Z934" s="207" t="str">
        <f t="shared" ca="1" si="125"/>
        <v/>
      </c>
      <c r="AA934" s="209" t="str">
        <f t="shared" si="129"/>
        <v/>
      </c>
      <c r="AB934" s="209"/>
      <c r="AC934" s="207" t="str">
        <f t="shared" ca="1" si="126"/>
        <v/>
      </c>
      <c r="AD934" s="207"/>
      <c r="AE934" s="207"/>
      <c r="AF934" s="208" t="str">
        <f>IF(ISBLANK(D934),"",VLOOKUP(F934,'SIZE CALCULATION'!$F:$G,2,0))</f>
        <v/>
      </c>
      <c r="AG934" s="207" t="str">
        <f t="shared" si="124"/>
        <v/>
      </c>
      <c r="AH934" s="207" t="str">
        <f t="shared" si="127"/>
        <v/>
      </c>
      <c r="AI934" s="210" t="str">
        <f>IF(ISBLANK(D934),"",VLOOKUP($A934,INDEX!$D$2:$F$13,3,0))</f>
        <v/>
      </c>
      <c r="AJ934" s="207" t="str">
        <f t="shared" si="128"/>
        <v/>
      </c>
      <c r="AK934" s="207"/>
      <c r="AL934" s="207"/>
      <c r="AM934" s="207" t="str">
        <f>IFERROR(IF(ISBLANK($D934),"",VLOOKUP($N934,'TABLE CHARGE RATE'!$A$30:$K$106,5,0)),"Check")</f>
        <v/>
      </c>
      <c r="AN934" s="207" t="str">
        <f>IFERROR(IF(ISBLANK($D934),"",VLOOKUP($N934,'TABLE CHARGE RATE'!$A$30:$K$106,6,0)),"Check")</f>
        <v/>
      </c>
      <c r="AO934" s="207" t="str">
        <f>IFERROR(IF(ISBLANK($D934),"",VLOOKUP($N934,'TABLE CHARGE RATE'!$A$30:$K$106,7,0)),"Check")</f>
        <v/>
      </c>
      <c r="AP934" s="207" t="str">
        <f>IFERROR(IF(ISBLANK($D934),"",VLOOKUP($N934,'TABLE CHARGE RATE'!$A$30:$K$106,8,0)),"Check")</f>
        <v/>
      </c>
      <c r="AQ934" s="207" t="str">
        <f>IFERROR(IF(ISBLANK($D934),"",VLOOKUP($N934,'TABLE CHARGE RATE'!$A$30:$K$106,9,0)),"Check")</f>
        <v/>
      </c>
      <c r="AR934" s="207" t="str">
        <f>IFERROR(IF(ISBLANK($D934),"",VLOOKUP($N934,'TABLE CHARGE RATE'!$A$30:$K$106,10,0)),"Check")</f>
        <v/>
      </c>
      <c r="AS934" s="207" t="str">
        <f>IFERROR(IF(ISBLANK($D934),"",VLOOKUP($N934,'TABLE CHARGE RATE'!$A$30:$K$106,11,0)),"Check")</f>
        <v/>
      </c>
      <c r="AT934" s="207"/>
    </row>
    <row r="935" spans="1:46" x14ac:dyDescent="0.2">
      <c r="A935" s="207" t="str">
        <f t="shared" si="123"/>
        <v/>
      </c>
      <c r="B935" s="208" t="str">
        <f>IF(ISBLANK(D935),"",VLOOKUP(WEEKDAY($C935,1),INDEX!$J$2:$K$8,2,0))</f>
        <v/>
      </c>
      <c r="C935" s="209"/>
      <c r="D935" s="207"/>
      <c r="E935" s="207"/>
      <c r="F935" s="207"/>
      <c r="G935" s="207"/>
      <c r="H935" s="207"/>
      <c r="I935" s="207"/>
      <c r="J935" s="207"/>
      <c r="K935" s="207"/>
      <c r="L935" s="207"/>
      <c r="M935" s="207"/>
      <c r="N935" s="207"/>
      <c r="O935" s="207"/>
      <c r="P935" s="207"/>
      <c r="Q935" s="207"/>
      <c r="R935" s="207"/>
      <c r="S935" s="207"/>
      <c r="T935" s="207"/>
      <c r="U935" s="209"/>
      <c r="V935" s="207"/>
      <c r="W935" s="207"/>
      <c r="X935" s="209"/>
      <c r="Y935" s="209"/>
      <c r="Z935" s="207" t="str">
        <f t="shared" ca="1" si="125"/>
        <v/>
      </c>
      <c r="AA935" s="209" t="str">
        <f t="shared" si="129"/>
        <v/>
      </c>
      <c r="AB935" s="209"/>
      <c r="AC935" s="207" t="str">
        <f t="shared" ca="1" si="126"/>
        <v/>
      </c>
      <c r="AD935" s="207"/>
      <c r="AE935" s="207"/>
      <c r="AF935" s="208" t="str">
        <f>IF(ISBLANK(D935),"",VLOOKUP(F935,'SIZE CALCULATION'!$F:$G,2,0))</f>
        <v/>
      </c>
      <c r="AG935" s="207" t="str">
        <f t="shared" si="124"/>
        <v/>
      </c>
      <c r="AH935" s="207" t="str">
        <f t="shared" si="127"/>
        <v/>
      </c>
      <c r="AI935" s="210" t="str">
        <f>IF(ISBLANK(D935),"",VLOOKUP($A935,INDEX!$D$2:$F$13,3,0))</f>
        <v/>
      </c>
      <c r="AJ935" s="207" t="str">
        <f t="shared" si="128"/>
        <v/>
      </c>
      <c r="AK935" s="207"/>
      <c r="AL935" s="207"/>
      <c r="AM935" s="207" t="str">
        <f>IFERROR(IF(ISBLANK($D935),"",VLOOKUP($N935,'TABLE CHARGE RATE'!$A$30:$K$106,5,0)),"Check")</f>
        <v/>
      </c>
      <c r="AN935" s="207" t="str">
        <f>IFERROR(IF(ISBLANK($D935),"",VLOOKUP($N935,'TABLE CHARGE RATE'!$A$30:$K$106,6,0)),"Check")</f>
        <v/>
      </c>
      <c r="AO935" s="207" t="str">
        <f>IFERROR(IF(ISBLANK($D935),"",VLOOKUP($N935,'TABLE CHARGE RATE'!$A$30:$K$106,7,0)),"Check")</f>
        <v/>
      </c>
      <c r="AP935" s="207" t="str">
        <f>IFERROR(IF(ISBLANK($D935),"",VLOOKUP($N935,'TABLE CHARGE RATE'!$A$30:$K$106,8,0)),"Check")</f>
        <v/>
      </c>
      <c r="AQ935" s="207" t="str">
        <f>IFERROR(IF(ISBLANK($D935),"",VLOOKUP($N935,'TABLE CHARGE RATE'!$A$30:$K$106,9,0)),"Check")</f>
        <v/>
      </c>
      <c r="AR935" s="207" t="str">
        <f>IFERROR(IF(ISBLANK($D935),"",VLOOKUP($N935,'TABLE CHARGE RATE'!$A$30:$K$106,10,0)),"Check")</f>
        <v/>
      </c>
      <c r="AS935" s="207" t="str">
        <f>IFERROR(IF(ISBLANK($D935),"",VLOOKUP($N935,'TABLE CHARGE RATE'!$A$30:$K$106,11,0)),"Check")</f>
        <v/>
      </c>
      <c r="AT935" s="207"/>
    </row>
    <row r="936" spans="1:46" x14ac:dyDescent="0.2">
      <c r="A936" s="207" t="str">
        <f t="shared" si="123"/>
        <v/>
      </c>
      <c r="B936" s="208" t="str">
        <f>IF(ISBLANK(D936),"",VLOOKUP(WEEKDAY($C936,1),INDEX!$J$2:$K$8,2,0))</f>
        <v/>
      </c>
      <c r="C936" s="209"/>
      <c r="D936" s="207"/>
      <c r="E936" s="207"/>
      <c r="F936" s="207"/>
      <c r="G936" s="207"/>
      <c r="H936" s="207"/>
      <c r="I936" s="207"/>
      <c r="J936" s="207"/>
      <c r="K936" s="207"/>
      <c r="L936" s="207"/>
      <c r="M936" s="207"/>
      <c r="N936" s="207"/>
      <c r="O936" s="207"/>
      <c r="P936" s="207"/>
      <c r="Q936" s="207"/>
      <c r="R936" s="207"/>
      <c r="S936" s="207"/>
      <c r="T936" s="207"/>
      <c r="U936" s="209"/>
      <c r="V936" s="207"/>
      <c r="W936" s="207"/>
      <c r="X936" s="209"/>
      <c r="Y936" s="209"/>
      <c r="Z936" s="207" t="str">
        <f t="shared" ca="1" si="125"/>
        <v/>
      </c>
      <c r="AA936" s="209" t="str">
        <f t="shared" si="129"/>
        <v/>
      </c>
      <c r="AB936" s="209"/>
      <c r="AC936" s="207" t="str">
        <f t="shared" ca="1" si="126"/>
        <v/>
      </c>
      <c r="AD936" s="207"/>
      <c r="AE936" s="207"/>
      <c r="AF936" s="208" t="str">
        <f>IF(ISBLANK(D936),"",VLOOKUP(F936,'SIZE CALCULATION'!$F:$G,2,0))</f>
        <v/>
      </c>
      <c r="AG936" s="207" t="str">
        <f t="shared" si="124"/>
        <v/>
      </c>
      <c r="AH936" s="207" t="str">
        <f t="shared" si="127"/>
        <v/>
      </c>
      <c r="AI936" s="210" t="str">
        <f>IF(ISBLANK(D936),"",VLOOKUP($A936,INDEX!$D$2:$F$13,3,0))</f>
        <v/>
      </c>
      <c r="AJ936" s="207" t="str">
        <f t="shared" si="128"/>
        <v/>
      </c>
      <c r="AK936" s="207"/>
      <c r="AL936" s="207"/>
      <c r="AM936" s="207" t="str">
        <f>IFERROR(IF(ISBLANK($D936),"",VLOOKUP($N936,'TABLE CHARGE RATE'!$A$30:$K$106,5,0)),"Check")</f>
        <v/>
      </c>
      <c r="AN936" s="207" t="str">
        <f>IFERROR(IF(ISBLANK($D936),"",VLOOKUP($N936,'TABLE CHARGE RATE'!$A$30:$K$106,6,0)),"Check")</f>
        <v/>
      </c>
      <c r="AO936" s="207" t="str">
        <f>IFERROR(IF(ISBLANK($D936),"",VLOOKUP($N936,'TABLE CHARGE RATE'!$A$30:$K$106,7,0)),"Check")</f>
        <v/>
      </c>
      <c r="AP936" s="207" t="str">
        <f>IFERROR(IF(ISBLANK($D936),"",VLOOKUP($N936,'TABLE CHARGE RATE'!$A$30:$K$106,8,0)),"Check")</f>
        <v/>
      </c>
      <c r="AQ936" s="207" t="str">
        <f>IFERROR(IF(ISBLANK($D936),"",VLOOKUP($N936,'TABLE CHARGE RATE'!$A$30:$K$106,9,0)),"Check")</f>
        <v/>
      </c>
      <c r="AR936" s="207" t="str">
        <f>IFERROR(IF(ISBLANK($D936),"",VLOOKUP($N936,'TABLE CHARGE RATE'!$A$30:$K$106,10,0)),"Check")</f>
        <v/>
      </c>
      <c r="AS936" s="207" t="str">
        <f>IFERROR(IF(ISBLANK($D936),"",VLOOKUP($N936,'TABLE CHARGE RATE'!$A$30:$K$106,11,0)),"Check")</f>
        <v/>
      </c>
      <c r="AT936" s="207"/>
    </row>
    <row r="937" spans="1:46" x14ac:dyDescent="0.2">
      <c r="A937" s="207" t="str">
        <f t="shared" si="123"/>
        <v/>
      </c>
      <c r="B937" s="208" t="str">
        <f>IF(ISBLANK(D937),"",VLOOKUP(WEEKDAY($C937,1),INDEX!$J$2:$K$8,2,0))</f>
        <v/>
      </c>
      <c r="C937" s="209"/>
      <c r="D937" s="207"/>
      <c r="E937" s="207"/>
      <c r="F937" s="207"/>
      <c r="G937" s="207"/>
      <c r="H937" s="207"/>
      <c r="I937" s="207"/>
      <c r="J937" s="207"/>
      <c r="K937" s="207"/>
      <c r="L937" s="207"/>
      <c r="M937" s="207"/>
      <c r="N937" s="207"/>
      <c r="O937" s="207"/>
      <c r="P937" s="207"/>
      <c r="Q937" s="207"/>
      <c r="R937" s="207"/>
      <c r="S937" s="207"/>
      <c r="T937" s="207"/>
      <c r="U937" s="209"/>
      <c r="V937" s="207"/>
      <c r="W937" s="207"/>
      <c r="X937" s="209"/>
      <c r="Y937" s="209"/>
      <c r="Z937" s="207" t="str">
        <f t="shared" ca="1" si="125"/>
        <v/>
      </c>
      <c r="AA937" s="209" t="str">
        <f t="shared" si="129"/>
        <v/>
      </c>
      <c r="AB937" s="209"/>
      <c r="AC937" s="207" t="str">
        <f t="shared" ca="1" si="126"/>
        <v/>
      </c>
      <c r="AD937" s="207"/>
      <c r="AE937" s="207"/>
      <c r="AF937" s="208" t="str">
        <f>IF(ISBLANK(D937),"",VLOOKUP(F937,'SIZE CALCULATION'!$F:$G,2,0))</f>
        <v/>
      </c>
      <c r="AG937" s="207" t="str">
        <f t="shared" si="124"/>
        <v/>
      </c>
      <c r="AH937" s="207" t="str">
        <f t="shared" si="127"/>
        <v/>
      </c>
      <c r="AI937" s="210" t="str">
        <f>IF(ISBLANK(D937),"",VLOOKUP($A937,INDEX!$D$2:$F$13,3,0))</f>
        <v/>
      </c>
      <c r="AJ937" s="207" t="str">
        <f t="shared" si="128"/>
        <v/>
      </c>
      <c r="AK937" s="207"/>
      <c r="AL937" s="207"/>
      <c r="AM937" s="207" t="str">
        <f>IFERROR(IF(ISBLANK($D937),"",VLOOKUP($N937,'TABLE CHARGE RATE'!$A$30:$K$106,5,0)),"Check")</f>
        <v/>
      </c>
      <c r="AN937" s="207" t="str">
        <f>IFERROR(IF(ISBLANK($D937),"",VLOOKUP($N937,'TABLE CHARGE RATE'!$A$30:$K$106,6,0)),"Check")</f>
        <v/>
      </c>
      <c r="AO937" s="207" t="str">
        <f>IFERROR(IF(ISBLANK($D937),"",VLOOKUP($N937,'TABLE CHARGE RATE'!$A$30:$K$106,7,0)),"Check")</f>
        <v/>
      </c>
      <c r="AP937" s="207" t="str">
        <f>IFERROR(IF(ISBLANK($D937),"",VLOOKUP($N937,'TABLE CHARGE RATE'!$A$30:$K$106,8,0)),"Check")</f>
        <v/>
      </c>
      <c r="AQ937" s="207" t="str">
        <f>IFERROR(IF(ISBLANK($D937),"",VLOOKUP($N937,'TABLE CHARGE RATE'!$A$30:$K$106,9,0)),"Check")</f>
        <v/>
      </c>
      <c r="AR937" s="207" t="str">
        <f>IFERROR(IF(ISBLANK($D937),"",VLOOKUP($N937,'TABLE CHARGE RATE'!$A$30:$K$106,10,0)),"Check")</f>
        <v/>
      </c>
      <c r="AS937" s="207" t="str">
        <f>IFERROR(IF(ISBLANK($D937),"",VLOOKUP($N937,'TABLE CHARGE RATE'!$A$30:$K$106,11,0)),"Check")</f>
        <v/>
      </c>
      <c r="AT937" s="207"/>
    </row>
    <row r="938" spans="1:46" x14ac:dyDescent="0.2">
      <c r="A938" s="207" t="str">
        <f t="shared" ref="A938:A966" si="130">IF(ISBLANK(D938),"",MONTH(C938))</f>
        <v/>
      </c>
      <c r="B938" s="208" t="str">
        <f>IF(ISBLANK(D938),"",VLOOKUP(WEEKDAY($C938,1),INDEX!$J$2:$K$8,2,0))</f>
        <v/>
      </c>
      <c r="C938" s="209"/>
      <c r="D938" s="207"/>
      <c r="E938" s="207"/>
      <c r="F938" s="207"/>
      <c r="G938" s="207"/>
      <c r="H938" s="207"/>
      <c r="I938" s="207"/>
      <c r="J938" s="207"/>
      <c r="K938" s="207"/>
      <c r="L938" s="207"/>
      <c r="M938" s="207"/>
      <c r="N938" s="207"/>
      <c r="O938" s="207"/>
      <c r="P938" s="207"/>
      <c r="Q938" s="207"/>
      <c r="R938" s="207"/>
      <c r="S938" s="207"/>
      <c r="T938" s="207"/>
      <c r="U938" s="209"/>
      <c r="V938" s="207"/>
      <c r="W938" s="207"/>
      <c r="X938" s="209"/>
      <c r="Y938" s="209"/>
      <c r="Z938" s="207" t="str">
        <f t="shared" ca="1" si="125"/>
        <v/>
      </c>
      <c r="AA938" s="209" t="str">
        <f t="shared" si="129"/>
        <v/>
      </c>
      <c r="AB938" s="209"/>
      <c r="AC938" s="207" t="str">
        <f t="shared" ca="1" si="126"/>
        <v/>
      </c>
      <c r="AD938" s="207"/>
      <c r="AE938" s="207"/>
      <c r="AF938" s="208" t="str">
        <f>IF(ISBLANK(D938),"",VLOOKUP(F938,'SIZE CALCULATION'!$F:$G,2,0))</f>
        <v/>
      </c>
      <c r="AG938" s="207" t="str">
        <f t="shared" si="124"/>
        <v/>
      </c>
      <c r="AH938" s="207" t="str">
        <f t="shared" si="127"/>
        <v/>
      </c>
      <c r="AI938" s="210" t="str">
        <f>IF(ISBLANK(D938),"",VLOOKUP($A938,INDEX!$D$2:$F$13,3,0))</f>
        <v/>
      </c>
      <c r="AJ938" s="207" t="str">
        <f t="shared" si="128"/>
        <v/>
      </c>
      <c r="AK938" s="207"/>
      <c r="AL938" s="207"/>
      <c r="AM938" s="207" t="str">
        <f>IFERROR(IF(ISBLANK($D938),"",VLOOKUP($N938,'TABLE CHARGE RATE'!$A$30:$K$106,5,0)),"Check")</f>
        <v/>
      </c>
      <c r="AN938" s="207" t="str">
        <f>IFERROR(IF(ISBLANK($D938),"",VLOOKUP($N938,'TABLE CHARGE RATE'!$A$30:$K$106,6,0)),"Check")</f>
        <v/>
      </c>
      <c r="AO938" s="207" t="str">
        <f>IFERROR(IF(ISBLANK($D938),"",VLOOKUP($N938,'TABLE CHARGE RATE'!$A$30:$K$106,7,0)),"Check")</f>
        <v/>
      </c>
      <c r="AP938" s="207" t="str">
        <f>IFERROR(IF(ISBLANK($D938),"",VLOOKUP($N938,'TABLE CHARGE RATE'!$A$30:$K$106,8,0)),"Check")</f>
        <v/>
      </c>
      <c r="AQ938" s="207" t="str">
        <f>IFERROR(IF(ISBLANK($D938),"",VLOOKUP($N938,'TABLE CHARGE RATE'!$A$30:$K$106,9,0)),"Check")</f>
        <v/>
      </c>
      <c r="AR938" s="207" t="str">
        <f>IFERROR(IF(ISBLANK($D938),"",VLOOKUP($N938,'TABLE CHARGE RATE'!$A$30:$K$106,10,0)),"Check")</f>
        <v/>
      </c>
      <c r="AS938" s="207" t="str">
        <f>IFERROR(IF(ISBLANK($D938),"",VLOOKUP($N938,'TABLE CHARGE RATE'!$A$30:$K$106,11,0)),"Check")</f>
        <v/>
      </c>
      <c r="AT938" s="207"/>
    </row>
    <row r="939" spans="1:46" x14ac:dyDescent="0.2">
      <c r="A939" s="207" t="str">
        <f t="shared" si="130"/>
        <v/>
      </c>
      <c r="B939" s="208" t="str">
        <f>IF(ISBLANK(D939),"",VLOOKUP(WEEKDAY($C939,1),INDEX!$J$2:$K$8,2,0))</f>
        <v/>
      </c>
      <c r="C939" s="209"/>
      <c r="D939" s="207"/>
      <c r="E939" s="207"/>
      <c r="F939" s="207"/>
      <c r="G939" s="207"/>
      <c r="H939" s="207"/>
      <c r="I939" s="207"/>
      <c r="J939" s="207"/>
      <c r="K939" s="207"/>
      <c r="L939" s="207"/>
      <c r="M939" s="207"/>
      <c r="N939" s="207"/>
      <c r="O939" s="207"/>
      <c r="P939" s="207"/>
      <c r="Q939" s="207"/>
      <c r="R939" s="207"/>
      <c r="S939" s="207"/>
      <c r="T939" s="207"/>
      <c r="U939" s="209"/>
      <c r="V939" s="207"/>
      <c r="W939" s="207"/>
      <c r="X939" s="209"/>
      <c r="Y939" s="209"/>
      <c r="Z939" s="207" t="str">
        <f t="shared" ca="1" si="125"/>
        <v/>
      </c>
      <c r="AA939" s="209" t="str">
        <f t="shared" si="129"/>
        <v/>
      </c>
      <c r="AB939" s="209"/>
      <c r="AC939" s="207" t="str">
        <f t="shared" ca="1" si="126"/>
        <v/>
      </c>
      <c r="AD939" s="207"/>
      <c r="AE939" s="207"/>
      <c r="AF939" s="208" t="str">
        <f>IF(ISBLANK(D939),"",VLOOKUP(F939,'SIZE CALCULATION'!$F:$G,2,0))</f>
        <v/>
      </c>
      <c r="AG939" s="207" t="str">
        <f t="shared" si="124"/>
        <v/>
      </c>
      <c r="AH939" s="207" t="str">
        <f t="shared" si="127"/>
        <v/>
      </c>
      <c r="AI939" s="210" t="str">
        <f>IF(ISBLANK(D939),"",VLOOKUP($A939,INDEX!$D$2:$F$13,3,0))</f>
        <v/>
      </c>
      <c r="AJ939" s="207" t="str">
        <f t="shared" si="128"/>
        <v/>
      </c>
      <c r="AK939" s="207"/>
      <c r="AL939" s="207"/>
      <c r="AM939" s="207" t="str">
        <f>IFERROR(IF(ISBLANK($D939),"",VLOOKUP($N939,'TABLE CHARGE RATE'!$A$30:$K$106,5,0)),"Check")</f>
        <v/>
      </c>
      <c r="AN939" s="207" t="str">
        <f>IFERROR(IF(ISBLANK($D939),"",VLOOKUP($N939,'TABLE CHARGE RATE'!$A$30:$K$106,6,0)),"Check")</f>
        <v/>
      </c>
      <c r="AO939" s="207" t="str">
        <f>IFERROR(IF(ISBLANK($D939),"",VLOOKUP($N939,'TABLE CHARGE RATE'!$A$30:$K$106,7,0)),"Check")</f>
        <v/>
      </c>
      <c r="AP939" s="207" t="str">
        <f>IFERROR(IF(ISBLANK($D939),"",VLOOKUP($N939,'TABLE CHARGE RATE'!$A$30:$K$106,8,0)),"Check")</f>
        <v/>
      </c>
      <c r="AQ939" s="207" t="str">
        <f>IFERROR(IF(ISBLANK($D939),"",VLOOKUP($N939,'TABLE CHARGE RATE'!$A$30:$K$106,9,0)),"Check")</f>
        <v/>
      </c>
      <c r="AR939" s="207" t="str">
        <f>IFERROR(IF(ISBLANK($D939),"",VLOOKUP($N939,'TABLE CHARGE RATE'!$A$30:$K$106,10,0)),"Check")</f>
        <v/>
      </c>
      <c r="AS939" s="207" t="str">
        <f>IFERROR(IF(ISBLANK($D939),"",VLOOKUP($N939,'TABLE CHARGE RATE'!$A$30:$K$106,11,0)),"Check")</f>
        <v/>
      </c>
      <c r="AT939" s="207"/>
    </row>
    <row r="940" spans="1:46" x14ac:dyDescent="0.2">
      <c r="A940" s="207" t="str">
        <f t="shared" si="130"/>
        <v/>
      </c>
      <c r="B940" s="208" t="str">
        <f>IF(ISBLANK(D940),"",VLOOKUP(WEEKDAY($C940,1),INDEX!$J$2:$K$8,2,0))</f>
        <v/>
      </c>
      <c r="C940" s="209"/>
      <c r="D940" s="207"/>
      <c r="E940" s="207"/>
      <c r="F940" s="207"/>
      <c r="G940" s="207"/>
      <c r="H940" s="207"/>
      <c r="I940" s="207"/>
      <c r="J940" s="207"/>
      <c r="K940" s="207"/>
      <c r="L940" s="207"/>
      <c r="M940" s="207"/>
      <c r="N940" s="207"/>
      <c r="O940" s="207"/>
      <c r="P940" s="207"/>
      <c r="Q940" s="207"/>
      <c r="R940" s="207"/>
      <c r="S940" s="207"/>
      <c r="T940" s="207"/>
      <c r="U940" s="209"/>
      <c r="V940" s="207"/>
      <c r="W940" s="207"/>
      <c r="X940" s="209"/>
      <c r="Y940" s="209"/>
      <c r="Z940" s="207" t="str">
        <f t="shared" ca="1" si="125"/>
        <v/>
      </c>
      <c r="AA940" s="209" t="str">
        <f t="shared" si="129"/>
        <v/>
      </c>
      <c r="AB940" s="209"/>
      <c r="AC940" s="207" t="str">
        <f t="shared" ca="1" si="126"/>
        <v/>
      </c>
      <c r="AD940" s="207"/>
      <c r="AE940" s="207"/>
      <c r="AF940" s="208" t="str">
        <f>IF(ISBLANK(D940),"",VLOOKUP(F940,'SIZE CALCULATION'!$F:$G,2,0))</f>
        <v/>
      </c>
      <c r="AG940" s="207" t="str">
        <f t="shared" si="124"/>
        <v/>
      </c>
      <c r="AH940" s="207" t="str">
        <f t="shared" si="127"/>
        <v/>
      </c>
      <c r="AI940" s="210" t="str">
        <f>IF(ISBLANK(D940),"",VLOOKUP($A940,INDEX!$D$2:$F$13,3,0))</f>
        <v/>
      </c>
      <c r="AJ940" s="207" t="str">
        <f t="shared" si="128"/>
        <v/>
      </c>
      <c r="AK940" s="207"/>
      <c r="AL940" s="207"/>
      <c r="AM940" s="207" t="str">
        <f>IFERROR(IF(ISBLANK($D940),"",VLOOKUP($N940,'TABLE CHARGE RATE'!$A$30:$K$106,5,0)),"Check")</f>
        <v/>
      </c>
      <c r="AN940" s="207" t="str">
        <f>IFERROR(IF(ISBLANK($D940),"",VLOOKUP($N940,'TABLE CHARGE RATE'!$A$30:$K$106,6,0)),"Check")</f>
        <v/>
      </c>
      <c r="AO940" s="207" t="str">
        <f>IFERROR(IF(ISBLANK($D940),"",VLOOKUP($N940,'TABLE CHARGE RATE'!$A$30:$K$106,7,0)),"Check")</f>
        <v/>
      </c>
      <c r="AP940" s="207" t="str">
        <f>IFERROR(IF(ISBLANK($D940),"",VLOOKUP($N940,'TABLE CHARGE RATE'!$A$30:$K$106,8,0)),"Check")</f>
        <v/>
      </c>
      <c r="AQ940" s="207" t="str">
        <f>IFERROR(IF(ISBLANK($D940),"",VLOOKUP($N940,'TABLE CHARGE RATE'!$A$30:$K$106,9,0)),"Check")</f>
        <v/>
      </c>
      <c r="AR940" s="207" t="str">
        <f>IFERROR(IF(ISBLANK($D940),"",VLOOKUP($N940,'TABLE CHARGE RATE'!$A$30:$K$106,10,0)),"Check")</f>
        <v/>
      </c>
      <c r="AS940" s="207" t="str">
        <f>IFERROR(IF(ISBLANK($D940),"",VLOOKUP($N940,'TABLE CHARGE RATE'!$A$30:$K$106,11,0)),"Check")</f>
        <v/>
      </c>
      <c r="AT940" s="207"/>
    </row>
    <row r="941" spans="1:46" x14ac:dyDescent="0.2">
      <c r="A941" s="207" t="str">
        <f t="shared" si="130"/>
        <v/>
      </c>
      <c r="B941" s="208" t="str">
        <f>IF(ISBLANK(D941),"",VLOOKUP(WEEKDAY($C941,1),INDEX!$J$2:$K$8,2,0))</f>
        <v/>
      </c>
      <c r="C941" s="209"/>
      <c r="D941" s="207"/>
      <c r="E941" s="207"/>
      <c r="F941" s="207"/>
      <c r="G941" s="207"/>
      <c r="H941" s="207"/>
      <c r="I941" s="207"/>
      <c r="J941" s="207"/>
      <c r="K941" s="207"/>
      <c r="L941" s="207"/>
      <c r="M941" s="207"/>
      <c r="N941" s="207"/>
      <c r="O941" s="207"/>
      <c r="P941" s="207"/>
      <c r="Q941" s="207"/>
      <c r="R941" s="207"/>
      <c r="S941" s="207"/>
      <c r="T941" s="207"/>
      <c r="U941" s="209"/>
      <c r="V941" s="207"/>
      <c r="W941" s="207"/>
      <c r="X941" s="209"/>
      <c r="Y941" s="209"/>
      <c r="Z941" s="207" t="str">
        <f t="shared" ca="1" si="125"/>
        <v/>
      </c>
      <c r="AA941" s="209" t="str">
        <f t="shared" si="129"/>
        <v/>
      </c>
      <c r="AB941" s="209"/>
      <c r="AC941" s="207" t="str">
        <f t="shared" ca="1" si="126"/>
        <v/>
      </c>
      <c r="AD941" s="207"/>
      <c r="AE941" s="207"/>
      <c r="AF941" s="208" t="str">
        <f>IF(ISBLANK(D941),"",VLOOKUP(F941,'SIZE CALCULATION'!$F:$G,2,0))</f>
        <v/>
      </c>
      <c r="AG941" s="207" t="str">
        <f t="shared" si="124"/>
        <v/>
      </c>
      <c r="AH941" s="207" t="str">
        <f t="shared" si="127"/>
        <v/>
      </c>
      <c r="AI941" s="210" t="str">
        <f>IF(ISBLANK(D941),"",VLOOKUP($A941,INDEX!$D$2:$F$13,3,0))</f>
        <v/>
      </c>
      <c r="AJ941" s="207" t="str">
        <f t="shared" si="128"/>
        <v/>
      </c>
      <c r="AK941" s="207"/>
      <c r="AL941" s="207"/>
      <c r="AM941" s="207" t="str">
        <f>IFERROR(IF(ISBLANK($D941),"",VLOOKUP($N941,'TABLE CHARGE RATE'!$A$30:$K$106,5,0)),"Check")</f>
        <v/>
      </c>
      <c r="AN941" s="207" t="str">
        <f>IFERROR(IF(ISBLANK($D941),"",VLOOKUP($N941,'TABLE CHARGE RATE'!$A$30:$K$106,6,0)),"Check")</f>
        <v/>
      </c>
      <c r="AO941" s="207" t="str">
        <f>IFERROR(IF(ISBLANK($D941),"",VLOOKUP($N941,'TABLE CHARGE RATE'!$A$30:$K$106,7,0)),"Check")</f>
        <v/>
      </c>
      <c r="AP941" s="207" t="str">
        <f>IFERROR(IF(ISBLANK($D941),"",VLOOKUP($N941,'TABLE CHARGE RATE'!$A$30:$K$106,8,0)),"Check")</f>
        <v/>
      </c>
      <c r="AQ941" s="207" t="str">
        <f>IFERROR(IF(ISBLANK($D941),"",VLOOKUP($N941,'TABLE CHARGE RATE'!$A$30:$K$106,9,0)),"Check")</f>
        <v/>
      </c>
      <c r="AR941" s="207" t="str">
        <f>IFERROR(IF(ISBLANK($D941),"",VLOOKUP($N941,'TABLE CHARGE RATE'!$A$30:$K$106,10,0)),"Check")</f>
        <v/>
      </c>
      <c r="AS941" s="207" t="str">
        <f>IFERROR(IF(ISBLANK($D941),"",VLOOKUP($N941,'TABLE CHARGE RATE'!$A$30:$K$106,11,0)),"Check")</f>
        <v/>
      </c>
      <c r="AT941" s="207"/>
    </row>
    <row r="942" spans="1:46" x14ac:dyDescent="0.2">
      <c r="A942" s="207" t="str">
        <f t="shared" si="130"/>
        <v/>
      </c>
      <c r="B942" s="208" t="str">
        <f>IF(ISBLANK(D942),"",VLOOKUP(WEEKDAY($C942,1),INDEX!$J$2:$K$8,2,0))</f>
        <v/>
      </c>
      <c r="C942" s="209"/>
      <c r="D942" s="207"/>
      <c r="E942" s="207"/>
      <c r="F942" s="207"/>
      <c r="G942" s="207"/>
      <c r="H942" s="207"/>
      <c r="I942" s="207"/>
      <c r="J942" s="207"/>
      <c r="K942" s="207"/>
      <c r="L942" s="207"/>
      <c r="M942" s="207"/>
      <c r="N942" s="207"/>
      <c r="O942" s="207"/>
      <c r="P942" s="207"/>
      <c r="Q942" s="207"/>
      <c r="R942" s="207"/>
      <c r="S942" s="207"/>
      <c r="T942" s="207"/>
      <c r="U942" s="209"/>
      <c r="V942" s="207"/>
      <c r="W942" s="207"/>
      <c r="X942" s="209"/>
      <c r="Y942" s="209"/>
      <c r="Z942" s="207" t="str">
        <f t="shared" ca="1" si="125"/>
        <v/>
      </c>
      <c r="AA942" s="209" t="str">
        <f t="shared" si="129"/>
        <v/>
      </c>
      <c r="AB942" s="209"/>
      <c r="AC942" s="207" t="str">
        <f t="shared" ca="1" si="126"/>
        <v/>
      </c>
      <c r="AD942" s="207"/>
      <c r="AE942" s="207"/>
      <c r="AF942" s="208" t="str">
        <f>IF(ISBLANK(D942),"",VLOOKUP(F942,'SIZE CALCULATION'!$F:$G,2,0))</f>
        <v/>
      </c>
      <c r="AG942" s="207" t="str">
        <f t="shared" si="124"/>
        <v/>
      </c>
      <c r="AH942" s="207" t="str">
        <f t="shared" si="127"/>
        <v/>
      </c>
      <c r="AI942" s="210" t="str">
        <f>IF(ISBLANK(D942),"",VLOOKUP($A942,INDEX!$D$2:$F$13,3,0))</f>
        <v/>
      </c>
      <c r="AJ942" s="207" t="str">
        <f t="shared" si="128"/>
        <v/>
      </c>
      <c r="AK942" s="207"/>
      <c r="AL942" s="207"/>
      <c r="AM942" s="207" t="str">
        <f>IFERROR(IF(ISBLANK($D942),"",VLOOKUP($N942,'TABLE CHARGE RATE'!$A$30:$K$106,5,0)),"Check")</f>
        <v/>
      </c>
      <c r="AN942" s="207" t="str">
        <f>IFERROR(IF(ISBLANK($D942),"",VLOOKUP($N942,'TABLE CHARGE RATE'!$A$30:$K$106,6,0)),"Check")</f>
        <v/>
      </c>
      <c r="AO942" s="207" t="str">
        <f>IFERROR(IF(ISBLANK($D942),"",VLOOKUP($N942,'TABLE CHARGE RATE'!$A$30:$K$106,7,0)),"Check")</f>
        <v/>
      </c>
      <c r="AP942" s="207" t="str">
        <f>IFERROR(IF(ISBLANK($D942),"",VLOOKUP($N942,'TABLE CHARGE RATE'!$A$30:$K$106,8,0)),"Check")</f>
        <v/>
      </c>
      <c r="AQ942" s="207" t="str">
        <f>IFERROR(IF(ISBLANK($D942),"",VLOOKUP($N942,'TABLE CHARGE RATE'!$A$30:$K$106,9,0)),"Check")</f>
        <v/>
      </c>
      <c r="AR942" s="207" t="str">
        <f>IFERROR(IF(ISBLANK($D942),"",VLOOKUP($N942,'TABLE CHARGE RATE'!$A$30:$K$106,10,0)),"Check")</f>
        <v/>
      </c>
      <c r="AS942" s="207" t="str">
        <f>IFERROR(IF(ISBLANK($D942),"",VLOOKUP($N942,'TABLE CHARGE RATE'!$A$30:$K$106,11,0)),"Check")</f>
        <v/>
      </c>
      <c r="AT942" s="207"/>
    </row>
    <row r="943" spans="1:46" x14ac:dyDescent="0.2">
      <c r="A943" s="207" t="str">
        <f t="shared" si="130"/>
        <v/>
      </c>
      <c r="B943" s="208" t="str">
        <f>IF(ISBLANK(D943),"",VLOOKUP(WEEKDAY($C943,1),INDEX!$J$2:$K$8,2,0))</f>
        <v/>
      </c>
      <c r="C943" s="209"/>
      <c r="D943" s="207"/>
      <c r="E943" s="207"/>
      <c r="F943" s="207"/>
      <c r="G943" s="207"/>
      <c r="H943" s="207"/>
      <c r="I943" s="207"/>
      <c r="J943" s="207"/>
      <c r="K943" s="207"/>
      <c r="L943" s="207"/>
      <c r="M943" s="207"/>
      <c r="N943" s="207"/>
      <c r="O943" s="207"/>
      <c r="P943" s="207"/>
      <c r="Q943" s="207"/>
      <c r="R943" s="207"/>
      <c r="S943" s="207"/>
      <c r="T943" s="207"/>
      <c r="U943" s="209"/>
      <c r="V943" s="207"/>
      <c r="W943" s="207"/>
      <c r="X943" s="209"/>
      <c r="Y943" s="209"/>
      <c r="Z943" s="207" t="str">
        <f t="shared" ca="1" si="125"/>
        <v/>
      </c>
      <c r="AA943" s="209" t="str">
        <f t="shared" si="129"/>
        <v/>
      </c>
      <c r="AB943" s="209"/>
      <c r="AC943" s="207" t="str">
        <f t="shared" ca="1" si="126"/>
        <v/>
      </c>
      <c r="AD943" s="207"/>
      <c r="AE943" s="207"/>
      <c r="AF943" s="208" t="str">
        <f>IF(ISBLANK(D943),"",VLOOKUP(F943,'SIZE CALCULATION'!$F:$G,2,0))</f>
        <v/>
      </c>
      <c r="AG943" s="207" t="str">
        <f t="shared" si="124"/>
        <v/>
      </c>
      <c r="AH943" s="207" t="str">
        <f t="shared" si="127"/>
        <v/>
      </c>
      <c r="AI943" s="210" t="str">
        <f>IF(ISBLANK(D943),"",VLOOKUP($A943,INDEX!$D$2:$F$13,3,0))</f>
        <v/>
      </c>
      <c r="AJ943" s="207" t="str">
        <f t="shared" si="128"/>
        <v/>
      </c>
      <c r="AK943" s="207"/>
      <c r="AL943" s="207"/>
      <c r="AM943" s="207" t="str">
        <f>IFERROR(IF(ISBLANK($D943),"",VLOOKUP($N943,'TABLE CHARGE RATE'!$A$30:$K$106,5,0)),"Check")</f>
        <v/>
      </c>
      <c r="AN943" s="207" t="str">
        <f>IFERROR(IF(ISBLANK($D943),"",VLOOKUP($N943,'TABLE CHARGE RATE'!$A$30:$K$106,6,0)),"Check")</f>
        <v/>
      </c>
      <c r="AO943" s="207" t="str">
        <f>IFERROR(IF(ISBLANK($D943),"",VLOOKUP($N943,'TABLE CHARGE RATE'!$A$30:$K$106,7,0)),"Check")</f>
        <v/>
      </c>
      <c r="AP943" s="207" t="str">
        <f>IFERROR(IF(ISBLANK($D943),"",VLOOKUP($N943,'TABLE CHARGE RATE'!$A$30:$K$106,8,0)),"Check")</f>
        <v/>
      </c>
      <c r="AQ943" s="207" t="str">
        <f>IFERROR(IF(ISBLANK($D943),"",VLOOKUP($N943,'TABLE CHARGE RATE'!$A$30:$K$106,9,0)),"Check")</f>
        <v/>
      </c>
      <c r="AR943" s="207" t="str">
        <f>IFERROR(IF(ISBLANK($D943),"",VLOOKUP($N943,'TABLE CHARGE RATE'!$A$30:$K$106,10,0)),"Check")</f>
        <v/>
      </c>
      <c r="AS943" s="207" t="str">
        <f>IFERROR(IF(ISBLANK($D943),"",VLOOKUP($N943,'TABLE CHARGE RATE'!$A$30:$K$106,11,0)),"Check")</f>
        <v/>
      </c>
      <c r="AT943" s="207"/>
    </row>
    <row r="944" spans="1:46" x14ac:dyDescent="0.2">
      <c r="A944" s="207" t="str">
        <f t="shared" si="130"/>
        <v/>
      </c>
      <c r="B944" s="208" t="str">
        <f>IF(ISBLANK(D944),"",VLOOKUP(WEEKDAY($C944,1),INDEX!$J$2:$K$8,2,0))</f>
        <v/>
      </c>
      <c r="C944" s="209"/>
      <c r="D944" s="207"/>
      <c r="E944" s="207"/>
      <c r="F944" s="207"/>
      <c r="G944" s="207"/>
      <c r="H944" s="207"/>
      <c r="I944" s="207"/>
      <c r="J944" s="207"/>
      <c r="K944" s="207"/>
      <c r="L944" s="207"/>
      <c r="M944" s="207"/>
      <c r="N944" s="207"/>
      <c r="O944" s="207"/>
      <c r="P944" s="207"/>
      <c r="Q944" s="207"/>
      <c r="R944" s="207"/>
      <c r="S944" s="207"/>
      <c r="T944" s="207"/>
      <c r="U944" s="209"/>
      <c r="V944" s="207"/>
      <c r="W944" s="207"/>
      <c r="X944" s="209"/>
      <c r="Y944" s="209"/>
      <c r="Z944" s="207" t="str">
        <f t="shared" ca="1" si="125"/>
        <v/>
      </c>
      <c r="AA944" s="209" t="str">
        <f t="shared" si="129"/>
        <v/>
      </c>
      <c r="AB944" s="209"/>
      <c r="AC944" s="207" t="str">
        <f t="shared" ca="1" si="126"/>
        <v/>
      </c>
      <c r="AD944" s="207"/>
      <c r="AE944" s="207"/>
      <c r="AF944" s="208" t="str">
        <f>IF(ISBLANK(D944),"",VLOOKUP(F944,'SIZE CALCULATION'!$F:$G,2,0))</f>
        <v/>
      </c>
      <c r="AG944" s="207" t="str">
        <f t="shared" si="124"/>
        <v/>
      </c>
      <c r="AH944" s="207" t="str">
        <f t="shared" si="127"/>
        <v/>
      </c>
      <c r="AI944" s="210" t="str">
        <f>IF(ISBLANK(D944),"",VLOOKUP($A944,INDEX!$D$2:$F$13,3,0))</f>
        <v/>
      </c>
      <c r="AJ944" s="207" t="str">
        <f t="shared" si="128"/>
        <v/>
      </c>
      <c r="AK944" s="207"/>
      <c r="AL944" s="207"/>
      <c r="AM944" s="207" t="str">
        <f>IFERROR(IF(ISBLANK($D944),"",VLOOKUP($N944,'TABLE CHARGE RATE'!$A$30:$K$106,5,0)),"Check")</f>
        <v/>
      </c>
      <c r="AN944" s="207" t="str">
        <f>IFERROR(IF(ISBLANK($D944),"",VLOOKUP($N944,'TABLE CHARGE RATE'!$A$30:$K$106,6,0)),"Check")</f>
        <v/>
      </c>
      <c r="AO944" s="207" t="str">
        <f>IFERROR(IF(ISBLANK($D944),"",VLOOKUP($N944,'TABLE CHARGE RATE'!$A$30:$K$106,7,0)),"Check")</f>
        <v/>
      </c>
      <c r="AP944" s="207" t="str">
        <f>IFERROR(IF(ISBLANK($D944),"",VLOOKUP($N944,'TABLE CHARGE RATE'!$A$30:$K$106,8,0)),"Check")</f>
        <v/>
      </c>
      <c r="AQ944" s="207" t="str">
        <f>IFERROR(IF(ISBLANK($D944),"",VLOOKUP($N944,'TABLE CHARGE RATE'!$A$30:$K$106,9,0)),"Check")</f>
        <v/>
      </c>
      <c r="AR944" s="207" t="str">
        <f>IFERROR(IF(ISBLANK($D944),"",VLOOKUP($N944,'TABLE CHARGE RATE'!$A$30:$K$106,10,0)),"Check")</f>
        <v/>
      </c>
      <c r="AS944" s="207" t="str">
        <f>IFERROR(IF(ISBLANK($D944),"",VLOOKUP($N944,'TABLE CHARGE RATE'!$A$30:$K$106,11,0)),"Check")</f>
        <v/>
      </c>
      <c r="AT944" s="207"/>
    </row>
    <row r="945" spans="1:46" x14ac:dyDescent="0.2">
      <c r="A945" s="207" t="str">
        <f t="shared" si="130"/>
        <v/>
      </c>
      <c r="B945" s="208" t="str">
        <f>IF(ISBLANK(D945),"",VLOOKUP(WEEKDAY($C945,1),INDEX!$J$2:$K$8,2,0))</f>
        <v/>
      </c>
      <c r="C945" s="209"/>
      <c r="D945" s="207"/>
      <c r="E945" s="207"/>
      <c r="F945" s="207"/>
      <c r="G945" s="207"/>
      <c r="H945" s="207"/>
      <c r="I945" s="207"/>
      <c r="J945" s="207"/>
      <c r="K945" s="207"/>
      <c r="L945" s="207"/>
      <c r="M945" s="207"/>
      <c r="N945" s="207"/>
      <c r="O945" s="207"/>
      <c r="P945" s="207"/>
      <c r="Q945" s="207"/>
      <c r="R945" s="207"/>
      <c r="S945" s="207"/>
      <c r="T945" s="207"/>
      <c r="U945" s="209"/>
      <c r="V945" s="207"/>
      <c r="W945" s="207"/>
      <c r="X945" s="209"/>
      <c r="Y945" s="209"/>
      <c r="Z945" s="207" t="str">
        <f t="shared" ca="1" si="125"/>
        <v/>
      </c>
      <c r="AA945" s="209" t="str">
        <f t="shared" si="129"/>
        <v/>
      </c>
      <c r="AB945" s="209"/>
      <c r="AC945" s="207" t="str">
        <f t="shared" ca="1" si="126"/>
        <v/>
      </c>
      <c r="AD945" s="207"/>
      <c r="AE945" s="207"/>
      <c r="AF945" s="208" t="str">
        <f>IF(ISBLANK(D945),"",VLOOKUP(F945,'SIZE CALCULATION'!$F:$G,2,0))</f>
        <v/>
      </c>
      <c r="AG945" s="207" t="str">
        <f t="shared" si="124"/>
        <v/>
      </c>
      <c r="AH945" s="207" t="str">
        <f t="shared" si="127"/>
        <v/>
      </c>
      <c r="AI945" s="210" t="str">
        <f>IF(ISBLANK(D945),"",VLOOKUP($A945,INDEX!$D$2:$F$13,3,0))</f>
        <v/>
      </c>
      <c r="AJ945" s="207" t="str">
        <f t="shared" si="128"/>
        <v/>
      </c>
      <c r="AK945" s="207"/>
      <c r="AL945" s="207"/>
      <c r="AM945" s="207" t="str">
        <f>IFERROR(IF(ISBLANK($D945),"",VLOOKUP($N945,'TABLE CHARGE RATE'!$A$30:$K$106,5,0)),"Check")</f>
        <v/>
      </c>
      <c r="AN945" s="207" t="str">
        <f>IFERROR(IF(ISBLANK($D945),"",VLOOKUP($N945,'TABLE CHARGE RATE'!$A$30:$K$106,6,0)),"Check")</f>
        <v/>
      </c>
      <c r="AO945" s="207" t="str">
        <f>IFERROR(IF(ISBLANK($D945),"",VLOOKUP($N945,'TABLE CHARGE RATE'!$A$30:$K$106,7,0)),"Check")</f>
        <v/>
      </c>
      <c r="AP945" s="207" t="str">
        <f>IFERROR(IF(ISBLANK($D945),"",VLOOKUP($N945,'TABLE CHARGE RATE'!$A$30:$K$106,8,0)),"Check")</f>
        <v/>
      </c>
      <c r="AQ945" s="207" t="str">
        <f>IFERROR(IF(ISBLANK($D945),"",VLOOKUP($N945,'TABLE CHARGE RATE'!$A$30:$K$106,9,0)),"Check")</f>
        <v/>
      </c>
      <c r="AR945" s="207" t="str">
        <f>IFERROR(IF(ISBLANK($D945),"",VLOOKUP($N945,'TABLE CHARGE RATE'!$A$30:$K$106,10,0)),"Check")</f>
        <v/>
      </c>
      <c r="AS945" s="207" t="str">
        <f>IFERROR(IF(ISBLANK($D945),"",VLOOKUP($N945,'TABLE CHARGE RATE'!$A$30:$K$106,11,0)),"Check")</f>
        <v/>
      </c>
      <c r="AT945" s="207"/>
    </row>
    <row r="946" spans="1:46" x14ac:dyDescent="0.2">
      <c r="A946" s="207" t="str">
        <f t="shared" si="130"/>
        <v/>
      </c>
      <c r="B946" s="208" t="str">
        <f>IF(ISBLANK(D946),"",VLOOKUP(WEEKDAY($C946,1),INDEX!$J$2:$K$8,2,0))</f>
        <v/>
      </c>
      <c r="C946" s="209"/>
      <c r="D946" s="207"/>
      <c r="E946" s="207"/>
      <c r="F946" s="207"/>
      <c r="G946" s="207"/>
      <c r="H946" s="207"/>
      <c r="I946" s="207"/>
      <c r="J946" s="207"/>
      <c r="K946" s="207"/>
      <c r="L946" s="207"/>
      <c r="M946" s="207"/>
      <c r="N946" s="207"/>
      <c r="O946" s="207"/>
      <c r="P946" s="207"/>
      <c r="Q946" s="207"/>
      <c r="R946" s="207"/>
      <c r="S946" s="207"/>
      <c r="T946" s="207"/>
      <c r="U946" s="209"/>
      <c r="V946" s="207"/>
      <c r="W946" s="207"/>
      <c r="X946" s="209"/>
      <c r="Y946" s="209"/>
      <c r="Z946" s="207" t="str">
        <f t="shared" ca="1" si="125"/>
        <v/>
      </c>
      <c r="AA946" s="209" t="str">
        <f t="shared" si="129"/>
        <v/>
      </c>
      <c r="AB946" s="209"/>
      <c r="AC946" s="207" t="str">
        <f t="shared" ca="1" si="126"/>
        <v/>
      </c>
      <c r="AD946" s="207"/>
      <c r="AE946" s="207"/>
      <c r="AF946" s="208" t="str">
        <f>IF(ISBLANK(D946),"",VLOOKUP(F946,'SIZE CALCULATION'!$F:$G,2,0))</f>
        <v/>
      </c>
      <c r="AG946" s="207" t="str">
        <f t="shared" si="124"/>
        <v/>
      </c>
      <c r="AH946" s="207" t="str">
        <f t="shared" si="127"/>
        <v/>
      </c>
      <c r="AI946" s="210" t="str">
        <f>IF(ISBLANK(D946),"",VLOOKUP($A946,INDEX!$D$2:$F$13,3,0))</f>
        <v/>
      </c>
      <c r="AJ946" s="207" t="str">
        <f t="shared" si="128"/>
        <v/>
      </c>
      <c r="AK946" s="207"/>
      <c r="AL946" s="207"/>
      <c r="AM946" s="207" t="str">
        <f>IFERROR(IF(ISBLANK($D946),"",VLOOKUP($N946,'TABLE CHARGE RATE'!$A$30:$K$106,5,0)),"Check")</f>
        <v/>
      </c>
      <c r="AN946" s="207" t="str">
        <f>IFERROR(IF(ISBLANK($D946),"",VLOOKUP($N946,'TABLE CHARGE RATE'!$A$30:$K$106,6,0)),"Check")</f>
        <v/>
      </c>
      <c r="AO946" s="207" t="str">
        <f>IFERROR(IF(ISBLANK($D946),"",VLOOKUP($N946,'TABLE CHARGE RATE'!$A$30:$K$106,7,0)),"Check")</f>
        <v/>
      </c>
      <c r="AP946" s="207" t="str">
        <f>IFERROR(IF(ISBLANK($D946),"",VLOOKUP($N946,'TABLE CHARGE RATE'!$A$30:$K$106,8,0)),"Check")</f>
        <v/>
      </c>
      <c r="AQ946" s="207" t="str">
        <f>IFERROR(IF(ISBLANK($D946),"",VLOOKUP($N946,'TABLE CHARGE RATE'!$A$30:$K$106,9,0)),"Check")</f>
        <v/>
      </c>
      <c r="AR946" s="207" t="str">
        <f>IFERROR(IF(ISBLANK($D946),"",VLOOKUP($N946,'TABLE CHARGE RATE'!$A$30:$K$106,10,0)),"Check")</f>
        <v/>
      </c>
      <c r="AS946" s="207" t="str">
        <f>IFERROR(IF(ISBLANK($D946),"",VLOOKUP($N946,'TABLE CHARGE RATE'!$A$30:$K$106,11,0)),"Check")</f>
        <v/>
      </c>
      <c r="AT946" s="207"/>
    </row>
    <row r="947" spans="1:46" x14ac:dyDescent="0.2">
      <c r="A947" s="207" t="str">
        <f t="shared" si="130"/>
        <v/>
      </c>
      <c r="B947" s="208" t="str">
        <f>IF(ISBLANK(D947),"",VLOOKUP(WEEKDAY($C947,1),INDEX!$J$2:$K$8,2,0))</f>
        <v/>
      </c>
      <c r="C947" s="209"/>
      <c r="D947" s="207"/>
      <c r="E947" s="207"/>
      <c r="F947" s="207"/>
      <c r="G947" s="207"/>
      <c r="H947" s="207"/>
      <c r="I947" s="207"/>
      <c r="J947" s="207"/>
      <c r="K947" s="207"/>
      <c r="L947" s="207"/>
      <c r="M947" s="207"/>
      <c r="N947" s="207"/>
      <c r="O947" s="207"/>
      <c r="P947" s="207"/>
      <c r="Q947" s="207"/>
      <c r="R947" s="207"/>
      <c r="S947" s="207"/>
      <c r="T947" s="207"/>
      <c r="U947" s="209"/>
      <c r="V947" s="207"/>
      <c r="W947" s="207"/>
      <c r="X947" s="209"/>
      <c r="Y947" s="209"/>
      <c r="Z947" s="207" t="str">
        <f t="shared" ca="1" si="125"/>
        <v/>
      </c>
      <c r="AA947" s="209" t="str">
        <f t="shared" si="129"/>
        <v/>
      </c>
      <c r="AB947" s="209"/>
      <c r="AC947" s="207" t="str">
        <f t="shared" ca="1" si="126"/>
        <v/>
      </c>
      <c r="AD947" s="207"/>
      <c r="AE947" s="207"/>
      <c r="AF947" s="208" t="str">
        <f>IF(ISBLANK(D947),"",VLOOKUP(F947,'SIZE CALCULATION'!$F:$G,2,0))</f>
        <v/>
      </c>
      <c r="AG947" s="207" t="str">
        <f t="shared" ref="AG947:AG966" si="131">IF(ISBLANK(D947),"",HLOOKUP($AF947,$AM$1:$AR$966,$AT947,0))</f>
        <v/>
      </c>
      <c r="AH947" s="207" t="str">
        <f t="shared" si="127"/>
        <v/>
      </c>
      <c r="AI947" s="210" t="str">
        <f>IF(ISBLANK(D947),"",VLOOKUP($A947,INDEX!$D$2:$F$13,3,0))</f>
        <v/>
      </c>
      <c r="AJ947" s="207" t="str">
        <f t="shared" si="128"/>
        <v/>
      </c>
      <c r="AK947" s="207"/>
      <c r="AL947" s="207"/>
      <c r="AM947" s="207" t="str">
        <f>IFERROR(IF(ISBLANK($D947),"",VLOOKUP($N947,'TABLE CHARGE RATE'!$A$30:$K$106,5,0)),"Check")</f>
        <v/>
      </c>
      <c r="AN947" s="207" t="str">
        <f>IFERROR(IF(ISBLANK($D947),"",VLOOKUP($N947,'TABLE CHARGE RATE'!$A$30:$K$106,6,0)),"Check")</f>
        <v/>
      </c>
      <c r="AO947" s="207" t="str">
        <f>IFERROR(IF(ISBLANK($D947),"",VLOOKUP($N947,'TABLE CHARGE RATE'!$A$30:$K$106,7,0)),"Check")</f>
        <v/>
      </c>
      <c r="AP947" s="207" t="str">
        <f>IFERROR(IF(ISBLANK($D947),"",VLOOKUP($N947,'TABLE CHARGE RATE'!$A$30:$K$106,8,0)),"Check")</f>
        <v/>
      </c>
      <c r="AQ947" s="207" t="str">
        <f>IFERROR(IF(ISBLANK($D947),"",VLOOKUP($N947,'TABLE CHARGE RATE'!$A$30:$K$106,9,0)),"Check")</f>
        <v/>
      </c>
      <c r="AR947" s="207" t="str">
        <f>IFERROR(IF(ISBLANK($D947),"",VLOOKUP($N947,'TABLE CHARGE RATE'!$A$30:$K$106,10,0)),"Check")</f>
        <v/>
      </c>
      <c r="AS947" s="207" t="str">
        <f>IFERROR(IF(ISBLANK($D947),"",VLOOKUP($N947,'TABLE CHARGE RATE'!$A$30:$K$106,11,0)),"Check")</f>
        <v/>
      </c>
      <c r="AT947" s="207"/>
    </row>
    <row r="948" spans="1:46" x14ac:dyDescent="0.2">
      <c r="A948" s="207" t="str">
        <f t="shared" si="130"/>
        <v/>
      </c>
      <c r="B948" s="208" t="str">
        <f>IF(ISBLANK(D948),"",VLOOKUP(WEEKDAY($C948,1),INDEX!$J$2:$K$8,2,0))</f>
        <v/>
      </c>
      <c r="C948" s="209"/>
      <c r="D948" s="207"/>
      <c r="E948" s="207"/>
      <c r="F948" s="207"/>
      <c r="G948" s="207"/>
      <c r="H948" s="207"/>
      <c r="I948" s="207"/>
      <c r="J948" s="207"/>
      <c r="K948" s="207"/>
      <c r="L948" s="207"/>
      <c r="M948" s="207"/>
      <c r="N948" s="207"/>
      <c r="O948" s="207"/>
      <c r="P948" s="207"/>
      <c r="Q948" s="207"/>
      <c r="R948" s="207"/>
      <c r="S948" s="207"/>
      <c r="T948" s="207"/>
      <c r="U948" s="209"/>
      <c r="V948" s="207"/>
      <c r="W948" s="207"/>
      <c r="X948" s="209"/>
      <c r="Y948" s="209"/>
      <c r="Z948" s="207" t="str">
        <f t="shared" ca="1" si="125"/>
        <v/>
      </c>
      <c r="AA948" s="209" t="str">
        <f t="shared" si="129"/>
        <v/>
      </c>
      <c r="AB948" s="209"/>
      <c r="AC948" s="207" t="str">
        <f t="shared" ca="1" si="126"/>
        <v/>
      </c>
      <c r="AD948" s="207"/>
      <c r="AE948" s="207"/>
      <c r="AF948" s="208" t="str">
        <f>IF(ISBLANK(D948),"",VLOOKUP(F948,'SIZE CALCULATION'!$F:$G,2,0))</f>
        <v/>
      </c>
      <c r="AG948" s="207" t="str">
        <f t="shared" si="131"/>
        <v/>
      </c>
      <c r="AH948" s="207" t="str">
        <f t="shared" si="127"/>
        <v/>
      </c>
      <c r="AI948" s="210" t="str">
        <f>IF(ISBLANK(D948),"",VLOOKUP($A948,INDEX!$D$2:$F$13,3,0))</f>
        <v/>
      </c>
      <c r="AJ948" s="207" t="str">
        <f t="shared" si="128"/>
        <v/>
      </c>
      <c r="AK948" s="207"/>
      <c r="AL948" s="207"/>
      <c r="AM948" s="207" t="str">
        <f>IFERROR(IF(ISBLANK($D948),"",VLOOKUP($N948,'TABLE CHARGE RATE'!$A$30:$K$106,5,0)),"Check")</f>
        <v/>
      </c>
      <c r="AN948" s="207" t="str">
        <f>IFERROR(IF(ISBLANK($D948),"",VLOOKUP($N948,'TABLE CHARGE RATE'!$A$30:$K$106,6,0)),"Check")</f>
        <v/>
      </c>
      <c r="AO948" s="207" t="str">
        <f>IFERROR(IF(ISBLANK($D948),"",VLOOKUP($N948,'TABLE CHARGE RATE'!$A$30:$K$106,7,0)),"Check")</f>
        <v/>
      </c>
      <c r="AP948" s="207" t="str">
        <f>IFERROR(IF(ISBLANK($D948),"",VLOOKUP($N948,'TABLE CHARGE RATE'!$A$30:$K$106,8,0)),"Check")</f>
        <v/>
      </c>
      <c r="AQ948" s="207" t="str">
        <f>IFERROR(IF(ISBLANK($D948),"",VLOOKUP($N948,'TABLE CHARGE RATE'!$A$30:$K$106,9,0)),"Check")</f>
        <v/>
      </c>
      <c r="AR948" s="207" t="str">
        <f>IFERROR(IF(ISBLANK($D948),"",VLOOKUP($N948,'TABLE CHARGE RATE'!$A$30:$K$106,10,0)),"Check")</f>
        <v/>
      </c>
      <c r="AS948" s="207" t="str">
        <f>IFERROR(IF(ISBLANK($D948),"",VLOOKUP($N948,'TABLE CHARGE RATE'!$A$30:$K$106,11,0)),"Check")</f>
        <v/>
      </c>
      <c r="AT948" s="207"/>
    </row>
    <row r="949" spans="1:46" x14ac:dyDescent="0.2">
      <c r="A949" s="207" t="str">
        <f t="shared" si="130"/>
        <v/>
      </c>
      <c r="B949" s="208" t="str">
        <f>IF(ISBLANK(D949),"",VLOOKUP(WEEKDAY($C949,1),INDEX!$J$2:$K$8,2,0))</f>
        <v/>
      </c>
      <c r="C949" s="209"/>
      <c r="D949" s="207"/>
      <c r="E949" s="207"/>
      <c r="F949" s="207"/>
      <c r="G949" s="207"/>
      <c r="H949" s="207"/>
      <c r="I949" s="207"/>
      <c r="J949" s="207"/>
      <c r="K949" s="207"/>
      <c r="L949" s="207"/>
      <c r="M949" s="207"/>
      <c r="N949" s="207"/>
      <c r="O949" s="207"/>
      <c r="P949" s="207"/>
      <c r="Q949" s="207"/>
      <c r="R949" s="207"/>
      <c r="S949" s="207"/>
      <c r="T949" s="207"/>
      <c r="U949" s="209"/>
      <c r="V949" s="207"/>
      <c r="W949" s="207"/>
      <c r="X949" s="209"/>
      <c r="Y949" s="209"/>
      <c r="Z949" s="207" t="str">
        <f t="shared" ca="1" si="125"/>
        <v/>
      </c>
      <c r="AA949" s="209" t="str">
        <f t="shared" si="129"/>
        <v/>
      </c>
      <c r="AB949" s="209"/>
      <c r="AC949" s="207" t="str">
        <f t="shared" ca="1" si="126"/>
        <v/>
      </c>
      <c r="AD949" s="207"/>
      <c r="AE949" s="207"/>
      <c r="AF949" s="208" t="str">
        <f>IF(ISBLANK(D949),"",VLOOKUP(F949,'SIZE CALCULATION'!$F:$G,2,0))</f>
        <v/>
      </c>
      <c r="AG949" s="207" t="str">
        <f t="shared" si="131"/>
        <v/>
      </c>
      <c r="AH949" s="207" t="str">
        <f t="shared" si="127"/>
        <v/>
      </c>
      <c r="AI949" s="210" t="str">
        <f>IF(ISBLANK(D949),"",VLOOKUP($A949,INDEX!$D$2:$F$13,3,0))</f>
        <v/>
      </c>
      <c r="AJ949" s="207" t="str">
        <f t="shared" si="128"/>
        <v/>
      </c>
      <c r="AK949" s="207"/>
      <c r="AL949" s="207"/>
      <c r="AM949" s="207" t="str">
        <f>IFERROR(IF(ISBLANK($D949),"",VLOOKUP($N949,'TABLE CHARGE RATE'!$A$30:$K$106,5,0)),"Check")</f>
        <v/>
      </c>
      <c r="AN949" s="207" t="str">
        <f>IFERROR(IF(ISBLANK($D949),"",VLOOKUP($N949,'TABLE CHARGE RATE'!$A$30:$K$106,6,0)),"Check")</f>
        <v/>
      </c>
      <c r="AO949" s="207" t="str">
        <f>IFERROR(IF(ISBLANK($D949),"",VLOOKUP($N949,'TABLE CHARGE RATE'!$A$30:$K$106,7,0)),"Check")</f>
        <v/>
      </c>
      <c r="AP949" s="207" t="str">
        <f>IFERROR(IF(ISBLANK($D949),"",VLOOKUP($N949,'TABLE CHARGE RATE'!$A$30:$K$106,8,0)),"Check")</f>
        <v/>
      </c>
      <c r="AQ949" s="207" t="str">
        <f>IFERROR(IF(ISBLANK($D949),"",VLOOKUP($N949,'TABLE CHARGE RATE'!$A$30:$K$106,9,0)),"Check")</f>
        <v/>
      </c>
      <c r="AR949" s="207" t="str">
        <f>IFERROR(IF(ISBLANK($D949),"",VLOOKUP($N949,'TABLE CHARGE RATE'!$A$30:$K$106,10,0)),"Check")</f>
        <v/>
      </c>
      <c r="AS949" s="207" t="str">
        <f>IFERROR(IF(ISBLANK($D949),"",VLOOKUP($N949,'TABLE CHARGE RATE'!$A$30:$K$106,11,0)),"Check")</f>
        <v/>
      </c>
      <c r="AT949" s="207"/>
    </row>
    <row r="950" spans="1:46" x14ac:dyDescent="0.2">
      <c r="A950" s="207" t="str">
        <f t="shared" si="130"/>
        <v/>
      </c>
      <c r="B950" s="208" t="str">
        <f>IF(ISBLANK(D950),"",VLOOKUP(WEEKDAY($C950,1),INDEX!$J$2:$K$8,2,0))</f>
        <v/>
      </c>
      <c r="C950" s="209"/>
      <c r="D950" s="207"/>
      <c r="E950" s="207"/>
      <c r="F950" s="207"/>
      <c r="G950" s="207"/>
      <c r="H950" s="207"/>
      <c r="I950" s="207"/>
      <c r="J950" s="207"/>
      <c r="K950" s="207"/>
      <c r="L950" s="207"/>
      <c r="M950" s="207"/>
      <c r="N950" s="207"/>
      <c r="O950" s="207"/>
      <c r="P950" s="207"/>
      <c r="Q950" s="207"/>
      <c r="R950" s="207"/>
      <c r="S950" s="207"/>
      <c r="T950" s="207"/>
      <c r="U950" s="209"/>
      <c r="V950" s="207"/>
      <c r="W950" s="207"/>
      <c r="X950" s="209"/>
      <c r="Y950" s="209"/>
      <c r="Z950" s="207" t="str">
        <f t="shared" ca="1" si="125"/>
        <v/>
      </c>
      <c r="AA950" s="209" t="str">
        <f t="shared" si="129"/>
        <v/>
      </c>
      <c r="AB950" s="209"/>
      <c r="AC950" s="207" t="str">
        <f t="shared" ca="1" si="126"/>
        <v/>
      </c>
      <c r="AD950" s="207"/>
      <c r="AE950" s="207"/>
      <c r="AF950" s="208" t="str">
        <f>IF(ISBLANK(D950),"",VLOOKUP(F950,'SIZE CALCULATION'!$F:$G,2,0))</f>
        <v/>
      </c>
      <c r="AG950" s="207" t="str">
        <f t="shared" si="131"/>
        <v/>
      </c>
      <c r="AH950" s="207" t="str">
        <f t="shared" si="127"/>
        <v/>
      </c>
      <c r="AI950" s="210" t="str">
        <f>IF(ISBLANK(D950),"",VLOOKUP($A950,INDEX!$D$2:$F$13,3,0))</f>
        <v/>
      </c>
      <c r="AJ950" s="207" t="str">
        <f t="shared" si="128"/>
        <v/>
      </c>
      <c r="AK950" s="207"/>
      <c r="AL950" s="207"/>
      <c r="AM950" s="207" t="str">
        <f>IFERROR(IF(ISBLANK($D950),"",VLOOKUP($N950,'TABLE CHARGE RATE'!$A$30:$K$106,5,0)),"Check")</f>
        <v/>
      </c>
      <c r="AN950" s="207" t="str">
        <f>IFERROR(IF(ISBLANK($D950),"",VLOOKUP($N950,'TABLE CHARGE RATE'!$A$30:$K$106,6,0)),"Check")</f>
        <v/>
      </c>
      <c r="AO950" s="207" t="str">
        <f>IFERROR(IF(ISBLANK($D950),"",VLOOKUP($N950,'TABLE CHARGE RATE'!$A$30:$K$106,7,0)),"Check")</f>
        <v/>
      </c>
      <c r="AP950" s="207" t="str">
        <f>IFERROR(IF(ISBLANK($D950),"",VLOOKUP($N950,'TABLE CHARGE RATE'!$A$30:$K$106,8,0)),"Check")</f>
        <v/>
      </c>
      <c r="AQ950" s="207" t="str">
        <f>IFERROR(IF(ISBLANK($D950),"",VLOOKUP($N950,'TABLE CHARGE RATE'!$A$30:$K$106,9,0)),"Check")</f>
        <v/>
      </c>
      <c r="AR950" s="207" t="str">
        <f>IFERROR(IF(ISBLANK($D950),"",VLOOKUP($N950,'TABLE CHARGE RATE'!$A$30:$K$106,10,0)),"Check")</f>
        <v/>
      </c>
      <c r="AS950" s="207" t="str">
        <f>IFERROR(IF(ISBLANK($D950),"",VLOOKUP($N950,'TABLE CHARGE RATE'!$A$30:$K$106,11,0)),"Check")</f>
        <v/>
      </c>
      <c r="AT950" s="207"/>
    </row>
    <row r="951" spans="1:46" x14ac:dyDescent="0.2">
      <c r="A951" s="207" t="str">
        <f t="shared" si="130"/>
        <v/>
      </c>
      <c r="B951" s="208" t="str">
        <f>IF(ISBLANK(D951),"",VLOOKUP(WEEKDAY($C951,1),INDEX!$J$2:$K$8,2,0))</f>
        <v/>
      </c>
      <c r="C951" s="209"/>
      <c r="D951" s="207"/>
      <c r="E951" s="207"/>
      <c r="F951" s="207"/>
      <c r="G951" s="207"/>
      <c r="H951" s="207"/>
      <c r="I951" s="207"/>
      <c r="J951" s="207"/>
      <c r="K951" s="207"/>
      <c r="L951" s="207"/>
      <c r="M951" s="207"/>
      <c r="N951" s="207"/>
      <c r="O951" s="207"/>
      <c r="P951" s="207"/>
      <c r="Q951" s="207"/>
      <c r="R951" s="207"/>
      <c r="S951" s="207"/>
      <c r="T951" s="207"/>
      <c r="U951" s="209"/>
      <c r="V951" s="207"/>
      <c r="W951" s="207"/>
      <c r="X951" s="209"/>
      <c r="Y951" s="209"/>
      <c r="Z951" s="207" t="str">
        <f t="shared" ca="1" si="125"/>
        <v/>
      </c>
      <c r="AA951" s="209" t="str">
        <f t="shared" si="129"/>
        <v/>
      </c>
      <c r="AB951" s="209"/>
      <c r="AC951" s="207" t="str">
        <f t="shared" ca="1" si="126"/>
        <v/>
      </c>
      <c r="AD951" s="207"/>
      <c r="AE951" s="207"/>
      <c r="AF951" s="208" t="str">
        <f>IF(ISBLANK(D951),"",VLOOKUP(F951,'SIZE CALCULATION'!$F:$G,2,0))</f>
        <v/>
      </c>
      <c r="AG951" s="207" t="str">
        <f t="shared" si="131"/>
        <v/>
      </c>
      <c r="AH951" s="207" t="str">
        <f t="shared" si="127"/>
        <v/>
      </c>
      <c r="AI951" s="210" t="str">
        <f>IF(ISBLANK(D951),"",VLOOKUP($A951,INDEX!$D$2:$F$13,3,0))</f>
        <v/>
      </c>
      <c r="AJ951" s="207" t="str">
        <f t="shared" si="128"/>
        <v/>
      </c>
      <c r="AK951" s="207"/>
      <c r="AL951" s="207"/>
      <c r="AM951" s="207" t="str">
        <f>IFERROR(IF(ISBLANK($D951),"",VLOOKUP($N951,'TABLE CHARGE RATE'!$A$30:$K$106,5,0)),"Check")</f>
        <v/>
      </c>
      <c r="AN951" s="207" t="str">
        <f>IFERROR(IF(ISBLANK($D951),"",VLOOKUP($N951,'TABLE CHARGE RATE'!$A$30:$K$106,6,0)),"Check")</f>
        <v/>
      </c>
      <c r="AO951" s="207" t="str">
        <f>IFERROR(IF(ISBLANK($D951),"",VLOOKUP($N951,'TABLE CHARGE RATE'!$A$30:$K$106,7,0)),"Check")</f>
        <v/>
      </c>
      <c r="AP951" s="207" t="str">
        <f>IFERROR(IF(ISBLANK($D951),"",VLOOKUP($N951,'TABLE CHARGE RATE'!$A$30:$K$106,8,0)),"Check")</f>
        <v/>
      </c>
      <c r="AQ951" s="207" t="str">
        <f>IFERROR(IF(ISBLANK($D951),"",VLOOKUP($N951,'TABLE CHARGE RATE'!$A$30:$K$106,9,0)),"Check")</f>
        <v/>
      </c>
      <c r="AR951" s="207" t="str">
        <f>IFERROR(IF(ISBLANK($D951),"",VLOOKUP($N951,'TABLE CHARGE RATE'!$A$30:$K$106,10,0)),"Check")</f>
        <v/>
      </c>
      <c r="AS951" s="207" t="str">
        <f>IFERROR(IF(ISBLANK($D951),"",VLOOKUP($N951,'TABLE CHARGE RATE'!$A$30:$K$106,11,0)),"Check")</f>
        <v/>
      </c>
      <c r="AT951" s="207"/>
    </row>
    <row r="952" spans="1:46" x14ac:dyDescent="0.2">
      <c r="A952" s="207" t="str">
        <f t="shared" si="130"/>
        <v/>
      </c>
      <c r="B952" s="208" t="str">
        <f>IF(ISBLANK(D952),"",VLOOKUP(WEEKDAY($C952,1),INDEX!$J$2:$K$8,2,0))</f>
        <v/>
      </c>
      <c r="C952" s="209"/>
      <c r="D952" s="207"/>
      <c r="E952" s="207"/>
      <c r="F952" s="207"/>
      <c r="G952" s="207"/>
      <c r="H952" s="207"/>
      <c r="I952" s="207"/>
      <c r="J952" s="207"/>
      <c r="K952" s="207"/>
      <c r="L952" s="207"/>
      <c r="M952" s="207"/>
      <c r="N952" s="207"/>
      <c r="O952" s="207"/>
      <c r="P952" s="207"/>
      <c r="Q952" s="207"/>
      <c r="R952" s="207"/>
      <c r="S952" s="207"/>
      <c r="T952" s="207"/>
      <c r="U952" s="209"/>
      <c r="V952" s="207"/>
      <c r="W952" s="207"/>
      <c r="X952" s="209"/>
      <c r="Y952" s="209"/>
      <c r="Z952" s="207" t="str">
        <f t="shared" ca="1" si="125"/>
        <v/>
      </c>
      <c r="AA952" s="209" t="str">
        <f t="shared" si="129"/>
        <v/>
      </c>
      <c r="AB952" s="209"/>
      <c r="AC952" s="207" t="str">
        <f t="shared" ca="1" si="126"/>
        <v/>
      </c>
      <c r="AD952" s="207"/>
      <c r="AE952" s="207"/>
      <c r="AF952" s="208" t="str">
        <f>IF(ISBLANK(D952),"",VLOOKUP(F952,'SIZE CALCULATION'!$F:$G,2,0))</f>
        <v/>
      </c>
      <c r="AG952" s="207" t="str">
        <f t="shared" si="131"/>
        <v/>
      </c>
      <c r="AH952" s="207" t="str">
        <f t="shared" si="127"/>
        <v/>
      </c>
      <c r="AI952" s="210" t="str">
        <f>IF(ISBLANK(D952),"",VLOOKUP($A952,INDEX!$D$2:$F$13,3,0))</f>
        <v/>
      </c>
      <c r="AJ952" s="207" t="str">
        <f t="shared" si="128"/>
        <v/>
      </c>
      <c r="AK952" s="207"/>
      <c r="AL952" s="207"/>
      <c r="AM952" s="207" t="str">
        <f>IFERROR(IF(ISBLANK($D952),"",VLOOKUP($N952,'TABLE CHARGE RATE'!$A$30:$K$106,5,0)),"Check")</f>
        <v/>
      </c>
      <c r="AN952" s="207" t="str">
        <f>IFERROR(IF(ISBLANK($D952),"",VLOOKUP($N952,'TABLE CHARGE RATE'!$A$30:$K$106,6,0)),"Check")</f>
        <v/>
      </c>
      <c r="AO952" s="207" t="str">
        <f>IFERROR(IF(ISBLANK($D952),"",VLOOKUP($N952,'TABLE CHARGE RATE'!$A$30:$K$106,7,0)),"Check")</f>
        <v/>
      </c>
      <c r="AP952" s="207" t="str">
        <f>IFERROR(IF(ISBLANK($D952),"",VLOOKUP($N952,'TABLE CHARGE RATE'!$A$30:$K$106,8,0)),"Check")</f>
        <v/>
      </c>
      <c r="AQ952" s="207" t="str">
        <f>IFERROR(IF(ISBLANK($D952),"",VLOOKUP($N952,'TABLE CHARGE RATE'!$A$30:$K$106,9,0)),"Check")</f>
        <v/>
      </c>
      <c r="AR952" s="207" t="str">
        <f>IFERROR(IF(ISBLANK($D952),"",VLOOKUP($N952,'TABLE CHARGE RATE'!$A$30:$K$106,10,0)),"Check")</f>
        <v/>
      </c>
      <c r="AS952" s="207" t="str">
        <f>IFERROR(IF(ISBLANK($D952),"",VLOOKUP($N952,'TABLE CHARGE RATE'!$A$30:$K$106,11,0)),"Check")</f>
        <v/>
      </c>
      <c r="AT952" s="207"/>
    </row>
    <row r="953" spans="1:46" x14ac:dyDescent="0.2">
      <c r="A953" s="207" t="str">
        <f t="shared" si="130"/>
        <v/>
      </c>
      <c r="B953" s="208" t="str">
        <f>IF(ISBLANK(D953),"",VLOOKUP(WEEKDAY($C953,1),INDEX!$J$2:$K$8,2,0))</f>
        <v/>
      </c>
      <c r="C953" s="209"/>
      <c r="D953" s="207"/>
      <c r="E953" s="207"/>
      <c r="F953" s="207"/>
      <c r="G953" s="207"/>
      <c r="H953" s="207"/>
      <c r="I953" s="207"/>
      <c r="J953" s="207"/>
      <c r="K953" s="207"/>
      <c r="L953" s="207"/>
      <c r="M953" s="207"/>
      <c r="N953" s="207"/>
      <c r="O953" s="207"/>
      <c r="P953" s="207"/>
      <c r="Q953" s="207"/>
      <c r="R953" s="207"/>
      <c r="S953" s="207"/>
      <c r="T953" s="207"/>
      <c r="U953" s="209"/>
      <c r="V953" s="207"/>
      <c r="W953" s="207"/>
      <c r="X953" s="209"/>
      <c r="Y953" s="209"/>
      <c r="Z953" s="207" t="str">
        <f t="shared" ca="1" si="125"/>
        <v/>
      </c>
      <c r="AA953" s="209" t="str">
        <f t="shared" si="129"/>
        <v/>
      </c>
      <c r="AB953" s="209"/>
      <c r="AC953" s="207" t="str">
        <f t="shared" ca="1" si="126"/>
        <v/>
      </c>
      <c r="AD953" s="207"/>
      <c r="AE953" s="207"/>
      <c r="AF953" s="208" t="str">
        <f>IF(ISBLANK(D953),"",VLOOKUP(F953,'SIZE CALCULATION'!$F:$G,2,0))</f>
        <v/>
      </c>
      <c r="AG953" s="207" t="str">
        <f t="shared" si="131"/>
        <v/>
      </c>
      <c r="AH953" s="207" t="str">
        <f t="shared" si="127"/>
        <v/>
      </c>
      <c r="AI953" s="210" t="str">
        <f>IF(ISBLANK(D953),"",VLOOKUP($A953,INDEX!$D$2:$F$13,3,0))</f>
        <v/>
      </c>
      <c r="AJ953" s="207" t="str">
        <f t="shared" si="128"/>
        <v/>
      </c>
      <c r="AK953" s="207"/>
      <c r="AL953" s="207"/>
      <c r="AM953" s="207" t="str">
        <f>IFERROR(IF(ISBLANK($D953),"",VLOOKUP($N953,'TABLE CHARGE RATE'!$A$30:$K$106,5,0)),"Check")</f>
        <v/>
      </c>
      <c r="AN953" s="207" t="str">
        <f>IFERROR(IF(ISBLANK($D953),"",VLOOKUP($N953,'TABLE CHARGE RATE'!$A$30:$K$106,6,0)),"Check")</f>
        <v/>
      </c>
      <c r="AO953" s="207" t="str">
        <f>IFERROR(IF(ISBLANK($D953),"",VLOOKUP($N953,'TABLE CHARGE RATE'!$A$30:$K$106,7,0)),"Check")</f>
        <v/>
      </c>
      <c r="AP953" s="207" t="str">
        <f>IFERROR(IF(ISBLANK($D953),"",VLOOKUP($N953,'TABLE CHARGE RATE'!$A$30:$K$106,8,0)),"Check")</f>
        <v/>
      </c>
      <c r="AQ953" s="207" t="str">
        <f>IFERROR(IF(ISBLANK($D953),"",VLOOKUP($N953,'TABLE CHARGE RATE'!$A$30:$K$106,9,0)),"Check")</f>
        <v/>
      </c>
      <c r="AR953" s="207" t="str">
        <f>IFERROR(IF(ISBLANK($D953),"",VLOOKUP($N953,'TABLE CHARGE RATE'!$A$30:$K$106,10,0)),"Check")</f>
        <v/>
      </c>
      <c r="AS953" s="207" t="str">
        <f>IFERROR(IF(ISBLANK($D953),"",VLOOKUP($N953,'TABLE CHARGE RATE'!$A$30:$K$106,11,0)),"Check")</f>
        <v/>
      </c>
      <c r="AT953" s="207"/>
    </row>
    <row r="954" spans="1:46" x14ac:dyDescent="0.2">
      <c r="A954" s="207" t="str">
        <f t="shared" si="130"/>
        <v/>
      </c>
      <c r="B954" s="208" t="str">
        <f>IF(ISBLANK(D954),"",VLOOKUP(WEEKDAY($C954,1),INDEX!$J$2:$K$8,2,0))</f>
        <v/>
      </c>
      <c r="C954" s="209"/>
      <c r="D954" s="207"/>
      <c r="E954" s="207"/>
      <c r="F954" s="207"/>
      <c r="G954" s="207"/>
      <c r="H954" s="207"/>
      <c r="I954" s="207"/>
      <c r="J954" s="207"/>
      <c r="K954" s="207"/>
      <c r="L954" s="207"/>
      <c r="M954" s="207"/>
      <c r="N954" s="207"/>
      <c r="O954" s="207"/>
      <c r="P954" s="207"/>
      <c r="Q954" s="207"/>
      <c r="R954" s="207"/>
      <c r="S954" s="207"/>
      <c r="T954" s="207"/>
      <c r="U954" s="209"/>
      <c r="V954" s="207"/>
      <c r="W954" s="207"/>
      <c r="X954" s="209"/>
      <c r="Y954" s="209"/>
      <c r="Z954" s="207" t="str">
        <f t="shared" ca="1" si="125"/>
        <v/>
      </c>
      <c r="AA954" s="209" t="str">
        <f t="shared" si="129"/>
        <v/>
      </c>
      <c r="AB954" s="209"/>
      <c r="AC954" s="207" t="str">
        <f t="shared" ca="1" si="126"/>
        <v/>
      </c>
      <c r="AD954" s="207"/>
      <c r="AE954" s="207"/>
      <c r="AF954" s="208" t="str">
        <f>IF(ISBLANK(D954),"",VLOOKUP(F954,'SIZE CALCULATION'!$F:$G,2,0))</f>
        <v/>
      </c>
      <c r="AG954" s="207" t="str">
        <f t="shared" si="131"/>
        <v/>
      </c>
      <c r="AH954" s="207" t="str">
        <f t="shared" si="127"/>
        <v/>
      </c>
      <c r="AI954" s="210" t="str">
        <f>IF(ISBLANK(D954),"",VLOOKUP($A954,INDEX!$D$2:$F$13,3,0))</f>
        <v/>
      </c>
      <c r="AJ954" s="207" t="str">
        <f t="shared" si="128"/>
        <v/>
      </c>
      <c r="AK954" s="207"/>
      <c r="AL954" s="207"/>
      <c r="AM954" s="207" t="str">
        <f>IFERROR(IF(ISBLANK($D954),"",VLOOKUP($N954,'TABLE CHARGE RATE'!$A$30:$K$106,5,0)),"Check")</f>
        <v/>
      </c>
      <c r="AN954" s="207" t="str">
        <f>IFERROR(IF(ISBLANK($D954),"",VLOOKUP($N954,'TABLE CHARGE RATE'!$A$30:$K$106,6,0)),"Check")</f>
        <v/>
      </c>
      <c r="AO954" s="207" t="str">
        <f>IFERROR(IF(ISBLANK($D954),"",VLOOKUP($N954,'TABLE CHARGE RATE'!$A$30:$K$106,7,0)),"Check")</f>
        <v/>
      </c>
      <c r="AP954" s="207" t="str">
        <f>IFERROR(IF(ISBLANK($D954),"",VLOOKUP($N954,'TABLE CHARGE RATE'!$A$30:$K$106,8,0)),"Check")</f>
        <v/>
      </c>
      <c r="AQ954" s="207" t="str">
        <f>IFERROR(IF(ISBLANK($D954),"",VLOOKUP($N954,'TABLE CHARGE RATE'!$A$30:$K$106,9,0)),"Check")</f>
        <v/>
      </c>
      <c r="AR954" s="207" t="str">
        <f>IFERROR(IF(ISBLANK($D954),"",VLOOKUP($N954,'TABLE CHARGE RATE'!$A$30:$K$106,10,0)),"Check")</f>
        <v/>
      </c>
      <c r="AS954" s="207" t="str">
        <f>IFERROR(IF(ISBLANK($D954),"",VLOOKUP($N954,'TABLE CHARGE RATE'!$A$30:$K$106,11,0)),"Check")</f>
        <v/>
      </c>
      <c r="AT954" s="207"/>
    </row>
    <row r="955" spans="1:46" x14ac:dyDescent="0.2">
      <c r="A955" s="207" t="str">
        <f t="shared" si="130"/>
        <v/>
      </c>
      <c r="B955" s="208" t="str">
        <f>IF(ISBLANK(D955),"",VLOOKUP(WEEKDAY($C955,1),INDEX!$J$2:$K$8,2,0))</f>
        <v/>
      </c>
      <c r="C955" s="209"/>
      <c r="D955" s="207"/>
      <c r="E955" s="207"/>
      <c r="F955" s="207"/>
      <c r="G955" s="207"/>
      <c r="H955" s="207"/>
      <c r="I955" s="207"/>
      <c r="J955" s="207"/>
      <c r="K955" s="207"/>
      <c r="L955" s="207"/>
      <c r="M955" s="207"/>
      <c r="N955" s="207"/>
      <c r="O955" s="207"/>
      <c r="P955" s="207"/>
      <c r="Q955" s="207"/>
      <c r="R955" s="207"/>
      <c r="S955" s="207"/>
      <c r="T955" s="207"/>
      <c r="U955" s="209"/>
      <c r="V955" s="207"/>
      <c r="W955" s="207"/>
      <c r="X955" s="209"/>
      <c r="Y955" s="209"/>
      <c r="Z955" s="207" t="str">
        <f t="shared" ca="1" si="125"/>
        <v/>
      </c>
      <c r="AA955" s="209" t="str">
        <f t="shared" si="129"/>
        <v/>
      </c>
      <c r="AB955" s="209"/>
      <c r="AC955" s="207" t="str">
        <f t="shared" ca="1" si="126"/>
        <v/>
      </c>
      <c r="AD955" s="207"/>
      <c r="AE955" s="207"/>
      <c r="AF955" s="208" t="str">
        <f>IF(ISBLANK(D955),"",VLOOKUP(F955,'SIZE CALCULATION'!$F:$G,2,0))</f>
        <v/>
      </c>
      <c r="AG955" s="207" t="str">
        <f t="shared" si="131"/>
        <v/>
      </c>
      <c r="AH955" s="207" t="str">
        <f t="shared" si="127"/>
        <v/>
      </c>
      <c r="AI955" s="210" t="str">
        <f>IF(ISBLANK(D955),"",VLOOKUP($A955,INDEX!$D$2:$F$13,3,0))</f>
        <v/>
      </c>
      <c r="AJ955" s="207" t="str">
        <f t="shared" si="128"/>
        <v/>
      </c>
      <c r="AK955" s="207"/>
      <c r="AL955" s="207"/>
      <c r="AM955" s="207" t="str">
        <f>IFERROR(IF(ISBLANK($D955),"",VLOOKUP($N955,'TABLE CHARGE RATE'!$A$30:$K$106,5,0)),"Check")</f>
        <v/>
      </c>
      <c r="AN955" s="207" t="str">
        <f>IFERROR(IF(ISBLANK($D955),"",VLOOKUP($N955,'TABLE CHARGE RATE'!$A$30:$K$106,6,0)),"Check")</f>
        <v/>
      </c>
      <c r="AO955" s="207" t="str">
        <f>IFERROR(IF(ISBLANK($D955),"",VLOOKUP($N955,'TABLE CHARGE RATE'!$A$30:$K$106,7,0)),"Check")</f>
        <v/>
      </c>
      <c r="AP955" s="207" t="str">
        <f>IFERROR(IF(ISBLANK($D955),"",VLOOKUP($N955,'TABLE CHARGE RATE'!$A$30:$K$106,8,0)),"Check")</f>
        <v/>
      </c>
      <c r="AQ955" s="207" t="str">
        <f>IFERROR(IF(ISBLANK($D955),"",VLOOKUP($N955,'TABLE CHARGE RATE'!$A$30:$K$106,9,0)),"Check")</f>
        <v/>
      </c>
      <c r="AR955" s="207" t="str">
        <f>IFERROR(IF(ISBLANK($D955),"",VLOOKUP($N955,'TABLE CHARGE RATE'!$A$30:$K$106,10,0)),"Check")</f>
        <v/>
      </c>
      <c r="AS955" s="207" t="str">
        <f>IFERROR(IF(ISBLANK($D955),"",VLOOKUP($N955,'TABLE CHARGE RATE'!$A$30:$K$106,11,0)),"Check")</f>
        <v/>
      </c>
      <c r="AT955" s="207"/>
    </row>
    <row r="956" spans="1:46" x14ac:dyDescent="0.2">
      <c r="A956" s="207" t="str">
        <f t="shared" si="130"/>
        <v/>
      </c>
      <c r="B956" s="208" t="str">
        <f>IF(ISBLANK(D956),"",VLOOKUP(WEEKDAY($C956,1),INDEX!$J$2:$K$8,2,0))</f>
        <v/>
      </c>
      <c r="C956" s="209"/>
      <c r="D956" s="207"/>
      <c r="E956" s="207"/>
      <c r="F956" s="207"/>
      <c r="G956" s="207"/>
      <c r="H956" s="207"/>
      <c r="I956" s="207"/>
      <c r="J956" s="207"/>
      <c r="K956" s="207"/>
      <c r="L956" s="207"/>
      <c r="M956" s="207"/>
      <c r="N956" s="207"/>
      <c r="O956" s="207"/>
      <c r="P956" s="207"/>
      <c r="Q956" s="207"/>
      <c r="R956" s="207"/>
      <c r="S956" s="207"/>
      <c r="T956" s="207"/>
      <c r="U956" s="209"/>
      <c r="V956" s="207"/>
      <c r="W956" s="207"/>
      <c r="X956" s="209"/>
      <c r="Y956" s="209"/>
      <c r="Z956" s="207" t="str">
        <f t="shared" ca="1" si="125"/>
        <v/>
      </c>
      <c r="AA956" s="209" t="str">
        <f t="shared" si="129"/>
        <v/>
      </c>
      <c r="AB956" s="209"/>
      <c r="AC956" s="207" t="str">
        <f t="shared" ca="1" si="126"/>
        <v/>
      </c>
      <c r="AD956" s="207"/>
      <c r="AE956" s="207"/>
      <c r="AF956" s="208" t="str">
        <f>IF(ISBLANK(D956),"",VLOOKUP(F956,'SIZE CALCULATION'!$F:$G,2,0))</f>
        <v/>
      </c>
      <c r="AG956" s="207" t="str">
        <f t="shared" si="131"/>
        <v/>
      </c>
      <c r="AH956" s="207" t="str">
        <f t="shared" si="127"/>
        <v/>
      </c>
      <c r="AI956" s="210" t="str">
        <f>IF(ISBLANK(D956),"",VLOOKUP($A956,INDEX!$D$2:$F$13,3,0))</f>
        <v/>
      </c>
      <c r="AJ956" s="207" t="str">
        <f t="shared" si="128"/>
        <v/>
      </c>
      <c r="AK956" s="207"/>
      <c r="AL956" s="207"/>
      <c r="AM956" s="207" t="str">
        <f>IFERROR(IF(ISBLANK($D956),"",VLOOKUP($N956,'TABLE CHARGE RATE'!$A$30:$K$106,5,0)),"Check")</f>
        <v/>
      </c>
      <c r="AN956" s="207" t="str">
        <f>IFERROR(IF(ISBLANK($D956),"",VLOOKUP($N956,'TABLE CHARGE RATE'!$A$30:$K$106,6,0)),"Check")</f>
        <v/>
      </c>
      <c r="AO956" s="207" t="str">
        <f>IFERROR(IF(ISBLANK($D956),"",VLOOKUP($N956,'TABLE CHARGE RATE'!$A$30:$K$106,7,0)),"Check")</f>
        <v/>
      </c>
      <c r="AP956" s="207" t="str">
        <f>IFERROR(IF(ISBLANK($D956),"",VLOOKUP($N956,'TABLE CHARGE RATE'!$A$30:$K$106,8,0)),"Check")</f>
        <v/>
      </c>
      <c r="AQ956" s="207" t="str">
        <f>IFERROR(IF(ISBLANK($D956),"",VLOOKUP($N956,'TABLE CHARGE RATE'!$A$30:$K$106,9,0)),"Check")</f>
        <v/>
      </c>
      <c r="AR956" s="207" t="str">
        <f>IFERROR(IF(ISBLANK($D956),"",VLOOKUP($N956,'TABLE CHARGE RATE'!$A$30:$K$106,10,0)),"Check")</f>
        <v/>
      </c>
      <c r="AS956" s="207" t="str">
        <f>IFERROR(IF(ISBLANK($D956),"",VLOOKUP($N956,'TABLE CHARGE RATE'!$A$30:$K$106,11,0)),"Check")</f>
        <v/>
      </c>
      <c r="AT956" s="207"/>
    </row>
    <row r="957" spans="1:46" x14ac:dyDescent="0.2">
      <c r="A957" s="207" t="str">
        <f t="shared" si="130"/>
        <v/>
      </c>
      <c r="B957" s="208" t="str">
        <f>IF(ISBLANK(D957),"",VLOOKUP(WEEKDAY($C957,1),INDEX!$J$2:$K$8,2,0))</f>
        <v/>
      </c>
      <c r="C957" s="209"/>
      <c r="D957" s="207"/>
      <c r="E957" s="207"/>
      <c r="F957" s="207"/>
      <c r="G957" s="207"/>
      <c r="H957" s="207"/>
      <c r="I957" s="207"/>
      <c r="J957" s="207"/>
      <c r="K957" s="207"/>
      <c r="L957" s="207"/>
      <c r="M957" s="207"/>
      <c r="N957" s="207"/>
      <c r="O957" s="207"/>
      <c r="P957" s="207"/>
      <c r="Q957" s="207"/>
      <c r="R957" s="207"/>
      <c r="S957" s="207"/>
      <c r="T957" s="207"/>
      <c r="U957" s="209"/>
      <c r="V957" s="207"/>
      <c r="W957" s="207"/>
      <c r="X957" s="209"/>
      <c r="Y957" s="209"/>
      <c r="Z957" s="207" t="str">
        <f t="shared" ca="1" si="125"/>
        <v/>
      </c>
      <c r="AA957" s="209" t="str">
        <f t="shared" si="129"/>
        <v/>
      </c>
      <c r="AB957" s="209"/>
      <c r="AC957" s="207" t="str">
        <f t="shared" ca="1" si="126"/>
        <v/>
      </c>
      <c r="AD957" s="207"/>
      <c r="AE957" s="207"/>
      <c r="AF957" s="208" t="str">
        <f>IF(ISBLANK(D957),"",VLOOKUP(F957,'SIZE CALCULATION'!$F:$G,2,0))</f>
        <v/>
      </c>
      <c r="AG957" s="207" t="str">
        <f t="shared" si="131"/>
        <v/>
      </c>
      <c r="AH957" s="207" t="str">
        <f t="shared" si="127"/>
        <v/>
      </c>
      <c r="AI957" s="210" t="str">
        <f>IF(ISBLANK(D957),"",VLOOKUP($A957,INDEX!$D$2:$F$13,3,0))</f>
        <v/>
      </c>
      <c r="AJ957" s="207" t="str">
        <f t="shared" si="128"/>
        <v/>
      </c>
      <c r="AK957" s="207"/>
      <c r="AL957" s="207"/>
      <c r="AM957" s="207" t="str">
        <f>IFERROR(IF(ISBLANK($D957),"",VLOOKUP($N957,'TABLE CHARGE RATE'!$A$30:$K$106,5,0)),"Check")</f>
        <v/>
      </c>
      <c r="AN957" s="207" t="str">
        <f>IFERROR(IF(ISBLANK($D957),"",VLOOKUP($N957,'TABLE CHARGE RATE'!$A$30:$K$106,6,0)),"Check")</f>
        <v/>
      </c>
      <c r="AO957" s="207" t="str">
        <f>IFERROR(IF(ISBLANK($D957),"",VLOOKUP($N957,'TABLE CHARGE RATE'!$A$30:$K$106,7,0)),"Check")</f>
        <v/>
      </c>
      <c r="AP957" s="207" t="str">
        <f>IFERROR(IF(ISBLANK($D957),"",VLOOKUP($N957,'TABLE CHARGE RATE'!$A$30:$K$106,8,0)),"Check")</f>
        <v/>
      </c>
      <c r="AQ957" s="207" t="str">
        <f>IFERROR(IF(ISBLANK($D957),"",VLOOKUP($N957,'TABLE CHARGE RATE'!$A$30:$K$106,9,0)),"Check")</f>
        <v/>
      </c>
      <c r="AR957" s="207" t="str">
        <f>IFERROR(IF(ISBLANK($D957),"",VLOOKUP($N957,'TABLE CHARGE RATE'!$A$30:$K$106,10,0)),"Check")</f>
        <v/>
      </c>
      <c r="AS957" s="207" t="str">
        <f>IFERROR(IF(ISBLANK($D957),"",VLOOKUP($N957,'TABLE CHARGE RATE'!$A$30:$K$106,11,0)),"Check")</f>
        <v/>
      </c>
      <c r="AT957" s="207"/>
    </row>
    <row r="958" spans="1:46" x14ac:dyDescent="0.2">
      <c r="A958" s="207" t="str">
        <f t="shared" si="130"/>
        <v/>
      </c>
      <c r="B958" s="208" t="str">
        <f>IF(ISBLANK(D958),"",VLOOKUP(WEEKDAY($C958,1),INDEX!$J$2:$K$8,2,0))</f>
        <v/>
      </c>
      <c r="C958" s="209"/>
      <c r="D958" s="207"/>
      <c r="E958" s="207"/>
      <c r="F958" s="207"/>
      <c r="G958" s="207"/>
      <c r="H958" s="207"/>
      <c r="I958" s="207"/>
      <c r="J958" s="207"/>
      <c r="K958" s="207"/>
      <c r="L958" s="207"/>
      <c r="M958" s="207"/>
      <c r="N958" s="207"/>
      <c r="O958" s="207"/>
      <c r="P958" s="207"/>
      <c r="Q958" s="207"/>
      <c r="R958" s="207"/>
      <c r="S958" s="207"/>
      <c r="T958" s="207"/>
      <c r="U958" s="209"/>
      <c r="V958" s="207"/>
      <c r="W958" s="207"/>
      <c r="X958" s="209"/>
      <c r="Y958" s="209"/>
      <c r="Z958" s="207" t="str">
        <f t="shared" ca="1" si="125"/>
        <v/>
      </c>
      <c r="AA958" s="209" t="str">
        <f t="shared" si="129"/>
        <v/>
      </c>
      <c r="AB958" s="209"/>
      <c r="AC958" s="207" t="str">
        <f t="shared" ca="1" si="126"/>
        <v/>
      </c>
      <c r="AD958" s="207"/>
      <c r="AE958" s="207"/>
      <c r="AF958" s="208" t="str">
        <f>IF(ISBLANK(D958),"",VLOOKUP(F958,'SIZE CALCULATION'!$F:$G,2,0))</f>
        <v/>
      </c>
      <c r="AG958" s="207" t="str">
        <f t="shared" si="131"/>
        <v/>
      </c>
      <c r="AH958" s="207" t="str">
        <f t="shared" si="127"/>
        <v/>
      </c>
      <c r="AI958" s="210" t="str">
        <f>IF(ISBLANK(D958),"",VLOOKUP($A958,INDEX!$D$2:$F$13,3,0))</f>
        <v/>
      </c>
      <c r="AJ958" s="207" t="str">
        <f t="shared" si="128"/>
        <v/>
      </c>
      <c r="AK958" s="207"/>
      <c r="AL958" s="207"/>
      <c r="AM958" s="207" t="str">
        <f>IFERROR(IF(ISBLANK($D958),"",VLOOKUP($N958,'TABLE CHARGE RATE'!$A$30:$K$106,5,0)),"Check")</f>
        <v/>
      </c>
      <c r="AN958" s="207" t="str">
        <f>IFERROR(IF(ISBLANK($D958),"",VLOOKUP($N958,'TABLE CHARGE RATE'!$A$30:$K$106,6,0)),"Check")</f>
        <v/>
      </c>
      <c r="AO958" s="207" t="str">
        <f>IFERROR(IF(ISBLANK($D958),"",VLOOKUP($N958,'TABLE CHARGE RATE'!$A$30:$K$106,7,0)),"Check")</f>
        <v/>
      </c>
      <c r="AP958" s="207" t="str">
        <f>IFERROR(IF(ISBLANK($D958),"",VLOOKUP($N958,'TABLE CHARGE RATE'!$A$30:$K$106,8,0)),"Check")</f>
        <v/>
      </c>
      <c r="AQ958" s="207" t="str">
        <f>IFERROR(IF(ISBLANK($D958),"",VLOOKUP($N958,'TABLE CHARGE RATE'!$A$30:$K$106,9,0)),"Check")</f>
        <v/>
      </c>
      <c r="AR958" s="207" t="str">
        <f>IFERROR(IF(ISBLANK($D958),"",VLOOKUP($N958,'TABLE CHARGE RATE'!$A$30:$K$106,10,0)),"Check")</f>
        <v/>
      </c>
      <c r="AS958" s="207" t="str">
        <f>IFERROR(IF(ISBLANK($D958),"",VLOOKUP($N958,'TABLE CHARGE RATE'!$A$30:$K$106,11,0)),"Check")</f>
        <v/>
      </c>
      <c r="AT958" s="207"/>
    </row>
    <row r="959" spans="1:46" x14ac:dyDescent="0.2">
      <c r="A959" s="207" t="str">
        <f t="shared" si="130"/>
        <v/>
      </c>
      <c r="B959" s="208" t="str">
        <f>IF(ISBLANK(D959),"",VLOOKUP(WEEKDAY($C959,1),INDEX!$J$2:$K$8,2,0))</f>
        <v/>
      </c>
      <c r="C959" s="209"/>
      <c r="D959" s="207"/>
      <c r="E959" s="207"/>
      <c r="F959" s="207"/>
      <c r="G959" s="207"/>
      <c r="H959" s="207"/>
      <c r="I959" s="207"/>
      <c r="J959" s="207"/>
      <c r="K959" s="207"/>
      <c r="L959" s="207"/>
      <c r="M959" s="207"/>
      <c r="N959" s="207"/>
      <c r="O959" s="207"/>
      <c r="P959" s="207"/>
      <c r="Q959" s="207"/>
      <c r="R959" s="207"/>
      <c r="S959" s="207"/>
      <c r="T959" s="207"/>
      <c r="U959" s="209"/>
      <c r="V959" s="207"/>
      <c r="W959" s="207"/>
      <c r="X959" s="209"/>
      <c r="Y959" s="209"/>
      <c r="Z959" s="207" t="str">
        <f t="shared" ca="1" si="125"/>
        <v/>
      </c>
      <c r="AA959" s="209" t="str">
        <f t="shared" si="129"/>
        <v/>
      </c>
      <c r="AB959" s="209"/>
      <c r="AC959" s="207" t="str">
        <f t="shared" ca="1" si="126"/>
        <v/>
      </c>
      <c r="AD959" s="207"/>
      <c r="AE959" s="207"/>
      <c r="AF959" s="208" t="str">
        <f>IF(ISBLANK(D959),"",VLOOKUP(F959,'SIZE CALCULATION'!$F:$G,2,0))</f>
        <v/>
      </c>
      <c r="AG959" s="207" t="str">
        <f t="shared" si="131"/>
        <v/>
      </c>
      <c r="AH959" s="207" t="str">
        <f t="shared" si="127"/>
        <v/>
      </c>
      <c r="AI959" s="210" t="str">
        <f>IF(ISBLANK(D959),"",VLOOKUP($A959,INDEX!$D$2:$F$13,3,0))</f>
        <v/>
      </c>
      <c r="AJ959" s="207" t="str">
        <f t="shared" si="128"/>
        <v/>
      </c>
      <c r="AK959" s="207"/>
      <c r="AL959" s="207"/>
      <c r="AM959" s="207" t="str">
        <f>IFERROR(IF(ISBLANK($D959),"",VLOOKUP($N959,'TABLE CHARGE RATE'!$A$30:$K$106,5,0)),"Check")</f>
        <v/>
      </c>
      <c r="AN959" s="207" t="str">
        <f>IFERROR(IF(ISBLANK($D959),"",VLOOKUP($N959,'TABLE CHARGE RATE'!$A$30:$K$106,6,0)),"Check")</f>
        <v/>
      </c>
      <c r="AO959" s="207" t="str">
        <f>IFERROR(IF(ISBLANK($D959),"",VLOOKUP($N959,'TABLE CHARGE RATE'!$A$30:$K$106,7,0)),"Check")</f>
        <v/>
      </c>
      <c r="AP959" s="207" t="str">
        <f>IFERROR(IF(ISBLANK($D959),"",VLOOKUP($N959,'TABLE CHARGE RATE'!$A$30:$K$106,8,0)),"Check")</f>
        <v/>
      </c>
      <c r="AQ959" s="207" t="str">
        <f>IFERROR(IF(ISBLANK($D959),"",VLOOKUP($N959,'TABLE CHARGE RATE'!$A$30:$K$106,9,0)),"Check")</f>
        <v/>
      </c>
      <c r="AR959" s="207" t="str">
        <f>IFERROR(IF(ISBLANK($D959),"",VLOOKUP($N959,'TABLE CHARGE RATE'!$A$30:$K$106,10,0)),"Check")</f>
        <v/>
      </c>
      <c r="AS959" s="207" t="str">
        <f>IFERROR(IF(ISBLANK($D959),"",VLOOKUP($N959,'TABLE CHARGE RATE'!$A$30:$K$106,11,0)),"Check")</f>
        <v/>
      </c>
      <c r="AT959" s="207"/>
    </row>
    <row r="960" spans="1:46" x14ac:dyDescent="0.2">
      <c r="A960" s="207" t="str">
        <f t="shared" si="130"/>
        <v/>
      </c>
      <c r="B960" s="208" t="str">
        <f>IF(ISBLANK(D960),"",VLOOKUP(WEEKDAY($C960,1),INDEX!$J$2:$K$8,2,0))</f>
        <v/>
      </c>
      <c r="C960" s="209"/>
      <c r="D960" s="207"/>
      <c r="E960" s="207"/>
      <c r="F960" s="207"/>
      <c r="G960" s="207"/>
      <c r="H960" s="207"/>
      <c r="I960" s="207"/>
      <c r="J960" s="207"/>
      <c r="K960" s="207"/>
      <c r="L960" s="207"/>
      <c r="M960" s="207"/>
      <c r="N960" s="207"/>
      <c r="O960" s="207"/>
      <c r="P960" s="207"/>
      <c r="Q960" s="207"/>
      <c r="R960" s="207"/>
      <c r="S960" s="207"/>
      <c r="T960" s="207"/>
      <c r="U960" s="209"/>
      <c r="V960" s="207"/>
      <c r="W960" s="207"/>
      <c r="X960" s="209"/>
      <c r="Y960" s="209"/>
      <c r="Z960" s="207" t="str">
        <f t="shared" ca="1" si="125"/>
        <v/>
      </c>
      <c r="AA960" s="209" t="str">
        <f t="shared" si="129"/>
        <v/>
      </c>
      <c r="AB960" s="209"/>
      <c r="AC960" s="207" t="str">
        <f t="shared" ca="1" si="126"/>
        <v/>
      </c>
      <c r="AD960" s="207"/>
      <c r="AE960" s="207"/>
      <c r="AF960" s="208" t="str">
        <f>IF(ISBLANK(D960),"",VLOOKUP(F960,'SIZE CALCULATION'!$F:$G,2,0))</f>
        <v/>
      </c>
      <c r="AG960" s="207" t="str">
        <f t="shared" si="131"/>
        <v/>
      </c>
      <c r="AH960" s="207" t="str">
        <f t="shared" si="127"/>
        <v/>
      </c>
      <c r="AI960" s="210" t="str">
        <f>IF(ISBLANK(D960),"",VLOOKUP($A960,INDEX!$D$2:$F$13,3,0))</f>
        <v/>
      </c>
      <c r="AJ960" s="207" t="str">
        <f t="shared" si="128"/>
        <v/>
      </c>
      <c r="AK960" s="207"/>
      <c r="AL960" s="207"/>
      <c r="AM960" s="207" t="str">
        <f>IFERROR(IF(ISBLANK($D960),"",VLOOKUP($N960,'TABLE CHARGE RATE'!$A$30:$K$106,5,0)),"Check")</f>
        <v/>
      </c>
      <c r="AN960" s="207" t="str">
        <f>IFERROR(IF(ISBLANK($D960),"",VLOOKUP($N960,'TABLE CHARGE RATE'!$A$30:$K$106,6,0)),"Check")</f>
        <v/>
      </c>
      <c r="AO960" s="207" t="str">
        <f>IFERROR(IF(ISBLANK($D960),"",VLOOKUP($N960,'TABLE CHARGE RATE'!$A$30:$K$106,7,0)),"Check")</f>
        <v/>
      </c>
      <c r="AP960" s="207" t="str">
        <f>IFERROR(IF(ISBLANK($D960),"",VLOOKUP($N960,'TABLE CHARGE RATE'!$A$30:$K$106,8,0)),"Check")</f>
        <v/>
      </c>
      <c r="AQ960" s="207" t="str">
        <f>IFERROR(IF(ISBLANK($D960),"",VLOOKUP($N960,'TABLE CHARGE RATE'!$A$30:$K$106,9,0)),"Check")</f>
        <v/>
      </c>
      <c r="AR960" s="207" t="str">
        <f>IFERROR(IF(ISBLANK($D960),"",VLOOKUP($N960,'TABLE CHARGE RATE'!$A$30:$K$106,10,0)),"Check")</f>
        <v/>
      </c>
      <c r="AS960" s="207" t="str">
        <f>IFERROR(IF(ISBLANK($D960),"",VLOOKUP($N960,'TABLE CHARGE RATE'!$A$30:$K$106,11,0)),"Check")</f>
        <v/>
      </c>
      <c r="AT960" s="207"/>
    </row>
    <row r="961" spans="1:46" x14ac:dyDescent="0.2">
      <c r="A961" s="207" t="str">
        <f t="shared" si="130"/>
        <v/>
      </c>
      <c r="B961" s="208" t="str">
        <f>IF(ISBLANK(D961),"",VLOOKUP(WEEKDAY($C961,1),INDEX!$J$2:$K$8,2,0))</f>
        <v/>
      </c>
      <c r="C961" s="209"/>
      <c r="D961" s="207"/>
      <c r="E961" s="207"/>
      <c r="F961" s="207"/>
      <c r="G961" s="207"/>
      <c r="H961" s="207"/>
      <c r="I961" s="207"/>
      <c r="J961" s="207"/>
      <c r="K961" s="207"/>
      <c r="L961" s="207"/>
      <c r="M961" s="207"/>
      <c r="N961" s="207"/>
      <c r="O961" s="207"/>
      <c r="P961" s="207"/>
      <c r="Q961" s="207"/>
      <c r="R961" s="207"/>
      <c r="S961" s="207"/>
      <c r="T961" s="207"/>
      <c r="U961" s="209"/>
      <c r="V961" s="207"/>
      <c r="W961" s="207"/>
      <c r="X961" s="209"/>
      <c r="Y961" s="209"/>
      <c r="Z961" s="207" t="str">
        <f t="shared" ca="1" si="125"/>
        <v/>
      </c>
      <c r="AA961" s="209" t="str">
        <f t="shared" si="129"/>
        <v/>
      </c>
      <c r="AB961" s="209"/>
      <c r="AC961" s="207" t="str">
        <f t="shared" ca="1" si="126"/>
        <v/>
      </c>
      <c r="AD961" s="207"/>
      <c r="AE961" s="207"/>
      <c r="AF961" s="208" t="str">
        <f>IF(ISBLANK(D961),"",VLOOKUP(F961,'SIZE CALCULATION'!$F:$G,2,0))</f>
        <v/>
      </c>
      <c r="AG961" s="207" t="str">
        <f t="shared" si="131"/>
        <v/>
      </c>
      <c r="AH961" s="207" t="str">
        <f t="shared" si="127"/>
        <v/>
      </c>
      <c r="AI961" s="210" t="str">
        <f>IF(ISBLANK(D961),"",VLOOKUP($A961,INDEX!$D$2:$F$13,3,0))</f>
        <v/>
      </c>
      <c r="AJ961" s="207" t="str">
        <f t="shared" si="128"/>
        <v/>
      </c>
      <c r="AK961" s="207"/>
      <c r="AL961" s="207"/>
      <c r="AM961" s="207" t="str">
        <f>IFERROR(IF(ISBLANK($D961),"",VLOOKUP($N961,'TABLE CHARGE RATE'!$A$30:$K$106,5,0)),"Check")</f>
        <v/>
      </c>
      <c r="AN961" s="207" t="str">
        <f>IFERROR(IF(ISBLANK($D961),"",VLOOKUP($N961,'TABLE CHARGE RATE'!$A$30:$K$106,6,0)),"Check")</f>
        <v/>
      </c>
      <c r="AO961" s="207" t="str">
        <f>IFERROR(IF(ISBLANK($D961),"",VLOOKUP($N961,'TABLE CHARGE RATE'!$A$30:$K$106,7,0)),"Check")</f>
        <v/>
      </c>
      <c r="AP961" s="207" t="str">
        <f>IFERROR(IF(ISBLANK($D961),"",VLOOKUP($N961,'TABLE CHARGE RATE'!$A$30:$K$106,8,0)),"Check")</f>
        <v/>
      </c>
      <c r="AQ961" s="207" t="str">
        <f>IFERROR(IF(ISBLANK($D961),"",VLOOKUP($N961,'TABLE CHARGE RATE'!$A$30:$K$106,9,0)),"Check")</f>
        <v/>
      </c>
      <c r="AR961" s="207" t="str">
        <f>IFERROR(IF(ISBLANK($D961),"",VLOOKUP($N961,'TABLE CHARGE RATE'!$A$30:$K$106,10,0)),"Check")</f>
        <v/>
      </c>
      <c r="AS961" s="207" t="str">
        <f>IFERROR(IF(ISBLANK($D961),"",VLOOKUP($N961,'TABLE CHARGE RATE'!$A$30:$K$106,11,0)),"Check")</f>
        <v/>
      </c>
      <c r="AT961" s="207"/>
    </row>
    <row r="962" spans="1:46" x14ac:dyDescent="0.2">
      <c r="A962" s="207" t="str">
        <f t="shared" si="130"/>
        <v/>
      </c>
      <c r="B962" s="208" t="str">
        <f>IF(ISBLANK(D962),"",VLOOKUP(WEEKDAY($C962,1),INDEX!$J$2:$K$8,2,0))</f>
        <v/>
      </c>
      <c r="C962" s="209"/>
      <c r="D962" s="207"/>
      <c r="E962" s="207"/>
      <c r="F962" s="207"/>
      <c r="G962" s="207"/>
      <c r="H962" s="207"/>
      <c r="I962" s="207"/>
      <c r="J962" s="207"/>
      <c r="K962" s="207"/>
      <c r="L962" s="207"/>
      <c r="M962" s="207"/>
      <c r="N962" s="207"/>
      <c r="O962" s="207"/>
      <c r="P962" s="207"/>
      <c r="Q962" s="207"/>
      <c r="R962" s="207"/>
      <c r="S962" s="207"/>
      <c r="T962" s="207"/>
      <c r="U962" s="209"/>
      <c r="V962" s="207"/>
      <c r="W962" s="207"/>
      <c r="X962" s="209"/>
      <c r="Y962" s="209"/>
      <c r="Z962" s="207" t="str">
        <f t="shared" ca="1" si="125"/>
        <v/>
      </c>
      <c r="AA962" s="209" t="str">
        <f t="shared" si="129"/>
        <v/>
      </c>
      <c r="AB962" s="209"/>
      <c r="AC962" s="207" t="str">
        <f t="shared" ca="1" si="126"/>
        <v/>
      </c>
      <c r="AD962" s="207"/>
      <c r="AE962" s="207"/>
      <c r="AF962" s="208" t="str">
        <f>IF(ISBLANK(D962),"",VLOOKUP(F962,'SIZE CALCULATION'!$F:$G,2,0))</f>
        <v/>
      </c>
      <c r="AG962" s="207" t="str">
        <f t="shared" si="131"/>
        <v/>
      </c>
      <c r="AH962" s="207" t="str">
        <f t="shared" si="127"/>
        <v/>
      </c>
      <c r="AI962" s="210" t="str">
        <f>IF(ISBLANK(D962),"",VLOOKUP($A962,INDEX!$D$2:$F$13,3,0))</f>
        <v/>
      </c>
      <c r="AJ962" s="207" t="str">
        <f t="shared" si="128"/>
        <v/>
      </c>
      <c r="AK962" s="207"/>
      <c r="AL962" s="207"/>
      <c r="AM962" s="207" t="str">
        <f>IFERROR(IF(ISBLANK($D962),"",VLOOKUP($N962,'TABLE CHARGE RATE'!$A$30:$K$106,5,0)),"Check")</f>
        <v/>
      </c>
      <c r="AN962" s="207" t="str">
        <f>IFERROR(IF(ISBLANK($D962),"",VLOOKUP($N962,'TABLE CHARGE RATE'!$A$30:$K$106,6,0)),"Check")</f>
        <v/>
      </c>
      <c r="AO962" s="207" t="str">
        <f>IFERROR(IF(ISBLANK($D962),"",VLOOKUP($N962,'TABLE CHARGE RATE'!$A$30:$K$106,7,0)),"Check")</f>
        <v/>
      </c>
      <c r="AP962" s="207" t="str">
        <f>IFERROR(IF(ISBLANK($D962),"",VLOOKUP($N962,'TABLE CHARGE RATE'!$A$30:$K$106,8,0)),"Check")</f>
        <v/>
      </c>
      <c r="AQ962" s="207" t="str">
        <f>IFERROR(IF(ISBLANK($D962),"",VLOOKUP($N962,'TABLE CHARGE RATE'!$A$30:$K$106,9,0)),"Check")</f>
        <v/>
      </c>
      <c r="AR962" s="207" t="str">
        <f>IFERROR(IF(ISBLANK($D962),"",VLOOKUP($N962,'TABLE CHARGE RATE'!$A$30:$K$106,10,0)),"Check")</f>
        <v/>
      </c>
      <c r="AS962" s="207" t="str">
        <f>IFERROR(IF(ISBLANK($D962),"",VLOOKUP($N962,'TABLE CHARGE RATE'!$A$30:$K$106,11,0)),"Check")</f>
        <v/>
      </c>
      <c r="AT962" s="207"/>
    </row>
    <row r="963" spans="1:46" x14ac:dyDescent="0.2">
      <c r="A963" s="207" t="str">
        <f t="shared" si="130"/>
        <v/>
      </c>
      <c r="B963" s="208" t="str">
        <f>IF(ISBLANK(D963),"",VLOOKUP(WEEKDAY($C963,1),INDEX!$J$2:$K$8,2,0))</f>
        <v/>
      </c>
      <c r="C963" s="209"/>
      <c r="D963" s="207"/>
      <c r="E963" s="207"/>
      <c r="F963" s="207"/>
      <c r="G963" s="207"/>
      <c r="H963" s="207"/>
      <c r="I963" s="207"/>
      <c r="J963" s="207"/>
      <c r="K963" s="207"/>
      <c r="L963" s="207"/>
      <c r="M963" s="207"/>
      <c r="N963" s="207"/>
      <c r="O963" s="207"/>
      <c r="P963" s="207"/>
      <c r="Q963" s="207"/>
      <c r="R963" s="207"/>
      <c r="S963" s="207"/>
      <c r="T963" s="207"/>
      <c r="U963" s="209"/>
      <c r="V963" s="207"/>
      <c r="W963" s="207"/>
      <c r="X963" s="209"/>
      <c r="Y963" s="209"/>
      <c r="Z963" s="207" t="str">
        <f t="shared" ca="1" si="125"/>
        <v/>
      </c>
      <c r="AA963" s="209" t="str">
        <f t="shared" si="129"/>
        <v/>
      </c>
      <c r="AB963" s="209"/>
      <c r="AC963" s="207" t="str">
        <f t="shared" ca="1" si="126"/>
        <v/>
      </c>
      <c r="AD963" s="207"/>
      <c r="AE963" s="207"/>
      <c r="AF963" s="208" t="str">
        <f>IF(ISBLANK(D963),"",VLOOKUP(F963,'SIZE CALCULATION'!$F:$G,2,0))</f>
        <v/>
      </c>
      <c r="AG963" s="207" t="str">
        <f t="shared" si="131"/>
        <v/>
      </c>
      <c r="AH963" s="207" t="str">
        <f t="shared" si="127"/>
        <v/>
      </c>
      <c r="AI963" s="210" t="str">
        <f>IF(ISBLANK(D963),"",VLOOKUP($A963,INDEX!$D$2:$F$13,3,0))</f>
        <v/>
      </c>
      <c r="AJ963" s="207" t="str">
        <f t="shared" si="128"/>
        <v/>
      </c>
      <c r="AK963" s="207"/>
      <c r="AL963" s="207"/>
      <c r="AM963" s="207" t="str">
        <f>IFERROR(IF(ISBLANK($D963),"",VLOOKUP($N963,'TABLE CHARGE RATE'!$A$30:$K$106,5,0)),"Check")</f>
        <v/>
      </c>
      <c r="AN963" s="207" t="str">
        <f>IFERROR(IF(ISBLANK($D963),"",VLOOKUP($N963,'TABLE CHARGE RATE'!$A$30:$K$106,6,0)),"Check")</f>
        <v/>
      </c>
      <c r="AO963" s="207" t="str">
        <f>IFERROR(IF(ISBLANK($D963),"",VLOOKUP($N963,'TABLE CHARGE RATE'!$A$30:$K$106,7,0)),"Check")</f>
        <v/>
      </c>
      <c r="AP963" s="207" t="str">
        <f>IFERROR(IF(ISBLANK($D963),"",VLOOKUP($N963,'TABLE CHARGE RATE'!$A$30:$K$106,8,0)),"Check")</f>
        <v/>
      </c>
      <c r="AQ963" s="207" t="str">
        <f>IFERROR(IF(ISBLANK($D963),"",VLOOKUP($N963,'TABLE CHARGE RATE'!$A$30:$K$106,9,0)),"Check")</f>
        <v/>
      </c>
      <c r="AR963" s="207" t="str">
        <f>IFERROR(IF(ISBLANK($D963),"",VLOOKUP($N963,'TABLE CHARGE RATE'!$A$30:$K$106,10,0)),"Check")</f>
        <v/>
      </c>
      <c r="AS963" s="207" t="str">
        <f>IFERROR(IF(ISBLANK($D963),"",VLOOKUP($N963,'TABLE CHARGE RATE'!$A$30:$K$106,11,0)),"Check")</f>
        <v/>
      </c>
      <c r="AT963" s="207"/>
    </row>
    <row r="964" spans="1:46" x14ac:dyDescent="0.2">
      <c r="A964" s="207" t="str">
        <f t="shared" si="130"/>
        <v/>
      </c>
      <c r="B964" s="208" t="str">
        <f>IF(ISBLANK(D964),"",VLOOKUP(WEEKDAY($C964,1),INDEX!$J$2:$K$8,2,0))</f>
        <v/>
      </c>
      <c r="C964" s="209"/>
      <c r="D964" s="207"/>
      <c r="E964" s="207"/>
      <c r="F964" s="207"/>
      <c r="G964" s="207"/>
      <c r="H964" s="207"/>
      <c r="I964" s="207"/>
      <c r="J964" s="207"/>
      <c r="K964" s="207"/>
      <c r="L964" s="207"/>
      <c r="M964" s="207"/>
      <c r="N964" s="207"/>
      <c r="O964" s="207"/>
      <c r="P964" s="207"/>
      <c r="Q964" s="207"/>
      <c r="R964" s="207"/>
      <c r="S964" s="207"/>
      <c r="T964" s="207"/>
      <c r="U964" s="209"/>
      <c r="V964" s="207"/>
      <c r="W964" s="207"/>
      <c r="X964" s="209"/>
      <c r="Y964" s="209"/>
      <c r="Z964" s="207" t="str">
        <f t="shared" ca="1" si="125"/>
        <v/>
      </c>
      <c r="AA964" s="209" t="str">
        <f t="shared" si="129"/>
        <v/>
      </c>
      <c r="AB964" s="209"/>
      <c r="AC964" s="207" t="str">
        <f t="shared" ca="1" si="126"/>
        <v/>
      </c>
      <c r="AD964" s="207"/>
      <c r="AE964" s="207"/>
      <c r="AF964" s="208" t="str">
        <f>IF(ISBLANK(D964),"",VLOOKUP(F964,'SIZE CALCULATION'!$F:$G,2,0))</f>
        <v/>
      </c>
      <c r="AG964" s="207" t="str">
        <f t="shared" si="131"/>
        <v/>
      </c>
      <c r="AH964" s="207" t="str">
        <f t="shared" si="127"/>
        <v/>
      </c>
      <c r="AI964" s="210" t="str">
        <f>IF(ISBLANK(D964),"",VLOOKUP($A964,INDEX!$D$2:$F$13,3,0))</f>
        <v/>
      </c>
      <c r="AJ964" s="207" t="str">
        <f t="shared" si="128"/>
        <v/>
      </c>
      <c r="AK964" s="207"/>
      <c r="AL964" s="207"/>
      <c r="AM964" s="207" t="str">
        <f>IFERROR(IF(ISBLANK($D964),"",VLOOKUP($N964,'TABLE CHARGE RATE'!$A$30:$K$106,5,0)),"Check")</f>
        <v/>
      </c>
      <c r="AN964" s="207" t="str">
        <f>IFERROR(IF(ISBLANK($D964),"",VLOOKUP($N964,'TABLE CHARGE RATE'!$A$30:$K$106,6,0)),"Check")</f>
        <v/>
      </c>
      <c r="AO964" s="207" t="str">
        <f>IFERROR(IF(ISBLANK($D964),"",VLOOKUP($N964,'TABLE CHARGE RATE'!$A$30:$K$106,7,0)),"Check")</f>
        <v/>
      </c>
      <c r="AP964" s="207" t="str">
        <f>IFERROR(IF(ISBLANK($D964),"",VLOOKUP($N964,'TABLE CHARGE RATE'!$A$30:$K$106,8,0)),"Check")</f>
        <v/>
      </c>
      <c r="AQ964" s="207" t="str">
        <f>IFERROR(IF(ISBLANK($D964),"",VLOOKUP($N964,'TABLE CHARGE RATE'!$A$30:$K$106,9,0)),"Check")</f>
        <v/>
      </c>
      <c r="AR964" s="207" t="str">
        <f>IFERROR(IF(ISBLANK($D964),"",VLOOKUP($N964,'TABLE CHARGE RATE'!$A$30:$K$106,10,0)),"Check")</f>
        <v/>
      </c>
      <c r="AS964" s="207" t="str">
        <f>IFERROR(IF(ISBLANK($D964),"",VLOOKUP($N964,'TABLE CHARGE RATE'!$A$30:$K$106,11,0)),"Check")</f>
        <v/>
      </c>
      <c r="AT964" s="207"/>
    </row>
    <row r="965" spans="1:46" x14ac:dyDescent="0.2">
      <c r="A965" s="207" t="str">
        <f t="shared" si="130"/>
        <v/>
      </c>
      <c r="B965" s="208" t="str">
        <f>IF(ISBLANK(D965),"",VLOOKUP(WEEKDAY($C965,1),INDEX!$J$2:$K$8,2,0))</f>
        <v/>
      </c>
      <c r="C965" s="209"/>
      <c r="D965" s="207"/>
      <c r="E965" s="207"/>
      <c r="F965" s="207"/>
      <c r="G965" s="207"/>
      <c r="H965" s="207"/>
      <c r="I965" s="207"/>
      <c r="J965" s="207"/>
      <c r="K965" s="207"/>
      <c r="L965" s="207"/>
      <c r="M965" s="207"/>
      <c r="N965" s="207"/>
      <c r="O965" s="207"/>
      <c r="P965" s="207"/>
      <c r="Q965" s="207"/>
      <c r="R965" s="207"/>
      <c r="S965" s="207"/>
      <c r="T965" s="207"/>
      <c r="U965" s="209"/>
      <c r="V965" s="207"/>
      <c r="W965" s="207"/>
      <c r="X965" s="209"/>
      <c r="Y965" s="209"/>
      <c r="Z965" s="207" t="str">
        <f t="shared" ref="Z965:Z966" ca="1" si="132">IF(ISBLANK(D965),"",IFERROR(IF(ISBLANK($AK965),IF(X965&gt;=TODAY(),"Delivery",IF(Y965-X965=0,1,0)),$AK965),""))</f>
        <v/>
      </c>
      <c r="AA965" s="209" t="str">
        <f t="shared" si="129"/>
        <v/>
      </c>
      <c r="AB965" s="209"/>
      <c r="AC965" s="207" t="str">
        <f t="shared" ref="AC965:AC966" ca="1" si="133">IF(ISBLANK(D965),"",IFERROR(IF(ISBLANK($AL965),IF(AA965&gt;=TODAY(),"Collecting",IF(AB965-AA965=0,1,0)),$AL965),""))</f>
        <v/>
      </c>
      <c r="AD965" s="207"/>
      <c r="AE965" s="207"/>
      <c r="AF965" s="208" t="str">
        <f>IF(ISBLANK(D965),"",VLOOKUP(F965,'SIZE CALCULATION'!$F:$G,2,0))</f>
        <v/>
      </c>
      <c r="AG965" s="207" t="str">
        <f t="shared" si="131"/>
        <v/>
      </c>
      <c r="AH965" s="207" t="str">
        <f t="shared" ref="AH965:AH966" si="134">IF(ISBLANK(D965),"",IFERROR(AG965*G965,0))</f>
        <v/>
      </c>
      <c r="AI965" s="210" t="str">
        <f>IF(ISBLANK(D965),"",VLOOKUP($A965,INDEX!$D$2:$F$13,3,0))</f>
        <v/>
      </c>
      <c r="AJ965" s="207" t="str">
        <f t="shared" ref="AJ965:AJ966" si="135">IF(ISBLANK(D965),"",AH965+(AH965*AI965))</f>
        <v/>
      </c>
      <c r="AK965" s="207"/>
      <c r="AL965" s="207"/>
      <c r="AM965" s="207" t="str">
        <f>IFERROR(IF(ISBLANK($D965),"",VLOOKUP($N965,'TABLE CHARGE RATE'!$A$30:$K$106,5,0)),"Check")</f>
        <v/>
      </c>
      <c r="AN965" s="207" t="str">
        <f>IFERROR(IF(ISBLANK($D965),"",VLOOKUP($N965,'TABLE CHARGE RATE'!$A$30:$K$106,6,0)),"Check")</f>
        <v/>
      </c>
      <c r="AO965" s="207" t="str">
        <f>IFERROR(IF(ISBLANK($D965),"",VLOOKUP($N965,'TABLE CHARGE RATE'!$A$30:$K$106,7,0)),"Check")</f>
        <v/>
      </c>
      <c r="AP965" s="207" t="str">
        <f>IFERROR(IF(ISBLANK($D965),"",VLOOKUP($N965,'TABLE CHARGE RATE'!$A$30:$K$106,8,0)),"Check")</f>
        <v/>
      </c>
      <c r="AQ965" s="207" t="str">
        <f>IFERROR(IF(ISBLANK($D965),"",VLOOKUP($N965,'TABLE CHARGE RATE'!$A$30:$K$106,9,0)),"Check")</f>
        <v/>
      </c>
      <c r="AR965" s="207" t="str">
        <f>IFERROR(IF(ISBLANK($D965),"",VLOOKUP($N965,'TABLE CHARGE RATE'!$A$30:$K$106,10,0)),"Check")</f>
        <v/>
      </c>
      <c r="AS965" s="207" t="str">
        <f>IFERROR(IF(ISBLANK($D965),"",VLOOKUP($N965,'TABLE CHARGE RATE'!$A$30:$K$106,11,0)),"Check")</f>
        <v/>
      </c>
      <c r="AT965" s="207"/>
    </row>
    <row r="966" spans="1:46" x14ac:dyDescent="0.2">
      <c r="A966" s="207" t="str">
        <f t="shared" si="130"/>
        <v/>
      </c>
      <c r="B966" s="208" t="str">
        <f>IF(ISBLANK(D966),"",VLOOKUP(WEEKDAY($C966,1),INDEX!$J$2:$K$8,2,0))</f>
        <v/>
      </c>
      <c r="C966" s="209"/>
      <c r="D966" s="207"/>
      <c r="E966" s="207"/>
      <c r="F966" s="207"/>
      <c r="G966" s="207"/>
      <c r="H966" s="207"/>
      <c r="I966" s="207"/>
      <c r="J966" s="207"/>
      <c r="K966" s="207"/>
      <c r="L966" s="207"/>
      <c r="M966" s="207"/>
      <c r="N966" s="207"/>
      <c r="O966" s="207"/>
      <c r="P966" s="207"/>
      <c r="Q966" s="207"/>
      <c r="R966" s="207"/>
      <c r="S966" s="207"/>
      <c r="T966" s="207"/>
      <c r="U966" s="209"/>
      <c r="V966" s="207"/>
      <c r="W966" s="207"/>
      <c r="X966" s="209"/>
      <c r="Y966" s="209"/>
      <c r="Z966" s="207" t="str">
        <f t="shared" ca="1" si="132"/>
        <v/>
      </c>
      <c r="AA966" s="209" t="str">
        <f t="shared" si="129"/>
        <v/>
      </c>
      <c r="AB966" s="209"/>
      <c r="AC966" s="207" t="str">
        <f t="shared" ca="1" si="133"/>
        <v/>
      </c>
      <c r="AD966" s="207"/>
      <c r="AE966" s="207"/>
      <c r="AF966" s="208" t="str">
        <f>IF(ISBLANK(D966),"",VLOOKUP(F966,'SIZE CALCULATION'!$F:$G,2,0))</f>
        <v/>
      </c>
      <c r="AG966" s="207" t="str">
        <f t="shared" si="131"/>
        <v/>
      </c>
      <c r="AH966" s="207" t="str">
        <f t="shared" si="134"/>
        <v/>
      </c>
      <c r="AI966" s="210" t="str">
        <f>IF(ISBLANK(D966),"",VLOOKUP($A966,INDEX!$D$2:$F$13,3,0))</f>
        <v/>
      </c>
      <c r="AJ966" s="207" t="str">
        <f t="shared" si="135"/>
        <v/>
      </c>
      <c r="AK966" s="207"/>
      <c r="AL966" s="207"/>
      <c r="AM966" s="207" t="str">
        <f>IFERROR(IF(ISBLANK($D966),"",VLOOKUP($N966,'TABLE CHARGE RATE'!$A$30:$K$106,5,0)),"Check")</f>
        <v/>
      </c>
      <c r="AN966" s="207" t="str">
        <f>IFERROR(IF(ISBLANK($D966),"",VLOOKUP($N966,'TABLE CHARGE RATE'!$A$30:$K$106,6,0)),"Check")</f>
        <v/>
      </c>
      <c r="AO966" s="207" t="str">
        <f>IFERROR(IF(ISBLANK($D966),"",VLOOKUP($N966,'TABLE CHARGE RATE'!$A$30:$K$106,7,0)),"Check")</f>
        <v/>
      </c>
      <c r="AP966" s="207" t="str">
        <f>IFERROR(IF(ISBLANK($D966),"",VLOOKUP($N966,'TABLE CHARGE RATE'!$A$30:$K$106,8,0)),"Check")</f>
        <v/>
      </c>
      <c r="AQ966" s="207" t="str">
        <f>IFERROR(IF(ISBLANK($D966),"",VLOOKUP($N966,'TABLE CHARGE RATE'!$A$30:$K$106,9,0)),"Check")</f>
        <v/>
      </c>
      <c r="AR966" s="207" t="str">
        <f>IFERROR(IF(ISBLANK($D966),"",VLOOKUP($N966,'TABLE CHARGE RATE'!$A$30:$K$106,10,0)),"Check")</f>
        <v/>
      </c>
      <c r="AS966" s="207" t="str">
        <f>IFERROR(IF(ISBLANK($D966),"",VLOOKUP($N966,'TABLE CHARGE RATE'!$A$30:$K$106,11,0)),"Check")</f>
        <v/>
      </c>
      <c r="AT966" s="207"/>
    </row>
    <row r="967" spans="1:46" x14ac:dyDescent="0.2">
      <c r="A967" s="3" t="s">
        <v>373</v>
      </c>
      <c r="AM967" s="3" t="str">
        <f>IFERROR(IF(ISBLANK(D967),"",VLOOKUP($N967,'TABLE CHARGE RATE'!$A$30:$K$106,5,0)),"Check")</f>
        <v/>
      </c>
    </row>
    <row r="968" spans="1:46" x14ac:dyDescent="0.2">
      <c r="AM968" s="3" t="str">
        <f>IFERROR(IF(ISBLANK(D968),"",VLOOKUP($N968,'TABLE CHARGE RATE'!$A$30:$K$106,5,0)),"Check")</f>
        <v/>
      </c>
    </row>
    <row r="969" spans="1:46" x14ac:dyDescent="0.2">
      <c r="A969" s="207" t="str">
        <f t="shared" ref="A969:A970" si="136">IF(ISBLANK(D969),"",MONTH(C969))</f>
        <v/>
      </c>
      <c r="B969" s="208" t="str">
        <f>IF(ISBLANK(D969),"",VLOOKUP(WEEKDAY($C969,1),INDEX!$J$2:$K$8,2,0))</f>
        <v/>
      </c>
      <c r="C969" s="209"/>
      <c r="D969" s="207"/>
      <c r="E969" s="207"/>
      <c r="F969" s="207"/>
      <c r="G969" s="207"/>
      <c r="H969" s="207"/>
      <c r="I969" s="207"/>
      <c r="J969" s="207"/>
      <c r="K969" s="207"/>
      <c r="L969" s="207"/>
      <c r="M969" s="207"/>
      <c r="N969" s="207"/>
      <c r="O969" s="207"/>
      <c r="P969" s="207"/>
      <c r="Q969" s="207"/>
      <c r="R969" s="207"/>
      <c r="S969" s="207"/>
      <c r="T969" s="207"/>
      <c r="U969" s="209"/>
      <c r="V969" s="207"/>
      <c r="W969" s="207"/>
      <c r="X969" s="209">
        <f t="shared" ref="X969:X986" si="137">U969</f>
        <v>0</v>
      </c>
      <c r="Y969" s="209"/>
      <c r="Z969" s="207" t="str">
        <f t="shared" ref="Z969:Z986" ca="1" si="138">IF(ISBLANK(D969),"",IFERROR(IF(ISBLANK($AK969),IF(X969&gt;=TODAY(),"Delivery",IF(Y969-X969=0,1,0)),$AK969),""))</f>
        <v/>
      </c>
      <c r="AA969" s="209" t="str">
        <f t="shared" ref="AA969:AA986" si="139">IF(ISBLANK(D969),"",Y969+10)</f>
        <v/>
      </c>
      <c r="AB969" s="209"/>
      <c r="AC969" s="207" t="str">
        <f t="shared" ref="AC969:AC970" ca="1" si="140">IF(ISBLANK(D969),"",IFERROR(IF(ISBLANK($AL969),IF(AA969&gt;=TODAY(),"Collecting",IF(AB969-AA969=0,1,0)),$AL969),""))</f>
        <v/>
      </c>
      <c r="AD969" s="207"/>
      <c r="AE969" s="207"/>
      <c r="AF969" s="208" t="str">
        <f>IF(ISBLANK(D969),"",VLOOKUP(F969,'SIZE CALCULATION'!$F:$G,2,0))</f>
        <v/>
      </c>
      <c r="AG969" s="207" t="str">
        <f t="shared" ref="AG969:AG986" si="141">IF(ISBLANK(D969),"",HLOOKUP($AF969,$AM$1:$AR$966,$AT969,0))</f>
        <v/>
      </c>
      <c r="AH969" s="207" t="str">
        <f t="shared" ref="AH969:AH986" si="142">IF(ISBLANK(D969),"",IFERROR(AG969*G969,0))</f>
        <v/>
      </c>
      <c r="AI969" s="210" t="str">
        <f>IF(ISBLANK(D969),"",VLOOKUP($A969,INDEX!$D$2:$F$13,3,0))</f>
        <v/>
      </c>
      <c r="AJ969" s="207" t="str">
        <f t="shared" ref="AJ969:AJ986" si="143">IF(ISBLANK(D969),"",AH969+(AH969*AI969))</f>
        <v/>
      </c>
      <c r="AK969" s="207"/>
      <c r="AL969" s="207"/>
      <c r="AM969" s="207" t="str">
        <f>IFERROR(IF(ISBLANK($D969),"",VLOOKUP($N969,'TABLE CHARGE RATE'!$A$30:$K$106,5,0)),"Check")</f>
        <v/>
      </c>
      <c r="AN969" s="207" t="str">
        <f>IFERROR(IF(ISBLANK($D969),"",VLOOKUP($N969,'TABLE CHARGE RATE'!$A$30:$K$106,6,0)),"Check")</f>
        <v/>
      </c>
      <c r="AO969" s="207" t="str">
        <f>IFERROR(IF(ISBLANK($D969),"",VLOOKUP($N969,'TABLE CHARGE RATE'!$A$30:$K$106,7,0)),"Check")</f>
        <v/>
      </c>
      <c r="AP969" s="207" t="str">
        <f>IFERROR(IF(ISBLANK($D969),"",VLOOKUP($N969,'TABLE CHARGE RATE'!$A$30:$K$106,8,0)),"Check")</f>
        <v/>
      </c>
      <c r="AQ969" s="207" t="str">
        <f>IFERROR(IF(ISBLANK($D969),"",VLOOKUP($N969,'TABLE CHARGE RATE'!$A$30:$K$106,9,0)),"Check")</f>
        <v/>
      </c>
      <c r="AR969" s="207" t="str">
        <f>IFERROR(IF(ISBLANK($D969),"",VLOOKUP($N969,'TABLE CHARGE RATE'!$A$30:$K$106,10,0)),"Check")</f>
        <v/>
      </c>
      <c r="AS969" s="207" t="str">
        <f>IFERROR(IF(ISBLANK($D969),"",VLOOKUP($N969,'TABLE CHARGE RATE'!$A$30:$K$106,11,0)),"Check")</f>
        <v/>
      </c>
      <c r="AT969" s="207">
        <f t="shared" ref="AT969:AT986" si="144">AT968+1</f>
        <v>1</v>
      </c>
    </row>
    <row r="970" spans="1:46" x14ac:dyDescent="0.2">
      <c r="A970" s="207" t="str">
        <f t="shared" si="136"/>
        <v/>
      </c>
      <c r="B970" s="208" t="str">
        <f>IF(ISBLANK(D970),"",VLOOKUP(WEEKDAY($C970,1),INDEX!$J$2:$K$8,2,0))</f>
        <v/>
      </c>
      <c r="C970" s="209"/>
      <c r="D970" s="207"/>
      <c r="E970" s="207"/>
      <c r="F970" s="207"/>
      <c r="G970" s="207"/>
      <c r="H970" s="207"/>
      <c r="I970" s="207"/>
      <c r="J970" s="207"/>
      <c r="K970" s="207"/>
      <c r="L970" s="207"/>
      <c r="M970" s="207"/>
      <c r="N970" s="207"/>
      <c r="O970" s="207"/>
      <c r="P970" s="207"/>
      <c r="Q970" s="207"/>
      <c r="R970" s="207"/>
      <c r="S970" s="207"/>
      <c r="T970" s="207"/>
      <c r="U970" s="209"/>
      <c r="V970" s="207"/>
      <c r="W970" s="207"/>
      <c r="X970" s="209">
        <f t="shared" si="137"/>
        <v>0</v>
      </c>
      <c r="Y970" s="209"/>
      <c r="Z970" s="207" t="str">
        <f t="shared" ca="1" si="138"/>
        <v/>
      </c>
      <c r="AA970" s="209" t="str">
        <f t="shared" si="139"/>
        <v/>
      </c>
      <c r="AB970" s="209"/>
      <c r="AC970" s="207" t="str">
        <f t="shared" ca="1" si="140"/>
        <v/>
      </c>
      <c r="AD970" s="207"/>
      <c r="AE970" s="207"/>
      <c r="AF970" s="208" t="str">
        <f>IF(ISBLANK(D970),"",VLOOKUP(F970,'SIZE CALCULATION'!$F:$G,2,0))</f>
        <v/>
      </c>
      <c r="AG970" s="207" t="str">
        <f t="shared" si="141"/>
        <v/>
      </c>
      <c r="AH970" s="207" t="str">
        <f t="shared" si="142"/>
        <v/>
      </c>
      <c r="AI970" s="210" t="str">
        <f>IF(ISBLANK(D970),"",VLOOKUP($A970,INDEX!$D$2:$F$13,3,0))</f>
        <v/>
      </c>
      <c r="AJ970" s="207" t="str">
        <f t="shared" si="143"/>
        <v/>
      </c>
      <c r="AK970" s="207"/>
      <c r="AL970" s="207"/>
      <c r="AM970" s="207" t="str">
        <f>IFERROR(IF(ISBLANK($D970),"",VLOOKUP($N970,'TABLE CHARGE RATE'!$A$30:$K$106,5,0)),"Check")</f>
        <v/>
      </c>
      <c r="AN970" s="207" t="str">
        <f>IFERROR(IF(ISBLANK($D970),"",VLOOKUP($N970,'TABLE CHARGE RATE'!$A$30:$K$106,6,0)),"Check")</f>
        <v/>
      </c>
      <c r="AO970" s="207" t="str">
        <f>IFERROR(IF(ISBLANK($D970),"",VLOOKUP($N970,'TABLE CHARGE RATE'!$A$30:$K$106,7,0)),"Check")</f>
        <v/>
      </c>
      <c r="AP970" s="207" t="str">
        <f>IFERROR(IF(ISBLANK($D970),"",VLOOKUP($N970,'TABLE CHARGE RATE'!$A$30:$K$106,8,0)),"Check")</f>
        <v/>
      </c>
      <c r="AQ970" s="207" t="str">
        <f>IFERROR(IF(ISBLANK($D970),"",VLOOKUP($N970,'TABLE CHARGE RATE'!$A$30:$K$106,9,0)),"Check")</f>
        <v/>
      </c>
      <c r="AR970" s="207" t="str">
        <f>IFERROR(IF(ISBLANK($D970),"",VLOOKUP($N970,'TABLE CHARGE RATE'!$A$30:$K$106,10,0)),"Check")</f>
        <v/>
      </c>
      <c r="AS970" s="207" t="str">
        <f>IFERROR(IF(ISBLANK($D970),"",VLOOKUP($N970,'TABLE CHARGE RATE'!$A$30:$K$106,11,0)),"Check")</f>
        <v/>
      </c>
      <c r="AT970" s="207">
        <f t="shared" si="144"/>
        <v>2</v>
      </c>
    </row>
    <row r="971" spans="1:46" x14ac:dyDescent="0.2">
      <c r="A971" s="207" t="str">
        <f t="shared" ref="A971" si="145">IF(ISBLANK(D971),"",MONTH(C971))</f>
        <v/>
      </c>
      <c r="B971" s="208" t="str">
        <f>IF(ISBLANK(D971),"",VLOOKUP(WEEKDAY($C971,1),INDEX!$J$2:$K$8,2,0))</f>
        <v/>
      </c>
      <c r="C971" s="209"/>
      <c r="D971" s="207"/>
      <c r="E971" s="207"/>
      <c r="F971" s="207"/>
      <c r="G971" s="207"/>
      <c r="H971" s="207"/>
      <c r="I971" s="207"/>
      <c r="J971" s="207"/>
      <c r="K971" s="207"/>
      <c r="L971" s="207"/>
      <c r="M971" s="207"/>
      <c r="N971" s="207"/>
      <c r="O971" s="207"/>
      <c r="P971" s="207"/>
      <c r="Q971" s="207"/>
      <c r="R971" s="207"/>
      <c r="S971" s="207"/>
      <c r="T971" s="207"/>
      <c r="U971" s="209"/>
      <c r="V971" s="207"/>
      <c r="W971" s="207"/>
      <c r="X971" s="209">
        <f t="shared" si="137"/>
        <v>0</v>
      </c>
      <c r="Y971" s="209"/>
      <c r="Z971" s="207" t="str">
        <f t="shared" ca="1" si="138"/>
        <v/>
      </c>
      <c r="AA971" s="209" t="str">
        <f t="shared" si="139"/>
        <v/>
      </c>
      <c r="AB971" s="209"/>
      <c r="AC971" s="207" t="str">
        <f t="shared" ref="AC971" ca="1" si="146">IF(ISBLANK(D971),"",IFERROR(IF(ISBLANK($AL971),IF(AA971&gt;=TODAY(),"Collecting",IF(AB971-AA971=0,1,0)),$AL971),""))</f>
        <v/>
      </c>
      <c r="AD971" s="207"/>
      <c r="AE971" s="207"/>
      <c r="AF971" s="208" t="str">
        <f>IF(ISBLANK(D971),"",VLOOKUP(F971,'SIZE CALCULATION'!$F:$G,2,0))</f>
        <v/>
      </c>
      <c r="AG971" s="207" t="str">
        <f t="shared" si="141"/>
        <v/>
      </c>
      <c r="AH971" s="207" t="str">
        <f t="shared" si="142"/>
        <v/>
      </c>
      <c r="AI971" s="210" t="str">
        <f>IF(ISBLANK(D971),"",VLOOKUP($A971,INDEX!$D$2:$F$13,3,0))</f>
        <v/>
      </c>
      <c r="AJ971" s="207" t="str">
        <f t="shared" si="143"/>
        <v/>
      </c>
      <c r="AK971" s="207"/>
      <c r="AL971" s="207"/>
      <c r="AM971" s="207" t="str">
        <f>IFERROR(IF(ISBLANK($D971),"",VLOOKUP($N971,'TABLE CHARGE RATE'!$A$30:$K$106,5,0)),"Check")</f>
        <v/>
      </c>
      <c r="AN971" s="207" t="str">
        <f>IFERROR(IF(ISBLANK($D971),"",VLOOKUP($N971,'TABLE CHARGE RATE'!$A$30:$K$106,6,0)),"Check")</f>
        <v/>
      </c>
      <c r="AO971" s="207" t="str">
        <f>IFERROR(IF(ISBLANK($D971),"",VLOOKUP($N971,'TABLE CHARGE RATE'!$A$30:$K$106,7,0)),"Check")</f>
        <v/>
      </c>
      <c r="AP971" s="207" t="str">
        <f>IFERROR(IF(ISBLANK($D971),"",VLOOKUP($N971,'TABLE CHARGE RATE'!$A$30:$K$106,8,0)),"Check")</f>
        <v/>
      </c>
      <c r="AQ971" s="207" t="str">
        <f>IFERROR(IF(ISBLANK($D971),"",VLOOKUP($N971,'TABLE CHARGE RATE'!$A$30:$K$106,9,0)),"Check")</f>
        <v/>
      </c>
      <c r="AR971" s="207" t="str">
        <f>IFERROR(IF(ISBLANK($D971),"",VLOOKUP($N971,'TABLE CHARGE RATE'!$A$30:$K$106,10,0)),"Check")</f>
        <v/>
      </c>
      <c r="AS971" s="207" t="str">
        <f>IFERROR(IF(ISBLANK($D971),"",VLOOKUP($N971,'TABLE CHARGE RATE'!$A$30:$K$106,11,0)),"Check")</f>
        <v/>
      </c>
      <c r="AT971" s="207">
        <f t="shared" si="144"/>
        <v>3</v>
      </c>
    </row>
    <row r="972" spans="1:46" x14ac:dyDescent="0.2">
      <c r="A972" s="207" t="str">
        <f t="shared" ref="A972:A986" si="147">IF(ISBLANK(D972),"",MONTH(C972))</f>
        <v/>
      </c>
      <c r="B972" s="208" t="str">
        <f>IF(ISBLANK(D972),"",VLOOKUP(WEEKDAY($C972,1),INDEX!$J$2:$K$8,2,0))</f>
        <v/>
      </c>
      <c r="C972" s="209"/>
      <c r="D972" s="207"/>
      <c r="E972" s="207"/>
      <c r="F972" s="207"/>
      <c r="G972" s="207"/>
      <c r="H972" s="207"/>
      <c r="I972" s="207"/>
      <c r="J972" s="207"/>
      <c r="K972" s="207"/>
      <c r="L972" s="207"/>
      <c r="M972" s="207"/>
      <c r="N972" s="207"/>
      <c r="O972" s="207"/>
      <c r="P972" s="207"/>
      <c r="Q972" s="207"/>
      <c r="R972" s="207"/>
      <c r="S972" s="207"/>
      <c r="T972" s="207"/>
      <c r="U972" s="209"/>
      <c r="V972" s="207"/>
      <c r="W972" s="207"/>
      <c r="X972" s="209">
        <f t="shared" si="137"/>
        <v>0</v>
      </c>
      <c r="Y972" s="209"/>
      <c r="Z972" s="207" t="str">
        <f t="shared" ca="1" si="138"/>
        <v/>
      </c>
      <c r="AA972" s="209" t="str">
        <f t="shared" si="139"/>
        <v/>
      </c>
      <c r="AB972" s="209"/>
      <c r="AC972" s="207" t="str">
        <f t="shared" ref="AC972:AC986" ca="1" si="148">IF(ISBLANK(D972),"",IFERROR(IF(ISBLANK($AL972),IF(AA972&gt;=TODAY(),"Collecting",IF(AB972-AA972=0,1,0)),$AL972),""))</f>
        <v/>
      </c>
      <c r="AD972" s="207"/>
      <c r="AE972" s="207"/>
      <c r="AF972" s="208" t="str">
        <f>IF(ISBLANK(D972),"",VLOOKUP(F972,'SIZE CALCULATION'!$F:$G,2,0))</f>
        <v/>
      </c>
      <c r="AG972" s="207" t="str">
        <f t="shared" si="141"/>
        <v/>
      </c>
      <c r="AH972" s="207" t="str">
        <f t="shared" si="142"/>
        <v/>
      </c>
      <c r="AI972" s="210" t="str">
        <f>IF(ISBLANK(D972),"",VLOOKUP($A972,INDEX!$D$2:$F$13,3,0))</f>
        <v/>
      </c>
      <c r="AJ972" s="207" t="str">
        <f t="shared" si="143"/>
        <v/>
      </c>
      <c r="AK972" s="207"/>
      <c r="AL972" s="207"/>
      <c r="AM972" s="207" t="str">
        <f>IFERROR(IF(ISBLANK($D972),"",VLOOKUP($N972,'TABLE CHARGE RATE'!$A$30:$K$106,5,0)),"Check")</f>
        <v/>
      </c>
      <c r="AN972" s="207" t="str">
        <f>IFERROR(IF(ISBLANK($D972),"",VLOOKUP($N972,'TABLE CHARGE RATE'!$A$30:$K$106,6,0)),"Check")</f>
        <v/>
      </c>
      <c r="AO972" s="207" t="str">
        <f>IFERROR(IF(ISBLANK($D972),"",VLOOKUP($N972,'TABLE CHARGE RATE'!$A$30:$K$106,7,0)),"Check")</f>
        <v/>
      </c>
      <c r="AP972" s="207" t="str">
        <f>IFERROR(IF(ISBLANK($D972),"",VLOOKUP($N972,'TABLE CHARGE RATE'!$A$30:$K$106,8,0)),"Check")</f>
        <v/>
      </c>
      <c r="AQ972" s="207" t="str">
        <f>IFERROR(IF(ISBLANK($D972),"",VLOOKUP($N972,'TABLE CHARGE RATE'!$A$30:$K$106,9,0)),"Check")</f>
        <v/>
      </c>
      <c r="AR972" s="207" t="str">
        <f>IFERROR(IF(ISBLANK($D972),"",VLOOKUP($N972,'TABLE CHARGE RATE'!$A$30:$K$106,10,0)),"Check")</f>
        <v/>
      </c>
      <c r="AS972" s="207" t="str">
        <f>IFERROR(IF(ISBLANK($D972),"",VLOOKUP($N972,'TABLE CHARGE RATE'!$A$30:$K$106,11,0)),"Check")</f>
        <v/>
      </c>
      <c r="AT972" s="207">
        <f t="shared" si="144"/>
        <v>4</v>
      </c>
    </row>
    <row r="973" spans="1:46" x14ac:dyDescent="0.2">
      <c r="A973" s="207" t="str">
        <f t="shared" si="147"/>
        <v/>
      </c>
      <c r="B973" s="208" t="str">
        <f>IF(ISBLANK(D973),"",VLOOKUP(WEEKDAY($C973,1),INDEX!$J$2:$K$8,2,0))</f>
        <v/>
      </c>
      <c r="C973" s="209"/>
      <c r="D973" s="207"/>
      <c r="E973" s="207"/>
      <c r="F973" s="207"/>
      <c r="G973" s="207"/>
      <c r="H973" s="207"/>
      <c r="I973" s="207"/>
      <c r="J973" s="207"/>
      <c r="K973" s="207"/>
      <c r="L973" s="207"/>
      <c r="M973" s="207"/>
      <c r="N973" s="207"/>
      <c r="O973" s="207"/>
      <c r="P973" s="207"/>
      <c r="Q973" s="207"/>
      <c r="R973" s="207"/>
      <c r="S973" s="207"/>
      <c r="T973" s="207"/>
      <c r="U973" s="209"/>
      <c r="V973" s="207"/>
      <c r="W973" s="207"/>
      <c r="X973" s="209">
        <f t="shared" si="137"/>
        <v>0</v>
      </c>
      <c r="Y973" s="209"/>
      <c r="Z973" s="207" t="str">
        <f t="shared" ca="1" si="138"/>
        <v/>
      </c>
      <c r="AA973" s="209" t="str">
        <f t="shared" si="139"/>
        <v/>
      </c>
      <c r="AB973" s="209"/>
      <c r="AC973" s="207" t="str">
        <f t="shared" ca="1" si="148"/>
        <v/>
      </c>
      <c r="AD973" s="207"/>
      <c r="AE973" s="207"/>
      <c r="AF973" s="208" t="str">
        <f>IF(ISBLANK(D973),"",VLOOKUP(F973,'SIZE CALCULATION'!$F:$G,2,0))</f>
        <v/>
      </c>
      <c r="AG973" s="207" t="str">
        <f t="shared" si="141"/>
        <v/>
      </c>
      <c r="AH973" s="207" t="str">
        <f t="shared" si="142"/>
        <v/>
      </c>
      <c r="AI973" s="210" t="str">
        <f>IF(ISBLANK(D973),"",VLOOKUP($A973,INDEX!$D$2:$F$13,3,0))</f>
        <v/>
      </c>
      <c r="AJ973" s="207" t="str">
        <f t="shared" si="143"/>
        <v/>
      </c>
      <c r="AK973" s="207"/>
      <c r="AL973" s="207"/>
      <c r="AM973" s="207" t="str">
        <f>IFERROR(IF(ISBLANK($D973),"",VLOOKUP($N973,'TABLE CHARGE RATE'!$A$30:$K$106,5,0)),"Check")</f>
        <v/>
      </c>
      <c r="AN973" s="207" t="str">
        <f>IFERROR(IF(ISBLANK($D973),"",VLOOKUP($N973,'TABLE CHARGE RATE'!$A$30:$K$106,6,0)),"Check")</f>
        <v/>
      </c>
      <c r="AO973" s="207" t="str">
        <f>IFERROR(IF(ISBLANK($D973),"",VLOOKUP($N973,'TABLE CHARGE RATE'!$A$30:$K$106,7,0)),"Check")</f>
        <v/>
      </c>
      <c r="AP973" s="207" t="str">
        <f>IFERROR(IF(ISBLANK($D973),"",VLOOKUP($N973,'TABLE CHARGE RATE'!$A$30:$K$106,8,0)),"Check")</f>
        <v/>
      </c>
      <c r="AQ973" s="207" t="str">
        <f>IFERROR(IF(ISBLANK($D973),"",VLOOKUP($N973,'TABLE CHARGE RATE'!$A$30:$K$106,9,0)),"Check")</f>
        <v/>
      </c>
      <c r="AR973" s="207" t="str">
        <f>IFERROR(IF(ISBLANK($D973),"",VLOOKUP($N973,'TABLE CHARGE RATE'!$A$30:$K$106,10,0)),"Check")</f>
        <v/>
      </c>
      <c r="AS973" s="207" t="str">
        <f>IFERROR(IF(ISBLANK($D973),"",VLOOKUP($N973,'TABLE CHARGE RATE'!$A$30:$K$106,11,0)),"Check")</f>
        <v/>
      </c>
      <c r="AT973" s="207">
        <f t="shared" si="144"/>
        <v>5</v>
      </c>
    </row>
    <row r="974" spans="1:46" x14ac:dyDescent="0.2">
      <c r="A974" s="207" t="str">
        <f t="shared" si="147"/>
        <v/>
      </c>
      <c r="B974" s="208" t="str">
        <f>IF(ISBLANK(D974),"",VLOOKUP(WEEKDAY($C974,1),INDEX!$J$2:$K$8,2,0))</f>
        <v/>
      </c>
      <c r="C974" s="209"/>
      <c r="D974" s="207"/>
      <c r="E974" s="207"/>
      <c r="F974" s="207"/>
      <c r="G974" s="207"/>
      <c r="H974" s="207"/>
      <c r="I974" s="207"/>
      <c r="J974" s="207"/>
      <c r="K974" s="207"/>
      <c r="L974" s="207"/>
      <c r="M974" s="207"/>
      <c r="N974" s="207"/>
      <c r="O974" s="207"/>
      <c r="P974" s="207"/>
      <c r="Q974" s="207"/>
      <c r="R974" s="207"/>
      <c r="S974" s="207"/>
      <c r="T974" s="207"/>
      <c r="U974" s="209"/>
      <c r="V974" s="207"/>
      <c r="W974" s="207"/>
      <c r="X974" s="209">
        <f t="shared" si="137"/>
        <v>0</v>
      </c>
      <c r="Y974" s="209"/>
      <c r="Z974" s="207" t="str">
        <f t="shared" ca="1" si="138"/>
        <v/>
      </c>
      <c r="AA974" s="209" t="str">
        <f t="shared" si="139"/>
        <v/>
      </c>
      <c r="AB974" s="209"/>
      <c r="AC974" s="207" t="str">
        <f t="shared" ca="1" si="148"/>
        <v/>
      </c>
      <c r="AD974" s="207"/>
      <c r="AE974" s="207"/>
      <c r="AF974" s="208" t="str">
        <f>IF(ISBLANK(D974),"",VLOOKUP(F974,'SIZE CALCULATION'!$F:$G,2,0))</f>
        <v/>
      </c>
      <c r="AG974" s="207" t="str">
        <f t="shared" si="141"/>
        <v/>
      </c>
      <c r="AH974" s="207" t="str">
        <f t="shared" si="142"/>
        <v/>
      </c>
      <c r="AI974" s="210" t="str">
        <f>IF(ISBLANK(D974),"",VLOOKUP($A974,INDEX!$D$2:$F$13,3,0))</f>
        <v/>
      </c>
      <c r="AJ974" s="207" t="str">
        <f t="shared" si="143"/>
        <v/>
      </c>
      <c r="AK974" s="207"/>
      <c r="AL974" s="207"/>
      <c r="AM974" s="207" t="str">
        <f>IFERROR(IF(ISBLANK($D974),"",VLOOKUP($N974,'TABLE CHARGE RATE'!$A$30:$K$106,5,0)),"Check")</f>
        <v/>
      </c>
      <c r="AN974" s="207" t="str">
        <f>IFERROR(IF(ISBLANK($D974),"",VLOOKUP($N974,'TABLE CHARGE RATE'!$A$30:$K$106,6,0)),"Check")</f>
        <v/>
      </c>
      <c r="AO974" s="207" t="str">
        <f>IFERROR(IF(ISBLANK($D974),"",VLOOKUP($N974,'TABLE CHARGE RATE'!$A$30:$K$106,7,0)),"Check")</f>
        <v/>
      </c>
      <c r="AP974" s="207" t="str">
        <f>IFERROR(IF(ISBLANK($D974),"",VLOOKUP($N974,'TABLE CHARGE RATE'!$A$30:$K$106,8,0)),"Check")</f>
        <v/>
      </c>
      <c r="AQ974" s="207" t="str">
        <f>IFERROR(IF(ISBLANK($D974),"",VLOOKUP($N974,'TABLE CHARGE RATE'!$A$30:$K$106,9,0)),"Check")</f>
        <v/>
      </c>
      <c r="AR974" s="207" t="str">
        <f>IFERROR(IF(ISBLANK($D974),"",VLOOKUP($N974,'TABLE CHARGE RATE'!$A$30:$K$106,10,0)),"Check")</f>
        <v/>
      </c>
      <c r="AS974" s="207" t="str">
        <f>IFERROR(IF(ISBLANK($D974),"",VLOOKUP($N974,'TABLE CHARGE RATE'!$A$30:$K$106,11,0)),"Check")</f>
        <v/>
      </c>
      <c r="AT974" s="207">
        <f t="shared" si="144"/>
        <v>6</v>
      </c>
    </row>
    <row r="975" spans="1:46" x14ac:dyDescent="0.2">
      <c r="A975" s="207" t="str">
        <f t="shared" si="147"/>
        <v/>
      </c>
      <c r="B975" s="208" t="str">
        <f>IF(ISBLANK(D975),"",VLOOKUP(WEEKDAY($C975,1),INDEX!$J$2:$K$8,2,0))</f>
        <v/>
      </c>
      <c r="C975" s="209"/>
      <c r="D975" s="207"/>
      <c r="E975" s="207"/>
      <c r="F975" s="207"/>
      <c r="G975" s="207"/>
      <c r="H975" s="207"/>
      <c r="I975" s="207"/>
      <c r="J975" s="207"/>
      <c r="K975" s="207"/>
      <c r="L975" s="207"/>
      <c r="M975" s="207"/>
      <c r="N975" s="207"/>
      <c r="O975" s="207"/>
      <c r="P975" s="207"/>
      <c r="Q975" s="207"/>
      <c r="R975" s="207"/>
      <c r="S975" s="207"/>
      <c r="T975" s="207"/>
      <c r="U975" s="209"/>
      <c r="V975" s="207"/>
      <c r="W975" s="207"/>
      <c r="X975" s="209">
        <f t="shared" si="137"/>
        <v>0</v>
      </c>
      <c r="Y975" s="209"/>
      <c r="Z975" s="207" t="str">
        <f t="shared" ca="1" si="138"/>
        <v/>
      </c>
      <c r="AA975" s="209" t="str">
        <f t="shared" si="139"/>
        <v/>
      </c>
      <c r="AB975" s="209"/>
      <c r="AC975" s="207" t="str">
        <f t="shared" ca="1" si="148"/>
        <v/>
      </c>
      <c r="AD975" s="207"/>
      <c r="AE975" s="207"/>
      <c r="AF975" s="208" t="str">
        <f>IF(ISBLANK(D975),"",VLOOKUP(F975,'SIZE CALCULATION'!$F:$G,2,0))</f>
        <v/>
      </c>
      <c r="AG975" s="207" t="str">
        <f t="shared" si="141"/>
        <v/>
      </c>
      <c r="AH975" s="207" t="str">
        <f t="shared" si="142"/>
        <v/>
      </c>
      <c r="AI975" s="210" t="str">
        <f>IF(ISBLANK(D975),"",VLOOKUP($A975,INDEX!$D$2:$F$13,3,0))</f>
        <v/>
      </c>
      <c r="AJ975" s="207" t="str">
        <f t="shared" si="143"/>
        <v/>
      </c>
      <c r="AK975" s="207"/>
      <c r="AL975" s="207"/>
      <c r="AM975" s="207" t="str">
        <f>IFERROR(IF(ISBLANK($D975),"",VLOOKUP($N975,'TABLE CHARGE RATE'!$A$30:$K$106,5,0)),"Check")</f>
        <v/>
      </c>
      <c r="AN975" s="207" t="str">
        <f>IFERROR(IF(ISBLANK($D975),"",VLOOKUP($N975,'TABLE CHARGE RATE'!$A$30:$K$106,6,0)),"Check")</f>
        <v/>
      </c>
      <c r="AO975" s="207" t="str">
        <f>IFERROR(IF(ISBLANK($D975),"",VLOOKUP($N975,'TABLE CHARGE RATE'!$A$30:$K$106,7,0)),"Check")</f>
        <v/>
      </c>
      <c r="AP975" s="207" t="str">
        <f>IFERROR(IF(ISBLANK($D975),"",VLOOKUP($N975,'TABLE CHARGE RATE'!$A$30:$K$106,8,0)),"Check")</f>
        <v/>
      </c>
      <c r="AQ975" s="207" t="str">
        <f>IFERROR(IF(ISBLANK($D975),"",VLOOKUP($N975,'TABLE CHARGE RATE'!$A$30:$K$106,9,0)),"Check")</f>
        <v/>
      </c>
      <c r="AR975" s="207" t="str">
        <f>IFERROR(IF(ISBLANK($D975),"",VLOOKUP($N975,'TABLE CHARGE RATE'!$A$30:$K$106,10,0)),"Check")</f>
        <v/>
      </c>
      <c r="AS975" s="207" t="str">
        <f>IFERROR(IF(ISBLANK($D975),"",VLOOKUP($N975,'TABLE CHARGE RATE'!$A$30:$K$106,11,0)),"Check")</f>
        <v/>
      </c>
      <c r="AT975" s="207">
        <f t="shared" si="144"/>
        <v>7</v>
      </c>
    </row>
    <row r="976" spans="1:46" x14ac:dyDescent="0.2">
      <c r="A976" s="207" t="str">
        <f t="shared" si="147"/>
        <v/>
      </c>
      <c r="B976" s="208" t="str">
        <f>IF(ISBLANK(D976),"",VLOOKUP(WEEKDAY($C976,1),INDEX!$J$2:$K$8,2,0))</f>
        <v/>
      </c>
      <c r="C976" s="209"/>
      <c r="D976" s="207"/>
      <c r="E976" s="207"/>
      <c r="F976" s="207"/>
      <c r="G976" s="207"/>
      <c r="H976" s="207"/>
      <c r="I976" s="207"/>
      <c r="J976" s="207"/>
      <c r="K976" s="207"/>
      <c r="L976" s="207"/>
      <c r="M976" s="207"/>
      <c r="N976" s="207"/>
      <c r="O976" s="207"/>
      <c r="P976" s="207"/>
      <c r="Q976" s="207"/>
      <c r="R976" s="207"/>
      <c r="S976" s="207"/>
      <c r="T976" s="207"/>
      <c r="U976" s="209"/>
      <c r="V976" s="207"/>
      <c r="W976" s="207"/>
      <c r="X976" s="209">
        <f t="shared" si="137"/>
        <v>0</v>
      </c>
      <c r="Y976" s="209"/>
      <c r="Z976" s="207" t="str">
        <f t="shared" ca="1" si="138"/>
        <v/>
      </c>
      <c r="AA976" s="209" t="str">
        <f t="shared" si="139"/>
        <v/>
      </c>
      <c r="AB976" s="209"/>
      <c r="AC976" s="207" t="str">
        <f t="shared" ca="1" si="148"/>
        <v/>
      </c>
      <c r="AD976" s="207"/>
      <c r="AE976" s="207"/>
      <c r="AF976" s="208" t="str">
        <f>IF(ISBLANK(D976),"",VLOOKUP(F976,'SIZE CALCULATION'!$F:$G,2,0))</f>
        <v/>
      </c>
      <c r="AG976" s="207" t="str">
        <f t="shared" si="141"/>
        <v/>
      </c>
      <c r="AH976" s="207" t="str">
        <f t="shared" si="142"/>
        <v/>
      </c>
      <c r="AI976" s="210" t="str">
        <f>IF(ISBLANK(D976),"",VLOOKUP($A976,INDEX!$D$2:$F$13,3,0))</f>
        <v/>
      </c>
      <c r="AJ976" s="207" t="str">
        <f t="shared" si="143"/>
        <v/>
      </c>
      <c r="AK976" s="207"/>
      <c r="AL976" s="207"/>
      <c r="AM976" s="207" t="str">
        <f>IFERROR(IF(ISBLANK($D976),"",VLOOKUP($N976,'TABLE CHARGE RATE'!$A$30:$K$106,5,0)),"Check")</f>
        <v/>
      </c>
      <c r="AN976" s="207" t="str">
        <f>IFERROR(IF(ISBLANK($D976),"",VLOOKUP($N976,'TABLE CHARGE RATE'!$A$30:$K$106,6,0)),"Check")</f>
        <v/>
      </c>
      <c r="AO976" s="207" t="str">
        <f>IFERROR(IF(ISBLANK($D976),"",VLOOKUP($N976,'TABLE CHARGE RATE'!$A$30:$K$106,7,0)),"Check")</f>
        <v/>
      </c>
      <c r="AP976" s="207" t="str">
        <f>IFERROR(IF(ISBLANK($D976),"",VLOOKUP($N976,'TABLE CHARGE RATE'!$A$30:$K$106,8,0)),"Check")</f>
        <v/>
      </c>
      <c r="AQ976" s="207" t="str">
        <f>IFERROR(IF(ISBLANK($D976),"",VLOOKUP($N976,'TABLE CHARGE RATE'!$A$30:$K$106,9,0)),"Check")</f>
        <v/>
      </c>
      <c r="AR976" s="207" t="str">
        <f>IFERROR(IF(ISBLANK($D976),"",VLOOKUP($N976,'TABLE CHARGE RATE'!$A$30:$K$106,10,0)),"Check")</f>
        <v/>
      </c>
      <c r="AS976" s="207" t="str">
        <f>IFERROR(IF(ISBLANK($D976),"",VLOOKUP($N976,'TABLE CHARGE RATE'!$A$30:$K$106,11,0)),"Check")</f>
        <v/>
      </c>
      <c r="AT976" s="207">
        <f t="shared" si="144"/>
        <v>8</v>
      </c>
    </row>
    <row r="977" spans="1:46" x14ac:dyDescent="0.2">
      <c r="A977" s="207" t="str">
        <f t="shared" si="147"/>
        <v/>
      </c>
      <c r="B977" s="208" t="str">
        <f>IF(ISBLANK(D977),"",VLOOKUP(WEEKDAY($C977,1),INDEX!$J$2:$K$8,2,0))</f>
        <v/>
      </c>
      <c r="C977" s="209"/>
      <c r="D977" s="207"/>
      <c r="E977" s="207"/>
      <c r="F977" s="207"/>
      <c r="G977" s="207"/>
      <c r="H977" s="207"/>
      <c r="I977" s="207"/>
      <c r="J977" s="207"/>
      <c r="K977" s="207"/>
      <c r="L977" s="207"/>
      <c r="M977" s="207"/>
      <c r="N977" s="207"/>
      <c r="O977" s="207"/>
      <c r="P977" s="207"/>
      <c r="Q977" s="207"/>
      <c r="R977" s="207"/>
      <c r="S977" s="207"/>
      <c r="T977" s="207"/>
      <c r="U977" s="209"/>
      <c r="V977" s="207"/>
      <c r="W977" s="207"/>
      <c r="X977" s="209">
        <f t="shared" si="137"/>
        <v>0</v>
      </c>
      <c r="Y977" s="209"/>
      <c r="Z977" s="207" t="str">
        <f t="shared" ca="1" si="138"/>
        <v/>
      </c>
      <c r="AA977" s="209" t="str">
        <f t="shared" si="139"/>
        <v/>
      </c>
      <c r="AB977" s="209"/>
      <c r="AC977" s="207" t="str">
        <f t="shared" ca="1" si="148"/>
        <v/>
      </c>
      <c r="AD977" s="207"/>
      <c r="AE977" s="207"/>
      <c r="AF977" s="208" t="str">
        <f>IF(ISBLANK(D977),"",VLOOKUP(F977,'SIZE CALCULATION'!$F:$G,2,0))</f>
        <v/>
      </c>
      <c r="AG977" s="207" t="str">
        <f t="shared" si="141"/>
        <v/>
      </c>
      <c r="AH977" s="207" t="str">
        <f t="shared" si="142"/>
        <v/>
      </c>
      <c r="AI977" s="210" t="str">
        <f>IF(ISBLANK(D977),"",VLOOKUP($A977,INDEX!$D$2:$F$13,3,0))</f>
        <v/>
      </c>
      <c r="AJ977" s="207" t="str">
        <f t="shared" si="143"/>
        <v/>
      </c>
      <c r="AK977" s="207"/>
      <c r="AL977" s="207"/>
      <c r="AM977" s="207" t="str">
        <f>IFERROR(IF(ISBLANK($D977),"",VLOOKUP($N977,'TABLE CHARGE RATE'!$A$30:$K$106,5,0)),"Check")</f>
        <v/>
      </c>
      <c r="AN977" s="207" t="str">
        <f>IFERROR(IF(ISBLANK($D977),"",VLOOKUP($N977,'TABLE CHARGE RATE'!$A$30:$K$106,6,0)),"Check")</f>
        <v/>
      </c>
      <c r="AO977" s="207" t="str">
        <f>IFERROR(IF(ISBLANK($D977),"",VLOOKUP($N977,'TABLE CHARGE RATE'!$A$30:$K$106,7,0)),"Check")</f>
        <v/>
      </c>
      <c r="AP977" s="207" t="str">
        <f>IFERROR(IF(ISBLANK($D977),"",VLOOKUP($N977,'TABLE CHARGE RATE'!$A$30:$K$106,8,0)),"Check")</f>
        <v/>
      </c>
      <c r="AQ977" s="207" t="str">
        <f>IFERROR(IF(ISBLANK($D977),"",VLOOKUP($N977,'TABLE CHARGE RATE'!$A$30:$K$106,9,0)),"Check")</f>
        <v/>
      </c>
      <c r="AR977" s="207" t="str">
        <f>IFERROR(IF(ISBLANK($D977),"",VLOOKUP($N977,'TABLE CHARGE RATE'!$A$30:$K$106,10,0)),"Check")</f>
        <v/>
      </c>
      <c r="AS977" s="207" t="str">
        <f>IFERROR(IF(ISBLANK($D977),"",VLOOKUP($N977,'TABLE CHARGE RATE'!$A$30:$K$106,11,0)),"Check")</f>
        <v/>
      </c>
      <c r="AT977" s="207">
        <f t="shared" si="144"/>
        <v>9</v>
      </c>
    </row>
    <row r="978" spans="1:46" x14ac:dyDescent="0.2">
      <c r="A978" s="207" t="str">
        <f t="shared" si="147"/>
        <v/>
      </c>
      <c r="B978" s="208" t="str">
        <f>IF(ISBLANK(D978),"",VLOOKUP(WEEKDAY($C978,1),INDEX!$J$2:$K$8,2,0))</f>
        <v/>
      </c>
      <c r="C978" s="209"/>
      <c r="D978" s="207"/>
      <c r="E978" s="207"/>
      <c r="F978" s="207"/>
      <c r="G978" s="207"/>
      <c r="H978" s="207"/>
      <c r="I978" s="207"/>
      <c r="J978" s="207"/>
      <c r="K978" s="207"/>
      <c r="L978" s="207"/>
      <c r="M978" s="207"/>
      <c r="N978" s="207"/>
      <c r="O978" s="207"/>
      <c r="P978" s="207"/>
      <c r="Q978" s="207"/>
      <c r="R978" s="207"/>
      <c r="S978" s="207"/>
      <c r="T978" s="207"/>
      <c r="U978" s="209"/>
      <c r="V978" s="207"/>
      <c r="W978" s="207"/>
      <c r="X978" s="209">
        <f t="shared" si="137"/>
        <v>0</v>
      </c>
      <c r="Y978" s="209"/>
      <c r="Z978" s="207" t="str">
        <f t="shared" ca="1" si="138"/>
        <v/>
      </c>
      <c r="AA978" s="209" t="str">
        <f t="shared" si="139"/>
        <v/>
      </c>
      <c r="AB978" s="209"/>
      <c r="AC978" s="207" t="str">
        <f t="shared" ca="1" si="148"/>
        <v/>
      </c>
      <c r="AD978" s="207"/>
      <c r="AE978" s="207"/>
      <c r="AF978" s="208" t="str">
        <f>IF(ISBLANK(D978),"",VLOOKUP(F978,'SIZE CALCULATION'!$F:$G,2,0))</f>
        <v/>
      </c>
      <c r="AG978" s="207" t="str">
        <f t="shared" si="141"/>
        <v/>
      </c>
      <c r="AH978" s="207" t="str">
        <f t="shared" si="142"/>
        <v/>
      </c>
      <c r="AI978" s="210" t="str">
        <f>IF(ISBLANK(D978),"",VLOOKUP($A978,INDEX!$D$2:$F$13,3,0))</f>
        <v/>
      </c>
      <c r="AJ978" s="207" t="str">
        <f t="shared" si="143"/>
        <v/>
      </c>
      <c r="AK978" s="207"/>
      <c r="AL978" s="207"/>
      <c r="AM978" s="207" t="str">
        <f>IFERROR(IF(ISBLANK($D978),"",VLOOKUP($N978,'TABLE CHARGE RATE'!$A$30:$K$106,5,0)),"Check")</f>
        <v/>
      </c>
      <c r="AN978" s="207" t="str">
        <f>IFERROR(IF(ISBLANK($D978),"",VLOOKUP($N978,'TABLE CHARGE RATE'!$A$30:$K$106,6,0)),"Check")</f>
        <v/>
      </c>
      <c r="AO978" s="207" t="str">
        <f>IFERROR(IF(ISBLANK($D978),"",VLOOKUP($N978,'TABLE CHARGE RATE'!$A$30:$K$106,7,0)),"Check")</f>
        <v/>
      </c>
      <c r="AP978" s="207" t="str">
        <f>IFERROR(IF(ISBLANK($D978),"",VLOOKUP($N978,'TABLE CHARGE RATE'!$A$30:$K$106,8,0)),"Check")</f>
        <v/>
      </c>
      <c r="AQ978" s="207" t="str">
        <f>IFERROR(IF(ISBLANK($D978),"",VLOOKUP($N978,'TABLE CHARGE RATE'!$A$30:$K$106,9,0)),"Check")</f>
        <v/>
      </c>
      <c r="AR978" s="207" t="str">
        <f>IFERROR(IF(ISBLANK($D978),"",VLOOKUP($N978,'TABLE CHARGE RATE'!$A$30:$K$106,10,0)),"Check")</f>
        <v/>
      </c>
      <c r="AS978" s="207" t="str">
        <f>IFERROR(IF(ISBLANK($D978),"",VLOOKUP($N978,'TABLE CHARGE RATE'!$A$30:$K$106,11,0)),"Check")</f>
        <v/>
      </c>
      <c r="AT978" s="207">
        <f t="shared" si="144"/>
        <v>10</v>
      </c>
    </row>
    <row r="979" spans="1:46" x14ac:dyDescent="0.2">
      <c r="A979" s="207" t="str">
        <f t="shared" si="147"/>
        <v/>
      </c>
      <c r="B979" s="208" t="str">
        <f>IF(ISBLANK(D979),"",VLOOKUP(WEEKDAY($C979,1),INDEX!$J$2:$K$8,2,0))</f>
        <v/>
      </c>
      <c r="C979" s="209"/>
      <c r="D979" s="207"/>
      <c r="E979" s="207"/>
      <c r="F979" s="207"/>
      <c r="G979" s="207"/>
      <c r="H979" s="207"/>
      <c r="I979" s="207"/>
      <c r="J979" s="207"/>
      <c r="K979" s="207"/>
      <c r="L979" s="207"/>
      <c r="M979" s="207"/>
      <c r="N979" s="207"/>
      <c r="O979" s="207"/>
      <c r="P979" s="207"/>
      <c r="Q979" s="207"/>
      <c r="R979" s="207"/>
      <c r="S979" s="207"/>
      <c r="T979" s="207"/>
      <c r="U979" s="209"/>
      <c r="V979" s="207"/>
      <c r="W979" s="207"/>
      <c r="X979" s="209">
        <f t="shared" si="137"/>
        <v>0</v>
      </c>
      <c r="Y979" s="209"/>
      <c r="Z979" s="207" t="str">
        <f t="shared" ca="1" si="138"/>
        <v/>
      </c>
      <c r="AA979" s="209" t="str">
        <f t="shared" si="139"/>
        <v/>
      </c>
      <c r="AB979" s="209"/>
      <c r="AC979" s="207" t="str">
        <f t="shared" ca="1" si="148"/>
        <v/>
      </c>
      <c r="AD979" s="207"/>
      <c r="AE979" s="207"/>
      <c r="AF979" s="208" t="str">
        <f>IF(ISBLANK(D979),"",VLOOKUP(F979,'SIZE CALCULATION'!$F:$G,2,0))</f>
        <v/>
      </c>
      <c r="AG979" s="207" t="str">
        <f t="shared" si="141"/>
        <v/>
      </c>
      <c r="AH979" s="207" t="str">
        <f t="shared" si="142"/>
        <v/>
      </c>
      <c r="AI979" s="210" t="str">
        <f>IF(ISBLANK(D979),"",VLOOKUP($A979,INDEX!$D$2:$F$13,3,0))</f>
        <v/>
      </c>
      <c r="AJ979" s="207" t="str">
        <f t="shared" si="143"/>
        <v/>
      </c>
      <c r="AK979" s="207"/>
      <c r="AL979" s="207"/>
      <c r="AM979" s="207" t="str">
        <f>IFERROR(IF(ISBLANK($D979),"",VLOOKUP($N979,'TABLE CHARGE RATE'!$A$30:$K$106,5,0)),"Check")</f>
        <v/>
      </c>
      <c r="AN979" s="207" t="str">
        <f>IFERROR(IF(ISBLANK($D979),"",VLOOKUP($N979,'TABLE CHARGE RATE'!$A$30:$K$106,6,0)),"Check")</f>
        <v/>
      </c>
      <c r="AO979" s="207" t="str">
        <f>IFERROR(IF(ISBLANK($D979),"",VLOOKUP($N979,'TABLE CHARGE RATE'!$A$30:$K$106,7,0)),"Check")</f>
        <v/>
      </c>
      <c r="AP979" s="207" t="str">
        <f>IFERROR(IF(ISBLANK($D979),"",VLOOKUP($N979,'TABLE CHARGE RATE'!$A$30:$K$106,8,0)),"Check")</f>
        <v/>
      </c>
      <c r="AQ979" s="207" t="str">
        <f>IFERROR(IF(ISBLANK($D979),"",VLOOKUP($N979,'TABLE CHARGE RATE'!$A$30:$K$106,9,0)),"Check")</f>
        <v/>
      </c>
      <c r="AR979" s="207" t="str">
        <f>IFERROR(IF(ISBLANK($D979),"",VLOOKUP($N979,'TABLE CHARGE RATE'!$A$30:$K$106,10,0)),"Check")</f>
        <v/>
      </c>
      <c r="AS979" s="207" t="str">
        <f>IFERROR(IF(ISBLANK($D979),"",VLOOKUP($N979,'TABLE CHARGE RATE'!$A$30:$K$106,11,0)),"Check")</f>
        <v/>
      </c>
      <c r="AT979" s="207">
        <f t="shared" si="144"/>
        <v>11</v>
      </c>
    </row>
    <row r="980" spans="1:46" x14ac:dyDescent="0.2">
      <c r="A980" s="207" t="str">
        <f t="shared" si="147"/>
        <v/>
      </c>
      <c r="B980" s="208" t="str">
        <f>IF(ISBLANK(D980),"",VLOOKUP(WEEKDAY($C980,1),INDEX!$J$2:$K$8,2,0))</f>
        <v/>
      </c>
      <c r="C980" s="209"/>
      <c r="D980" s="207"/>
      <c r="E980" s="207"/>
      <c r="F980" s="207"/>
      <c r="G980" s="207"/>
      <c r="H980" s="207"/>
      <c r="I980" s="207"/>
      <c r="J980" s="207"/>
      <c r="K980" s="207"/>
      <c r="L980" s="207"/>
      <c r="M980" s="207"/>
      <c r="N980" s="207"/>
      <c r="O980" s="207"/>
      <c r="P980" s="207"/>
      <c r="Q980" s="207"/>
      <c r="R980" s="207"/>
      <c r="S980" s="207"/>
      <c r="T980" s="207"/>
      <c r="U980" s="209"/>
      <c r="V980" s="207"/>
      <c r="W980" s="207"/>
      <c r="X980" s="209">
        <f t="shared" si="137"/>
        <v>0</v>
      </c>
      <c r="Y980" s="209"/>
      <c r="Z980" s="207" t="str">
        <f t="shared" ca="1" si="138"/>
        <v/>
      </c>
      <c r="AA980" s="209" t="str">
        <f t="shared" si="139"/>
        <v/>
      </c>
      <c r="AB980" s="209"/>
      <c r="AC980" s="207" t="str">
        <f t="shared" ca="1" si="148"/>
        <v/>
      </c>
      <c r="AD980" s="207"/>
      <c r="AE980" s="207"/>
      <c r="AF980" s="208" t="str">
        <f>IF(ISBLANK(D980),"",VLOOKUP(F980,'SIZE CALCULATION'!$F:$G,2,0))</f>
        <v/>
      </c>
      <c r="AG980" s="207" t="str">
        <f t="shared" si="141"/>
        <v/>
      </c>
      <c r="AH980" s="207" t="str">
        <f t="shared" si="142"/>
        <v/>
      </c>
      <c r="AI980" s="210" t="str">
        <f>IF(ISBLANK(D980),"",VLOOKUP($A980,INDEX!$D$2:$F$13,3,0))</f>
        <v/>
      </c>
      <c r="AJ980" s="207" t="str">
        <f t="shared" si="143"/>
        <v/>
      </c>
      <c r="AK980" s="207"/>
      <c r="AL980" s="207"/>
      <c r="AM980" s="207" t="str">
        <f>IFERROR(IF(ISBLANK($D980),"",VLOOKUP($N980,'TABLE CHARGE RATE'!$A$30:$K$106,5,0)),"Check")</f>
        <v/>
      </c>
      <c r="AN980" s="207" t="str">
        <f>IFERROR(IF(ISBLANK($D980),"",VLOOKUP($N980,'TABLE CHARGE RATE'!$A$30:$K$106,6,0)),"Check")</f>
        <v/>
      </c>
      <c r="AO980" s="207" t="str">
        <f>IFERROR(IF(ISBLANK($D980),"",VLOOKUP($N980,'TABLE CHARGE RATE'!$A$30:$K$106,7,0)),"Check")</f>
        <v/>
      </c>
      <c r="AP980" s="207" t="str">
        <f>IFERROR(IF(ISBLANK($D980),"",VLOOKUP($N980,'TABLE CHARGE RATE'!$A$30:$K$106,8,0)),"Check")</f>
        <v/>
      </c>
      <c r="AQ980" s="207" t="str">
        <f>IFERROR(IF(ISBLANK($D980),"",VLOOKUP($N980,'TABLE CHARGE RATE'!$A$30:$K$106,9,0)),"Check")</f>
        <v/>
      </c>
      <c r="AR980" s="207" t="str">
        <f>IFERROR(IF(ISBLANK($D980),"",VLOOKUP($N980,'TABLE CHARGE RATE'!$A$30:$K$106,10,0)),"Check")</f>
        <v/>
      </c>
      <c r="AS980" s="207" t="str">
        <f>IFERROR(IF(ISBLANK($D980),"",VLOOKUP($N980,'TABLE CHARGE RATE'!$A$30:$K$106,11,0)),"Check")</f>
        <v/>
      </c>
      <c r="AT980" s="207">
        <f t="shared" si="144"/>
        <v>12</v>
      </c>
    </row>
    <row r="981" spans="1:46" x14ac:dyDescent="0.2">
      <c r="A981" s="207" t="str">
        <f t="shared" si="147"/>
        <v/>
      </c>
      <c r="B981" s="208" t="str">
        <f>IF(ISBLANK(D981),"",VLOOKUP(WEEKDAY($C981,1),INDEX!$J$2:$K$8,2,0))</f>
        <v/>
      </c>
      <c r="C981" s="209"/>
      <c r="D981" s="207"/>
      <c r="E981" s="207"/>
      <c r="F981" s="207"/>
      <c r="G981" s="207"/>
      <c r="H981" s="207"/>
      <c r="I981" s="207"/>
      <c r="J981" s="207"/>
      <c r="K981" s="207"/>
      <c r="L981" s="207"/>
      <c r="M981" s="207"/>
      <c r="N981" s="207"/>
      <c r="O981" s="207"/>
      <c r="P981" s="207"/>
      <c r="Q981" s="207"/>
      <c r="R981" s="207"/>
      <c r="S981" s="207"/>
      <c r="T981" s="207"/>
      <c r="U981" s="209"/>
      <c r="V981" s="207"/>
      <c r="W981" s="207"/>
      <c r="X981" s="209">
        <f t="shared" si="137"/>
        <v>0</v>
      </c>
      <c r="Y981" s="209"/>
      <c r="Z981" s="207" t="str">
        <f t="shared" ca="1" si="138"/>
        <v/>
      </c>
      <c r="AA981" s="209" t="str">
        <f t="shared" si="139"/>
        <v/>
      </c>
      <c r="AB981" s="209"/>
      <c r="AC981" s="207" t="str">
        <f t="shared" ca="1" si="148"/>
        <v/>
      </c>
      <c r="AD981" s="207"/>
      <c r="AE981" s="207"/>
      <c r="AF981" s="208" t="str">
        <f>IF(ISBLANK(D981),"",VLOOKUP(F981,'SIZE CALCULATION'!$F:$G,2,0))</f>
        <v/>
      </c>
      <c r="AG981" s="207" t="str">
        <f t="shared" si="141"/>
        <v/>
      </c>
      <c r="AH981" s="207" t="str">
        <f t="shared" si="142"/>
        <v/>
      </c>
      <c r="AI981" s="210" t="str">
        <f>IF(ISBLANK(D981),"",VLOOKUP($A981,INDEX!$D$2:$F$13,3,0))</f>
        <v/>
      </c>
      <c r="AJ981" s="207" t="str">
        <f t="shared" si="143"/>
        <v/>
      </c>
      <c r="AK981" s="207"/>
      <c r="AL981" s="207"/>
      <c r="AM981" s="207" t="str">
        <f>IFERROR(IF(ISBLANK($D981),"",VLOOKUP($N981,'TABLE CHARGE RATE'!$A$30:$K$106,5,0)),"Check")</f>
        <v/>
      </c>
      <c r="AN981" s="207" t="str">
        <f>IFERROR(IF(ISBLANK($D981),"",VLOOKUP($N981,'TABLE CHARGE RATE'!$A$30:$K$106,6,0)),"Check")</f>
        <v/>
      </c>
      <c r="AO981" s="207" t="str">
        <f>IFERROR(IF(ISBLANK($D981),"",VLOOKUP($N981,'TABLE CHARGE RATE'!$A$30:$K$106,7,0)),"Check")</f>
        <v/>
      </c>
      <c r="AP981" s="207" t="str">
        <f>IFERROR(IF(ISBLANK($D981),"",VLOOKUP($N981,'TABLE CHARGE RATE'!$A$30:$K$106,8,0)),"Check")</f>
        <v/>
      </c>
      <c r="AQ981" s="207" t="str">
        <f>IFERROR(IF(ISBLANK($D981),"",VLOOKUP($N981,'TABLE CHARGE RATE'!$A$30:$K$106,9,0)),"Check")</f>
        <v/>
      </c>
      <c r="AR981" s="207" t="str">
        <f>IFERROR(IF(ISBLANK($D981),"",VLOOKUP($N981,'TABLE CHARGE RATE'!$A$30:$K$106,10,0)),"Check")</f>
        <v/>
      </c>
      <c r="AS981" s="207" t="str">
        <f>IFERROR(IF(ISBLANK($D981),"",VLOOKUP($N981,'TABLE CHARGE RATE'!$A$30:$K$106,11,0)),"Check")</f>
        <v/>
      </c>
      <c r="AT981" s="207">
        <f t="shared" si="144"/>
        <v>13</v>
      </c>
    </row>
    <row r="982" spans="1:46" x14ac:dyDescent="0.2">
      <c r="A982" s="207" t="str">
        <f t="shared" si="147"/>
        <v/>
      </c>
      <c r="B982" s="208" t="str">
        <f>IF(ISBLANK(D982),"",VLOOKUP(WEEKDAY($C982,1),INDEX!$J$2:$K$8,2,0))</f>
        <v/>
      </c>
      <c r="C982" s="209"/>
      <c r="D982" s="207"/>
      <c r="E982" s="207"/>
      <c r="F982" s="207"/>
      <c r="G982" s="207"/>
      <c r="H982" s="207"/>
      <c r="I982" s="207"/>
      <c r="J982" s="207"/>
      <c r="K982" s="207"/>
      <c r="L982" s="207"/>
      <c r="M982" s="207"/>
      <c r="N982" s="207"/>
      <c r="O982" s="207"/>
      <c r="P982" s="207"/>
      <c r="Q982" s="207"/>
      <c r="R982" s="207"/>
      <c r="S982" s="207"/>
      <c r="T982" s="207"/>
      <c r="U982" s="209"/>
      <c r="V982" s="207"/>
      <c r="W982" s="207"/>
      <c r="X982" s="209">
        <f t="shared" si="137"/>
        <v>0</v>
      </c>
      <c r="Y982" s="209"/>
      <c r="Z982" s="207" t="str">
        <f t="shared" ca="1" si="138"/>
        <v/>
      </c>
      <c r="AA982" s="209" t="str">
        <f t="shared" si="139"/>
        <v/>
      </c>
      <c r="AB982" s="209"/>
      <c r="AC982" s="207" t="str">
        <f t="shared" ca="1" si="148"/>
        <v/>
      </c>
      <c r="AD982" s="207"/>
      <c r="AE982" s="207"/>
      <c r="AF982" s="208" t="str">
        <f>IF(ISBLANK(D982),"",VLOOKUP(F982,'SIZE CALCULATION'!$F:$G,2,0))</f>
        <v/>
      </c>
      <c r="AG982" s="207" t="str">
        <f t="shared" si="141"/>
        <v/>
      </c>
      <c r="AH982" s="207" t="str">
        <f t="shared" si="142"/>
        <v/>
      </c>
      <c r="AI982" s="210" t="str">
        <f>IF(ISBLANK(D982),"",VLOOKUP($A982,INDEX!$D$2:$F$13,3,0))</f>
        <v/>
      </c>
      <c r="AJ982" s="207" t="str">
        <f t="shared" si="143"/>
        <v/>
      </c>
      <c r="AK982" s="207"/>
      <c r="AL982" s="207"/>
      <c r="AM982" s="207" t="str">
        <f>IFERROR(IF(ISBLANK($D982),"",VLOOKUP($N982,'TABLE CHARGE RATE'!$A$30:$K$106,5,0)),"Check")</f>
        <v/>
      </c>
      <c r="AN982" s="207" t="str">
        <f>IFERROR(IF(ISBLANK($D982),"",VLOOKUP($N982,'TABLE CHARGE RATE'!$A$30:$K$106,6,0)),"Check")</f>
        <v/>
      </c>
      <c r="AO982" s="207" t="str">
        <f>IFERROR(IF(ISBLANK($D982),"",VLOOKUP($N982,'TABLE CHARGE RATE'!$A$30:$K$106,7,0)),"Check")</f>
        <v/>
      </c>
      <c r="AP982" s="207" t="str">
        <f>IFERROR(IF(ISBLANK($D982),"",VLOOKUP($N982,'TABLE CHARGE RATE'!$A$30:$K$106,8,0)),"Check")</f>
        <v/>
      </c>
      <c r="AQ982" s="207" t="str">
        <f>IFERROR(IF(ISBLANK($D982),"",VLOOKUP($N982,'TABLE CHARGE RATE'!$A$30:$K$106,9,0)),"Check")</f>
        <v/>
      </c>
      <c r="AR982" s="207" t="str">
        <f>IFERROR(IF(ISBLANK($D982),"",VLOOKUP($N982,'TABLE CHARGE RATE'!$A$30:$K$106,10,0)),"Check")</f>
        <v/>
      </c>
      <c r="AS982" s="207" t="str">
        <f>IFERROR(IF(ISBLANK($D982),"",VLOOKUP($N982,'TABLE CHARGE RATE'!$A$30:$K$106,11,0)),"Check")</f>
        <v/>
      </c>
      <c r="AT982" s="207">
        <f t="shared" si="144"/>
        <v>14</v>
      </c>
    </row>
    <row r="983" spans="1:46" x14ac:dyDescent="0.2">
      <c r="A983" s="207" t="str">
        <f t="shared" si="147"/>
        <v/>
      </c>
      <c r="B983" s="208" t="str">
        <f>IF(ISBLANK(D983),"",VLOOKUP(WEEKDAY($C983,1),INDEX!$J$2:$K$8,2,0))</f>
        <v/>
      </c>
      <c r="C983" s="209"/>
      <c r="D983" s="207"/>
      <c r="E983" s="207"/>
      <c r="F983" s="207"/>
      <c r="G983" s="207"/>
      <c r="H983" s="207"/>
      <c r="I983" s="207"/>
      <c r="J983" s="207"/>
      <c r="K983" s="207"/>
      <c r="L983" s="207"/>
      <c r="M983" s="207"/>
      <c r="N983" s="207"/>
      <c r="O983" s="207"/>
      <c r="P983" s="207"/>
      <c r="Q983" s="207"/>
      <c r="R983" s="207"/>
      <c r="S983" s="207"/>
      <c r="T983" s="207"/>
      <c r="U983" s="209"/>
      <c r="V983" s="207"/>
      <c r="W983" s="207"/>
      <c r="X983" s="209">
        <f t="shared" si="137"/>
        <v>0</v>
      </c>
      <c r="Y983" s="209"/>
      <c r="Z983" s="207" t="str">
        <f t="shared" ca="1" si="138"/>
        <v/>
      </c>
      <c r="AA983" s="209" t="str">
        <f t="shared" si="139"/>
        <v/>
      </c>
      <c r="AB983" s="209"/>
      <c r="AC983" s="207" t="str">
        <f t="shared" ca="1" si="148"/>
        <v/>
      </c>
      <c r="AD983" s="207"/>
      <c r="AE983" s="207"/>
      <c r="AF983" s="208" t="str">
        <f>IF(ISBLANK(D983),"",VLOOKUP(F983,'SIZE CALCULATION'!$F:$G,2,0))</f>
        <v/>
      </c>
      <c r="AG983" s="207" t="str">
        <f t="shared" si="141"/>
        <v/>
      </c>
      <c r="AH983" s="207" t="str">
        <f t="shared" si="142"/>
        <v/>
      </c>
      <c r="AI983" s="210" t="str">
        <f>IF(ISBLANK(D983),"",VLOOKUP($A983,INDEX!$D$2:$F$13,3,0))</f>
        <v/>
      </c>
      <c r="AJ983" s="207" t="str">
        <f t="shared" si="143"/>
        <v/>
      </c>
      <c r="AK983" s="207"/>
      <c r="AL983" s="207"/>
      <c r="AM983" s="207" t="str">
        <f>IFERROR(IF(ISBLANK($D983),"",VLOOKUP($N983,'TABLE CHARGE RATE'!$A$30:$K$106,5,0)),"Check")</f>
        <v/>
      </c>
      <c r="AN983" s="207" t="str">
        <f>IFERROR(IF(ISBLANK($D983),"",VLOOKUP($N983,'TABLE CHARGE RATE'!$A$30:$K$106,6,0)),"Check")</f>
        <v/>
      </c>
      <c r="AO983" s="207" t="str">
        <f>IFERROR(IF(ISBLANK($D983),"",VLOOKUP($N983,'TABLE CHARGE RATE'!$A$30:$K$106,7,0)),"Check")</f>
        <v/>
      </c>
      <c r="AP983" s="207" t="str">
        <f>IFERROR(IF(ISBLANK($D983),"",VLOOKUP($N983,'TABLE CHARGE RATE'!$A$30:$K$106,8,0)),"Check")</f>
        <v/>
      </c>
      <c r="AQ983" s="207" t="str">
        <f>IFERROR(IF(ISBLANK($D983),"",VLOOKUP($N983,'TABLE CHARGE RATE'!$A$30:$K$106,9,0)),"Check")</f>
        <v/>
      </c>
      <c r="AR983" s="207" t="str">
        <f>IFERROR(IF(ISBLANK($D983),"",VLOOKUP($N983,'TABLE CHARGE RATE'!$A$30:$K$106,10,0)),"Check")</f>
        <v/>
      </c>
      <c r="AS983" s="207" t="str">
        <f>IFERROR(IF(ISBLANK($D983),"",VLOOKUP($N983,'TABLE CHARGE RATE'!$A$30:$K$106,11,0)),"Check")</f>
        <v/>
      </c>
      <c r="AT983" s="207">
        <f t="shared" si="144"/>
        <v>15</v>
      </c>
    </row>
    <row r="984" spans="1:46" x14ac:dyDescent="0.2">
      <c r="A984" s="207" t="str">
        <f t="shared" si="147"/>
        <v/>
      </c>
      <c r="B984" s="208" t="str">
        <f>IF(ISBLANK(D984),"",VLOOKUP(WEEKDAY($C984,1),INDEX!$J$2:$K$8,2,0))</f>
        <v/>
      </c>
      <c r="C984" s="209"/>
      <c r="D984" s="207"/>
      <c r="E984" s="207"/>
      <c r="F984" s="207"/>
      <c r="G984" s="207"/>
      <c r="H984" s="207"/>
      <c r="I984" s="207"/>
      <c r="J984" s="207"/>
      <c r="K984" s="207"/>
      <c r="L984" s="207"/>
      <c r="M984" s="207"/>
      <c r="N984" s="207"/>
      <c r="O984" s="207"/>
      <c r="P984" s="207"/>
      <c r="Q984" s="207"/>
      <c r="R984" s="207"/>
      <c r="S984" s="207"/>
      <c r="T984" s="207"/>
      <c r="U984" s="209"/>
      <c r="V984" s="207"/>
      <c r="W984" s="207"/>
      <c r="X984" s="209">
        <f t="shared" si="137"/>
        <v>0</v>
      </c>
      <c r="Y984" s="209"/>
      <c r="Z984" s="207" t="str">
        <f t="shared" ca="1" si="138"/>
        <v/>
      </c>
      <c r="AA984" s="209" t="str">
        <f t="shared" si="139"/>
        <v/>
      </c>
      <c r="AB984" s="209"/>
      <c r="AC984" s="207" t="str">
        <f t="shared" ca="1" si="148"/>
        <v/>
      </c>
      <c r="AD984" s="207"/>
      <c r="AE984" s="207"/>
      <c r="AF984" s="208" t="str">
        <f>IF(ISBLANK(D984),"",VLOOKUP(F984,'SIZE CALCULATION'!$F:$G,2,0))</f>
        <v/>
      </c>
      <c r="AG984" s="207" t="str">
        <f t="shared" si="141"/>
        <v/>
      </c>
      <c r="AH984" s="207" t="str">
        <f t="shared" si="142"/>
        <v/>
      </c>
      <c r="AI984" s="210" t="str">
        <f>IF(ISBLANK(D984),"",VLOOKUP($A984,INDEX!$D$2:$F$13,3,0))</f>
        <v/>
      </c>
      <c r="AJ984" s="207" t="str">
        <f t="shared" si="143"/>
        <v/>
      </c>
      <c r="AK984" s="207"/>
      <c r="AL984" s="207"/>
      <c r="AM984" s="207" t="str">
        <f>IFERROR(IF(ISBLANK($D984),"",VLOOKUP($N984,'TABLE CHARGE RATE'!$A$30:$K$106,5,0)),"Check")</f>
        <v/>
      </c>
      <c r="AN984" s="207" t="str">
        <f>IFERROR(IF(ISBLANK($D984),"",VLOOKUP($N984,'TABLE CHARGE RATE'!$A$30:$K$106,6,0)),"Check")</f>
        <v/>
      </c>
      <c r="AO984" s="207" t="str">
        <f>IFERROR(IF(ISBLANK($D984),"",VLOOKUP($N984,'TABLE CHARGE RATE'!$A$30:$K$106,7,0)),"Check")</f>
        <v/>
      </c>
      <c r="AP984" s="207" t="str">
        <f>IFERROR(IF(ISBLANK($D984),"",VLOOKUP($N984,'TABLE CHARGE RATE'!$A$30:$K$106,8,0)),"Check")</f>
        <v/>
      </c>
      <c r="AQ984" s="207" t="str">
        <f>IFERROR(IF(ISBLANK($D984),"",VLOOKUP($N984,'TABLE CHARGE RATE'!$A$30:$K$106,9,0)),"Check")</f>
        <v/>
      </c>
      <c r="AR984" s="207" t="str">
        <f>IFERROR(IF(ISBLANK($D984),"",VLOOKUP($N984,'TABLE CHARGE RATE'!$A$30:$K$106,10,0)),"Check")</f>
        <v/>
      </c>
      <c r="AS984" s="207" t="str">
        <f>IFERROR(IF(ISBLANK($D984),"",VLOOKUP($N984,'TABLE CHARGE RATE'!$A$30:$K$106,11,0)),"Check")</f>
        <v/>
      </c>
      <c r="AT984" s="207">
        <f t="shared" si="144"/>
        <v>16</v>
      </c>
    </row>
    <row r="985" spans="1:46" x14ac:dyDescent="0.2">
      <c r="A985" s="207" t="str">
        <f t="shared" si="147"/>
        <v/>
      </c>
      <c r="B985" s="208" t="str">
        <f>IF(ISBLANK(D985),"",VLOOKUP(WEEKDAY($C985,1),INDEX!$J$2:$K$8,2,0))</f>
        <v/>
      </c>
      <c r="C985" s="209"/>
      <c r="D985" s="207"/>
      <c r="E985" s="207"/>
      <c r="F985" s="207"/>
      <c r="G985" s="207"/>
      <c r="H985" s="207"/>
      <c r="I985" s="207"/>
      <c r="J985" s="207"/>
      <c r="K985" s="207"/>
      <c r="L985" s="207"/>
      <c r="M985" s="207"/>
      <c r="N985" s="207"/>
      <c r="O985" s="207"/>
      <c r="P985" s="207"/>
      <c r="Q985" s="207"/>
      <c r="R985" s="207"/>
      <c r="S985" s="207"/>
      <c r="T985" s="207"/>
      <c r="U985" s="209"/>
      <c r="V985" s="207"/>
      <c r="W985" s="207"/>
      <c r="X985" s="209">
        <f t="shared" si="137"/>
        <v>0</v>
      </c>
      <c r="Y985" s="209"/>
      <c r="Z985" s="207" t="str">
        <f t="shared" ca="1" si="138"/>
        <v/>
      </c>
      <c r="AA985" s="209" t="str">
        <f t="shared" si="139"/>
        <v/>
      </c>
      <c r="AB985" s="209"/>
      <c r="AC985" s="207" t="str">
        <f t="shared" ca="1" si="148"/>
        <v/>
      </c>
      <c r="AD985" s="207"/>
      <c r="AE985" s="207"/>
      <c r="AF985" s="208" t="str">
        <f>IF(ISBLANK(D985),"",VLOOKUP(F985,'SIZE CALCULATION'!$F:$G,2,0))</f>
        <v/>
      </c>
      <c r="AG985" s="207" t="str">
        <f t="shared" si="141"/>
        <v/>
      </c>
      <c r="AH985" s="207" t="str">
        <f t="shared" si="142"/>
        <v/>
      </c>
      <c r="AI985" s="210" t="str">
        <f>IF(ISBLANK(D985),"",VLOOKUP($A985,INDEX!$D$2:$F$13,3,0))</f>
        <v/>
      </c>
      <c r="AJ985" s="207" t="str">
        <f t="shared" si="143"/>
        <v/>
      </c>
      <c r="AK985" s="207"/>
      <c r="AL985" s="207"/>
      <c r="AM985" s="207" t="str">
        <f>IFERROR(IF(ISBLANK($D985),"",VLOOKUP($N985,'TABLE CHARGE RATE'!$A$30:$K$106,5,0)),"Check")</f>
        <v/>
      </c>
      <c r="AN985" s="207" t="str">
        <f>IFERROR(IF(ISBLANK($D985),"",VLOOKUP($N985,'TABLE CHARGE RATE'!$A$30:$K$106,6,0)),"Check")</f>
        <v/>
      </c>
      <c r="AO985" s="207" t="str">
        <f>IFERROR(IF(ISBLANK($D985),"",VLOOKUP($N985,'TABLE CHARGE RATE'!$A$30:$K$106,7,0)),"Check")</f>
        <v/>
      </c>
      <c r="AP985" s="207" t="str">
        <f>IFERROR(IF(ISBLANK($D985),"",VLOOKUP($N985,'TABLE CHARGE RATE'!$A$30:$K$106,8,0)),"Check")</f>
        <v/>
      </c>
      <c r="AQ985" s="207" t="str">
        <f>IFERROR(IF(ISBLANK($D985),"",VLOOKUP($N985,'TABLE CHARGE RATE'!$A$30:$K$106,9,0)),"Check")</f>
        <v/>
      </c>
      <c r="AR985" s="207" t="str">
        <f>IFERROR(IF(ISBLANK($D985),"",VLOOKUP($N985,'TABLE CHARGE RATE'!$A$30:$K$106,10,0)),"Check")</f>
        <v/>
      </c>
      <c r="AS985" s="207" t="str">
        <f>IFERROR(IF(ISBLANK($D985),"",VLOOKUP($N985,'TABLE CHARGE RATE'!$A$30:$K$106,11,0)),"Check")</f>
        <v/>
      </c>
      <c r="AT985" s="207">
        <f t="shared" si="144"/>
        <v>17</v>
      </c>
    </row>
    <row r="986" spans="1:46" x14ac:dyDescent="0.2">
      <c r="A986" s="207" t="str">
        <f t="shared" si="147"/>
        <v/>
      </c>
      <c r="B986" s="208" t="str">
        <f>IF(ISBLANK(D986),"",VLOOKUP(WEEKDAY($C986,1),INDEX!$J$2:$K$8,2,0))</f>
        <v/>
      </c>
      <c r="C986" s="209"/>
      <c r="D986" s="207"/>
      <c r="E986" s="207"/>
      <c r="F986" s="207"/>
      <c r="G986" s="207"/>
      <c r="H986" s="207"/>
      <c r="I986" s="207"/>
      <c r="J986" s="207"/>
      <c r="K986" s="207"/>
      <c r="L986" s="207"/>
      <c r="M986" s="207"/>
      <c r="N986" s="207"/>
      <c r="O986" s="207"/>
      <c r="P986" s="207"/>
      <c r="Q986" s="207"/>
      <c r="R986" s="207"/>
      <c r="S986" s="207"/>
      <c r="T986" s="207"/>
      <c r="U986" s="209"/>
      <c r="V986" s="207"/>
      <c r="W986" s="207"/>
      <c r="X986" s="209">
        <f t="shared" si="137"/>
        <v>0</v>
      </c>
      <c r="Y986" s="209"/>
      <c r="Z986" s="207" t="str">
        <f t="shared" ca="1" si="138"/>
        <v/>
      </c>
      <c r="AA986" s="209" t="str">
        <f t="shared" si="139"/>
        <v/>
      </c>
      <c r="AB986" s="209"/>
      <c r="AC986" s="207" t="str">
        <f t="shared" ca="1" si="148"/>
        <v/>
      </c>
      <c r="AD986" s="207"/>
      <c r="AE986" s="207"/>
      <c r="AF986" s="208" t="str">
        <f>IF(ISBLANK(D986),"",VLOOKUP(F986,'SIZE CALCULATION'!$F:$G,2,0))</f>
        <v/>
      </c>
      <c r="AG986" s="207" t="str">
        <f t="shared" si="141"/>
        <v/>
      </c>
      <c r="AH986" s="207" t="str">
        <f t="shared" si="142"/>
        <v/>
      </c>
      <c r="AI986" s="210" t="str">
        <f>IF(ISBLANK(D986),"",VLOOKUP($A986,INDEX!$D$2:$F$13,3,0))</f>
        <v/>
      </c>
      <c r="AJ986" s="207" t="str">
        <f t="shared" si="143"/>
        <v/>
      </c>
      <c r="AK986" s="207"/>
      <c r="AL986" s="207"/>
      <c r="AM986" s="207" t="str">
        <f>IFERROR(IF(ISBLANK($D986),"",VLOOKUP($N986,'TABLE CHARGE RATE'!$A$30:$K$106,5,0)),"Check")</f>
        <v/>
      </c>
      <c r="AN986" s="207" t="str">
        <f>IFERROR(IF(ISBLANK($D986),"",VLOOKUP($N986,'TABLE CHARGE RATE'!$A$30:$K$106,6,0)),"Check")</f>
        <v/>
      </c>
      <c r="AO986" s="207" t="str">
        <f>IFERROR(IF(ISBLANK($D986),"",VLOOKUP($N986,'TABLE CHARGE RATE'!$A$30:$K$106,7,0)),"Check")</f>
        <v/>
      </c>
      <c r="AP986" s="207" t="str">
        <f>IFERROR(IF(ISBLANK($D986),"",VLOOKUP($N986,'TABLE CHARGE RATE'!$A$30:$K$106,8,0)),"Check")</f>
        <v/>
      </c>
      <c r="AQ986" s="207" t="str">
        <f>IFERROR(IF(ISBLANK($D986),"",VLOOKUP($N986,'TABLE CHARGE RATE'!$A$30:$K$106,9,0)),"Check")</f>
        <v/>
      </c>
      <c r="AR986" s="207" t="str">
        <f>IFERROR(IF(ISBLANK($D986),"",VLOOKUP($N986,'TABLE CHARGE RATE'!$A$30:$K$106,10,0)),"Check")</f>
        <v/>
      </c>
      <c r="AS986" s="207" t="str">
        <f>IFERROR(IF(ISBLANK($D986),"",VLOOKUP($N986,'TABLE CHARGE RATE'!$A$30:$K$106,11,0)),"Check")</f>
        <v/>
      </c>
      <c r="AT986" s="207">
        <f t="shared" si="144"/>
        <v>18</v>
      </c>
    </row>
  </sheetData>
  <autoFilter ref="A1:AT986"/>
  <pageMargins left="0.75" right="0.75" top="1" bottom="1" header="0.5" footer="0.5"/>
  <pageSetup paperSize="9" orientation="portrait" r:id="rId1"/>
  <headerFooter alignWithMargins="0">
    <oddHeader>&amp;A</oddHeader>
    <oddFooter>Page &amp;P</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14:formula1>
            <xm:f>INDEX!$A$2:$A$28</xm:f>
          </x14:formula1>
          <xm:sqref>AD2:AD966 AD969:AD986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J1123"/>
  <sheetViews>
    <sheetView showGridLines="0" topLeftCell="B1" zoomScaleNormal="100" workbookViewId="0">
      <selection activeCell="F31" sqref="F31"/>
    </sheetView>
  </sheetViews>
  <sheetFormatPr defaultRowHeight="12.75" x14ac:dyDescent="0.2"/>
  <cols>
    <col min="1" max="1" width="14.28515625" customWidth="1"/>
    <col min="2" max="2" width="16.28515625" bestFit="1" customWidth="1"/>
    <col min="3" max="5" width="25" customWidth="1"/>
    <col min="6" max="9" width="18.85546875" customWidth="1"/>
    <col min="10" max="10" width="17.85546875" customWidth="1"/>
  </cols>
  <sheetData>
    <row r="1" spans="1:10" ht="15.75" x14ac:dyDescent="0.25">
      <c r="A1" s="65" t="s">
        <v>336</v>
      </c>
      <c r="B1" s="66"/>
    </row>
    <row r="2" spans="1:10" x14ac:dyDescent="0.2">
      <c r="A2" s="67"/>
      <c r="B2" s="67"/>
      <c r="C2" s="201" t="s">
        <v>525</v>
      </c>
    </row>
    <row r="3" spans="1:10" x14ac:dyDescent="0.2">
      <c r="A3" s="67" t="s">
        <v>337</v>
      </c>
      <c r="B3" s="68">
        <f ca="1">IF(ISBLANK(C3),TODAY(),C3)</f>
        <v>43891</v>
      </c>
      <c r="C3" s="198">
        <v>43891</v>
      </c>
    </row>
    <row r="4" spans="1:10" x14ac:dyDescent="0.2">
      <c r="A4" s="67" t="s">
        <v>338</v>
      </c>
      <c r="B4" s="67">
        <f ca="1">MONTH(B3)</f>
        <v>3</v>
      </c>
    </row>
    <row r="5" spans="1:10" x14ac:dyDescent="0.2">
      <c r="A5" s="67" t="s">
        <v>339</v>
      </c>
      <c r="B5" s="68">
        <f ca="1">EOMONTH($B$3,-1)+1</f>
        <v>43891</v>
      </c>
    </row>
    <row r="6" spans="1:10" x14ac:dyDescent="0.2">
      <c r="A6" s="67" t="s">
        <v>340</v>
      </c>
      <c r="B6" s="68">
        <f ca="1">EOMONTH($B$3,0)</f>
        <v>43921</v>
      </c>
    </row>
    <row r="8" spans="1:10" x14ac:dyDescent="0.2">
      <c r="C8" s="69" t="s">
        <v>341</v>
      </c>
      <c r="D8" s="69" t="s">
        <v>342</v>
      </c>
      <c r="E8" s="69" t="s">
        <v>343</v>
      </c>
    </row>
    <row r="9" spans="1:10" x14ac:dyDescent="0.2">
      <c r="C9" s="70">
        <f>MIN($A:$A)</f>
        <v>43892</v>
      </c>
      <c r="D9" s="70">
        <f>MAX($A:$A)</f>
        <v>43907</v>
      </c>
      <c r="E9" s="71">
        <f>SUM($J:$J)</f>
        <v>2279</v>
      </c>
      <c r="G9" s="91"/>
    </row>
    <row r="13" spans="1:10" x14ac:dyDescent="0.2">
      <c r="A13" s="63" t="s">
        <v>287</v>
      </c>
      <c r="B13" t="s">
        <v>327</v>
      </c>
    </row>
    <row r="14" spans="1:10" ht="13.5" thickBot="1" x14ac:dyDescent="0.25"/>
    <row r="15" spans="1:10" x14ac:dyDescent="0.2">
      <c r="E15" s="63" t="s">
        <v>331</v>
      </c>
      <c r="J15" s="238"/>
    </row>
    <row r="16" spans="1:10" x14ac:dyDescent="0.2">
      <c r="A16" s="63" t="s">
        <v>0</v>
      </c>
      <c r="B16" s="63" t="s">
        <v>2</v>
      </c>
      <c r="C16" s="63" t="s">
        <v>30</v>
      </c>
      <c r="D16" s="63" t="s">
        <v>1</v>
      </c>
      <c r="E16" t="s">
        <v>330</v>
      </c>
      <c r="F16" t="s">
        <v>332</v>
      </c>
      <c r="G16" t="s">
        <v>333</v>
      </c>
      <c r="H16" t="s">
        <v>334</v>
      </c>
      <c r="I16" t="s">
        <v>335</v>
      </c>
      <c r="J16" s="239" t="s">
        <v>534</v>
      </c>
    </row>
    <row r="17" spans="1:10" x14ac:dyDescent="0.2">
      <c r="A17" s="273">
        <v>43892</v>
      </c>
      <c r="B17" t="s">
        <v>552</v>
      </c>
      <c r="C17" t="s">
        <v>71</v>
      </c>
      <c r="D17" t="s">
        <v>592</v>
      </c>
      <c r="E17" s="62">
        <v>2</v>
      </c>
      <c r="F17" s="62"/>
      <c r="G17" s="62"/>
      <c r="H17" s="62">
        <v>129</v>
      </c>
      <c r="I17" s="64">
        <v>258</v>
      </c>
      <c r="J17">
        <f>IF(ISBLANK($B17),"",IF($I17&lt;120,120,$I17))</f>
        <v>258</v>
      </c>
    </row>
    <row r="18" spans="1:10" x14ac:dyDescent="0.2">
      <c r="A18" s="273">
        <v>43895</v>
      </c>
      <c r="B18" t="s">
        <v>552</v>
      </c>
      <c r="C18" t="s">
        <v>70</v>
      </c>
      <c r="D18" t="s">
        <v>596</v>
      </c>
      <c r="E18" s="62">
        <v>1</v>
      </c>
      <c r="F18" s="62"/>
      <c r="G18" s="62"/>
      <c r="H18" s="62">
        <v>86</v>
      </c>
      <c r="I18" s="64">
        <v>86</v>
      </c>
      <c r="J18">
        <f t="shared" ref="J18:J81" si="0">IF(ISBLANK($B18),"",IF($I18&lt;120,120,$I18))</f>
        <v>120</v>
      </c>
    </row>
    <row r="19" spans="1:10" x14ac:dyDescent="0.2">
      <c r="A19" s="273">
        <v>43899</v>
      </c>
      <c r="B19" t="s">
        <v>552</v>
      </c>
      <c r="C19" t="s">
        <v>71</v>
      </c>
      <c r="D19" t="s">
        <v>599</v>
      </c>
      <c r="E19" s="62">
        <v>1</v>
      </c>
      <c r="F19" s="62"/>
      <c r="G19" s="62"/>
      <c r="H19" s="62">
        <v>129</v>
      </c>
      <c r="I19" s="64">
        <v>129</v>
      </c>
      <c r="J19">
        <f t="shared" si="0"/>
        <v>129</v>
      </c>
    </row>
    <row r="20" spans="1:10" x14ac:dyDescent="0.2">
      <c r="A20" s="273">
        <v>43900</v>
      </c>
      <c r="B20" t="s">
        <v>588</v>
      </c>
      <c r="C20" t="s">
        <v>69</v>
      </c>
      <c r="D20" t="s">
        <v>602</v>
      </c>
      <c r="E20" s="62">
        <v>3</v>
      </c>
      <c r="F20" s="62"/>
      <c r="G20" s="62"/>
      <c r="H20" s="62">
        <v>52</v>
      </c>
      <c r="I20" s="64">
        <v>150</v>
      </c>
      <c r="J20">
        <f t="shared" si="0"/>
        <v>150</v>
      </c>
    </row>
    <row r="21" spans="1:10" x14ac:dyDescent="0.2">
      <c r="A21" s="273">
        <v>43904</v>
      </c>
      <c r="B21" t="s">
        <v>608</v>
      </c>
      <c r="C21" t="s">
        <v>70</v>
      </c>
      <c r="D21" t="s">
        <v>607</v>
      </c>
      <c r="E21" s="62">
        <v>1</v>
      </c>
      <c r="F21" s="62"/>
      <c r="G21" s="62"/>
      <c r="H21" s="62">
        <v>100</v>
      </c>
      <c r="I21" s="64">
        <v>100</v>
      </c>
      <c r="J21">
        <f t="shared" si="0"/>
        <v>120</v>
      </c>
    </row>
    <row r="22" spans="1:10" x14ac:dyDescent="0.2">
      <c r="A22" s="273">
        <v>43906</v>
      </c>
      <c r="B22" t="s">
        <v>552</v>
      </c>
      <c r="C22" t="s">
        <v>68</v>
      </c>
      <c r="D22" t="s">
        <v>614</v>
      </c>
      <c r="E22" s="62">
        <v>10</v>
      </c>
      <c r="F22" s="62"/>
      <c r="G22" s="62"/>
      <c r="H22" s="62">
        <v>45</v>
      </c>
      <c r="I22" s="64">
        <v>378</v>
      </c>
      <c r="J22">
        <f t="shared" si="0"/>
        <v>378</v>
      </c>
    </row>
    <row r="23" spans="1:10" x14ac:dyDescent="0.2">
      <c r="A23" s="273">
        <v>43907</v>
      </c>
      <c r="B23" t="s">
        <v>551</v>
      </c>
      <c r="C23" t="s">
        <v>70</v>
      </c>
      <c r="D23" t="s">
        <v>634</v>
      </c>
      <c r="E23" s="62">
        <v>2</v>
      </c>
      <c r="F23" s="62"/>
      <c r="G23" s="62"/>
      <c r="H23" s="62">
        <v>111</v>
      </c>
      <c r="I23" s="64">
        <v>220</v>
      </c>
      <c r="J23">
        <f t="shared" si="0"/>
        <v>220</v>
      </c>
    </row>
    <row r="24" spans="1:10" x14ac:dyDescent="0.2">
      <c r="A24" s="273">
        <v>43907</v>
      </c>
      <c r="B24" t="s">
        <v>627</v>
      </c>
      <c r="C24" t="s">
        <v>71</v>
      </c>
      <c r="D24" t="s">
        <v>626</v>
      </c>
      <c r="E24" s="62">
        <v>1</v>
      </c>
      <c r="F24" s="62"/>
      <c r="G24" s="62"/>
      <c r="H24" s="62">
        <v>166</v>
      </c>
      <c r="I24" s="64">
        <v>166</v>
      </c>
      <c r="J24">
        <f t="shared" si="0"/>
        <v>166</v>
      </c>
    </row>
    <row r="25" spans="1:10" x14ac:dyDescent="0.2">
      <c r="A25" s="273">
        <v>43907</v>
      </c>
      <c r="B25" t="s">
        <v>627</v>
      </c>
      <c r="C25" t="s">
        <v>70</v>
      </c>
      <c r="D25" t="s">
        <v>626</v>
      </c>
      <c r="E25" s="62">
        <v>1</v>
      </c>
      <c r="F25" s="62"/>
      <c r="G25" s="62"/>
      <c r="H25" s="62">
        <v>86</v>
      </c>
      <c r="I25" s="64">
        <v>86</v>
      </c>
      <c r="J25">
        <f t="shared" si="0"/>
        <v>120</v>
      </c>
    </row>
    <row r="26" spans="1:10" x14ac:dyDescent="0.2">
      <c r="A26" s="273">
        <v>43907</v>
      </c>
      <c r="B26" t="s">
        <v>638</v>
      </c>
      <c r="C26" t="s">
        <v>71</v>
      </c>
      <c r="D26" t="s">
        <v>637</v>
      </c>
      <c r="E26" s="62">
        <v>3</v>
      </c>
      <c r="F26" s="62"/>
      <c r="G26" s="62"/>
      <c r="H26" s="62">
        <v>166</v>
      </c>
      <c r="I26" s="64">
        <v>498</v>
      </c>
      <c r="J26">
        <f t="shared" si="0"/>
        <v>498</v>
      </c>
    </row>
    <row r="27" spans="1:10" x14ac:dyDescent="0.2">
      <c r="A27" s="273">
        <v>43907</v>
      </c>
      <c r="B27" t="s">
        <v>638</v>
      </c>
      <c r="C27" t="s">
        <v>69</v>
      </c>
      <c r="D27" t="s">
        <v>637</v>
      </c>
      <c r="E27" s="62">
        <v>1</v>
      </c>
      <c r="F27" s="62"/>
      <c r="G27" s="62"/>
      <c r="H27" s="62">
        <v>58</v>
      </c>
      <c r="I27" s="64">
        <v>58</v>
      </c>
      <c r="J27">
        <f t="shared" si="0"/>
        <v>120</v>
      </c>
    </row>
    <row r="28" spans="1:10" x14ac:dyDescent="0.2">
      <c r="J28" t="str">
        <f t="shared" si="0"/>
        <v/>
      </c>
    </row>
    <row r="29" spans="1:10" x14ac:dyDescent="0.2">
      <c r="J29" t="str">
        <f t="shared" si="0"/>
        <v/>
      </c>
    </row>
    <row r="30" spans="1:10" x14ac:dyDescent="0.2">
      <c r="J30" t="str">
        <f t="shared" si="0"/>
        <v/>
      </c>
    </row>
    <row r="31" spans="1:10" x14ac:dyDescent="0.2">
      <c r="J31" t="str">
        <f t="shared" si="0"/>
        <v/>
      </c>
    </row>
    <row r="32" spans="1:10" x14ac:dyDescent="0.2">
      <c r="J32" t="str">
        <f t="shared" si="0"/>
        <v/>
      </c>
    </row>
    <row r="33" spans="10:10" x14ac:dyDescent="0.2">
      <c r="J33" t="str">
        <f t="shared" si="0"/>
        <v/>
      </c>
    </row>
    <row r="34" spans="10:10" x14ac:dyDescent="0.2">
      <c r="J34" t="str">
        <f t="shared" si="0"/>
        <v/>
      </c>
    </row>
    <row r="35" spans="10:10" x14ac:dyDescent="0.2">
      <c r="J35" t="str">
        <f t="shared" si="0"/>
        <v/>
      </c>
    </row>
    <row r="36" spans="10:10" x14ac:dyDescent="0.2">
      <c r="J36" t="str">
        <f t="shared" si="0"/>
        <v/>
      </c>
    </row>
    <row r="37" spans="10:10" x14ac:dyDescent="0.2">
      <c r="J37" t="str">
        <f t="shared" si="0"/>
        <v/>
      </c>
    </row>
    <row r="38" spans="10:10" x14ac:dyDescent="0.2">
      <c r="J38" t="str">
        <f t="shared" si="0"/>
        <v/>
      </c>
    </row>
    <row r="39" spans="10:10" x14ac:dyDescent="0.2">
      <c r="J39" t="str">
        <f t="shared" si="0"/>
        <v/>
      </c>
    </row>
    <row r="40" spans="10:10" x14ac:dyDescent="0.2">
      <c r="J40" t="str">
        <f t="shared" si="0"/>
        <v/>
      </c>
    </row>
    <row r="41" spans="10:10" x14ac:dyDescent="0.2">
      <c r="J41" t="str">
        <f t="shared" si="0"/>
        <v/>
      </c>
    </row>
    <row r="42" spans="10:10" x14ac:dyDescent="0.2">
      <c r="J42" t="str">
        <f t="shared" si="0"/>
        <v/>
      </c>
    </row>
    <row r="43" spans="10:10" x14ac:dyDescent="0.2">
      <c r="J43" t="str">
        <f t="shared" si="0"/>
        <v/>
      </c>
    </row>
    <row r="44" spans="10:10" x14ac:dyDescent="0.2">
      <c r="J44" t="str">
        <f t="shared" si="0"/>
        <v/>
      </c>
    </row>
    <row r="45" spans="10:10" x14ac:dyDescent="0.2">
      <c r="J45" t="str">
        <f t="shared" si="0"/>
        <v/>
      </c>
    </row>
    <row r="46" spans="10:10" x14ac:dyDescent="0.2">
      <c r="J46" t="str">
        <f t="shared" si="0"/>
        <v/>
      </c>
    </row>
    <row r="47" spans="10:10" x14ac:dyDescent="0.2">
      <c r="J47" t="str">
        <f t="shared" si="0"/>
        <v/>
      </c>
    </row>
    <row r="48" spans="10:10" x14ac:dyDescent="0.2">
      <c r="J48" t="str">
        <f t="shared" si="0"/>
        <v/>
      </c>
    </row>
    <row r="49" spans="10:10" x14ac:dyDescent="0.2">
      <c r="J49" t="str">
        <f t="shared" si="0"/>
        <v/>
      </c>
    </row>
    <row r="50" spans="10:10" x14ac:dyDescent="0.2">
      <c r="J50" t="str">
        <f t="shared" si="0"/>
        <v/>
      </c>
    </row>
    <row r="51" spans="10:10" x14ac:dyDescent="0.2">
      <c r="J51" t="str">
        <f t="shared" si="0"/>
        <v/>
      </c>
    </row>
    <row r="52" spans="10:10" x14ac:dyDescent="0.2">
      <c r="J52" t="str">
        <f t="shared" si="0"/>
        <v/>
      </c>
    </row>
    <row r="53" spans="10:10" x14ac:dyDescent="0.2">
      <c r="J53" t="str">
        <f t="shared" si="0"/>
        <v/>
      </c>
    </row>
    <row r="54" spans="10:10" x14ac:dyDescent="0.2">
      <c r="J54" t="str">
        <f t="shared" si="0"/>
        <v/>
      </c>
    </row>
    <row r="55" spans="10:10" x14ac:dyDescent="0.2">
      <c r="J55" t="str">
        <f t="shared" si="0"/>
        <v/>
      </c>
    </row>
    <row r="56" spans="10:10" x14ac:dyDescent="0.2">
      <c r="J56" t="str">
        <f t="shared" si="0"/>
        <v/>
      </c>
    </row>
    <row r="57" spans="10:10" x14ac:dyDescent="0.2">
      <c r="J57" t="str">
        <f t="shared" si="0"/>
        <v/>
      </c>
    </row>
    <row r="58" spans="10:10" x14ac:dyDescent="0.2">
      <c r="J58" t="str">
        <f t="shared" si="0"/>
        <v/>
      </c>
    </row>
    <row r="59" spans="10:10" x14ac:dyDescent="0.2">
      <c r="J59" t="str">
        <f t="shared" si="0"/>
        <v/>
      </c>
    </row>
    <row r="60" spans="10:10" x14ac:dyDescent="0.2">
      <c r="J60" t="str">
        <f t="shared" si="0"/>
        <v/>
      </c>
    </row>
    <row r="61" spans="10:10" x14ac:dyDescent="0.2">
      <c r="J61" t="str">
        <f t="shared" si="0"/>
        <v/>
      </c>
    </row>
    <row r="62" spans="10:10" x14ac:dyDescent="0.2">
      <c r="J62" t="str">
        <f t="shared" si="0"/>
        <v/>
      </c>
    </row>
    <row r="63" spans="10:10" x14ac:dyDescent="0.2">
      <c r="J63" t="str">
        <f t="shared" si="0"/>
        <v/>
      </c>
    </row>
    <row r="64" spans="10:10" x14ac:dyDescent="0.2">
      <c r="J64" t="str">
        <f t="shared" si="0"/>
        <v/>
      </c>
    </row>
    <row r="65" spans="10:10" x14ac:dyDescent="0.2">
      <c r="J65" t="str">
        <f t="shared" si="0"/>
        <v/>
      </c>
    </row>
    <row r="66" spans="10:10" x14ac:dyDescent="0.2">
      <c r="J66" t="str">
        <f t="shared" si="0"/>
        <v/>
      </c>
    </row>
    <row r="67" spans="10:10" x14ac:dyDescent="0.2">
      <c r="J67" t="str">
        <f t="shared" si="0"/>
        <v/>
      </c>
    </row>
    <row r="68" spans="10:10" x14ac:dyDescent="0.2">
      <c r="J68" t="str">
        <f t="shared" si="0"/>
        <v/>
      </c>
    </row>
    <row r="69" spans="10:10" x14ac:dyDescent="0.2">
      <c r="J69" t="str">
        <f t="shared" si="0"/>
        <v/>
      </c>
    </row>
    <row r="70" spans="10:10" x14ac:dyDescent="0.2">
      <c r="J70" t="str">
        <f t="shared" si="0"/>
        <v/>
      </c>
    </row>
    <row r="71" spans="10:10" x14ac:dyDescent="0.2">
      <c r="J71" t="str">
        <f t="shared" si="0"/>
        <v/>
      </c>
    </row>
    <row r="72" spans="10:10" x14ac:dyDescent="0.2">
      <c r="J72" t="str">
        <f t="shared" si="0"/>
        <v/>
      </c>
    </row>
    <row r="73" spans="10:10" x14ac:dyDescent="0.2">
      <c r="J73" t="str">
        <f t="shared" si="0"/>
        <v/>
      </c>
    </row>
    <row r="74" spans="10:10" x14ac:dyDescent="0.2">
      <c r="J74" t="str">
        <f t="shared" si="0"/>
        <v/>
      </c>
    </row>
    <row r="75" spans="10:10" x14ac:dyDescent="0.2">
      <c r="J75" t="str">
        <f t="shared" si="0"/>
        <v/>
      </c>
    </row>
    <row r="76" spans="10:10" x14ac:dyDescent="0.2">
      <c r="J76" t="str">
        <f t="shared" si="0"/>
        <v/>
      </c>
    </row>
    <row r="77" spans="10:10" x14ac:dyDescent="0.2">
      <c r="J77" t="str">
        <f t="shared" si="0"/>
        <v/>
      </c>
    </row>
    <row r="78" spans="10:10" x14ac:dyDescent="0.2">
      <c r="J78" t="str">
        <f t="shared" si="0"/>
        <v/>
      </c>
    </row>
    <row r="79" spans="10:10" x14ac:dyDescent="0.2">
      <c r="J79" t="str">
        <f t="shared" si="0"/>
        <v/>
      </c>
    </row>
    <row r="80" spans="10:10" x14ac:dyDescent="0.2">
      <c r="J80" t="str">
        <f t="shared" si="0"/>
        <v/>
      </c>
    </row>
    <row r="81" spans="10:10" x14ac:dyDescent="0.2">
      <c r="J81" t="str">
        <f t="shared" si="0"/>
        <v/>
      </c>
    </row>
    <row r="82" spans="10:10" x14ac:dyDescent="0.2">
      <c r="J82" t="str">
        <f t="shared" ref="J82:J145" si="1">IF(ISBLANK($B82),"",IF($I82&lt;120,120,$I82))</f>
        <v/>
      </c>
    </row>
    <row r="83" spans="10:10" x14ac:dyDescent="0.2">
      <c r="J83" t="str">
        <f t="shared" si="1"/>
        <v/>
      </c>
    </row>
    <row r="84" spans="10:10" x14ac:dyDescent="0.2">
      <c r="J84" t="str">
        <f t="shared" si="1"/>
        <v/>
      </c>
    </row>
    <row r="85" spans="10:10" x14ac:dyDescent="0.2">
      <c r="J85" t="str">
        <f t="shared" si="1"/>
        <v/>
      </c>
    </row>
    <row r="86" spans="10:10" x14ac:dyDescent="0.2">
      <c r="J86" t="str">
        <f t="shared" si="1"/>
        <v/>
      </c>
    </row>
    <row r="87" spans="10:10" x14ac:dyDescent="0.2">
      <c r="J87" t="str">
        <f t="shared" si="1"/>
        <v/>
      </c>
    </row>
    <row r="88" spans="10:10" x14ac:dyDescent="0.2">
      <c r="J88" t="str">
        <f t="shared" si="1"/>
        <v/>
      </c>
    </row>
    <row r="89" spans="10:10" x14ac:dyDescent="0.2">
      <c r="J89" t="str">
        <f t="shared" si="1"/>
        <v/>
      </c>
    </row>
    <row r="90" spans="10:10" x14ac:dyDescent="0.2">
      <c r="J90" t="str">
        <f t="shared" si="1"/>
        <v/>
      </c>
    </row>
    <row r="91" spans="10:10" x14ac:dyDescent="0.2">
      <c r="J91" t="str">
        <f t="shared" si="1"/>
        <v/>
      </c>
    </row>
    <row r="92" spans="10:10" x14ac:dyDescent="0.2">
      <c r="J92" t="str">
        <f t="shared" si="1"/>
        <v/>
      </c>
    </row>
    <row r="93" spans="10:10" x14ac:dyDescent="0.2">
      <c r="J93" t="str">
        <f t="shared" si="1"/>
        <v/>
      </c>
    </row>
    <row r="94" spans="10:10" x14ac:dyDescent="0.2">
      <c r="J94" t="str">
        <f t="shared" si="1"/>
        <v/>
      </c>
    </row>
    <row r="95" spans="10:10" x14ac:dyDescent="0.2">
      <c r="J95" t="str">
        <f t="shared" si="1"/>
        <v/>
      </c>
    </row>
    <row r="96" spans="10:10" x14ac:dyDescent="0.2">
      <c r="J96" t="str">
        <f t="shared" si="1"/>
        <v/>
      </c>
    </row>
    <row r="97" spans="10:10" x14ac:dyDescent="0.2">
      <c r="J97" t="str">
        <f t="shared" si="1"/>
        <v/>
      </c>
    </row>
    <row r="98" spans="10:10" x14ac:dyDescent="0.2">
      <c r="J98" t="str">
        <f t="shared" si="1"/>
        <v/>
      </c>
    </row>
    <row r="99" spans="10:10" x14ac:dyDescent="0.2">
      <c r="J99" t="str">
        <f t="shared" si="1"/>
        <v/>
      </c>
    </row>
    <row r="100" spans="10:10" x14ac:dyDescent="0.2">
      <c r="J100" t="str">
        <f t="shared" si="1"/>
        <v/>
      </c>
    </row>
    <row r="101" spans="10:10" x14ac:dyDescent="0.2">
      <c r="J101" t="str">
        <f t="shared" si="1"/>
        <v/>
      </c>
    </row>
    <row r="102" spans="10:10" x14ac:dyDescent="0.2">
      <c r="J102" t="str">
        <f t="shared" si="1"/>
        <v/>
      </c>
    </row>
    <row r="103" spans="10:10" x14ac:dyDescent="0.2">
      <c r="J103" t="str">
        <f t="shared" si="1"/>
        <v/>
      </c>
    </row>
    <row r="104" spans="10:10" x14ac:dyDescent="0.2">
      <c r="J104" t="str">
        <f t="shared" si="1"/>
        <v/>
      </c>
    </row>
    <row r="105" spans="10:10" x14ac:dyDescent="0.2">
      <c r="J105" t="str">
        <f t="shared" si="1"/>
        <v/>
      </c>
    </row>
    <row r="106" spans="10:10" x14ac:dyDescent="0.2">
      <c r="J106" t="str">
        <f t="shared" si="1"/>
        <v/>
      </c>
    </row>
    <row r="107" spans="10:10" x14ac:dyDescent="0.2">
      <c r="J107" t="str">
        <f t="shared" si="1"/>
        <v/>
      </c>
    </row>
    <row r="108" spans="10:10" x14ac:dyDescent="0.2">
      <c r="J108" t="str">
        <f t="shared" si="1"/>
        <v/>
      </c>
    </row>
    <row r="109" spans="10:10" x14ac:dyDescent="0.2">
      <c r="J109" t="str">
        <f t="shared" si="1"/>
        <v/>
      </c>
    </row>
    <row r="110" spans="10:10" x14ac:dyDescent="0.2">
      <c r="J110" t="str">
        <f t="shared" si="1"/>
        <v/>
      </c>
    </row>
    <row r="111" spans="10:10" x14ac:dyDescent="0.2">
      <c r="J111" t="str">
        <f t="shared" si="1"/>
        <v/>
      </c>
    </row>
    <row r="112" spans="10:10" x14ac:dyDescent="0.2">
      <c r="J112" t="str">
        <f t="shared" si="1"/>
        <v/>
      </c>
    </row>
    <row r="113" spans="10:10" x14ac:dyDescent="0.2">
      <c r="J113" t="str">
        <f t="shared" si="1"/>
        <v/>
      </c>
    </row>
    <row r="114" spans="10:10" x14ac:dyDescent="0.2">
      <c r="J114" t="str">
        <f t="shared" si="1"/>
        <v/>
      </c>
    </row>
    <row r="115" spans="10:10" x14ac:dyDescent="0.2">
      <c r="J115" t="str">
        <f t="shared" si="1"/>
        <v/>
      </c>
    </row>
    <row r="116" spans="10:10" x14ac:dyDescent="0.2">
      <c r="J116" t="str">
        <f t="shared" si="1"/>
        <v/>
      </c>
    </row>
    <row r="117" spans="10:10" x14ac:dyDescent="0.2">
      <c r="J117" t="str">
        <f t="shared" si="1"/>
        <v/>
      </c>
    </row>
    <row r="118" spans="10:10" x14ac:dyDescent="0.2">
      <c r="J118" t="str">
        <f t="shared" si="1"/>
        <v/>
      </c>
    </row>
    <row r="119" spans="10:10" x14ac:dyDescent="0.2">
      <c r="J119" t="str">
        <f t="shared" si="1"/>
        <v/>
      </c>
    </row>
    <row r="120" spans="10:10" x14ac:dyDescent="0.2">
      <c r="J120" t="str">
        <f t="shared" si="1"/>
        <v/>
      </c>
    </row>
    <row r="121" spans="10:10" x14ac:dyDescent="0.2">
      <c r="J121" t="str">
        <f t="shared" si="1"/>
        <v/>
      </c>
    </row>
    <row r="122" spans="10:10" x14ac:dyDescent="0.2">
      <c r="J122" t="str">
        <f t="shared" si="1"/>
        <v/>
      </c>
    </row>
    <row r="123" spans="10:10" x14ac:dyDescent="0.2">
      <c r="J123" t="str">
        <f t="shared" si="1"/>
        <v/>
      </c>
    </row>
    <row r="124" spans="10:10" x14ac:dyDescent="0.2">
      <c r="J124" t="str">
        <f t="shared" si="1"/>
        <v/>
      </c>
    </row>
    <row r="125" spans="10:10" x14ac:dyDescent="0.2">
      <c r="J125" t="str">
        <f t="shared" si="1"/>
        <v/>
      </c>
    </row>
    <row r="126" spans="10:10" x14ac:dyDescent="0.2">
      <c r="J126" t="str">
        <f t="shared" si="1"/>
        <v/>
      </c>
    </row>
    <row r="127" spans="10:10" x14ac:dyDescent="0.2">
      <c r="J127" t="str">
        <f t="shared" si="1"/>
        <v/>
      </c>
    </row>
    <row r="128" spans="10:10" x14ac:dyDescent="0.2">
      <c r="J128" t="str">
        <f t="shared" si="1"/>
        <v/>
      </c>
    </row>
    <row r="129" spans="10:10" x14ac:dyDescent="0.2">
      <c r="J129" t="str">
        <f t="shared" si="1"/>
        <v/>
      </c>
    </row>
    <row r="130" spans="10:10" x14ac:dyDescent="0.2">
      <c r="J130" t="str">
        <f t="shared" si="1"/>
        <v/>
      </c>
    </row>
    <row r="131" spans="10:10" x14ac:dyDescent="0.2">
      <c r="J131" t="str">
        <f t="shared" si="1"/>
        <v/>
      </c>
    </row>
    <row r="132" spans="10:10" x14ac:dyDescent="0.2">
      <c r="J132" t="str">
        <f t="shared" si="1"/>
        <v/>
      </c>
    </row>
    <row r="133" spans="10:10" x14ac:dyDescent="0.2">
      <c r="J133" t="str">
        <f t="shared" si="1"/>
        <v/>
      </c>
    </row>
    <row r="134" spans="10:10" x14ac:dyDescent="0.2">
      <c r="J134" t="str">
        <f t="shared" si="1"/>
        <v/>
      </c>
    </row>
    <row r="135" spans="10:10" x14ac:dyDescent="0.2">
      <c r="J135" t="str">
        <f t="shared" si="1"/>
        <v/>
      </c>
    </row>
    <row r="136" spans="10:10" x14ac:dyDescent="0.2">
      <c r="J136" t="str">
        <f t="shared" si="1"/>
        <v/>
      </c>
    </row>
    <row r="137" spans="10:10" x14ac:dyDescent="0.2">
      <c r="J137" t="str">
        <f t="shared" si="1"/>
        <v/>
      </c>
    </row>
    <row r="138" spans="10:10" x14ac:dyDescent="0.2">
      <c r="J138" t="str">
        <f t="shared" si="1"/>
        <v/>
      </c>
    </row>
    <row r="139" spans="10:10" x14ac:dyDescent="0.2">
      <c r="J139" t="str">
        <f t="shared" si="1"/>
        <v/>
      </c>
    </row>
    <row r="140" spans="10:10" x14ac:dyDescent="0.2">
      <c r="J140" t="str">
        <f t="shared" si="1"/>
        <v/>
      </c>
    </row>
    <row r="141" spans="10:10" x14ac:dyDescent="0.2">
      <c r="J141" t="str">
        <f t="shared" si="1"/>
        <v/>
      </c>
    </row>
    <row r="142" spans="10:10" x14ac:dyDescent="0.2">
      <c r="J142" t="str">
        <f t="shared" si="1"/>
        <v/>
      </c>
    </row>
    <row r="143" spans="10:10" x14ac:dyDescent="0.2">
      <c r="J143" t="str">
        <f t="shared" si="1"/>
        <v/>
      </c>
    </row>
    <row r="144" spans="10:10" x14ac:dyDescent="0.2">
      <c r="J144" t="str">
        <f t="shared" si="1"/>
        <v/>
      </c>
    </row>
    <row r="145" spans="10:10" x14ac:dyDescent="0.2">
      <c r="J145" t="str">
        <f t="shared" si="1"/>
        <v/>
      </c>
    </row>
    <row r="146" spans="10:10" x14ac:dyDescent="0.2">
      <c r="J146" t="str">
        <f t="shared" ref="J146:J209" si="2">IF(ISBLANK($B146),"",IF($I146&lt;120,120,$I146))</f>
        <v/>
      </c>
    </row>
    <row r="147" spans="10:10" x14ac:dyDescent="0.2">
      <c r="J147" t="str">
        <f t="shared" si="2"/>
        <v/>
      </c>
    </row>
    <row r="148" spans="10:10" x14ac:dyDescent="0.2">
      <c r="J148" t="str">
        <f t="shared" si="2"/>
        <v/>
      </c>
    </row>
    <row r="149" spans="10:10" x14ac:dyDescent="0.2">
      <c r="J149" t="str">
        <f t="shared" si="2"/>
        <v/>
      </c>
    </row>
    <row r="150" spans="10:10" x14ac:dyDescent="0.2">
      <c r="J150" t="str">
        <f t="shared" si="2"/>
        <v/>
      </c>
    </row>
    <row r="151" spans="10:10" x14ac:dyDescent="0.2">
      <c r="J151" t="str">
        <f t="shared" si="2"/>
        <v/>
      </c>
    </row>
    <row r="152" spans="10:10" x14ac:dyDescent="0.2">
      <c r="J152" t="str">
        <f t="shared" si="2"/>
        <v/>
      </c>
    </row>
    <row r="153" spans="10:10" x14ac:dyDescent="0.2">
      <c r="J153" t="str">
        <f t="shared" si="2"/>
        <v/>
      </c>
    </row>
    <row r="154" spans="10:10" x14ac:dyDescent="0.2">
      <c r="J154" t="str">
        <f t="shared" si="2"/>
        <v/>
      </c>
    </row>
    <row r="155" spans="10:10" x14ac:dyDescent="0.2">
      <c r="J155" t="str">
        <f t="shared" si="2"/>
        <v/>
      </c>
    </row>
    <row r="156" spans="10:10" x14ac:dyDescent="0.2">
      <c r="J156" t="str">
        <f t="shared" si="2"/>
        <v/>
      </c>
    </row>
    <row r="157" spans="10:10" x14ac:dyDescent="0.2">
      <c r="J157" t="str">
        <f t="shared" si="2"/>
        <v/>
      </c>
    </row>
    <row r="158" spans="10:10" x14ac:dyDescent="0.2">
      <c r="J158" t="str">
        <f t="shared" si="2"/>
        <v/>
      </c>
    </row>
    <row r="159" spans="10:10" x14ac:dyDescent="0.2">
      <c r="J159" t="str">
        <f t="shared" si="2"/>
        <v/>
      </c>
    </row>
    <row r="160" spans="10:10" x14ac:dyDescent="0.2">
      <c r="J160" t="str">
        <f t="shared" si="2"/>
        <v/>
      </c>
    </row>
    <row r="161" spans="10:10" x14ac:dyDescent="0.2">
      <c r="J161" t="str">
        <f t="shared" si="2"/>
        <v/>
      </c>
    </row>
    <row r="162" spans="10:10" x14ac:dyDescent="0.2">
      <c r="J162" t="str">
        <f t="shared" si="2"/>
        <v/>
      </c>
    </row>
    <row r="163" spans="10:10" x14ac:dyDescent="0.2">
      <c r="J163" t="str">
        <f t="shared" si="2"/>
        <v/>
      </c>
    </row>
    <row r="164" spans="10:10" x14ac:dyDescent="0.2">
      <c r="J164" t="str">
        <f t="shared" si="2"/>
        <v/>
      </c>
    </row>
    <row r="165" spans="10:10" x14ac:dyDescent="0.2">
      <c r="J165" t="str">
        <f t="shared" si="2"/>
        <v/>
      </c>
    </row>
    <row r="166" spans="10:10" x14ac:dyDescent="0.2">
      <c r="J166" t="str">
        <f t="shared" si="2"/>
        <v/>
      </c>
    </row>
    <row r="167" spans="10:10" x14ac:dyDescent="0.2">
      <c r="J167" t="str">
        <f t="shared" si="2"/>
        <v/>
      </c>
    </row>
    <row r="168" spans="10:10" x14ac:dyDescent="0.2">
      <c r="J168" t="str">
        <f t="shared" si="2"/>
        <v/>
      </c>
    </row>
    <row r="169" spans="10:10" x14ac:dyDescent="0.2">
      <c r="J169" t="str">
        <f t="shared" si="2"/>
        <v/>
      </c>
    </row>
    <row r="170" spans="10:10" x14ac:dyDescent="0.2">
      <c r="J170" t="str">
        <f t="shared" si="2"/>
        <v/>
      </c>
    </row>
    <row r="171" spans="10:10" x14ac:dyDescent="0.2">
      <c r="J171" t="str">
        <f t="shared" si="2"/>
        <v/>
      </c>
    </row>
    <row r="172" spans="10:10" x14ac:dyDescent="0.2">
      <c r="J172" t="str">
        <f t="shared" si="2"/>
        <v/>
      </c>
    </row>
    <row r="173" spans="10:10" x14ac:dyDescent="0.2">
      <c r="J173" t="str">
        <f t="shared" si="2"/>
        <v/>
      </c>
    </row>
    <row r="174" spans="10:10" x14ac:dyDescent="0.2">
      <c r="J174" t="str">
        <f t="shared" si="2"/>
        <v/>
      </c>
    </row>
    <row r="175" spans="10:10" x14ac:dyDescent="0.2">
      <c r="J175" t="str">
        <f t="shared" si="2"/>
        <v/>
      </c>
    </row>
    <row r="176" spans="10:10" x14ac:dyDescent="0.2">
      <c r="J176" t="str">
        <f t="shared" si="2"/>
        <v/>
      </c>
    </row>
    <row r="177" spans="10:10" x14ac:dyDescent="0.2">
      <c r="J177" t="str">
        <f t="shared" si="2"/>
        <v/>
      </c>
    </row>
    <row r="178" spans="10:10" x14ac:dyDescent="0.2">
      <c r="J178" t="str">
        <f t="shared" si="2"/>
        <v/>
      </c>
    </row>
    <row r="179" spans="10:10" x14ac:dyDescent="0.2">
      <c r="J179" t="str">
        <f t="shared" si="2"/>
        <v/>
      </c>
    </row>
    <row r="180" spans="10:10" x14ac:dyDescent="0.2">
      <c r="J180" t="str">
        <f t="shared" si="2"/>
        <v/>
      </c>
    </row>
    <row r="181" spans="10:10" x14ac:dyDescent="0.2">
      <c r="J181" t="str">
        <f t="shared" si="2"/>
        <v/>
      </c>
    </row>
    <row r="182" spans="10:10" x14ac:dyDescent="0.2">
      <c r="J182" t="str">
        <f t="shared" si="2"/>
        <v/>
      </c>
    </row>
    <row r="183" spans="10:10" x14ac:dyDescent="0.2">
      <c r="J183" t="str">
        <f t="shared" si="2"/>
        <v/>
      </c>
    </row>
    <row r="184" spans="10:10" x14ac:dyDescent="0.2">
      <c r="J184" t="str">
        <f t="shared" si="2"/>
        <v/>
      </c>
    </row>
    <row r="185" spans="10:10" x14ac:dyDescent="0.2">
      <c r="J185" t="str">
        <f t="shared" si="2"/>
        <v/>
      </c>
    </row>
    <row r="186" spans="10:10" x14ac:dyDescent="0.2">
      <c r="J186" t="str">
        <f t="shared" si="2"/>
        <v/>
      </c>
    </row>
    <row r="187" spans="10:10" x14ac:dyDescent="0.2">
      <c r="J187" t="str">
        <f t="shared" si="2"/>
        <v/>
      </c>
    </row>
    <row r="188" spans="10:10" x14ac:dyDescent="0.2">
      <c r="J188" t="str">
        <f t="shared" si="2"/>
        <v/>
      </c>
    </row>
    <row r="189" spans="10:10" x14ac:dyDescent="0.2">
      <c r="J189" t="str">
        <f t="shared" si="2"/>
        <v/>
      </c>
    </row>
    <row r="190" spans="10:10" x14ac:dyDescent="0.2">
      <c r="J190" t="str">
        <f t="shared" si="2"/>
        <v/>
      </c>
    </row>
    <row r="191" spans="10:10" x14ac:dyDescent="0.2">
      <c r="J191" t="str">
        <f t="shared" si="2"/>
        <v/>
      </c>
    </row>
    <row r="192" spans="10:10" x14ac:dyDescent="0.2">
      <c r="J192" t="str">
        <f t="shared" si="2"/>
        <v/>
      </c>
    </row>
    <row r="193" spans="8:10" x14ac:dyDescent="0.2">
      <c r="J193" t="str">
        <f t="shared" si="2"/>
        <v/>
      </c>
    </row>
    <row r="194" spans="8:10" x14ac:dyDescent="0.2">
      <c r="J194" t="str">
        <f t="shared" si="2"/>
        <v/>
      </c>
    </row>
    <row r="195" spans="8:10" x14ac:dyDescent="0.2">
      <c r="J195" t="str">
        <f t="shared" si="2"/>
        <v/>
      </c>
    </row>
    <row r="196" spans="8:10" x14ac:dyDescent="0.2">
      <c r="H196" s="64" t="str">
        <f t="shared" ref="H196:H209" si="3">IF(B196="(blank)","",IF(ISBLANK($B196),"",IF(G196&lt;120,120,"")))</f>
        <v/>
      </c>
      <c r="I196" t="str">
        <f t="shared" ref="I196:I209" si="4">IF(ISBLANK($B196),"",IF($H196="",$G196,$H196))</f>
        <v/>
      </c>
      <c r="J196" t="str">
        <f t="shared" si="2"/>
        <v/>
      </c>
    </row>
    <row r="197" spans="8:10" x14ac:dyDescent="0.2">
      <c r="H197" s="64" t="str">
        <f t="shared" si="3"/>
        <v/>
      </c>
      <c r="I197" t="str">
        <f t="shared" si="4"/>
        <v/>
      </c>
      <c r="J197" t="str">
        <f t="shared" si="2"/>
        <v/>
      </c>
    </row>
    <row r="198" spans="8:10" x14ac:dyDescent="0.2">
      <c r="H198" s="64" t="str">
        <f t="shared" si="3"/>
        <v/>
      </c>
      <c r="I198" t="str">
        <f t="shared" si="4"/>
        <v/>
      </c>
      <c r="J198" t="str">
        <f t="shared" si="2"/>
        <v/>
      </c>
    </row>
    <row r="199" spans="8:10" x14ac:dyDescent="0.2">
      <c r="H199" s="64" t="str">
        <f t="shared" si="3"/>
        <v/>
      </c>
      <c r="I199" t="str">
        <f t="shared" si="4"/>
        <v/>
      </c>
      <c r="J199" t="str">
        <f t="shared" si="2"/>
        <v/>
      </c>
    </row>
    <row r="200" spans="8:10" x14ac:dyDescent="0.2">
      <c r="H200" s="64" t="str">
        <f t="shared" si="3"/>
        <v/>
      </c>
      <c r="I200" t="str">
        <f t="shared" si="4"/>
        <v/>
      </c>
      <c r="J200" t="str">
        <f t="shared" si="2"/>
        <v/>
      </c>
    </row>
    <row r="201" spans="8:10" x14ac:dyDescent="0.2">
      <c r="H201" s="64" t="str">
        <f t="shared" si="3"/>
        <v/>
      </c>
      <c r="I201" t="str">
        <f t="shared" si="4"/>
        <v/>
      </c>
      <c r="J201" t="str">
        <f t="shared" si="2"/>
        <v/>
      </c>
    </row>
    <row r="202" spans="8:10" x14ac:dyDescent="0.2">
      <c r="H202" s="64" t="str">
        <f t="shared" si="3"/>
        <v/>
      </c>
      <c r="I202" t="str">
        <f t="shared" si="4"/>
        <v/>
      </c>
      <c r="J202" t="str">
        <f t="shared" si="2"/>
        <v/>
      </c>
    </row>
    <row r="203" spans="8:10" x14ac:dyDescent="0.2">
      <c r="H203" s="64" t="str">
        <f t="shared" si="3"/>
        <v/>
      </c>
      <c r="I203" t="str">
        <f t="shared" si="4"/>
        <v/>
      </c>
      <c r="J203" t="str">
        <f t="shared" si="2"/>
        <v/>
      </c>
    </row>
    <row r="204" spans="8:10" x14ac:dyDescent="0.2">
      <c r="H204" s="64" t="str">
        <f t="shared" si="3"/>
        <v/>
      </c>
      <c r="I204" t="str">
        <f t="shared" si="4"/>
        <v/>
      </c>
      <c r="J204" t="str">
        <f t="shared" si="2"/>
        <v/>
      </c>
    </row>
    <row r="205" spans="8:10" x14ac:dyDescent="0.2">
      <c r="H205" s="64" t="str">
        <f t="shared" si="3"/>
        <v/>
      </c>
      <c r="I205" t="str">
        <f t="shared" si="4"/>
        <v/>
      </c>
      <c r="J205" t="str">
        <f t="shared" si="2"/>
        <v/>
      </c>
    </row>
    <row r="206" spans="8:10" x14ac:dyDescent="0.2">
      <c r="H206" s="64" t="str">
        <f t="shared" si="3"/>
        <v/>
      </c>
      <c r="I206" t="str">
        <f t="shared" si="4"/>
        <v/>
      </c>
      <c r="J206" t="str">
        <f t="shared" si="2"/>
        <v/>
      </c>
    </row>
    <row r="207" spans="8:10" x14ac:dyDescent="0.2">
      <c r="H207" s="64" t="str">
        <f t="shared" si="3"/>
        <v/>
      </c>
      <c r="I207" t="str">
        <f t="shared" si="4"/>
        <v/>
      </c>
      <c r="J207" t="str">
        <f t="shared" si="2"/>
        <v/>
      </c>
    </row>
    <row r="208" spans="8:10" x14ac:dyDescent="0.2">
      <c r="H208" s="64" t="str">
        <f t="shared" si="3"/>
        <v/>
      </c>
      <c r="I208" t="str">
        <f t="shared" si="4"/>
        <v/>
      </c>
      <c r="J208" t="str">
        <f t="shared" si="2"/>
        <v/>
      </c>
    </row>
    <row r="209" spans="8:10" x14ac:dyDescent="0.2">
      <c r="H209" s="64" t="str">
        <f t="shared" si="3"/>
        <v/>
      </c>
      <c r="I209" t="str">
        <f t="shared" si="4"/>
        <v/>
      </c>
      <c r="J209" t="str">
        <f t="shared" si="2"/>
        <v/>
      </c>
    </row>
    <row r="210" spans="8:10" x14ac:dyDescent="0.2">
      <c r="H210" s="64" t="str">
        <f t="shared" ref="H210:H273" si="5">IF(B210="(blank)","",IF(ISBLANK($B210),"",IF(G210&lt;120,120,"")))</f>
        <v/>
      </c>
      <c r="I210" t="str">
        <f t="shared" ref="I210:I273" si="6">IF(ISBLANK($B210),"",IF($H210="",$G210,$H210))</f>
        <v/>
      </c>
      <c r="J210" t="str">
        <f t="shared" ref="J210:J273" si="7">IF(ISBLANK($B210),"",IF($I210&lt;120,120,$I210))</f>
        <v/>
      </c>
    </row>
    <row r="211" spans="8:10" x14ac:dyDescent="0.2">
      <c r="H211" s="64" t="str">
        <f t="shared" si="5"/>
        <v/>
      </c>
      <c r="I211" t="str">
        <f t="shared" si="6"/>
        <v/>
      </c>
      <c r="J211" t="str">
        <f t="shared" si="7"/>
        <v/>
      </c>
    </row>
    <row r="212" spans="8:10" x14ac:dyDescent="0.2">
      <c r="H212" s="64" t="str">
        <f t="shared" si="5"/>
        <v/>
      </c>
      <c r="I212" t="str">
        <f t="shared" si="6"/>
        <v/>
      </c>
      <c r="J212" t="str">
        <f t="shared" si="7"/>
        <v/>
      </c>
    </row>
    <row r="213" spans="8:10" x14ac:dyDescent="0.2">
      <c r="H213" s="64" t="str">
        <f t="shared" si="5"/>
        <v/>
      </c>
      <c r="I213" t="str">
        <f t="shared" si="6"/>
        <v/>
      </c>
      <c r="J213" t="str">
        <f t="shared" si="7"/>
        <v/>
      </c>
    </row>
    <row r="214" spans="8:10" x14ac:dyDescent="0.2">
      <c r="H214" s="64" t="str">
        <f t="shared" si="5"/>
        <v/>
      </c>
      <c r="I214" t="str">
        <f t="shared" si="6"/>
        <v/>
      </c>
      <c r="J214" t="str">
        <f t="shared" si="7"/>
        <v/>
      </c>
    </row>
    <row r="215" spans="8:10" x14ac:dyDescent="0.2">
      <c r="H215" s="64" t="str">
        <f t="shared" si="5"/>
        <v/>
      </c>
      <c r="I215" t="str">
        <f t="shared" si="6"/>
        <v/>
      </c>
      <c r="J215" t="str">
        <f t="shared" si="7"/>
        <v/>
      </c>
    </row>
    <row r="216" spans="8:10" x14ac:dyDescent="0.2">
      <c r="H216" s="64" t="str">
        <f t="shared" si="5"/>
        <v/>
      </c>
      <c r="I216" t="str">
        <f t="shared" si="6"/>
        <v/>
      </c>
      <c r="J216" t="str">
        <f t="shared" si="7"/>
        <v/>
      </c>
    </row>
    <row r="217" spans="8:10" x14ac:dyDescent="0.2">
      <c r="H217" s="64" t="str">
        <f t="shared" si="5"/>
        <v/>
      </c>
      <c r="I217" t="str">
        <f t="shared" si="6"/>
        <v/>
      </c>
      <c r="J217" t="str">
        <f t="shared" si="7"/>
        <v/>
      </c>
    </row>
    <row r="218" spans="8:10" x14ac:dyDescent="0.2">
      <c r="H218" s="64" t="str">
        <f t="shared" si="5"/>
        <v/>
      </c>
      <c r="I218" t="str">
        <f t="shared" si="6"/>
        <v/>
      </c>
      <c r="J218" t="str">
        <f t="shared" si="7"/>
        <v/>
      </c>
    </row>
    <row r="219" spans="8:10" x14ac:dyDescent="0.2">
      <c r="H219" s="64" t="str">
        <f t="shared" si="5"/>
        <v/>
      </c>
      <c r="I219" t="str">
        <f t="shared" si="6"/>
        <v/>
      </c>
      <c r="J219" t="str">
        <f t="shared" si="7"/>
        <v/>
      </c>
    </row>
    <row r="220" spans="8:10" x14ac:dyDescent="0.2">
      <c r="H220" s="64" t="str">
        <f t="shared" si="5"/>
        <v/>
      </c>
      <c r="I220" t="str">
        <f t="shared" si="6"/>
        <v/>
      </c>
      <c r="J220" t="str">
        <f t="shared" si="7"/>
        <v/>
      </c>
    </row>
    <row r="221" spans="8:10" x14ac:dyDescent="0.2">
      <c r="H221" s="64" t="str">
        <f t="shared" si="5"/>
        <v/>
      </c>
      <c r="I221" t="str">
        <f t="shared" si="6"/>
        <v/>
      </c>
      <c r="J221" t="str">
        <f t="shared" si="7"/>
        <v/>
      </c>
    </row>
    <row r="222" spans="8:10" x14ac:dyDescent="0.2">
      <c r="H222" s="64" t="str">
        <f t="shared" si="5"/>
        <v/>
      </c>
      <c r="I222" t="str">
        <f t="shared" si="6"/>
        <v/>
      </c>
      <c r="J222" t="str">
        <f t="shared" si="7"/>
        <v/>
      </c>
    </row>
    <row r="223" spans="8:10" x14ac:dyDescent="0.2">
      <c r="H223" s="64" t="str">
        <f t="shared" si="5"/>
        <v/>
      </c>
      <c r="I223" t="str">
        <f t="shared" si="6"/>
        <v/>
      </c>
      <c r="J223" t="str">
        <f t="shared" si="7"/>
        <v/>
      </c>
    </row>
    <row r="224" spans="8:10" x14ac:dyDescent="0.2">
      <c r="H224" s="64" t="str">
        <f t="shared" si="5"/>
        <v/>
      </c>
      <c r="I224" t="str">
        <f t="shared" si="6"/>
        <v/>
      </c>
      <c r="J224" t="str">
        <f t="shared" si="7"/>
        <v/>
      </c>
    </row>
    <row r="225" spans="8:10" x14ac:dyDescent="0.2">
      <c r="H225" s="64" t="str">
        <f t="shared" si="5"/>
        <v/>
      </c>
      <c r="I225" t="str">
        <f t="shared" si="6"/>
        <v/>
      </c>
      <c r="J225" t="str">
        <f t="shared" si="7"/>
        <v/>
      </c>
    </row>
    <row r="226" spans="8:10" x14ac:dyDescent="0.2">
      <c r="H226" s="64" t="str">
        <f t="shared" si="5"/>
        <v/>
      </c>
      <c r="I226" t="str">
        <f t="shared" si="6"/>
        <v/>
      </c>
      <c r="J226" t="str">
        <f t="shared" si="7"/>
        <v/>
      </c>
    </row>
    <row r="227" spans="8:10" x14ac:dyDescent="0.2">
      <c r="H227" s="64" t="str">
        <f t="shared" si="5"/>
        <v/>
      </c>
      <c r="I227" t="str">
        <f t="shared" si="6"/>
        <v/>
      </c>
      <c r="J227" t="str">
        <f t="shared" si="7"/>
        <v/>
      </c>
    </row>
    <row r="228" spans="8:10" x14ac:dyDescent="0.2">
      <c r="H228" s="64" t="str">
        <f t="shared" si="5"/>
        <v/>
      </c>
      <c r="I228" t="str">
        <f t="shared" si="6"/>
        <v/>
      </c>
      <c r="J228" t="str">
        <f t="shared" si="7"/>
        <v/>
      </c>
    </row>
    <row r="229" spans="8:10" x14ac:dyDescent="0.2">
      <c r="H229" s="64" t="str">
        <f t="shared" si="5"/>
        <v/>
      </c>
      <c r="I229" t="str">
        <f t="shared" si="6"/>
        <v/>
      </c>
      <c r="J229" t="str">
        <f t="shared" si="7"/>
        <v/>
      </c>
    </row>
    <row r="230" spans="8:10" x14ac:dyDescent="0.2">
      <c r="H230" s="64" t="str">
        <f t="shared" si="5"/>
        <v/>
      </c>
      <c r="I230" t="str">
        <f t="shared" si="6"/>
        <v/>
      </c>
      <c r="J230" t="str">
        <f t="shared" si="7"/>
        <v/>
      </c>
    </row>
    <row r="231" spans="8:10" x14ac:dyDescent="0.2">
      <c r="H231" s="64" t="str">
        <f t="shared" si="5"/>
        <v/>
      </c>
      <c r="I231" t="str">
        <f t="shared" si="6"/>
        <v/>
      </c>
      <c r="J231" t="str">
        <f t="shared" si="7"/>
        <v/>
      </c>
    </row>
    <row r="232" spans="8:10" x14ac:dyDescent="0.2">
      <c r="H232" s="64" t="str">
        <f t="shared" si="5"/>
        <v/>
      </c>
      <c r="I232" t="str">
        <f t="shared" si="6"/>
        <v/>
      </c>
      <c r="J232" t="str">
        <f t="shared" si="7"/>
        <v/>
      </c>
    </row>
    <row r="233" spans="8:10" x14ac:dyDescent="0.2">
      <c r="H233" s="64" t="str">
        <f t="shared" si="5"/>
        <v/>
      </c>
      <c r="I233" t="str">
        <f t="shared" si="6"/>
        <v/>
      </c>
      <c r="J233" t="str">
        <f t="shared" si="7"/>
        <v/>
      </c>
    </row>
    <row r="234" spans="8:10" x14ac:dyDescent="0.2">
      <c r="H234" s="64" t="str">
        <f t="shared" si="5"/>
        <v/>
      </c>
      <c r="I234" t="str">
        <f t="shared" si="6"/>
        <v/>
      </c>
      <c r="J234" t="str">
        <f t="shared" si="7"/>
        <v/>
      </c>
    </row>
    <row r="235" spans="8:10" x14ac:dyDescent="0.2">
      <c r="H235" s="64" t="str">
        <f t="shared" si="5"/>
        <v/>
      </c>
      <c r="I235" t="str">
        <f t="shared" si="6"/>
        <v/>
      </c>
      <c r="J235" t="str">
        <f t="shared" si="7"/>
        <v/>
      </c>
    </row>
    <row r="236" spans="8:10" x14ac:dyDescent="0.2">
      <c r="H236" s="64" t="str">
        <f t="shared" si="5"/>
        <v/>
      </c>
      <c r="I236" t="str">
        <f t="shared" si="6"/>
        <v/>
      </c>
      <c r="J236" t="str">
        <f t="shared" si="7"/>
        <v/>
      </c>
    </row>
    <row r="237" spans="8:10" x14ac:dyDescent="0.2">
      <c r="H237" s="64" t="str">
        <f t="shared" si="5"/>
        <v/>
      </c>
      <c r="I237" t="str">
        <f t="shared" si="6"/>
        <v/>
      </c>
      <c r="J237" t="str">
        <f t="shared" si="7"/>
        <v/>
      </c>
    </row>
    <row r="238" spans="8:10" x14ac:dyDescent="0.2">
      <c r="H238" s="64" t="str">
        <f t="shared" si="5"/>
        <v/>
      </c>
      <c r="I238" t="str">
        <f t="shared" si="6"/>
        <v/>
      </c>
      <c r="J238" t="str">
        <f t="shared" si="7"/>
        <v/>
      </c>
    </row>
    <row r="239" spans="8:10" x14ac:dyDescent="0.2">
      <c r="H239" s="64" t="str">
        <f t="shared" si="5"/>
        <v/>
      </c>
      <c r="I239" t="str">
        <f t="shared" si="6"/>
        <v/>
      </c>
      <c r="J239" t="str">
        <f t="shared" si="7"/>
        <v/>
      </c>
    </row>
    <row r="240" spans="8:10" x14ac:dyDescent="0.2">
      <c r="H240" s="64" t="str">
        <f t="shared" si="5"/>
        <v/>
      </c>
      <c r="I240" t="str">
        <f t="shared" si="6"/>
        <v/>
      </c>
      <c r="J240" t="str">
        <f t="shared" si="7"/>
        <v/>
      </c>
    </row>
    <row r="241" spans="8:10" x14ac:dyDescent="0.2">
      <c r="H241" s="64" t="str">
        <f t="shared" si="5"/>
        <v/>
      </c>
      <c r="I241" t="str">
        <f t="shared" si="6"/>
        <v/>
      </c>
      <c r="J241" t="str">
        <f t="shared" si="7"/>
        <v/>
      </c>
    </row>
    <row r="242" spans="8:10" x14ac:dyDescent="0.2">
      <c r="H242" s="64" t="str">
        <f t="shared" si="5"/>
        <v/>
      </c>
      <c r="I242" t="str">
        <f t="shared" si="6"/>
        <v/>
      </c>
      <c r="J242" t="str">
        <f t="shared" si="7"/>
        <v/>
      </c>
    </row>
    <row r="243" spans="8:10" x14ac:dyDescent="0.2">
      <c r="H243" s="64" t="str">
        <f t="shared" si="5"/>
        <v/>
      </c>
      <c r="I243" t="str">
        <f t="shared" si="6"/>
        <v/>
      </c>
      <c r="J243" t="str">
        <f t="shared" si="7"/>
        <v/>
      </c>
    </row>
    <row r="244" spans="8:10" x14ac:dyDescent="0.2">
      <c r="H244" s="64" t="str">
        <f t="shared" si="5"/>
        <v/>
      </c>
      <c r="I244" t="str">
        <f t="shared" si="6"/>
        <v/>
      </c>
      <c r="J244" t="str">
        <f t="shared" si="7"/>
        <v/>
      </c>
    </row>
    <row r="245" spans="8:10" x14ac:dyDescent="0.2">
      <c r="H245" s="64" t="str">
        <f t="shared" si="5"/>
        <v/>
      </c>
      <c r="I245" t="str">
        <f t="shared" si="6"/>
        <v/>
      </c>
      <c r="J245" t="str">
        <f t="shared" si="7"/>
        <v/>
      </c>
    </row>
    <row r="246" spans="8:10" x14ac:dyDescent="0.2">
      <c r="H246" s="64" t="str">
        <f t="shared" si="5"/>
        <v/>
      </c>
      <c r="I246" t="str">
        <f t="shared" si="6"/>
        <v/>
      </c>
      <c r="J246" t="str">
        <f t="shared" si="7"/>
        <v/>
      </c>
    </row>
    <row r="247" spans="8:10" x14ac:dyDescent="0.2">
      <c r="H247" s="64" t="str">
        <f t="shared" si="5"/>
        <v/>
      </c>
      <c r="I247" t="str">
        <f t="shared" si="6"/>
        <v/>
      </c>
      <c r="J247" t="str">
        <f t="shared" si="7"/>
        <v/>
      </c>
    </row>
    <row r="248" spans="8:10" x14ac:dyDescent="0.2">
      <c r="H248" s="64" t="str">
        <f t="shared" si="5"/>
        <v/>
      </c>
      <c r="I248" t="str">
        <f t="shared" si="6"/>
        <v/>
      </c>
      <c r="J248" t="str">
        <f t="shared" si="7"/>
        <v/>
      </c>
    </row>
    <row r="249" spans="8:10" x14ac:dyDescent="0.2">
      <c r="H249" s="64" t="str">
        <f t="shared" si="5"/>
        <v/>
      </c>
      <c r="I249" t="str">
        <f t="shared" si="6"/>
        <v/>
      </c>
      <c r="J249" t="str">
        <f t="shared" si="7"/>
        <v/>
      </c>
    </row>
    <row r="250" spans="8:10" x14ac:dyDescent="0.2">
      <c r="H250" s="64" t="str">
        <f t="shared" si="5"/>
        <v/>
      </c>
      <c r="I250" t="str">
        <f t="shared" si="6"/>
        <v/>
      </c>
      <c r="J250" t="str">
        <f t="shared" si="7"/>
        <v/>
      </c>
    </row>
    <row r="251" spans="8:10" x14ac:dyDescent="0.2">
      <c r="H251" s="64" t="str">
        <f t="shared" si="5"/>
        <v/>
      </c>
      <c r="I251" t="str">
        <f t="shared" si="6"/>
        <v/>
      </c>
      <c r="J251" t="str">
        <f t="shared" si="7"/>
        <v/>
      </c>
    </row>
    <row r="252" spans="8:10" x14ac:dyDescent="0.2">
      <c r="H252" s="64" t="str">
        <f t="shared" si="5"/>
        <v/>
      </c>
      <c r="I252" t="str">
        <f t="shared" si="6"/>
        <v/>
      </c>
      <c r="J252" t="str">
        <f t="shared" si="7"/>
        <v/>
      </c>
    </row>
    <row r="253" spans="8:10" x14ac:dyDescent="0.2">
      <c r="H253" s="64" t="str">
        <f t="shared" si="5"/>
        <v/>
      </c>
      <c r="I253" t="str">
        <f t="shared" si="6"/>
        <v/>
      </c>
      <c r="J253" t="str">
        <f t="shared" si="7"/>
        <v/>
      </c>
    </row>
    <row r="254" spans="8:10" x14ac:dyDescent="0.2">
      <c r="H254" s="64" t="str">
        <f t="shared" si="5"/>
        <v/>
      </c>
      <c r="I254" t="str">
        <f t="shared" si="6"/>
        <v/>
      </c>
      <c r="J254" t="str">
        <f t="shared" si="7"/>
        <v/>
      </c>
    </row>
    <row r="255" spans="8:10" x14ac:dyDescent="0.2">
      <c r="H255" s="64" t="str">
        <f t="shared" si="5"/>
        <v/>
      </c>
      <c r="I255" t="str">
        <f t="shared" si="6"/>
        <v/>
      </c>
      <c r="J255" t="str">
        <f t="shared" si="7"/>
        <v/>
      </c>
    </row>
    <row r="256" spans="8:10" x14ac:dyDescent="0.2">
      <c r="H256" s="64" t="str">
        <f t="shared" si="5"/>
        <v/>
      </c>
      <c r="I256" t="str">
        <f t="shared" si="6"/>
        <v/>
      </c>
      <c r="J256" t="str">
        <f t="shared" si="7"/>
        <v/>
      </c>
    </row>
    <row r="257" spans="8:10" x14ac:dyDescent="0.2">
      <c r="H257" s="64" t="str">
        <f t="shared" si="5"/>
        <v/>
      </c>
      <c r="I257" t="str">
        <f t="shared" si="6"/>
        <v/>
      </c>
      <c r="J257" t="str">
        <f t="shared" si="7"/>
        <v/>
      </c>
    </row>
    <row r="258" spans="8:10" x14ac:dyDescent="0.2">
      <c r="H258" s="64" t="str">
        <f t="shared" si="5"/>
        <v/>
      </c>
      <c r="I258" t="str">
        <f t="shared" si="6"/>
        <v/>
      </c>
      <c r="J258" t="str">
        <f t="shared" si="7"/>
        <v/>
      </c>
    </row>
    <row r="259" spans="8:10" x14ac:dyDescent="0.2">
      <c r="H259" s="64" t="str">
        <f t="shared" si="5"/>
        <v/>
      </c>
      <c r="I259" t="str">
        <f t="shared" si="6"/>
        <v/>
      </c>
      <c r="J259" t="str">
        <f t="shared" si="7"/>
        <v/>
      </c>
    </row>
    <row r="260" spans="8:10" x14ac:dyDescent="0.2">
      <c r="H260" s="64" t="str">
        <f t="shared" si="5"/>
        <v/>
      </c>
      <c r="I260" t="str">
        <f t="shared" si="6"/>
        <v/>
      </c>
      <c r="J260" t="str">
        <f t="shared" si="7"/>
        <v/>
      </c>
    </row>
    <row r="261" spans="8:10" x14ac:dyDescent="0.2">
      <c r="H261" s="64" t="str">
        <f t="shared" si="5"/>
        <v/>
      </c>
      <c r="I261" t="str">
        <f t="shared" si="6"/>
        <v/>
      </c>
      <c r="J261" t="str">
        <f t="shared" si="7"/>
        <v/>
      </c>
    </row>
    <row r="262" spans="8:10" x14ac:dyDescent="0.2">
      <c r="H262" s="64" t="str">
        <f t="shared" si="5"/>
        <v/>
      </c>
      <c r="I262" t="str">
        <f t="shared" si="6"/>
        <v/>
      </c>
      <c r="J262" t="str">
        <f t="shared" si="7"/>
        <v/>
      </c>
    </row>
    <row r="263" spans="8:10" x14ac:dyDescent="0.2">
      <c r="H263" s="64" t="str">
        <f t="shared" si="5"/>
        <v/>
      </c>
      <c r="I263" t="str">
        <f t="shared" si="6"/>
        <v/>
      </c>
      <c r="J263" t="str">
        <f t="shared" si="7"/>
        <v/>
      </c>
    </row>
    <row r="264" spans="8:10" x14ac:dyDescent="0.2">
      <c r="H264" s="64" t="str">
        <f t="shared" si="5"/>
        <v/>
      </c>
      <c r="I264" t="str">
        <f t="shared" si="6"/>
        <v/>
      </c>
      <c r="J264" t="str">
        <f t="shared" si="7"/>
        <v/>
      </c>
    </row>
    <row r="265" spans="8:10" x14ac:dyDescent="0.2">
      <c r="H265" s="64" t="str">
        <f t="shared" si="5"/>
        <v/>
      </c>
      <c r="I265" t="str">
        <f t="shared" si="6"/>
        <v/>
      </c>
      <c r="J265" t="str">
        <f t="shared" si="7"/>
        <v/>
      </c>
    </row>
    <row r="266" spans="8:10" x14ac:dyDescent="0.2">
      <c r="H266" s="64" t="str">
        <f t="shared" si="5"/>
        <v/>
      </c>
      <c r="I266" t="str">
        <f t="shared" si="6"/>
        <v/>
      </c>
      <c r="J266" t="str">
        <f t="shared" si="7"/>
        <v/>
      </c>
    </row>
    <row r="267" spans="8:10" x14ac:dyDescent="0.2">
      <c r="H267" s="64" t="str">
        <f t="shared" si="5"/>
        <v/>
      </c>
      <c r="I267" t="str">
        <f t="shared" si="6"/>
        <v/>
      </c>
      <c r="J267" t="str">
        <f t="shared" si="7"/>
        <v/>
      </c>
    </row>
    <row r="268" spans="8:10" x14ac:dyDescent="0.2">
      <c r="H268" s="64" t="str">
        <f t="shared" si="5"/>
        <v/>
      </c>
      <c r="I268" t="str">
        <f t="shared" si="6"/>
        <v/>
      </c>
      <c r="J268" t="str">
        <f t="shared" si="7"/>
        <v/>
      </c>
    </row>
    <row r="269" spans="8:10" x14ac:dyDescent="0.2">
      <c r="H269" s="64" t="str">
        <f t="shared" si="5"/>
        <v/>
      </c>
      <c r="I269" t="str">
        <f t="shared" si="6"/>
        <v/>
      </c>
      <c r="J269" t="str">
        <f t="shared" si="7"/>
        <v/>
      </c>
    </row>
    <row r="270" spans="8:10" x14ac:dyDescent="0.2">
      <c r="H270" s="64" t="str">
        <f t="shared" si="5"/>
        <v/>
      </c>
      <c r="I270" t="str">
        <f t="shared" si="6"/>
        <v/>
      </c>
      <c r="J270" t="str">
        <f t="shared" si="7"/>
        <v/>
      </c>
    </row>
    <row r="271" spans="8:10" x14ac:dyDescent="0.2">
      <c r="H271" s="64" t="str">
        <f t="shared" si="5"/>
        <v/>
      </c>
      <c r="I271" t="str">
        <f t="shared" si="6"/>
        <v/>
      </c>
      <c r="J271" t="str">
        <f t="shared" si="7"/>
        <v/>
      </c>
    </row>
    <row r="272" spans="8:10" x14ac:dyDescent="0.2">
      <c r="H272" s="64" t="str">
        <f t="shared" si="5"/>
        <v/>
      </c>
      <c r="I272" t="str">
        <f t="shared" si="6"/>
        <v/>
      </c>
      <c r="J272" t="str">
        <f t="shared" si="7"/>
        <v/>
      </c>
    </row>
    <row r="273" spans="8:10" x14ac:dyDescent="0.2">
      <c r="H273" s="64" t="str">
        <f t="shared" si="5"/>
        <v/>
      </c>
      <c r="I273" t="str">
        <f t="shared" si="6"/>
        <v/>
      </c>
      <c r="J273" t="str">
        <f t="shared" si="7"/>
        <v/>
      </c>
    </row>
    <row r="274" spans="8:10" x14ac:dyDescent="0.2">
      <c r="H274" s="64" t="str">
        <f t="shared" ref="H274:H337" si="8">IF(B274="(blank)","",IF(ISBLANK($B274),"",IF(G274&lt;120,120,"")))</f>
        <v/>
      </c>
      <c r="I274" t="str">
        <f t="shared" ref="I274:I337" si="9">IF(ISBLANK($B274),"",IF($H274="",$G274,$H274))</f>
        <v/>
      </c>
      <c r="J274" t="str">
        <f t="shared" ref="J274:J337" si="10">IF(ISBLANK($B274),"",IF($I274&lt;120,120,$I274))</f>
        <v/>
      </c>
    </row>
    <row r="275" spans="8:10" x14ac:dyDescent="0.2">
      <c r="H275" s="64" t="str">
        <f t="shared" si="8"/>
        <v/>
      </c>
      <c r="I275" t="str">
        <f t="shared" si="9"/>
        <v/>
      </c>
      <c r="J275" t="str">
        <f t="shared" si="10"/>
        <v/>
      </c>
    </row>
    <row r="276" spans="8:10" x14ac:dyDescent="0.2">
      <c r="H276" s="64" t="str">
        <f t="shared" si="8"/>
        <v/>
      </c>
      <c r="I276" t="str">
        <f t="shared" si="9"/>
        <v/>
      </c>
      <c r="J276" t="str">
        <f t="shared" si="10"/>
        <v/>
      </c>
    </row>
    <row r="277" spans="8:10" x14ac:dyDescent="0.2">
      <c r="H277" s="64" t="str">
        <f t="shared" si="8"/>
        <v/>
      </c>
      <c r="I277" t="str">
        <f t="shared" si="9"/>
        <v/>
      </c>
      <c r="J277" t="str">
        <f t="shared" si="10"/>
        <v/>
      </c>
    </row>
    <row r="278" spans="8:10" x14ac:dyDescent="0.2">
      <c r="H278" s="64" t="str">
        <f t="shared" si="8"/>
        <v/>
      </c>
      <c r="I278" t="str">
        <f t="shared" si="9"/>
        <v/>
      </c>
      <c r="J278" t="str">
        <f t="shared" si="10"/>
        <v/>
      </c>
    </row>
    <row r="279" spans="8:10" x14ac:dyDescent="0.2">
      <c r="H279" s="64" t="str">
        <f t="shared" si="8"/>
        <v/>
      </c>
      <c r="I279" t="str">
        <f t="shared" si="9"/>
        <v/>
      </c>
      <c r="J279" t="str">
        <f t="shared" si="10"/>
        <v/>
      </c>
    </row>
    <row r="280" spans="8:10" x14ac:dyDescent="0.2">
      <c r="H280" s="64" t="str">
        <f t="shared" si="8"/>
        <v/>
      </c>
      <c r="I280" t="str">
        <f t="shared" si="9"/>
        <v/>
      </c>
      <c r="J280" t="str">
        <f t="shared" si="10"/>
        <v/>
      </c>
    </row>
    <row r="281" spans="8:10" x14ac:dyDescent="0.2">
      <c r="H281" s="64" t="str">
        <f t="shared" si="8"/>
        <v/>
      </c>
      <c r="I281" t="str">
        <f t="shared" si="9"/>
        <v/>
      </c>
      <c r="J281" t="str">
        <f t="shared" si="10"/>
        <v/>
      </c>
    </row>
    <row r="282" spans="8:10" x14ac:dyDescent="0.2">
      <c r="H282" s="64" t="str">
        <f t="shared" si="8"/>
        <v/>
      </c>
      <c r="I282" t="str">
        <f t="shared" si="9"/>
        <v/>
      </c>
      <c r="J282" t="str">
        <f t="shared" si="10"/>
        <v/>
      </c>
    </row>
    <row r="283" spans="8:10" x14ac:dyDescent="0.2">
      <c r="H283" s="64" t="str">
        <f t="shared" si="8"/>
        <v/>
      </c>
      <c r="I283" t="str">
        <f t="shared" si="9"/>
        <v/>
      </c>
      <c r="J283" t="str">
        <f t="shared" si="10"/>
        <v/>
      </c>
    </row>
    <row r="284" spans="8:10" x14ac:dyDescent="0.2">
      <c r="H284" s="64" t="str">
        <f t="shared" si="8"/>
        <v/>
      </c>
      <c r="I284" t="str">
        <f t="shared" si="9"/>
        <v/>
      </c>
      <c r="J284" t="str">
        <f t="shared" si="10"/>
        <v/>
      </c>
    </row>
    <row r="285" spans="8:10" x14ac:dyDescent="0.2">
      <c r="H285" s="64" t="str">
        <f t="shared" si="8"/>
        <v/>
      </c>
      <c r="I285" t="str">
        <f t="shared" si="9"/>
        <v/>
      </c>
      <c r="J285" t="str">
        <f t="shared" si="10"/>
        <v/>
      </c>
    </row>
    <row r="286" spans="8:10" x14ac:dyDescent="0.2">
      <c r="H286" s="64" t="str">
        <f t="shared" si="8"/>
        <v/>
      </c>
      <c r="I286" t="str">
        <f t="shared" si="9"/>
        <v/>
      </c>
      <c r="J286" t="str">
        <f t="shared" si="10"/>
        <v/>
      </c>
    </row>
    <row r="287" spans="8:10" x14ac:dyDescent="0.2">
      <c r="H287" s="64" t="str">
        <f t="shared" si="8"/>
        <v/>
      </c>
      <c r="I287" t="str">
        <f t="shared" si="9"/>
        <v/>
      </c>
      <c r="J287" t="str">
        <f t="shared" si="10"/>
        <v/>
      </c>
    </row>
    <row r="288" spans="8:10" x14ac:dyDescent="0.2">
      <c r="H288" s="64" t="str">
        <f t="shared" si="8"/>
        <v/>
      </c>
      <c r="I288" t="str">
        <f t="shared" si="9"/>
        <v/>
      </c>
      <c r="J288" t="str">
        <f t="shared" si="10"/>
        <v/>
      </c>
    </row>
    <row r="289" spans="8:10" x14ac:dyDescent="0.2">
      <c r="H289" s="64" t="str">
        <f t="shared" si="8"/>
        <v/>
      </c>
      <c r="I289" t="str">
        <f t="shared" si="9"/>
        <v/>
      </c>
      <c r="J289" t="str">
        <f t="shared" si="10"/>
        <v/>
      </c>
    </row>
    <row r="290" spans="8:10" x14ac:dyDescent="0.2">
      <c r="H290" s="64" t="str">
        <f t="shared" si="8"/>
        <v/>
      </c>
      <c r="I290" t="str">
        <f t="shared" si="9"/>
        <v/>
      </c>
      <c r="J290" t="str">
        <f t="shared" si="10"/>
        <v/>
      </c>
    </row>
    <row r="291" spans="8:10" x14ac:dyDescent="0.2">
      <c r="H291" s="64" t="str">
        <f t="shared" si="8"/>
        <v/>
      </c>
      <c r="I291" t="str">
        <f t="shared" si="9"/>
        <v/>
      </c>
      <c r="J291" t="str">
        <f t="shared" si="10"/>
        <v/>
      </c>
    </row>
    <row r="292" spans="8:10" x14ac:dyDescent="0.2">
      <c r="H292" s="64" t="str">
        <f t="shared" si="8"/>
        <v/>
      </c>
      <c r="I292" t="str">
        <f t="shared" si="9"/>
        <v/>
      </c>
      <c r="J292" t="str">
        <f t="shared" si="10"/>
        <v/>
      </c>
    </row>
    <row r="293" spans="8:10" x14ac:dyDescent="0.2">
      <c r="H293" s="64" t="str">
        <f t="shared" si="8"/>
        <v/>
      </c>
      <c r="I293" t="str">
        <f t="shared" si="9"/>
        <v/>
      </c>
      <c r="J293" t="str">
        <f t="shared" si="10"/>
        <v/>
      </c>
    </row>
    <row r="294" spans="8:10" x14ac:dyDescent="0.2">
      <c r="H294" s="64" t="str">
        <f t="shared" si="8"/>
        <v/>
      </c>
      <c r="I294" t="str">
        <f t="shared" si="9"/>
        <v/>
      </c>
      <c r="J294" t="str">
        <f t="shared" si="10"/>
        <v/>
      </c>
    </row>
    <row r="295" spans="8:10" x14ac:dyDescent="0.2">
      <c r="H295" s="64" t="str">
        <f t="shared" si="8"/>
        <v/>
      </c>
      <c r="I295" t="str">
        <f t="shared" si="9"/>
        <v/>
      </c>
      <c r="J295" t="str">
        <f t="shared" si="10"/>
        <v/>
      </c>
    </row>
    <row r="296" spans="8:10" x14ac:dyDescent="0.2">
      <c r="H296" s="64" t="str">
        <f t="shared" si="8"/>
        <v/>
      </c>
      <c r="I296" t="str">
        <f t="shared" si="9"/>
        <v/>
      </c>
      <c r="J296" t="str">
        <f t="shared" si="10"/>
        <v/>
      </c>
    </row>
    <row r="297" spans="8:10" x14ac:dyDescent="0.2">
      <c r="H297" s="64" t="str">
        <f t="shared" si="8"/>
        <v/>
      </c>
      <c r="I297" t="str">
        <f t="shared" si="9"/>
        <v/>
      </c>
      <c r="J297" t="str">
        <f t="shared" si="10"/>
        <v/>
      </c>
    </row>
    <row r="298" spans="8:10" x14ac:dyDescent="0.2">
      <c r="H298" s="64" t="str">
        <f t="shared" si="8"/>
        <v/>
      </c>
      <c r="I298" t="str">
        <f t="shared" si="9"/>
        <v/>
      </c>
      <c r="J298" t="str">
        <f t="shared" si="10"/>
        <v/>
      </c>
    </row>
    <row r="299" spans="8:10" x14ac:dyDescent="0.2">
      <c r="H299" s="64" t="str">
        <f t="shared" si="8"/>
        <v/>
      </c>
      <c r="I299" t="str">
        <f t="shared" si="9"/>
        <v/>
      </c>
      <c r="J299" t="str">
        <f t="shared" si="10"/>
        <v/>
      </c>
    </row>
    <row r="300" spans="8:10" x14ac:dyDescent="0.2">
      <c r="H300" s="64" t="str">
        <f t="shared" si="8"/>
        <v/>
      </c>
      <c r="I300" t="str">
        <f t="shared" si="9"/>
        <v/>
      </c>
      <c r="J300" t="str">
        <f t="shared" si="10"/>
        <v/>
      </c>
    </row>
    <row r="301" spans="8:10" x14ac:dyDescent="0.2">
      <c r="H301" s="64" t="str">
        <f t="shared" si="8"/>
        <v/>
      </c>
      <c r="I301" t="str">
        <f t="shared" si="9"/>
        <v/>
      </c>
      <c r="J301" t="str">
        <f t="shared" si="10"/>
        <v/>
      </c>
    </row>
    <row r="302" spans="8:10" x14ac:dyDescent="0.2">
      <c r="H302" s="64" t="str">
        <f t="shared" si="8"/>
        <v/>
      </c>
      <c r="I302" t="str">
        <f t="shared" si="9"/>
        <v/>
      </c>
      <c r="J302" t="str">
        <f t="shared" si="10"/>
        <v/>
      </c>
    </row>
    <row r="303" spans="8:10" x14ac:dyDescent="0.2">
      <c r="H303" s="64" t="str">
        <f t="shared" si="8"/>
        <v/>
      </c>
      <c r="I303" t="str">
        <f t="shared" si="9"/>
        <v/>
      </c>
      <c r="J303" t="str">
        <f t="shared" si="10"/>
        <v/>
      </c>
    </row>
    <row r="304" spans="8:10" x14ac:dyDescent="0.2">
      <c r="H304" s="64" t="str">
        <f t="shared" si="8"/>
        <v/>
      </c>
      <c r="I304" t="str">
        <f t="shared" si="9"/>
        <v/>
      </c>
      <c r="J304" t="str">
        <f t="shared" si="10"/>
        <v/>
      </c>
    </row>
    <row r="305" spans="8:10" x14ac:dyDescent="0.2">
      <c r="H305" s="64" t="str">
        <f t="shared" si="8"/>
        <v/>
      </c>
      <c r="I305" t="str">
        <f t="shared" si="9"/>
        <v/>
      </c>
      <c r="J305" t="str">
        <f t="shared" si="10"/>
        <v/>
      </c>
    </row>
    <row r="306" spans="8:10" x14ac:dyDescent="0.2">
      <c r="H306" s="64" t="str">
        <f t="shared" si="8"/>
        <v/>
      </c>
      <c r="I306" t="str">
        <f t="shared" si="9"/>
        <v/>
      </c>
      <c r="J306" t="str">
        <f t="shared" si="10"/>
        <v/>
      </c>
    </row>
    <row r="307" spans="8:10" x14ac:dyDescent="0.2">
      <c r="H307" s="64" t="str">
        <f t="shared" si="8"/>
        <v/>
      </c>
      <c r="I307" t="str">
        <f t="shared" si="9"/>
        <v/>
      </c>
      <c r="J307" t="str">
        <f t="shared" si="10"/>
        <v/>
      </c>
    </row>
    <row r="308" spans="8:10" x14ac:dyDescent="0.2">
      <c r="H308" s="64" t="str">
        <f t="shared" si="8"/>
        <v/>
      </c>
      <c r="I308" t="str">
        <f t="shared" si="9"/>
        <v/>
      </c>
      <c r="J308" t="str">
        <f t="shared" si="10"/>
        <v/>
      </c>
    </row>
    <row r="309" spans="8:10" x14ac:dyDescent="0.2">
      <c r="H309" s="64" t="str">
        <f t="shared" si="8"/>
        <v/>
      </c>
      <c r="I309" t="str">
        <f t="shared" si="9"/>
        <v/>
      </c>
      <c r="J309" t="str">
        <f t="shared" si="10"/>
        <v/>
      </c>
    </row>
    <row r="310" spans="8:10" x14ac:dyDescent="0.2">
      <c r="H310" s="64" t="str">
        <f t="shared" si="8"/>
        <v/>
      </c>
      <c r="I310" t="str">
        <f t="shared" si="9"/>
        <v/>
      </c>
      <c r="J310" t="str">
        <f t="shared" si="10"/>
        <v/>
      </c>
    </row>
    <row r="311" spans="8:10" x14ac:dyDescent="0.2">
      <c r="H311" s="64" t="str">
        <f t="shared" si="8"/>
        <v/>
      </c>
      <c r="I311" t="str">
        <f t="shared" si="9"/>
        <v/>
      </c>
      <c r="J311" t="str">
        <f t="shared" si="10"/>
        <v/>
      </c>
    </row>
    <row r="312" spans="8:10" x14ac:dyDescent="0.2">
      <c r="H312" s="64" t="str">
        <f t="shared" si="8"/>
        <v/>
      </c>
      <c r="I312" t="str">
        <f t="shared" si="9"/>
        <v/>
      </c>
      <c r="J312" t="str">
        <f t="shared" si="10"/>
        <v/>
      </c>
    </row>
    <row r="313" spans="8:10" x14ac:dyDescent="0.2">
      <c r="H313" s="64" t="str">
        <f t="shared" si="8"/>
        <v/>
      </c>
      <c r="I313" t="str">
        <f t="shared" si="9"/>
        <v/>
      </c>
      <c r="J313" t="str">
        <f t="shared" si="10"/>
        <v/>
      </c>
    </row>
    <row r="314" spans="8:10" x14ac:dyDescent="0.2">
      <c r="H314" s="64" t="str">
        <f t="shared" si="8"/>
        <v/>
      </c>
      <c r="I314" t="str">
        <f t="shared" si="9"/>
        <v/>
      </c>
      <c r="J314" t="str">
        <f t="shared" si="10"/>
        <v/>
      </c>
    </row>
    <row r="315" spans="8:10" x14ac:dyDescent="0.2">
      <c r="H315" s="64" t="str">
        <f t="shared" si="8"/>
        <v/>
      </c>
      <c r="I315" t="str">
        <f t="shared" si="9"/>
        <v/>
      </c>
      <c r="J315" t="str">
        <f t="shared" si="10"/>
        <v/>
      </c>
    </row>
    <row r="316" spans="8:10" x14ac:dyDescent="0.2">
      <c r="H316" s="64" t="str">
        <f t="shared" si="8"/>
        <v/>
      </c>
      <c r="I316" t="str">
        <f t="shared" si="9"/>
        <v/>
      </c>
      <c r="J316" t="str">
        <f t="shared" si="10"/>
        <v/>
      </c>
    </row>
    <row r="317" spans="8:10" x14ac:dyDescent="0.2">
      <c r="H317" s="64" t="str">
        <f t="shared" si="8"/>
        <v/>
      </c>
      <c r="I317" t="str">
        <f t="shared" si="9"/>
        <v/>
      </c>
      <c r="J317" t="str">
        <f t="shared" si="10"/>
        <v/>
      </c>
    </row>
    <row r="318" spans="8:10" x14ac:dyDescent="0.2">
      <c r="H318" s="64" t="str">
        <f t="shared" si="8"/>
        <v/>
      </c>
      <c r="I318" t="str">
        <f t="shared" si="9"/>
        <v/>
      </c>
      <c r="J318" t="str">
        <f t="shared" si="10"/>
        <v/>
      </c>
    </row>
    <row r="319" spans="8:10" x14ac:dyDescent="0.2">
      <c r="H319" s="64" t="str">
        <f t="shared" si="8"/>
        <v/>
      </c>
      <c r="I319" t="str">
        <f t="shared" si="9"/>
        <v/>
      </c>
      <c r="J319" t="str">
        <f t="shared" si="10"/>
        <v/>
      </c>
    </row>
    <row r="320" spans="8:10" x14ac:dyDescent="0.2">
      <c r="H320" s="64" t="str">
        <f t="shared" si="8"/>
        <v/>
      </c>
      <c r="I320" t="str">
        <f t="shared" si="9"/>
        <v/>
      </c>
      <c r="J320" t="str">
        <f t="shared" si="10"/>
        <v/>
      </c>
    </row>
    <row r="321" spans="8:10" x14ac:dyDescent="0.2">
      <c r="H321" s="64" t="str">
        <f t="shared" si="8"/>
        <v/>
      </c>
      <c r="I321" t="str">
        <f t="shared" si="9"/>
        <v/>
      </c>
      <c r="J321" t="str">
        <f t="shared" si="10"/>
        <v/>
      </c>
    </row>
    <row r="322" spans="8:10" x14ac:dyDescent="0.2">
      <c r="H322" s="64" t="str">
        <f t="shared" si="8"/>
        <v/>
      </c>
      <c r="I322" t="str">
        <f t="shared" si="9"/>
        <v/>
      </c>
      <c r="J322" t="str">
        <f t="shared" si="10"/>
        <v/>
      </c>
    </row>
    <row r="323" spans="8:10" x14ac:dyDescent="0.2">
      <c r="H323" s="64" t="str">
        <f t="shared" si="8"/>
        <v/>
      </c>
      <c r="I323" t="str">
        <f t="shared" si="9"/>
        <v/>
      </c>
      <c r="J323" t="str">
        <f t="shared" si="10"/>
        <v/>
      </c>
    </row>
    <row r="324" spans="8:10" x14ac:dyDescent="0.2">
      <c r="H324" s="64" t="str">
        <f t="shared" si="8"/>
        <v/>
      </c>
      <c r="I324" t="str">
        <f t="shared" si="9"/>
        <v/>
      </c>
      <c r="J324" t="str">
        <f t="shared" si="10"/>
        <v/>
      </c>
    </row>
    <row r="325" spans="8:10" x14ac:dyDescent="0.2">
      <c r="H325" s="64" t="str">
        <f t="shared" si="8"/>
        <v/>
      </c>
      <c r="I325" t="str">
        <f t="shared" si="9"/>
        <v/>
      </c>
      <c r="J325" t="str">
        <f t="shared" si="10"/>
        <v/>
      </c>
    </row>
    <row r="326" spans="8:10" x14ac:dyDescent="0.2">
      <c r="H326" s="64" t="str">
        <f t="shared" si="8"/>
        <v/>
      </c>
      <c r="I326" t="str">
        <f t="shared" si="9"/>
        <v/>
      </c>
      <c r="J326" t="str">
        <f t="shared" si="10"/>
        <v/>
      </c>
    </row>
    <row r="327" spans="8:10" x14ac:dyDescent="0.2">
      <c r="H327" s="64" t="str">
        <f t="shared" si="8"/>
        <v/>
      </c>
      <c r="I327" t="str">
        <f t="shared" si="9"/>
        <v/>
      </c>
      <c r="J327" t="str">
        <f t="shared" si="10"/>
        <v/>
      </c>
    </row>
    <row r="328" spans="8:10" x14ac:dyDescent="0.2">
      <c r="H328" s="64" t="str">
        <f t="shared" si="8"/>
        <v/>
      </c>
      <c r="I328" t="str">
        <f t="shared" si="9"/>
        <v/>
      </c>
      <c r="J328" t="str">
        <f t="shared" si="10"/>
        <v/>
      </c>
    </row>
    <row r="329" spans="8:10" x14ac:dyDescent="0.2">
      <c r="H329" s="64" t="str">
        <f t="shared" si="8"/>
        <v/>
      </c>
      <c r="I329" t="str">
        <f t="shared" si="9"/>
        <v/>
      </c>
      <c r="J329" t="str">
        <f t="shared" si="10"/>
        <v/>
      </c>
    </row>
    <row r="330" spans="8:10" x14ac:dyDescent="0.2">
      <c r="H330" s="64" t="str">
        <f t="shared" si="8"/>
        <v/>
      </c>
      <c r="I330" t="str">
        <f t="shared" si="9"/>
        <v/>
      </c>
      <c r="J330" t="str">
        <f t="shared" si="10"/>
        <v/>
      </c>
    </row>
    <row r="331" spans="8:10" x14ac:dyDescent="0.2">
      <c r="H331" s="64" t="str">
        <f t="shared" si="8"/>
        <v/>
      </c>
      <c r="I331" t="str">
        <f t="shared" si="9"/>
        <v/>
      </c>
      <c r="J331" t="str">
        <f t="shared" si="10"/>
        <v/>
      </c>
    </row>
    <row r="332" spans="8:10" x14ac:dyDescent="0.2">
      <c r="H332" s="64" t="str">
        <f t="shared" si="8"/>
        <v/>
      </c>
      <c r="I332" t="str">
        <f t="shared" si="9"/>
        <v/>
      </c>
      <c r="J332" t="str">
        <f t="shared" si="10"/>
        <v/>
      </c>
    </row>
    <row r="333" spans="8:10" x14ac:dyDescent="0.2">
      <c r="H333" s="64" t="str">
        <f t="shared" si="8"/>
        <v/>
      </c>
      <c r="I333" t="str">
        <f t="shared" si="9"/>
        <v/>
      </c>
      <c r="J333" t="str">
        <f t="shared" si="10"/>
        <v/>
      </c>
    </row>
    <row r="334" spans="8:10" x14ac:dyDescent="0.2">
      <c r="H334" s="64" t="str">
        <f t="shared" si="8"/>
        <v/>
      </c>
      <c r="I334" t="str">
        <f t="shared" si="9"/>
        <v/>
      </c>
      <c r="J334" t="str">
        <f t="shared" si="10"/>
        <v/>
      </c>
    </row>
    <row r="335" spans="8:10" x14ac:dyDescent="0.2">
      <c r="H335" s="64" t="str">
        <f t="shared" si="8"/>
        <v/>
      </c>
      <c r="I335" t="str">
        <f t="shared" si="9"/>
        <v/>
      </c>
      <c r="J335" t="str">
        <f t="shared" si="10"/>
        <v/>
      </c>
    </row>
    <row r="336" spans="8:10" x14ac:dyDescent="0.2">
      <c r="H336" s="64" t="str">
        <f t="shared" si="8"/>
        <v/>
      </c>
      <c r="I336" t="str">
        <f t="shared" si="9"/>
        <v/>
      </c>
      <c r="J336" t="str">
        <f t="shared" si="10"/>
        <v/>
      </c>
    </row>
    <row r="337" spans="8:10" x14ac:dyDescent="0.2">
      <c r="H337" s="64" t="str">
        <f t="shared" si="8"/>
        <v/>
      </c>
      <c r="I337" t="str">
        <f t="shared" si="9"/>
        <v/>
      </c>
      <c r="J337" t="str">
        <f t="shared" si="10"/>
        <v/>
      </c>
    </row>
    <row r="338" spans="8:10" x14ac:dyDescent="0.2">
      <c r="H338" s="64" t="str">
        <f t="shared" ref="H338:H401" si="11">IF(B338="(blank)","",IF(ISBLANK($B338),"",IF(G338&lt;120,120,"")))</f>
        <v/>
      </c>
      <c r="I338" t="str">
        <f t="shared" ref="I338:I401" si="12">IF(ISBLANK($B338),"",IF($H338="",$G338,$H338))</f>
        <v/>
      </c>
      <c r="J338" t="str">
        <f t="shared" ref="J338:J401" si="13">IF(ISBLANK($B338),"",IF($I338&lt;120,120,$I338))</f>
        <v/>
      </c>
    </row>
    <row r="339" spans="8:10" x14ac:dyDescent="0.2">
      <c r="H339" s="64" t="str">
        <f t="shared" si="11"/>
        <v/>
      </c>
      <c r="I339" t="str">
        <f t="shared" si="12"/>
        <v/>
      </c>
      <c r="J339" t="str">
        <f t="shared" si="13"/>
        <v/>
      </c>
    </row>
    <row r="340" spans="8:10" x14ac:dyDescent="0.2">
      <c r="H340" s="64" t="str">
        <f t="shared" si="11"/>
        <v/>
      </c>
      <c r="I340" t="str">
        <f t="shared" si="12"/>
        <v/>
      </c>
      <c r="J340" t="str">
        <f t="shared" si="13"/>
        <v/>
      </c>
    </row>
    <row r="341" spans="8:10" x14ac:dyDescent="0.2">
      <c r="H341" s="64" t="str">
        <f t="shared" si="11"/>
        <v/>
      </c>
      <c r="I341" t="str">
        <f t="shared" si="12"/>
        <v/>
      </c>
      <c r="J341" t="str">
        <f t="shared" si="13"/>
        <v/>
      </c>
    </row>
    <row r="342" spans="8:10" x14ac:dyDescent="0.2">
      <c r="H342" s="64" t="str">
        <f t="shared" si="11"/>
        <v/>
      </c>
      <c r="I342" t="str">
        <f t="shared" si="12"/>
        <v/>
      </c>
      <c r="J342" t="str">
        <f t="shared" si="13"/>
        <v/>
      </c>
    </row>
    <row r="343" spans="8:10" x14ac:dyDescent="0.2">
      <c r="H343" s="64" t="str">
        <f t="shared" si="11"/>
        <v/>
      </c>
      <c r="I343" t="str">
        <f t="shared" si="12"/>
        <v/>
      </c>
      <c r="J343" t="str">
        <f t="shared" si="13"/>
        <v/>
      </c>
    </row>
    <row r="344" spans="8:10" x14ac:dyDescent="0.2">
      <c r="H344" s="64" t="str">
        <f t="shared" si="11"/>
        <v/>
      </c>
      <c r="I344" t="str">
        <f t="shared" si="12"/>
        <v/>
      </c>
      <c r="J344" t="str">
        <f t="shared" si="13"/>
        <v/>
      </c>
    </row>
    <row r="345" spans="8:10" x14ac:dyDescent="0.2">
      <c r="H345" s="64" t="str">
        <f t="shared" si="11"/>
        <v/>
      </c>
      <c r="I345" t="str">
        <f t="shared" si="12"/>
        <v/>
      </c>
      <c r="J345" t="str">
        <f t="shared" si="13"/>
        <v/>
      </c>
    </row>
    <row r="346" spans="8:10" x14ac:dyDescent="0.2">
      <c r="H346" s="64" t="str">
        <f t="shared" si="11"/>
        <v/>
      </c>
      <c r="I346" t="str">
        <f t="shared" si="12"/>
        <v/>
      </c>
      <c r="J346" t="str">
        <f t="shared" si="13"/>
        <v/>
      </c>
    </row>
    <row r="347" spans="8:10" x14ac:dyDescent="0.2">
      <c r="H347" s="64" t="str">
        <f t="shared" si="11"/>
        <v/>
      </c>
      <c r="I347" t="str">
        <f t="shared" si="12"/>
        <v/>
      </c>
      <c r="J347" t="str">
        <f t="shared" si="13"/>
        <v/>
      </c>
    </row>
    <row r="348" spans="8:10" x14ac:dyDescent="0.2">
      <c r="H348" s="64" t="str">
        <f t="shared" si="11"/>
        <v/>
      </c>
      <c r="I348" t="str">
        <f t="shared" si="12"/>
        <v/>
      </c>
      <c r="J348" t="str">
        <f t="shared" si="13"/>
        <v/>
      </c>
    </row>
    <row r="349" spans="8:10" x14ac:dyDescent="0.2">
      <c r="H349" s="64" t="str">
        <f t="shared" si="11"/>
        <v/>
      </c>
      <c r="I349" t="str">
        <f t="shared" si="12"/>
        <v/>
      </c>
      <c r="J349" t="str">
        <f t="shared" si="13"/>
        <v/>
      </c>
    </row>
    <row r="350" spans="8:10" x14ac:dyDescent="0.2">
      <c r="H350" s="64" t="str">
        <f t="shared" si="11"/>
        <v/>
      </c>
      <c r="I350" t="str">
        <f t="shared" si="12"/>
        <v/>
      </c>
      <c r="J350" t="str">
        <f t="shared" si="13"/>
        <v/>
      </c>
    </row>
    <row r="351" spans="8:10" x14ac:dyDescent="0.2">
      <c r="H351" s="64" t="str">
        <f t="shared" si="11"/>
        <v/>
      </c>
      <c r="I351" t="str">
        <f t="shared" si="12"/>
        <v/>
      </c>
      <c r="J351" t="str">
        <f t="shared" si="13"/>
        <v/>
      </c>
    </row>
    <row r="352" spans="8:10" x14ac:dyDescent="0.2">
      <c r="H352" s="64" t="str">
        <f t="shared" si="11"/>
        <v/>
      </c>
      <c r="I352" t="str">
        <f t="shared" si="12"/>
        <v/>
      </c>
      <c r="J352" t="str">
        <f t="shared" si="13"/>
        <v/>
      </c>
    </row>
    <row r="353" spans="8:10" x14ac:dyDescent="0.2">
      <c r="H353" s="64" t="str">
        <f t="shared" si="11"/>
        <v/>
      </c>
      <c r="I353" t="str">
        <f t="shared" si="12"/>
        <v/>
      </c>
      <c r="J353" t="str">
        <f t="shared" si="13"/>
        <v/>
      </c>
    </row>
    <row r="354" spans="8:10" x14ac:dyDescent="0.2">
      <c r="H354" s="64" t="str">
        <f t="shared" si="11"/>
        <v/>
      </c>
      <c r="I354" t="str">
        <f t="shared" si="12"/>
        <v/>
      </c>
      <c r="J354" t="str">
        <f t="shared" si="13"/>
        <v/>
      </c>
    </row>
    <row r="355" spans="8:10" x14ac:dyDescent="0.2">
      <c r="H355" s="64" t="str">
        <f t="shared" si="11"/>
        <v/>
      </c>
      <c r="I355" t="str">
        <f t="shared" si="12"/>
        <v/>
      </c>
      <c r="J355" t="str">
        <f t="shared" si="13"/>
        <v/>
      </c>
    </row>
    <row r="356" spans="8:10" x14ac:dyDescent="0.2">
      <c r="H356" s="64" t="str">
        <f t="shared" si="11"/>
        <v/>
      </c>
      <c r="I356" t="str">
        <f t="shared" si="12"/>
        <v/>
      </c>
      <c r="J356" t="str">
        <f t="shared" si="13"/>
        <v/>
      </c>
    </row>
    <row r="357" spans="8:10" x14ac:dyDescent="0.2">
      <c r="H357" s="64" t="str">
        <f t="shared" si="11"/>
        <v/>
      </c>
      <c r="I357" t="str">
        <f t="shared" si="12"/>
        <v/>
      </c>
      <c r="J357" t="str">
        <f t="shared" si="13"/>
        <v/>
      </c>
    </row>
    <row r="358" spans="8:10" x14ac:dyDescent="0.2">
      <c r="H358" s="64" t="str">
        <f t="shared" si="11"/>
        <v/>
      </c>
      <c r="I358" t="str">
        <f t="shared" si="12"/>
        <v/>
      </c>
      <c r="J358" t="str">
        <f t="shared" si="13"/>
        <v/>
      </c>
    </row>
    <row r="359" spans="8:10" x14ac:dyDescent="0.2">
      <c r="H359" s="64" t="str">
        <f t="shared" si="11"/>
        <v/>
      </c>
      <c r="I359" t="str">
        <f t="shared" si="12"/>
        <v/>
      </c>
      <c r="J359" t="str">
        <f t="shared" si="13"/>
        <v/>
      </c>
    </row>
    <row r="360" spans="8:10" x14ac:dyDescent="0.2">
      <c r="H360" s="64" t="str">
        <f t="shared" si="11"/>
        <v/>
      </c>
      <c r="I360" t="str">
        <f t="shared" si="12"/>
        <v/>
      </c>
      <c r="J360" t="str">
        <f t="shared" si="13"/>
        <v/>
      </c>
    </row>
    <row r="361" spans="8:10" x14ac:dyDescent="0.2">
      <c r="H361" s="64" t="str">
        <f t="shared" si="11"/>
        <v/>
      </c>
      <c r="I361" t="str">
        <f t="shared" si="12"/>
        <v/>
      </c>
      <c r="J361" t="str">
        <f t="shared" si="13"/>
        <v/>
      </c>
    </row>
    <row r="362" spans="8:10" x14ac:dyDescent="0.2">
      <c r="H362" s="64" t="str">
        <f t="shared" si="11"/>
        <v/>
      </c>
      <c r="I362" t="str">
        <f t="shared" si="12"/>
        <v/>
      </c>
      <c r="J362" t="str">
        <f t="shared" si="13"/>
        <v/>
      </c>
    </row>
    <row r="363" spans="8:10" x14ac:dyDescent="0.2">
      <c r="H363" s="64" t="str">
        <f t="shared" si="11"/>
        <v/>
      </c>
      <c r="I363" t="str">
        <f t="shared" si="12"/>
        <v/>
      </c>
      <c r="J363" t="str">
        <f t="shared" si="13"/>
        <v/>
      </c>
    </row>
    <row r="364" spans="8:10" x14ac:dyDescent="0.2">
      <c r="H364" s="64" t="str">
        <f t="shared" si="11"/>
        <v/>
      </c>
      <c r="I364" t="str">
        <f t="shared" si="12"/>
        <v/>
      </c>
      <c r="J364" t="str">
        <f t="shared" si="13"/>
        <v/>
      </c>
    </row>
    <row r="365" spans="8:10" x14ac:dyDescent="0.2">
      <c r="H365" s="64" t="str">
        <f t="shared" si="11"/>
        <v/>
      </c>
      <c r="I365" t="str">
        <f t="shared" si="12"/>
        <v/>
      </c>
      <c r="J365" t="str">
        <f t="shared" si="13"/>
        <v/>
      </c>
    </row>
    <row r="366" spans="8:10" x14ac:dyDescent="0.2">
      <c r="H366" s="64" t="str">
        <f t="shared" si="11"/>
        <v/>
      </c>
      <c r="I366" t="str">
        <f t="shared" si="12"/>
        <v/>
      </c>
      <c r="J366" t="str">
        <f t="shared" si="13"/>
        <v/>
      </c>
    </row>
    <row r="367" spans="8:10" x14ac:dyDescent="0.2">
      <c r="H367" s="64" t="str">
        <f t="shared" si="11"/>
        <v/>
      </c>
      <c r="I367" t="str">
        <f t="shared" si="12"/>
        <v/>
      </c>
      <c r="J367" t="str">
        <f t="shared" si="13"/>
        <v/>
      </c>
    </row>
    <row r="368" spans="8:10" x14ac:dyDescent="0.2">
      <c r="H368" s="64" t="str">
        <f t="shared" si="11"/>
        <v/>
      </c>
      <c r="I368" t="str">
        <f t="shared" si="12"/>
        <v/>
      </c>
      <c r="J368" t="str">
        <f t="shared" si="13"/>
        <v/>
      </c>
    </row>
    <row r="369" spans="8:10" x14ac:dyDescent="0.2">
      <c r="H369" s="64" t="str">
        <f t="shared" si="11"/>
        <v/>
      </c>
      <c r="I369" t="str">
        <f t="shared" si="12"/>
        <v/>
      </c>
      <c r="J369" t="str">
        <f t="shared" si="13"/>
        <v/>
      </c>
    </row>
    <row r="370" spans="8:10" x14ac:dyDescent="0.2">
      <c r="H370" s="64" t="str">
        <f t="shared" si="11"/>
        <v/>
      </c>
      <c r="I370" t="str">
        <f t="shared" si="12"/>
        <v/>
      </c>
      <c r="J370" t="str">
        <f t="shared" si="13"/>
        <v/>
      </c>
    </row>
    <row r="371" spans="8:10" x14ac:dyDescent="0.2">
      <c r="H371" s="64" t="str">
        <f t="shared" si="11"/>
        <v/>
      </c>
      <c r="I371" t="str">
        <f t="shared" si="12"/>
        <v/>
      </c>
      <c r="J371" t="str">
        <f t="shared" si="13"/>
        <v/>
      </c>
    </row>
    <row r="372" spans="8:10" x14ac:dyDescent="0.2">
      <c r="H372" s="64" t="str">
        <f t="shared" si="11"/>
        <v/>
      </c>
      <c r="I372" t="str">
        <f t="shared" si="12"/>
        <v/>
      </c>
      <c r="J372" t="str">
        <f t="shared" si="13"/>
        <v/>
      </c>
    </row>
    <row r="373" spans="8:10" x14ac:dyDescent="0.2">
      <c r="H373" s="64" t="str">
        <f t="shared" si="11"/>
        <v/>
      </c>
      <c r="I373" t="str">
        <f t="shared" si="12"/>
        <v/>
      </c>
      <c r="J373" t="str">
        <f t="shared" si="13"/>
        <v/>
      </c>
    </row>
    <row r="374" spans="8:10" x14ac:dyDescent="0.2">
      <c r="H374" s="64" t="str">
        <f t="shared" si="11"/>
        <v/>
      </c>
      <c r="I374" t="str">
        <f t="shared" si="12"/>
        <v/>
      </c>
      <c r="J374" t="str">
        <f t="shared" si="13"/>
        <v/>
      </c>
    </row>
    <row r="375" spans="8:10" x14ac:dyDescent="0.2">
      <c r="H375" s="64" t="str">
        <f t="shared" si="11"/>
        <v/>
      </c>
      <c r="I375" t="str">
        <f t="shared" si="12"/>
        <v/>
      </c>
      <c r="J375" t="str">
        <f t="shared" si="13"/>
        <v/>
      </c>
    </row>
    <row r="376" spans="8:10" x14ac:dyDescent="0.2">
      <c r="H376" s="64" t="str">
        <f t="shared" si="11"/>
        <v/>
      </c>
      <c r="I376" t="str">
        <f t="shared" si="12"/>
        <v/>
      </c>
      <c r="J376" t="str">
        <f t="shared" si="13"/>
        <v/>
      </c>
    </row>
    <row r="377" spans="8:10" x14ac:dyDescent="0.2">
      <c r="H377" s="64" t="str">
        <f t="shared" si="11"/>
        <v/>
      </c>
      <c r="I377" t="str">
        <f t="shared" si="12"/>
        <v/>
      </c>
      <c r="J377" t="str">
        <f t="shared" si="13"/>
        <v/>
      </c>
    </row>
    <row r="378" spans="8:10" x14ac:dyDescent="0.2">
      <c r="H378" s="64" t="str">
        <f t="shared" si="11"/>
        <v/>
      </c>
      <c r="I378" t="str">
        <f t="shared" si="12"/>
        <v/>
      </c>
      <c r="J378" t="str">
        <f t="shared" si="13"/>
        <v/>
      </c>
    </row>
    <row r="379" spans="8:10" x14ac:dyDescent="0.2">
      <c r="H379" s="64" t="str">
        <f t="shared" si="11"/>
        <v/>
      </c>
      <c r="I379" t="str">
        <f t="shared" si="12"/>
        <v/>
      </c>
      <c r="J379" t="str">
        <f t="shared" si="13"/>
        <v/>
      </c>
    </row>
    <row r="380" spans="8:10" x14ac:dyDescent="0.2">
      <c r="H380" s="64" t="str">
        <f t="shared" si="11"/>
        <v/>
      </c>
      <c r="I380" t="str">
        <f t="shared" si="12"/>
        <v/>
      </c>
      <c r="J380" t="str">
        <f t="shared" si="13"/>
        <v/>
      </c>
    </row>
    <row r="381" spans="8:10" x14ac:dyDescent="0.2">
      <c r="H381" s="64" t="str">
        <f t="shared" si="11"/>
        <v/>
      </c>
      <c r="I381" t="str">
        <f t="shared" si="12"/>
        <v/>
      </c>
      <c r="J381" t="str">
        <f t="shared" si="13"/>
        <v/>
      </c>
    </row>
    <row r="382" spans="8:10" x14ac:dyDescent="0.2">
      <c r="H382" s="64" t="str">
        <f t="shared" si="11"/>
        <v/>
      </c>
      <c r="I382" t="str">
        <f t="shared" si="12"/>
        <v/>
      </c>
      <c r="J382" t="str">
        <f t="shared" si="13"/>
        <v/>
      </c>
    </row>
    <row r="383" spans="8:10" x14ac:dyDescent="0.2">
      <c r="H383" s="64" t="str">
        <f t="shared" si="11"/>
        <v/>
      </c>
      <c r="I383" t="str">
        <f t="shared" si="12"/>
        <v/>
      </c>
      <c r="J383" t="str">
        <f t="shared" si="13"/>
        <v/>
      </c>
    </row>
    <row r="384" spans="8:10" x14ac:dyDescent="0.2">
      <c r="H384" s="64" t="str">
        <f t="shared" si="11"/>
        <v/>
      </c>
      <c r="I384" t="str">
        <f t="shared" si="12"/>
        <v/>
      </c>
      <c r="J384" t="str">
        <f t="shared" si="13"/>
        <v/>
      </c>
    </row>
    <row r="385" spans="8:10" x14ac:dyDescent="0.2">
      <c r="H385" s="64" t="str">
        <f t="shared" si="11"/>
        <v/>
      </c>
      <c r="I385" t="str">
        <f t="shared" si="12"/>
        <v/>
      </c>
      <c r="J385" t="str">
        <f t="shared" si="13"/>
        <v/>
      </c>
    </row>
    <row r="386" spans="8:10" x14ac:dyDescent="0.2">
      <c r="H386" s="64" t="str">
        <f t="shared" si="11"/>
        <v/>
      </c>
      <c r="I386" t="str">
        <f t="shared" si="12"/>
        <v/>
      </c>
      <c r="J386" t="str">
        <f t="shared" si="13"/>
        <v/>
      </c>
    </row>
    <row r="387" spans="8:10" x14ac:dyDescent="0.2">
      <c r="H387" s="64" t="str">
        <f t="shared" si="11"/>
        <v/>
      </c>
      <c r="I387" t="str">
        <f t="shared" si="12"/>
        <v/>
      </c>
      <c r="J387" t="str">
        <f t="shared" si="13"/>
        <v/>
      </c>
    </row>
    <row r="388" spans="8:10" x14ac:dyDescent="0.2">
      <c r="H388" s="64" t="str">
        <f t="shared" si="11"/>
        <v/>
      </c>
      <c r="I388" t="str">
        <f t="shared" si="12"/>
        <v/>
      </c>
      <c r="J388" t="str">
        <f t="shared" si="13"/>
        <v/>
      </c>
    </row>
    <row r="389" spans="8:10" x14ac:dyDescent="0.2">
      <c r="H389" s="64" t="str">
        <f t="shared" si="11"/>
        <v/>
      </c>
      <c r="I389" t="str">
        <f t="shared" si="12"/>
        <v/>
      </c>
      <c r="J389" t="str">
        <f t="shared" si="13"/>
        <v/>
      </c>
    </row>
    <row r="390" spans="8:10" x14ac:dyDescent="0.2">
      <c r="H390" s="64" t="str">
        <f t="shared" si="11"/>
        <v/>
      </c>
      <c r="I390" t="str">
        <f t="shared" si="12"/>
        <v/>
      </c>
      <c r="J390" t="str">
        <f t="shared" si="13"/>
        <v/>
      </c>
    </row>
    <row r="391" spans="8:10" x14ac:dyDescent="0.2">
      <c r="H391" s="64" t="str">
        <f t="shared" si="11"/>
        <v/>
      </c>
      <c r="I391" t="str">
        <f t="shared" si="12"/>
        <v/>
      </c>
      <c r="J391" t="str">
        <f t="shared" si="13"/>
        <v/>
      </c>
    </row>
    <row r="392" spans="8:10" x14ac:dyDescent="0.2">
      <c r="H392" s="64" t="str">
        <f t="shared" si="11"/>
        <v/>
      </c>
      <c r="I392" t="str">
        <f t="shared" si="12"/>
        <v/>
      </c>
      <c r="J392" t="str">
        <f t="shared" si="13"/>
        <v/>
      </c>
    </row>
    <row r="393" spans="8:10" x14ac:dyDescent="0.2">
      <c r="H393" s="64" t="str">
        <f t="shared" si="11"/>
        <v/>
      </c>
      <c r="I393" t="str">
        <f t="shared" si="12"/>
        <v/>
      </c>
      <c r="J393" t="str">
        <f t="shared" si="13"/>
        <v/>
      </c>
    </row>
    <row r="394" spans="8:10" x14ac:dyDescent="0.2">
      <c r="H394" s="64" t="str">
        <f t="shared" si="11"/>
        <v/>
      </c>
      <c r="I394" t="str">
        <f t="shared" si="12"/>
        <v/>
      </c>
      <c r="J394" t="str">
        <f t="shared" si="13"/>
        <v/>
      </c>
    </row>
    <row r="395" spans="8:10" x14ac:dyDescent="0.2">
      <c r="H395" s="64" t="str">
        <f t="shared" si="11"/>
        <v/>
      </c>
      <c r="I395" t="str">
        <f t="shared" si="12"/>
        <v/>
      </c>
      <c r="J395" t="str">
        <f t="shared" si="13"/>
        <v/>
      </c>
    </row>
    <row r="396" spans="8:10" x14ac:dyDescent="0.2">
      <c r="H396" s="64" t="str">
        <f t="shared" si="11"/>
        <v/>
      </c>
      <c r="I396" t="str">
        <f t="shared" si="12"/>
        <v/>
      </c>
      <c r="J396" t="str">
        <f t="shared" si="13"/>
        <v/>
      </c>
    </row>
    <row r="397" spans="8:10" x14ac:dyDescent="0.2">
      <c r="H397" s="64" t="str">
        <f t="shared" si="11"/>
        <v/>
      </c>
      <c r="I397" t="str">
        <f t="shared" si="12"/>
        <v/>
      </c>
      <c r="J397" t="str">
        <f t="shared" si="13"/>
        <v/>
      </c>
    </row>
    <row r="398" spans="8:10" x14ac:dyDescent="0.2">
      <c r="H398" s="64" t="str">
        <f t="shared" si="11"/>
        <v/>
      </c>
      <c r="I398" t="str">
        <f t="shared" si="12"/>
        <v/>
      </c>
      <c r="J398" t="str">
        <f t="shared" si="13"/>
        <v/>
      </c>
    </row>
    <row r="399" spans="8:10" x14ac:dyDescent="0.2">
      <c r="H399" s="64" t="str">
        <f t="shared" si="11"/>
        <v/>
      </c>
      <c r="I399" t="str">
        <f t="shared" si="12"/>
        <v/>
      </c>
      <c r="J399" t="str">
        <f t="shared" si="13"/>
        <v/>
      </c>
    </row>
    <row r="400" spans="8:10" x14ac:dyDescent="0.2">
      <c r="H400" s="64" t="str">
        <f t="shared" si="11"/>
        <v/>
      </c>
      <c r="I400" t="str">
        <f t="shared" si="12"/>
        <v/>
      </c>
      <c r="J400" t="str">
        <f t="shared" si="13"/>
        <v/>
      </c>
    </row>
    <row r="401" spans="8:10" x14ac:dyDescent="0.2">
      <c r="H401" s="64" t="str">
        <f t="shared" si="11"/>
        <v/>
      </c>
      <c r="I401" t="str">
        <f t="shared" si="12"/>
        <v/>
      </c>
      <c r="J401" t="str">
        <f t="shared" si="13"/>
        <v/>
      </c>
    </row>
    <row r="402" spans="8:10" x14ac:dyDescent="0.2">
      <c r="H402" s="64" t="str">
        <f t="shared" ref="H402:H465" si="14">IF(B402="(blank)","",IF(ISBLANK($B402),"",IF(G402&lt;120,120,"")))</f>
        <v/>
      </c>
      <c r="I402" t="str">
        <f t="shared" ref="I402:I465" si="15">IF(ISBLANK($B402),"",IF($H402="",$G402,$H402))</f>
        <v/>
      </c>
      <c r="J402" t="str">
        <f t="shared" ref="J402:J465" si="16">IF(ISBLANK($B402),"",IF($I402&lt;120,120,$I402))</f>
        <v/>
      </c>
    </row>
    <row r="403" spans="8:10" x14ac:dyDescent="0.2">
      <c r="H403" s="64" t="str">
        <f t="shared" si="14"/>
        <v/>
      </c>
      <c r="I403" t="str">
        <f t="shared" si="15"/>
        <v/>
      </c>
      <c r="J403" t="str">
        <f t="shared" si="16"/>
        <v/>
      </c>
    </row>
    <row r="404" spans="8:10" x14ac:dyDescent="0.2">
      <c r="H404" s="64" t="str">
        <f t="shared" si="14"/>
        <v/>
      </c>
      <c r="I404" t="str">
        <f t="shared" si="15"/>
        <v/>
      </c>
      <c r="J404" t="str">
        <f t="shared" si="16"/>
        <v/>
      </c>
    </row>
    <row r="405" spans="8:10" x14ac:dyDescent="0.2">
      <c r="H405" s="64" t="str">
        <f t="shared" si="14"/>
        <v/>
      </c>
      <c r="I405" t="str">
        <f t="shared" si="15"/>
        <v/>
      </c>
      <c r="J405" t="str">
        <f t="shared" si="16"/>
        <v/>
      </c>
    </row>
    <row r="406" spans="8:10" x14ac:dyDescent="0.2">
      <c r="H406" s="64" t="str">
        <f t="shared" si="14"/>
        <v/>
      </c>
      <c r="I406" t="str">
        <f t="shared" si="15"/>
        <v/>
      </c>
      <c r="J406" t="str">
        <f t="shared" si="16"/>
        <v/>
      </c>
    </row>
    <row r="407" spans="8:10" x14ac:dyDescent="0.2">
      <c r="H407" s="64" t="str">
        <f t="shared" si="14"/>
        <v/>
      </c>
      <c r="I407" t="str">
        <f t="shared" si="15"/>
        <v/>
      </c>
      <c r="J407" t="str">
        <f t="shared" si="16"/>
        <v/>
      </c>
    </row>
    <row r="408" spans="8:10" x14ac:dyDescent="0.2">
      <c r="H408" s="64" t="str">
        <f t="shared" si="14"/>
        <v/>
      </c>
      <c r="I408" t="str">
        <f t="shared" si="15"/>
        <v/>
      </c>
      <c r="J408" t="str">
        <f t="shared" si="16"/>
        <v/>
      </c>
    </row>
    <row r="409" spans="8:10" x14ac:dyDescent="0.2">
      <c r="H409" s="64" t="str">
        <f t="shared" si="14"/>
        <v/>
      </c>
      <c r="I409" t="str">
        <f t="shared" si="15"/>
        <v/>
      </c>
      <c r="J409" t="str">
        <f t="shared" si="16"/>
        <v/>
      </c>
    </row>
    <row r="410" spans="8:10" x14ac:dyDescent="0.2">
      <c r="H410" s="64" t="str">
        <f t="shared" si="14"/>
        <v/>
      </c>
      <c r="I410" t="str">
        <f t="shared" si="15"/>
        <v/>
      </c>
      <c r="J410" t="str">
        <f t="shared" si="16"/>
        <v/>
      </c>
    </row>
    <row r="411" spans="8:10" x14ac:dyDescent="0.2">
      <c r="H411" s="64" t="str">
        <f t="shared" si="14"/>
        <v/>
      </c>
      <c r="I411" t="str">
        <f t="shared" si="15"/>
        <v/>
      </c>
      <c r="J411" t="str">
        <f t="shared" si="16"/>
        <v/>
      </c>
    </row>
    <row r="412" spans="8:10" x14ac:dyDescent="0.2">
      <c r="H412" s="64" t="str">
        <f t="shared" si="14"/>
        <v/>
      </c>
      <c r="I412" t="str">
        <f t="shared" si="15"/>
        <v/>
      </c>
      <c r="J412" t="str">
        <f t="shared" si="16"/>
        <v/>
      </c>
    </row>
    <row r="413" spans="8:10" x14ac:dyDescent="0.2">
      <c r="H413" s="64" t="str">
        <f t="shared" si="14"/>
        <v/>
      </c>
      <c r="I413" t="str">
        <f t="shared" si="15"/>
        <v/>
      </c>
      <c r="J413" t="str">
        <f t="shared" si="16"/>
        <v/>
      </c>
    </row>
    <row r="414" spans="8:10" x14ac:dyDescent="0.2">
      <c r="H414" s="64" t="str">
        <f t="shared" si="14"/>
        <v/>
      </c>
      <c r="I414" t="str">
        <f t="shared" si="15"/>
        <v/>
      </c>
      <c r="J414" t="str">
        <f t="shared" si="16"/>
        <v/>
      </c>
    </row>
    <row r="415" spans="8:10" x14ac:dyDescent="0.2">
      <c r="H415" s="64" t="str">
        <f t="shared" si="14"/>
        <v/>
      </c>
      <c r="I415" t="str">
        <f t="shared" si="15"/>
        <v/>
      </c>
      <c r="J415" t="str">
        <f t="shared" si="16"/>
        <v/>
      </c>
    </row>
    <row r="416" spans="8:10" x14ac:dyDescent="0.2">
      <c r="H416" s="64" t="str">
        <f t="shared" si="14"/>
        <v/>
      </c>
      <c r="I416" t="str">
        <f t="shared" si="15"/>
        <v/>
      </c>
      <c r="J416" t="str">
        <f t="shared" si="16"/>
        <v/>
      </c>
    </row>
    <row r="417" spans="8:10" x14ac:dyDescent="0.2">
      <c r="H417" s="64" t="str">
        <f t="shared" si="14"/>
        <v/>
      </c>
      <c r="I417" t="str">
        <f t="shared" si="15"/>
        <v/>
      </c>
      <c r="J417" t="str">
        <f t="shared" si="16"/>
        <v/>
      </c>
    </row>
    <row r="418" spans="8:10" x14ac:dyDescent="0.2">
      <c r="H418" s="64" t="str">
        <f t="shared" si="14"/>
        <v/>
      </c>
      <c r="I418" t="str">
        <f t="shared" si="15"/>
        <v/>
      </c>
      <c r="J418" t="str">
        <f t="shared" si="16"/>
        <v/>
      </c>
    </row>
    <row r="419" spans="8:10" x14ac:dyDescent="0.2">
      <c r="H419" s="64" t="str">
        <f t="shared" si="14"/>
        <v/>
      </c>
      <c r="I419" t="str">
        <f t="shared" si="15"/>
        <v/>
      </c>
      <c r="J419" t="str">
        <f t="shared" si="16"/>
        <v/>
      </c>
    </row>
    <row r="420" spans="8:10" x14ac:dyDescent="0.2">
      <c r="H420" s="64" t="str">
        <f t="shared" si="14"/>
        <v/>
      </c>
      <c r="I420" t="str">
        <f t="shared" si="15"/>
        <v/>
      </c>
      <c r="J420" t="str">
        <f t="shared" si="16"/>
        <v/>
      </c>
    </row>
    <row r="421" spans="8:10" x14ac:dyDescent="0.2">
      <c r="H421" s="64" t="str">
        <f t="shared" si="14"/>
        <v/>
      </c>
      <c r="I421" t="str">
        <f t="shared" si="15"/>
        <v/>
      </c>
      <c r="J421" t="str">
        <f t="shared" si="16"/>
        <v/>
      </c>
    </row>
    <row r="422" spans="8:10" x14ac:dyDescent="0.2">
      <c r="H422" s="64" t="str">
        <f t="shared" si="14"/>
        <v/>
      </c>
      <c r="I422" t="str">
        <f t="shared" si="15"/>
        <v/>
      </c>
      <c r="J422" t="str">
        <f t="shared" si="16"/>
        <v/>
      </c>
    </row>
    <row r="423" spans="8:10" x14ac:dyDescent="0.2">
      <c r="H423" s="64" t="str">
        <f t="shared" si="14"/>
        <v/>
      </c>
      <c r="I423" t="str">
        <f t="shared" si="15"/>
        <v/>
      </c>
      <c r="J423" t="str">
        <f t="shared" si="16"/>
        <v/>
      </c>
    </row>
    <row r="424" spans="8:10" x14ac:dyDescent="0.2">
      <c r="H424" s="64" t="str">
        <f t="shared" si="14"/>
        <v/>
      </c>
      <c r="I424" t="str">
        <f t="shared" si="15"/>
        <v/>
      </c>
      <c r="J424" t="str">
        <f t="shared" si="16"/>
        <v/>
      </c>
    </row>
    <row r="425" spans="8:10" x14ac:dyDescent="0.2">
      <c r="H425" s="64" t="str">
        <f t="shared" si="14"/>
        <v/>
      </c>
      <c r="I425" t="str">
        <f t="shared" si="15"/>
        <v/>
      </c>
      <c r="J425" t="str">
        <f t="shared" si="16"/>
        <v/>
      </c>
    </row>
    <row r="426" spans="8:10" x14ac:dyDescent="0.2">
      <c r="H426" s="64" t="str">
        <f t="shared" si="14"/>
        <v/>
      </c>
      <c r="I426" t="str">
        <f t="shared" si="15"/>
        <v/>
      </c>
      <c r="J426" t="str">
        <f t="shared" si="16"/>
        <v/>
      </c>
    </row>
    <row r="427" spans="8:10" x14ac:dyDescent="0.2">
      <c r="H427" s="64" t="str">
        <f t="shared" si="14"/>
        <v/>
      </c>
      <c r="I427" t="str">
        <f t="shared" si="15"/>
        <v/>
      </c>
      <c r="J427" t="str">
        <f t="shared" si="16"/>
        <v/>
      </c>
    </row>
    <row r="428" spans="8:10" x14ac:dyDescent="0.2">
      <c r="H428" s="64" t="str">
        <f t="shared" si="14"/>
        <v/>
      </c>
      <c r="I428" t="str">
        <f t="shared" si="15"/>
        <v/>
      </c>
      <c r="J428" t="str">
        <f t="shared" si="16"/>
        <v/>
      </c>
    </row>
    <row r="429" spans="8:10" x14ac:dyDescent="0.2">
      <c r="H429" s="64" t="str">
        <f t="shared" si="14"/>
        <v/>
      </c>
      <c r="I429" t="str">
        <f t="shared" si="15"/>
        <v/>
      </c>
      <c r="J429" t="str">
        <f t="shared" si="16"/>
        <v/>
      </c>
    </row>
    <row r="430" spans="8:10" x14ac:dyDescent="0.2">
      <c r="H430" s="64" t="str">
        <f t="shared" si="14"/>
        <v/>
      </c>
      <c r="I430" t="str">
        <f t="shared" si="15"/>
        <v/>
      </c>
      <c r="J430" t="str">
        <f t="shared" si="16"/>
        <v/>
      </c>
    </row>
    <row r="431" spans="8:10" x14ac:dyDescent="0.2">
      <c r="H431" s="64" t="str">
        <f t="shared" si="14"/>
        <v/>
      </c>
      <c r="I431" t="str">
        <f t="shared" si="15"/>
        <v/>
      </c>
      <c r="J431" t="str">
        <f t="shared" si="16"/>
        <v/>
      </c>
    </row>
    <row r="432" spans="8:10" x14ac:dyDescent="0.2">
      <c r="H432" s="64" t="str">
        <f t="shared" si="14"/>
        <v/>
      </c>
      <c r="I432" t="str">
        <f t="shared" si="15"/>
        <v/>
      </c>
      <c r="J432" t="str">
        <f t="shared" si="16"/>
        <v/>
      </c>
    </row>
    <row r="433" spans="8:10" x14ac:dyDescent="0.2">
      <c r="H433" s="64" t="str">
        <f t="shared" si="14"/>
        <v/>
      </c>
      <c r="I433" t="str">
        <f t="shared" si="15"/>
        <v/>
      </c>
      <c r="J433" t="str">
        <f t="shared" si="16"/>
        <v/>
      </c>
    </row>
    <row r="434" spans="8:10" x14ac:dyDescent="0.2">
      <c r="H434" s="64" t="str">
        <f t="shared" si="14"/>
        <v/>
      </c>
      <c r="I434" t="str">
        <f t="shared" si="15"/>
        <v/>
      </c>
      <c r="J434" t="str">
        <f t="shared" si="16"/>
        <v/>
      </c>
    </row>
    <row r="435" spans="8:10" x14ac:dyDescent="0.2">
      <c r="H435" s="64" t="str">
        <f t="shared" si="14"/>
        <v/>
      </c>
      <c r="I435" t="str">
        <f t="shared" si="15"/>
        <v/>
      </c>
      <c r="J435" t="str">
        <f t="shared" si="16"/>
        <v/>
      </c>
    </row>
    <row r="436" spans="8:10" x14ac:dyDescent="0.2">
      <c r="H436" s="64" t="str">
        <f t="shared" si="14"/>
        <v/>
      </c>
      <c r="I436" t="str">
        <f t="shared" si="15"/>
        <v/>
      </c>
      <c r="J436" t="str">
        <f t="shared" si="16"/>
        <v/>
      </c>
    </row>
    <row r="437" spans="8:10" x14ac:dyDescent="0.2">
      <c r="H437" s="64" t="str">
        <f t="shared" si="14"/>
        <v/>
      </c>
      <c r="I437" t="str">
        <f t="shared" si="15"/>
        <v/>
      </c>
      <c r="J437" t="str">
        <f t="shared" si="16"/>
        <v/>
      </c>
    </row>
    <row r="438" spans="8:10" x14ac:dyDescent="0.2">
      <c r="H438" s="64" t="str">
        <f t="shared" si="14"/>
        <v/>
      </c>
      <c r="I438" t="str">
        <f t="shared" si="15"/>
        <v/>
      </c>
      <c r="J438" t="str">
        <f t="shared" si="16"/>
        <v/>
      </c>
    </row>
    <row r="439" spans="8:10" x14ac:dyDescent="0.2">
      <c r="H439" s="64" t="str">
        <f t="shared" si="14"/>
        <v/>
      </c>
      <c r="I439" t="str">
        <f t="shared" si="15"/>
        <v/>
      </c>
      <c r="J439" t="str">
        <f t="shared" si="16"/>
        <v/>
      </c>
    </row>
    <row r="440" spans="8:10" x14ac:dyDescent="0.2">
      <c r="H440" s="64" t="str">
        <f t="shared" si="14"/>
        <v/>
      </c>
      <c r="I440" t="str">
        <f t="shared" si="15"/>
        <v/>
      </c>
      <c r="J440" t="str">
        <f t="shared" si="16"/>
        <v/>
      </c>
    </row>
    <row r="441" spans="8:10" x14ac:dyDescent="0.2">
      <c r="H441" s="64" t="str">
        <f t="shared" si="14"/>
        <v/>
      </c>
      <c r="I441" t="str">
        <f t="shared" si="15"/>
        <v/>
      </c>
      <c r="J441" t="str">
        <f t="shared" si="16"/>
        <v/>
      </c>
    </row>
    <row r="442" spans="8:10" x14ac:dyDescent="0.2">
      <c r="H442" s="64" t="str">
        <f t="shared" si="14"/>
        <v/>
      </c>
      <c r="I442" t="str">
        <f t="shared" si="15"/>
        <v/>
      </c>
      <c r="J442" t="str">
        <f t="shared" si="16"/>
        <v/>
      </c>
    </row>
    <row r="443" spans="8:10" x14ac:dyDescent="0.2">
      <c r="H443" s="64" t="str">
        <f t="shared" si="14"/>
        <v/>
      </c>
      <c r="I443" t="str">
        <f t="shared" si="15"/>
        <v/>
      </c>
      <c r="J443" t="str">
        <f t="shared" si="16"/>
        <v/>
      </c>
    </row>
    <row r="444" spans="8:10" x14ac:dyDescent="0.2">
      <c r="H444" s="64" t="str">
        <f t="shared" si="14"/>
        <v/>
      </c>
      <c r="I444" t="str">
        <f t="shared" si="15"/>
        <v/>
      </c>
      <c r="J444" t="str">
        <f t="shared" si="16"/>
        <v/>
      </c>
    </row>
    <row r="445" spans="8:10" x14ac:dyDescent="0.2">
      <c r="H445" s="64" t="str">
        <f t="shared" si="14"/>
        <v/>
      </c>
      <c r="I445" t="str">
        <f t="shared" si="15"/>
        <v/>
      </c>
      <c r="J445" t="str">
        <f t="shared" si="16"/>
        <v/>
      </c>
    </row>
    <row r="446" spans="8:10" x14ac:dyDescent="0.2">
      <c r="H446" s="64" t="str">
        <f t="shared" si="14"/>
        <v/>
      </c>
      <c r="I446" t="str">
        <f t="shared" si="15"/>
        <v/>
      </c>
      <c r="J446" t="str">
        <f t="shared" si="16"/>
        <v/>
      </c>
    </row>
    <row r="447" spans="8:10" x14ac:dyDescent="0.2">
      <c r="H447" s="64" t="str">
        <f t="shared" si="14"/>
        <v/>
      </c>
      <c r="I447" t="str">
        <f t="shared" si="15"/>
        <v/>
      </c>
      <c r="J447" t="str">
        <f t="shared" si="16"/>
        <v/>
      </c>
    </row>
    <row r="448" spans="8:10" x14ac:dyDescent="0.2">
      <c r="H448" s="64" t="str">
        <f t="shared" si="14"/>
        <v/>
      </c>
      <c r="I448" t="str">
        <f t="shared" si="15"/>
        <v/>
      </c>
      <c r="J448" t="str">
        <f t="shared" si="16"/>
        <v/>
      </c>
    </row>
    <row r="449" spans="8:10" x14ac:dyDescent="0.2">
      <c r="H449" s="64" t="str">
        <f t="shared" si="14"/>
        <v/>
      </c>
      <c r="I449" t="str">
        <f t="shared" si="15"/>
        <v/>
      </c>
      <c r="J449" t="str">
        <f t="shared" si="16"/>
        <v/>
      </c>
    </row>
    <row r="450" spans="8:10" x14ac:dyDescent="0.2">
      <c r="H450" s="64" t="str">
        <f t="shared" si="14"/>
        <v/>
      </c>
      <c r="I450" t="str">
        <f t="shared" si="15"/>
        <v/>
      </c>
      <c r="J450" t="str">
        <f t="shared" si="16"/>
        <v/>
      </c>
    </row>
    <row r="451" spans="8:10" x14ac:dyDescent="0.2">
      <c r="H451" s="64" t="str">
        <f t="shared" si="14"/>
        <v/>
      </c>
      <c r="I451" t="str">
        <f t="shared" si="15"/>
        <v/>
      </c>
      <c r="J451" t="str">
        <f t="shared" si="16"/>
        <v/>
      </c>
    </row>
    <row r="452" spans="8:10" x14ac:dyDescent="0.2">
      <c r="H452" s="64" t="str">
        <f t="shared" si="14"/>
        <v/>
      </c>
      <c r="I452" t="str">
        <f t="shared" si="15"/>
        <v/>
      </c>
      <c r="J452" t="str">
        <f t="shared" si="16"/>
        <v/>
      </c>
    </row>
    <row r="453" spans="8:10" x14ac:dyDescent="0.2">
      <c r="H453" s="64" t="str">
        <f t="shared" si="14"/>
        <v/>
      </c>
      <c r="I453" t="str">
        <f t="shared" si="15"/>
        <v/>
      </c>
      <c r="J453" t="str">
        <f t="shared" si="16"/>
        <v/>
      </c>
    </row>
    <row r="454" spans="8:10" x14ac:dyDescent="0.2">
      <c r="H454" s="64" t="str">
        <f t="shared" si="14"/>
        <v/>
      </c>
      <c r="I454" t="str">
        <f t="shared" si="15"/>
        <v/>
      </c>
      <c r="J454" t="str">
        <f t="shared" si="16"/>
        <v/>
      </c>
    </row>
    <row r="455" spans="8:10" x14ac:dyDescent="0.2">
      <c r="H455" s="64" t="str">
        <f t="shared" si="14"/>
        <v/>
      </c>
      <c r="I455" t="str">
        <f t="shared" si="15"/>
        <v/>
      </c>
      <c r="J455" t="str">
        <f t="shared" si="16"/>
        <v/>
      </c>
    </row>
    <row r="456" spans="8:10" x14ac:dyDescent="0.2">
      <c r="H456" s="64" t="str">
        <f t="shared" si="14"/>
        <v/>
      </c>
      <c r="I456" t="str">
        <f t="shared" si="15"/>
        <v/>
      </c>
      <c r="J456" t="str">
        <f t="shared" si="16"/>
        <v/>
      </c>
    </row>
    <row r="457" spans="8:10" x14ac:dyDescent="0.2">
      <c r="H457" s="64" t="str">
        <f t="shared" si="14"/>
        <v/>
      </c>
      <c r="I457" t="str">
        <f t="shared" si="15"/>
        <v/>
      </c>
      <c r="J457" t="str">
        <f t="shared" si="16"/>
        <v/>
      </c>
    </row>
    <row r="458" spans="8:10" x14ac:dyDescent="0.2">
      <c r="H458" s="64" t="str">
        <f t="shared" si="14"/>
        <v/>
      </c>
      <c r="I458" t="str">
        <f t="shared" si="15"/>
        <v/>
      </c>
      <c r="J458" t="str">
        <f t="shared" si="16"/>
        <v/>
      </c>
    </row>
    <row r="459" spans="8:10" x14ac:dyDescent="0.2">
      <c r="H459" s="64" t="str">
        <f t="shared" si="14"/>
        <v/>
      </c>
      <c r="I459" t="str">
        <f t="shared" si="15"/>
        <v/>
      </c>
      <c r="J459" t="str">
        <f t="shared" si="16"/>
        <v/>
      </c>
    </row>
    <row r="460" spans="8:10" x14ac:dyDescent="0.2">
      <c r="H460" s="64" t="str">
        <f t="shared" si="14"/>
        <v/>
      </c>
      <c r="I460" t="str">
        <f t="shared" si="15"/>
        <v/>
      </c>
      <c r="J460" t="str">
        <f t="shared" si="16"/>
        <v/>
      </c>
    </row>
    <row r="461" spans="8:10" x14ac:dyDescent="0.2">
      <c r="H461" s="64" t="str">
        <f t="shared" si="14"/>
        <v/>
      </c>
      <c r="I461" t="str">
        <f t="shared" si="15"/>
        <v/>
      </c>
      <c r="J461" t="str">
        <f t="shared" si="16"/>
        <v/>
      </c>
    </row>
    <row r="462" spans="8:10" x14ac:dyDescent="0.2">
      <c r="H462" s="64" t="str">
        <f t="shared" si="14"/>
        <v/>
      </c>
      <c r="I462" t="str">
        <f t="shared" si="15"/>
        <v/>
      </c>
      <c r="J462" t="str">
        <f t="shared" si="16"/>
        <v/>
      </c>
    </row>
    <row r="463" spans="8:10" x14ac:dyDescent="0.2">
      <c r="H463" s="64" t="str">
        <f t="shared" si="14"/>
        <v/>
      </c>
      <c r="I463" t="str">
        <f t="shared" si="15"/>
        <v/>
      </c>
      <c r="J463" t="str">
        <f t="shared" si="16"/>
        <v/>
      </c>
    </row>
    <row r="464" spans="8:10" x14ac:dyDescent="0.2">
      <c r="H464" s="64" t="str">
        <f t="shared" si="14"/>
        <v/>
      </c>
      <c r="I464" t="str">
        <f t="shared" si="15"/>
        <v/>
      </c>
      <c r="J464" t="str">
        <f t="shared" si="16"/>
        <v/>
      </c>
    </row>
    <row r="465" spans="8:10" x14ac:dyDescent="0.2">
      <c r="H465" s="64" t="str">
        <f t="shared" si="14"/>
        <v/>
      </c>
      <c r="I465" t="str">
        <f t="shared" si="15"/>
        <v/>
      </c>
      <c r="J465" t="str">
        <f t="shared" si="16"/>
        <v/>
      </c>
    </row>
    <row r="466" spans="8:10" x14ac:dyDescent="0.2">
      <c r="H466" s="64" t="str">
        <f t="shared" ref="H466:H529" si="17">IF(B466="(blank)","",IF(ISBLANK($B466),"",IF(G466&lt;120,120,"")))</f>
        <v/>
      </c>
      <c r="I466" t="str">
        <f t="shared" ref="I466:I529" si="18">IF(ISBLANK($B466),"",IF($H466="",$G466,$H466))</f>
        <v/>
      </c>
      <c r="J466" t="str">
        <f t="shared" ref="J466:J529" si="19">IF(ISBLANK($B466),"",IF($I466&lt;120,120,$I466))</f>
        <v/>
      </c>
    </row>
    <row r="467" spans="8:10" x14ac:dyDescent="0.2">
      <c r="H467" s="64" t="str">
        <f t="shared" si="17"/>
        <v/>
      </c>
      <c r="I467" t="str">
        <f t="shared" si="18"/>
        <v/>
      </c>
      <c r="J467" t="str">
        <f t="shared" si="19"/>
        <v/>
      </c>
    </row>
    <row r="468" spans="8:10" x14ac:dyDescent="0.2">
      <c r="H468" s="64" t="str">
        <f t="shared" si="17"/>
        <v/>
      </c>
      <c r="I468" t="str">
        <f t="shared" si="18"/>
        <v/>
      </c>
      <c r="J468" t="str">
        <f t="shared" si="19"/>
        <v/>
      </c>
    </row>
    <row r="469" spans="8:10" x14ac:dyDescent="0.2">
      <c r="H469" s="64" t="str">
        <f t="shared" si="17"/>
        <v/>
      </c>
      <c r="I469" t="str">
        <f t="shared" si="18"/>
        <v/>
      </c>
      <c r="J469" t="str">
        <f t="shared" si="19"/>
        <v/>
      </c>
    </row>
    <row r="470" spans="8:10" x14ac:dyDescent="0.2">
      <c r="H470" s="64" t="str">
        <f t="shared" si="17"/>
        <v/>
      </c>
      <c r="I470" t="str">
        <f t="shared" si="18"/>
        <v/>
      </c>
      <c r="J470" t="str">
        <f t="shared" si="19"/>
        <v/>
      </c>
    </row>
    <row r="471" spans="8:10" x14ac:dyDescent="0.2">
      <c r="H471" s="64" t="str">
        <f t="shared" si="17"/>
        <v/>
      </c>
      <c r="I471" t="str">
        <f t="shared" si="18"/>
        <v/>
      </c>
      <c r="J471" t="str">
        <f t="shared" si="19"/>
        <v/>
      </c>
    </row>
    <row r="472" spans="8:10" x14ac:dyDescent="0.2">
      <c r="H472" s="64" t="str">
        <f t="shared" si="17"/>
        <v/>
      </c>
      <c r="I472" t="str">
        <f t="shared" si="18"/>
        <v/>
      </c>
      <c r="J472" t="str">
        <f t="shared" si="19"/>
        <v/>
      </c>
    </row>
    <row r="473" spans="8:10" x14ac:dyDescent="0.2">
      <c r="H473" s="64" t="str">
        <f t="shared" si="17"/>
        <v/>
      </c>
      <c r="I473" t="str">
        <f t="shared" si="18"/>
        <v/>
      </c>
      <c r="J473" t="str">
        <f t="shared" si="19"/>
        <v/>
      </c>
    </row>
    <row r="474" spans="8:10" x14ac:dyDescent="0.2">
      <c r="H474" s="64" t="str">
        <f t="shared" si="17"/>
        <v/>
      </c>
      <c r="I474" t="str">
        <f t="shared" si="18"/>
        <v/>
      </c>
      <c r="J474" t="str">
        <f t="shared" si="19"/>
        <v/>
      </c>
    </row>
    <row r="475" spans="8:10" x14ac:dyDescent="0.2">
      <c r="H475" s="64" t="str">
        <f t="shared" si="17"/>
        <v/>
      </c>
      <c r="I475" t="str">
        <f t="shared" si="18"/>
        <v/>
      </c>
      <c r="J475" t="str">
        <f t="shared" si="19"/>
        <v/>
      </c>
    </row>
    <row r="476" spans="8:10" x14ac:dyDescent="0.2">
      <c r="H476" s="64" t="str">
        <f t="shared" si="17"/>
        <v/>
      </c>
      <c r="I476" t="str">
        <f t="shared" si="18"/>
        <v/>
      </c>
      <c r="J476" t="str">
        <f t="shared" si="19"/>
        <v/>
      </c>
    </row>
    <row r="477" spans="8:10" x14ac:dyDescent="0.2">
      <c r="H477" s="64" t="str">
        <f t="shared" si="17"/>
        <v/>
      </c>
      <c r="I477" t="str">
        <f t="shared" si="18"/>
        <v/>
      </c>
      <c r="J477" t="str">
        <f t="shared" si="19"/>
        <v/>
      </c>
    </row>
    <row r="478" spans="8:10" x14ac:dyDescent="0.2">
      <c r="H478" s="64" t="str">
        <f t="shared" si="17"/>
        <v/>
      </c>
      <c r="I478" t="str">
        <f t="shared" si="18"/>
        <v/>
      </c>
      <c r="J478" t="str">
        <f t="shared" si="19"/>
        <v/>
      </c>
    </row>
    <row r="479" spans="8:10" x14ac:dyDescent="0.2">
      <c r="H479" s="64" t="str">
        <f t="shared" si="17"/>
        <v/>
      </c>
      <c r="I479" t="str">
        <f t="shared" si="18"/>
        <v/>
      </c>
      <c r="J479" t="str">
        <f t="shared" si="19"/>
        <v/>
      </c>
    </row>
    <row r="480" spans="8:10" x14ac:dyDescent="0.2">
      <c r="H480" s="64" t="str">
        <f t="shared" si="17"/>
        <v/>
      </c>
      <c r="I480" t="str">
        <f t="shared" si="18"/>
        <v/>
      </c>
      <c r="J480" t="str">
        <f t="shared" si="19"/>
        <v/>
      </c>
    </row>
    <row r="481" spans="8:10" x14ac:dyDescent="0.2">
      <c r="H481" s="64" t="str">
        <f t="shared" si="17"/>
        <v/>
      </c>
      <c r="I481" t="str">
        <f t="shared" si="18"/>
        <v/>
      </c>
      <c r="J481" t="str">
        <f t="shared" si="19"/>
        <v/>
      </c>
    </row>
    <row r="482" spans="8:10" x14ac:dyDescent="0.2">
      <c r="H482" s="64" t="str">
        <f t="shared" si="17"/>
        <v/>
      </c>
      <c r="I482" t="str">
        <f t="shared" si="18"/>
        <v/>
      </c>
      <c r="J482" t="str">
        <f t="shared" si="19"/>
        <v/>
      </c>
    </row>
    <row r="483" spans="8:10" x14ac:dyDescent="0.2">
      <c r="H483" s="64" t="str">
        <f t="shared" si="17"/>
        <v/>
      </c>
      <c r="I483" t="str">
        <f t="shared" si="18"/>
        <v/>
      </c>
      <c r="J483" t="str">
        <f t="shared" si="19"/>
        <v/>
      </c>
    </row>
    <row r="484" spans="8:10" x14ac:dyDescent="0.2">
      <c r="H484" s="64" t="str">
        <f t="shared" si="17"/>
        <v/>
      </c>
      <c r="I484" t="str">
        <f t="shared" si="18"/>
        <v/>
      </c>
      <c r="J484" t="str">
        <f t="shared" si="19"/>
        <v/>
      </c>
    </row>
    <row r="485" spans="8:10" x14ac:dyDescent="0.2">
      <c r="H485" s="64" t="str">
        <f t="shared" si="17"/>
        <v/>
      </c>
      <c r="I485" t="str">
        <f t="shared" si="18"/>
        <v/>
      </c>
      <c r="J485" t="str">
        <f t="shared" si="19"/>
        <v/>
      </c>
    </row>
    <row r="486" spans="8:10" x14ac:dyDescent="0.2">
      <c r="H486" s="64" t="str">
        <f t="shared" si="17"/>
        <v/>
      </c>
      <c r="I486" t="str">
        <f t="shared" si="18"/>
        <v/>
      </c>
      <c r="J486" t="str">
        <f t="shared" si="19"/>
        <v/>
      </c>
    </row>
    <row r="487" spans="8:10" x14ac:dyDescent="0.2">
      <c r="H487" s="64" t="str">
        <f t="shared" si="17"/>
        <v/>
      </c>
      <c r="I487" t="str">
        <f t="shared" si="18"/>
        <v/>
      </c>
      <c r="J487" t="str">
        <f t="shared" si="19"/>
        <v/>
      </c>
    </row>
    <row r="488" spans="8:10" x14ac:dyDescent="0.2">
      <c r="H488" s="64" t="str">
        <f t="shared" si="17"/>
        <v/>
      </c>
      <c r="I488" t="str">
        <f t="shared" si="18"/>
        <v/>
      </c>
      <c r="J488" t="str">
        <f t="shared" si="19"/>
        <v/>
      </c>
    </row>
    <row r="489" spans="8:10" x14ac:dyDescent="0.2">
      <c r="H489" s="64" t="str">
        <f t="shared" si="17"/>
        <v/>
      </c>
      <c r="I489" t="str">
        <f t="shared" si="18"/>
        <v/>
      </c>
      <c r="J489" t="str">
        <f t="shared" si="19"/>
        <v/>
      </c>
    </row>
    <row r="490" spans="8:10" x14ac:dyDescent="0.2">
      <c r="H490" s="64" t="str">
        <f t="shared" si="17"/>
        <v/>
      </c>
      <c r="I490" t="str">
        <f t="shared" si="18"/>
        <v/>
      </c>
      <c r="J490" t="str">
        <f t="shared" si="19"/>
        <v/>
      </c>
    </row>
    <row r="491" spans="8:10" x14ac:dyDescent="0.2">
      <c r="H491" s="64" t="str">
        <f t="shared" si="17"/>
        <v/>
      </c>
      <c r="I491" t="str">
        <f t="shared" si="18"/>
        <v/>
      </c>
      <c r="J491" t="str">
        <f t="shared" si="19"/>
        <v/>
      </c>
    </row>
    <row r="492" spans="8:10" x14ac:dyDescent="0.2">
      <c r="H492" s="64" t="str">
        <f t="shared" si="17"/>
        <v/>
      </c>
      <c r="I492" t="str">
        <f t="shared" si="18"/>
        <v/>
      </c>
      <c r="J492" t="str">
        <f t="shared" si="19"/>
        <v/>
      </c>
    </row>
    <row r="493" spans="8:10" x14ac:dyDescent="0.2">
      <c r="H493" s="64" t="str">
        <f t="shared" si="17"/>
        <v/>
      </c>
      <c r="I493" t="str">
        <f t="shared" si="18"/>
        <v/>
      </c>
      <c r="J493" t="str">
        <f t="shared" si="19"/>
        <v/>
      </c>
    </row>
    <row r="494" spans="8:10" x14ac:dyDescent="0.2">
      <c r="H494" s="64" t="str">
        <f t="shared" si="17"/>
        <v/>
      </c>
      <c r="I494" t="str">
        <f t="shared" si="18"/>
        <v/>
      </c>
      <c r="J494" t="str">
        <f t="shared" si="19"/>
        <v/>
      </c>
    </row>
    <row r="495" spans="8:10" x14ac:dyDescent="0.2">
      <c r="H495" s="64" t="str">
        <f t="shared" si="17"/>
        <v/>
      </c>
      <c r="I495" t="str">
        <f t="shared" si="18"/>
        <v/>
      </c>
      <c r="J495" t="str">
        <f t="shared" si="19"/>
        <v/>
      </c>
    </row>
    <row r="496" spans="8:10" x14ac:dyDescent="0.2">
      <c r="H496" s="64" t="str">
        <f t="shared" si="17"/>
        <v/>
      </c>
      <c r="I496" t="str">
        <f t="shared" si="18"/>
        <v/>
      </c>
      <c r="J496" t="str">
        <f t="shared" si="19"/>
        <v/>
      </c>
    </row>
    <row r="497" spans="8:10" x14ac:dyDescent="0.2">
      <c r="H497" s="64" t="str">
        <f t="shared" si="17"/>
        <v/>
      </c>
      <c r="I497" t="str">
        <f t="shared" si="18"/>
        <v/>
      </c>
      <c r="J497" t="str">
        <f t="shared" si="19"/>
        <v/>
      </c>
    </row>
    <row r="498" spans="8:10" x14ac:dyDescent="0.2">
      <c r="H498" s="64" t="str">
        <f t="shared" si="17"/>
        <v/>
      </c>
      <c r="I498" t="str">
        <f t="shared" si="18"/>
        <v/>
      </c>
      <c r="J498" t="str">
        <f t="shared" si="19"/>
        <v/>
      </c>
    </row>
    <row r="499" spans="8:10" x14ac:dyDescent="0.2">
      <c r="H499" s="64" t="str">
        <f t="shared" si="17"/>
        <v/>
      </c>
      <c r="I499" t="str">
        <f t="shared" si="18"/>
        <v/>
      </c>
      <c r="J499" t="str">
        <f t="shared" si="19"/>
        <v/>
      </c>
    </row>
    <row r="500" spans="8:10" x14ac:dyDescent="0.2">
      <c r="H500" s="64" t="str">
        <f t="shared" si="17"/>
        <v/>
      </c>
      <c r="I500" t="str">
        <f t="shared" si="18"/>
        <v/>
      </c>
      <c r="J500" t="str">
        <f t="shared" si="19"/>
        <v/>
      </c>
    </row>
    <row r="501" spans="8:10" x14ac:dyDescent="0.2">
      <c r="H501" s="64" t="str">
        <f t="shared" si="17"/>
        <v/>
      </c>
      <c r="I501" t="str">
        <f t="shared" si="18"/>
        <v/>
      </c>
      <c r="J501" t="str">
        <f t="shared" si="19"/>
        <v/>
      </c>
    </row>
    <row r="502" spans="8:10" x14ac:dyDescent="0.2">
      <c r="H502" s="64" t="str">
        <f t="shared" si="17"/>
        <v/>
      </c>
      <c r="I502" t="str">
        <f t="shared" si="18"/>
        <v/>
      </c>
      <c r="J502" t="str">
        <f t="shared" si="19"/>
        <v/>
      </c>
    </row>
    <row r="503" spans="8:10" x14ac:dyDescent="0.2">
      <c r="H503" s="64" t="str">
        <f t="shared" si="17"/>
        <v/>
      </c>
      <c r="I503" t="str">
        <f t="shared" si="18"/>
        <v/>
      </c>
      <c r="J503" t="str">
        <f t="shared" si="19"/>
        <v/>
      </c>
    </row>
    <row r="504" spans="8:10" x14ac:dyDescent="0.2">
      <c r="H504" s="64" t="str">
        <f t="shared" si="17"/>
        <v/>
      </c>
      <c r="I504" t="str">
        <f t="shared" si="18"/>
        <v/>
      </c>
      <c r="J504" t="str">
        <f t="shared" si="19"/>
        <v/>
      </c>
    </row>
    <row r="505" spans="8:10" x14ac:dyDescent="0.2">
      <c r="H505" s="64" t="str">
        <f t="shared" si="17"/>
        <v/>
      </c>
      <c r="I505" t="str">
        <f t="shared" si="18"/>
        <v/>
      </c>
      <c r="J505" t="str">
        <f t="shared" si="19"/>
        <v/>
      </c>
    </row>
    <row r="506" spans="8:10" x14ac:dyDescent="0.2">
      <c r="H506" s="64" t="str">
        <f t="shared" si="17"/>
        <v/>
      </c>
      <c r="I506" t="str">
        <f t="shared" si="18"/>
        <v/>
      </c>
      <c r="J506" t="str">
        <f t="shared" si="19"/>
        <v/>
      </c>
    </row>
    <row r="507" spans="8:10" x14ac:dyDescent="0.2">
      <c r="H507" s="64" t="str">
        <f t="shared" si="17"/>
        <v/>
      </c>
      <c r="I507" t="str">
        <f t="shared" si="18"/>
        <v/>
      </c>
      <c r="J507" t="str">
        <f t="shared" si="19"/>
        <v/>
      </c>
    </row>
    <row r="508" spans="8:10" x14ac:dyDescent="0.2">
      <c r="H508" s="64" t="str">
        <f t="shared" si="17"/>
        <v/>
      </c>
      <c r="I508" t="str">
        <f t="shared" si="18"/>
        <v/>
      </c>
      <c r="J508" t="str">
        <f t="shared" si="19"/>
        <v/>
      </c>
    </row>
    <row r="509" spans="8:10" x14ac:dyDescent="0.2">
      <c r="H509" s="64" t="str">
        <f t="shared" si="17"/>
        <v/>
      </c>
      <c r="I509" t="str">
        <f t="shared" si="18"/>
        <v/>
      </c>
      <c r="J509" t="str">
        <f t="shared" si="19"/>
        <v/>
      </c>
    </row>
    <row r="510" spans="8:10" x14ac:dyDescent="0.2">
      <c r="H510" s="64" t="str">
        <f t="shared" si="17"/>
        <v/>
      </c>
      <c r="I510" t="str">
        <f t="shared" si="18"/>
        <v/>
      </c>
      <c r="J510" t="str">
        <f t="shared" si="19"/>
        <v/>
      </c>
    </row>
    <row r="511" spans="8:10" x14ac:dyDescent="0.2">
      <c r="H511" s="64" t="str">
        <f t="shared" si="17"/>
        <v/>
      </c>
      <c r="I511" t="str">
        <f t="shared" si="18"/>
        <v/>
      </c>
      <c r="J511" t="str">
        <f t="shared" si="19"/>
        <v/>
      </c>
    </row>
    <row r="512" spans="8:10" x14ac:dyDescent="0.2">
      <c r="H512" s="64" t="str">
        <f t="shared" si="17"/>
        <v/>
      </c>
      <c r="I512" t="str">
        <f t="shared" si="18"/>
        <v/>
      </c>
      <c r="J512" t="str">
        <f t="shared" si="19"/>
        <v/>
      </c>
    </row>
    <row r="513" spans="8:10" x14ac:dyDescent="0.2">
      <c r="H513" s="64" t="str">
        <f t="shared" si="17"/>
        <v/>
      </c>
      <c r="I513" t="str">
        <f t="shared" si="18"/>
        <v/>
      </c>
      <c r="J513" t="str">
        <f t="shared" si="19"/>
        <v/>
      </c>
    </row>
    <row r="514" spans="8:10" x14ac:dyDescent="0.2">
      <c r="H514" s="64" t="str">
        <f t="shared" si="17"/>
        <v/>
      </c>
      <c r="I514" t="str">
        <f t="shared" si="18"/>
        <v/>
      </c>
      <c r="J514" t="str">
        <f t="shared" si="19"/>
        <v/>
      </c>
    </row>
    <row r="515" spans="8:10" x14ac:dyDescent="0.2">
      <c r="H515" s="64" t="str">
        <f t="shared" si="17"/>
        <v/>
      </c>
      <c r="I515" t="str">
        <f t="shared" si="18"/>
        <v/>
      </c>
      <c r="J515" t="str">
        <f t="shared" si="19"/>
        <v/>
      </c>
    </row>
    <row r="516" spans="8:10" x14ac:dyDescent="0.2">
      <c r="H516" s="64" t="str">
        <f t="shared" si="17"/>
        <v/>
      </c>
      <c r="I516" t="str">
        <f t="shared" si="18"/>
        <v/>
      </c>
      <c r="J516" t="str">
        <f t="shared" si="19"/>
        <v/>
      </c>
    </row>
    <row r="517" spans="8:10" x14ac:dyDescent="0.2">
      <c r="H517" s="64" t="str">
        <f t="shared" si="17"/>
        <v/>
      </c>
      <c r="I517" t="str">
        <f t="shared" si="18"/>
        <v/>
      </c>
      <c r="J517" t="str">
        <f t="shared" si="19"/>
        <v/>
      </c>
    </row>
    <row r="518" spans="8:10" x14ac:dyDescent="0.2">
      <c r="H518" s="64" t="str">
        <f t="shared" si="17"/>
        <v/>
      </c>
      <c r="I518" t="str">
        <f t="shared" si="18"/>
        <v/>
      </c>
      <c r="J518" t="str">
        <f t="shared" si="19"/>
        <v/>
      </c>
    </row>
    <row r="519" spans="8:10" x14ac:dyDescent="0.2">
      <c r="H519" s="64" t="str">
        <f t="shared" si="17"/>
        <v/>
      </c>
      <c r="I519" t="str">
        <f t="shared" si="18"/>
        <v/>
      </c>
      <c r="J519" t="str">
        <f t="shared" si="19"/>
        <v/>
      </c>
    </row>
    <row r="520" spans="8:10" x14ac:dyDescent="0.2">
      <c r="H520" s="64" t="str">
        <f t="shared" si="17"/>
        <v/>
      </c>
      <c r="I520" t="str">
        <f t="shared" si="18"/>
        <v/>
      </c>
      <c r="J520" t="str">
        <f t="shared" si="19"/>
        <v/>
      </c>
    </row>
    <row r="521" spans="8:10" x14ac:dyDescent="0.2">
      <c r="H521" s="64" t="str">
        <f t="shared" si="17"/>
        <v/>
      </c>
      <c r="I521" t="str">
        <f t="shared" si="18"/>
        <v/>
      </c>
      <c r="J521" t="str">
        <f t="shared" si="19"/>
        <v/>
      </c>
    </row>
    <row r="522" spans="8:10" x14ac:dyDescent="0.2">
      <c r="H522" s="64" t="str">
        <f t="shared" si="17"/>
        <v/>
      </c>
      <c r="I522" t="str">
        <f t="shared" si="18"/>
        <v/>
      </c>
      <c r="J522" t="str">
        <f t="shared" si="19"/>
        <v/>
      </c>
    </row>
    <row r="523" spans="8:10" x14ac:dyDescent="0.2">
      <c r="H523" s="64" t="str">
        <f t="shared" si="17"/>
        <v/>
      </c>
      <c r="I523" t="str">
        <f t="shared" si="18"/>
        <v/>
      </c>
      <c r="J523" t="str">
        <f t="shared" si="19"/>
        <v/>
      </c>
    </row>
    <row r="524" spans="8:10" x14ac:dyDescent="0.2">
      <c r="H524" s="64" t="str">
        <f t="shared" si="17"/>
        <v/>
      </c>
      <c r="I524" t="str">
        <f t="shared" si="18"/>
        <v/>
      </c>
      <c r="J524" t="str">
        <f t="shared" si="19"/>
        <v/>
      </c>
    </row>
    <row r="525" spans="8:10" x14ac:dyDescent="0.2">
      <c r="H525" s="64" t="str">
        <f t="shared" si="17"/>
        <v/>
      </c>
      <c r="I525" t="str">
        <f t="shared" si="18"/>
        <v/>
      </c>
      <c r="J525" t="str">
        <f t="shared" si="19"/>
        <v/>
      </c>
    </row>
    <row r="526" spans="8:10" x14ac:dyDescent="0.2">
      <c r="H526" s="64" t="str">
        <f t="shared" si="17"/>
        <v/>
      </c>
      <c r="I526" t="str">
        <f t="shared" si="18"/>
        <v/>
      </c>
      <c r="J526" t="str">
        <f t="shared" si="19"/>
        <v/>
      </c>
    </row>
    <row r="527" spans="8:10" x14ac:dyDescent="0.2">
      <c r="H527" s="64" t="str">
        <f t="shared" si="17"/>
        <v/>
      </c>
      <c r="I527" t="str">
        <f t="shared" si="18"/>
        <v/>
      </c>
      <c r="J527" t="str">
        <f t="shared" si="19"/>
        <v/>
      </c>
    </row>
    <row r="528" spans="8:10" x14ac:dyDescent="0.2">
      <c r="H528" s="64" t="str">
        <f t="shared" si="17"/>
        <v/>
      </c>
      <c r="I528" t="str">
        <f t="shared" si="18"/>
        <v/>
      </c>
      <c r="J528" t="str">
        <f t="shared" si="19"/>
        <v/>
      </c>
    </row>
    <row r="529" spans="8:10" x14ac:dyDescent="0.2">
      <c r="H529" s="64" t="str">
        <f t="shared" si="17"/>
        <v/>
      </c>
      <c r="I529" t="str">
        <f t="shared" si="18"/>
        <v/>
      </c>
      <c r="J529" t="str">
        <f t="shared" si="19"/>
        <v/>
      </c>
    </row>
    <row r="530" spans="8:10" x14ac:dyDescent="0.2">
      <c r="H530" s="64" t="str">
        <f t="shared" ref="H530:H593" si="20">IF(B530="(blank)","",IF(ISBLANK($B530),"",IF(G530&lt;120,120,"")))</f>
        <v/>
      </c>
      <c r="I530" t="str">
        <f t="shared" ref="I530:I593" si="21">IF(ISBLANK($B530),"",IF($H530="",$G530,$H530))</f>
        <v/>
      </c>
      <c r="J530" t="str">
        <f t="shared" ref="J530:J593" si="22">IF(ISBLANK($B530),"",IF($I530&lt;120,120,$I530))</f>
        <v/>
      </c>
    </row>
    <row r="531" spans="8:10" x14ac:dyDescent="0.2">
      <c r="H531" s="64" t="str">
        <f t="shared" si="20"/>
        <v/>
      </c>
      <c r="I531" t="str">
        <f t="shared" si="21"/>
        <v/>
      </c>
      <c r="J531" t="str">
        <f t="shared" si="22"/>
        <v/>
      </c>
    </row>
    <row r="532" spans="8:10" x14ac:dyDescent="0.2">
      <c r="H532" s="64" t="str">
        <f t="shared" si="20"/>
        <v/>
      </c>
      <c r="I532" t="str">
        <f t="shared" si="21"/>
        <v/>
      </c>
      <c r="J532" t="str">
        <f t="shared" si="22"/>
        <v/>
      </c>
    </row>
    <row r="533" spans="8:10" x14ac:dyDescent="0.2">
      <c r="H533" s="64" t="str">
        <f t="shared" si="20"/>
        <v/>
      </c>
      <c r="I533" t="str">
        <f t="shared" si="21"/>
        <v/>
      </c>
      <c r="J533" t="str">
        <f t="shared" si="22"/>
        <v/>
      </c>
    </row>
    <row r="534" spans="8:10" x14ac:dyDescent="0.2">
      <c r="H534" s="64" t="str">
        <f t="shared" si="20"/>
        <v/>
      </c>
      <c r="I534" t="str">
        <f t="shared" si="21"/>
        <v/>
      </c>
      <c r="J534" t="str">
        <f t="shared" si="22"/>
        <v/>
      </c>
    </row>
    <row r="535" spans="8:10" x14ac:dyDescent="0.2">
      <c r="H535" s="64" t="str">
        <f t="shared" si="20"/>
        <v/>
      </c>
      <c r="I535" t="str">
        <f t="shared" si="21"/>
        <v/>
      </c>
      <c r="J535" t="str">
        <f t="shared" si="22"/>
        <v/>
      </c>
    </row>
    <row r="536" spans="8:10" x14ac:dyDescent="0.2">
      <c r="H536" s="64" t="str">
        <f t="shared" si="20"/>
        <v/>
      </c>
      <c r="I536" t="str">
        <f t="shared" si="21"/>
        <v/>
      </c>
      <c r="J536" t="str">
        <f t="shared" si="22"/>
        <v/>
      </c>
    </row>
    <row r="537" spans="8:10" x14ac:dyDescent="0.2">
      <c r="H537" s="64" t="str">
        <f t="shared" si="20"/>
        <v/>
      </c>
      <c r="I537" t="str">
        <f t="shared" si="21"/>
        <v/>
      </c>
      <c r="J537" t="str">
        <f t="shared" si="22"/>
        <v/>
      </c>
    </row>
    <row r="538" spans="8:10" x14ac:dyDescent="0.2">
      <c r="H538" s="64" t="str">
        <f t="shared" si="20"/>
        <v/>
      </c>
      <c r="I538" t="str">
        <f t="shared" si="21"/>
        <v/>
      </c>
      <c r="J538" t="str">
        <f t="shared" si="22"/>
        <v/>
      </c>
    </row>
    <row r="539" spans="8:10" x14ac:dyDescent="0.2">
      <c r="H539" s="64" t="str">
        <f t="shared" si="20"/>
        <v/>
      </c>
      <c r="I539" t="str">
        <f t="shared" si="21"/>
        <v/>
      </c>
      <c r="J539" t="str">
        <f t="shared" si="22"/>
        <v/>
      </c>
    </row>
    <row r="540" spans="8:10" x14ac:dyDescent="0.2">
      <c r="H540" s="64" t="str">
        <f t="shared" si="20"/>
        <v/>
      </c>
      <c r="I540" t="str">
        <f t="shared" si="21"/>
        <v/>
      </c>
      <c r="J540" t="str">
        <f t="shared" si="22"/>
        <v/>
      </c>
    </row>
    <row r="541" spans="8:10" x14ac:dyDescent="0.2">
      <c r="H541" s="64" t="str">
        <f t="shared" si="20"/>
        <v/>
      </c>
      <c r="I541" t="str">
        <f t="shared" si="21"/>
        <v/>
      </c>
      <c r="J541" t="str">
        <f t="shared" si="22"/>
        <v/>
      </c>
    </row>
    <row r="542" spans="8:10" x14ac:dyDescent="0.2">
      <c r="H542" s="64" t="str">
        <f t="shared" si="20"/>
        <v/>
      </c>
      <c r="I542" t="str">
        <f t="shared" si="21"/>
        <v/>
      </c>
      <c r="J542" t="str">
        <f t="shared" si="22"/>
        <v/>
      </c>
    </row>
    <row r="543" spans="8:10" x14ac:dyDescent="0.2">
      <c r="H543" s="64" t="str">
        <f t="shared" si="20"/>
        <v/>
      </c>
      <c r="I543" t="str">
        <f t="shared" si="21"/>
        <v/>
      </c>
      <c r="J543" t="str">
        <f t="shared" si="22"/>
        <v/>
      </c>
    </row>
    <row r="544" spans="8:10" x14ac:dyDescent="0.2">
      <c r="H544" s="64" t="str">
        <f t="shared" si="20"/>
        <v/>
      </c>
      <c r="I544" t="str">
        <f t="shared" si="21"/>
        <v/>
      </c>
      <c r="J544" t="str">
        <f t="shared" si="22"/>
        <v/>
      </c>
    </row>
    <row r="545" spans="8:10" x14ac:dyDescent="0.2">
      <c r="H545" s="64" t="str">
        <f t="shared" si="20"/>
        <v/>
      </c>
      <c r="I545" t="str">
        <f t="shared" si="21"/>
        <v/>
      </c>
      <c r="J545" t="str">
        <f t="shared" si="22"/>
        <v/>
      </c>
    </row>
    <row r="546" spans="8:10" x14ac:dyDescent="0.2">
      <c r="H546" s="64" t="str">
        <f t="shared" si="20"/>
        <v/>
      </c>
      <c r="I546" t="str">
        <f t="shared" si="21"/>
        <v/>
      </c>
      <c r="J546" t="str">
        <f t="shared" si="22"/>
        <v/>
      </c>
    </row>
    <row r="547" spans="8:10" x14ac:dyDescent="0.2">
      <c r="H547" s="64" t="str">
        <f t="shared" si="20"/>
        <v/>
      </c>
      <c r="I547" t="str">
        <f t="shared" si="21"/>
        <v/>
      </c>
      <c r="J547" t="str">
        <f t="shared" si="22"/>
        <v/>
      </c>
    </row>
    <row r="548" spans="8:10" x14ac:dyDescent="0.2">
      <c r="H548" s="64" t="str">
        <f t="shared" si="20"/>
        <v/>
      </c>
      <c r="I548" t="str">
        <f t="shared" si="21"/>
        <v/>
      </c>
      <c r="J548" t="str">
        <f t="shared" si="22"/>
        <v/>
      </c>
    </row>
    <row r="549" spans="8:10" x14ac:dyDescent="0.2">
      <c r="H549" s="64" t="str">
        <f t="shared" si="20"/>
        <v/>
      </c>
      <c r="I549" t="str">
        <f t="shared" si="21"/>
        <v/>
      </c>
      <c r="J549" t="str">
        <f t="shared" si="22"/>
        <v/>
      </c>
    </row>
    <row r="550" spans="8:10" x14ac:dyDescent="0.2">
      <c r="H550" s="64" t="str">
        <f t="shared" si="20"/>
        <v/>
      </c>
      <c r="I550" t="str">
        <f t="shared" si="21"/>
        <v/>
      </c>
      <c r="J550" t="str">
        <f t="shared" si="22"/>
        <v/>
      </c>
    </row>
    <row r="551" spans="8:10" x14ac:dyDescent="0.2">
      <c r="H551" s="64" t="str">
        <f t="shared" si="20"/>
        <v/>
      </c>
      <c r="I551" t="str">
        <f t="shared" si="21"/>
        <v/>
      </c>
      <c r="J551" t="str">
        <f t="shared" si="22"/>
        <v/>
      </c>
    </row>
    <row r="552" spans="8:10" x14ac:dyDescent="0.2">
      <c r="H552" s="64" t="str">
        <f t="shared" si="20"/>
        <v/>
      </c>
      <c r="I552" t="str">
        <f t="shared" si="21"/>
        <v/>
      </c>
      <c r="J552" t="str">
        <f t="shared" si="22"/>
        <v/>
      </c>
    </row>
    <row r="553" spans="8:10" x14ac:dyDescent="0.2">
      <c r="H553" s="64" t="str">
        <f t="shared" si="20"/>
        <v/>
      </c>
      <c r="I553" t="str">
        <f t="shared" si="21"/>
        <v/>
      </c>
      <c r="J553" t="str">
        <f t="shared" si="22"/>
        <v/>
      </c>
    </row>
    <row r="554" spans="8:10" x14ac:dyDescent="0.2">
      <c r="H554" s="64" t="str">
        <f t="shared" si="20"/>
        <v/>
      </c>
      <c r="I554" t="str">
        <f t="shared" si="21"/>
        <v/>
      </c>
      <c r="J554" t="str">
        <f t="shared" si="22"/>
        <v/>
      </c>
    </row>
    <row r="555" spans="8:10" x14ac:dyDescent="0.2">
      <c r="H555" s="64" t="str">
        <f t="shared" si="20"/>
        <v/>
      </c>
      <c r="I555" t="str">
        <f t="shared" si="21"/>
        <v/>
      </c>
      <c r="J555" t="str">
        <f t="shared" si="22"/>
        <v/>
      </c>
    </row>
    <row r="556" spans="8:10" x14ac:dyDescent="0.2">
      <c r="H556" s="64" t="str">
        <f t="shared" si="20"/>
        <v/>
      </c>
      <c r="I556" t="str">
        <f t="shared" si="21"/>
        <v/>
      </c>
      <c r="J556" t="str">
        <f t="shared" si="22"/>
        <v/>
      </c>
    </row>
    <row r="557" spans="8:10" x14ac:dyDescent="0.2">
      <c r="H557" s="64" t="str">
        <f t="shared" si="20"/>
        <v/>
      </c>
      <c r="I557" t="str">
        <f t="shared" si="21"/>
        <v/>
      </c>
      <c r="J557" t="str">
        <f t="shared" si="22"/>
        <v/>
      </c>
    </row>
    <row r="558" spans="8:10" x14ac:dyDescent="0.2">
      <c r="H558" s="64" t="str">
        <f t="shared" si="20"/>
        <v/>
      </c>
      <c r="I558" t="str">
        <f t="shared" si="21"/>
        <v/>
      </c>
      <c r="J558" t="str">
        <f t="shared" si="22"/>
        <v/>
      </c>
    </row>
    <row r="559" spans="8:10" x14ac:dyDescent="0.2">
      <c r="H559" s="64" t="str">
        <f t="shared" si="20"/>
        <v/>
      </c>
      <c r="I559" t="str">
        <f t="shared" si="21"/>
        <v/>
      </c>
      <c r="J559" t="str">
        <f t="shared" si="22"/>
        <v/>
      </c>
    </row>
    <row r="560" spans="8:10" x14ac:dyDescent="0.2">
      <c r="H560" s="64" t="str">
        <f t="shared" si="20"/>
        <v/>
      </c>
      <c r="I560" t="str">
        <f t="shared" si="21"/>
        <v/>
      </c>
      <c r="J560" t="str">
        <f t="shared" si="22"/>
        <v/>
      </c>
    </row>
    <row r="561" spans="8:10" x14ac:dyDescent="0.2">
      <c r="H561" s="64" t="str">
        <f t="shared" si="20"/>
        <v/>
      </c>
      <c r="I561" t="str">
        <f t="shared" si="21"/>
        <v/>
      </c>
      <c r="J561" t="str">
        <f t="shared" si="22"/>
        <v/>
      </c>
    </row>
    <row r="562" spans="8:10" x14ac:dyDescent="0.2">
      <c r="H562" s="64" t="str">
        <f t="shared" si="20"/>
        <v/>
      </c>
      <c r="I562" t="str">
        <f t="shared" si="21"/>
        <v/>
      </c>
      <c r="J562" t="str">
        <f t="shared" si="22"/>
        <v/>
      </c>
    </row>
    <row r="563" spans="8:10" x14ac:dyDescent="0.2">
      <c r="H563" s="64" t="str">
        <f t="shared" si="20"/>
        <v/>
      </c>
      <c r="I563" t="str">
        <f t="shared" si="21"/>
        <v/>
      </c>
      <c r="J563" t="str">
        <f t="shared" si="22"/>
        <v/>
      </c>
    </row>
    <row r="564" spans="8:10" x14ac:dyDescent="0.2">
      <c r="H564" s="64" t="str">
        <f t="shared" si="20"/>
        <v/>
      </c>
      <c r="I564" t="str">
        <f t="shared" si="21"/>
        <v/>
      </c>
      <c r="J564" t="str">
        <f t="shared" si="22"/>
        <v/>
      </c>
    </row>
    <row r="565" spans="8:10" x14ac:dyDescent="0.2">
      <c r="H565" s="64" t="str">
        <f t="shared" si="20"/>
        <v/>
      </c>
      <c r="I565" t="str">
        <f t="shared" si="21"/>
        <v/>
      </c>
      <c r="J565" t="str">
        <f t="shared" si="22"/>
        <v/>
      </c>
    </row>
    <row r="566" spans="8:10" x14ac:dyDescent="0.2">
      <c r="H566" s="64" t="str">
        <f t="shared" si="20"/>
        <v/>
      </c>
      <c r="I566" t="str">
        <f t="shared" si="21"/>
        <v/>
      </c>
      <c r="J566" t="str">
        <f t="shared" si="22"/>
        <v/>
      </c>
    </row>
    <row r="567" spans="8:10" x14ac:dyDescent="0.2">
      <c r="H567" s="64" t="str">
        <f t="shared" si="20"/>
        <v/>
      </c>
      <c r="I567" t="str">
        <f t="shared" si="21"/>
        <v/>
      </c>
      <c r="J567" t="str">
        <f t="shared" si="22"/>
        <v/>
      </c>
    </row>
    <row r="568" spans="8:10" x14ac:dyDescent="0.2">
      <c r="H568" s="64" t="str">
        <f t="shared" si="20"/>
        <v/>
      </c>
      <c r="I568" t="str">
        <f t="shared" si="21"/>
        <v/>
      </c>
      <c r="J568" t="str">
        <f t="shared" si="22"/>
        <v/>
      </c>
    </row>
    <row r="569" spans="8:10" x14ac:dyDescent="0.2">
      <c r="H569" s="64" t="str">
        <f t="shared" si="20"/>
        <v/>
      </c>
      <c r="I569" t="str">
        <f t="shared" si="21"/>
        <v/>
      </c>
      <c r="J569" t="str">
        <f t="shared" si="22"/>
        <v/>
      </c>
    </row>
    <row r="570" spans="8:10" x14ac:dyDescent="0.2">
      <c r="H570" s="64" t="str">
        <f t="shared" si="20"/>
        <v/>
      </c>
      <c r="I570" t="str">
        <f t="shared" si="21"/>
        <v/>
      </c>
      <c r="J570" t="str">
        <f t="shared" si="22"/>
        <v/>
      </c>
    </row>
    <row r="571" spans="8:10" x14ac:dyDescent="0.2">
      <c r="H571" s="64" t="str">
        <f t="shared" si="20"/>
        <v/>
      </c>
      <c r="I571" t="str">
        <f t="shared" si="21"/>
        <v/>
      </c>
      <c r="J571" t="str">
        <f t="shared" si="22"/>
        <v/>
      </c>
    </row>
    <row r="572" spans="8:10" x14ac:dyDescent="0.2">
      <c r="H572" s="64" t="str">
        <f t="shared" si="20"/>
        <v/>
      </c>
      <c r="I572" t="str">
        <f t="shared" si="21"/>
        <v/>
      </c>
      <c r="J572" t="str">
        <f t="shared" si="22"/>
        <v/>
      </c>
    </row>
    <row r="573" spans="8:10" x14ac:dyDescent="0.2">
      <c r="H573" s="64" t="str">
        <f t="shared" si="20"/>
        <v/>
      </c>
      <c r="I573" t="str">
        <f t="shared" si="21"/>
        <v/>
      </c>
      <c r="J573" t="str">
        <f t="shared" si="22"/>
        <v/>
      </c>
    </row>
    <row r="574" spans="8:10" x14ac:dyDescent="0.2">
      <c r="H574" s="64" t="str">
        <f t="shared" si="20"/>
        <v/>
      </c>
      <c r="I574" t="str">
        <f t="shared" si="21"/>
        <v/>
      </c>
      <c r="J574" t="str">
        <f t="shared" si="22"/>
        <v/>
      </c>
    </row>
    <row r="575" spans="8:10" x14ac:dyDescent="0.2">
      <c r="H575" s="64" t="str">
        <f t="shared" si="20"/>
        <v/>
      </c>
      <c r="I575" t="str">
        <f t="shared" si="21"/>
        <v/>
      </c>
      <c r="J575" t="str">
        <f t="shared" si="22"/>
        <v/>
      </c>
    </row>
    <row r="576" spans="8:10" x14ac:dyDescent="0.2">
      <c r="H576" s="64" t="str">
        <f t="shared" si="20"/>
        <v/>
      </c>
      <c r="I576" t="str">
        <f t="shared" si="21"/>
        <v/>
      </c>
      <c r="J576" t="str">
        <f t="shared" si="22"/>
        <v/>
      </c>
    </row>
    <row r="577" spans="8:10" x14ac:dyDescent="0.2">
      <c r="H577" s="64" t="str">
        <f t="shared" si="20"/>
        <v/>
      </c>
      <c r="I577" t="str">
        <f t="shared" si="21"/>
        <v/>
      </c>
      <c r="J577" t="str">
        <f t="shared" si="22"/>
        <v/>
      </c>
    </row>
    <row r="578" spans="8:10" x14ac:dyDescent="0.2">
      <c r="H578" s="64" t="str">
        <f t="shared" si="20"/>
        <v/>
      </c>
      <c r="I578" t="str">
        <f t="shared" si="21"/>
        <v/>
      </c>
      <c r="J578" t="str">
        <f t="shared" si="22"/>
        <v/>
      </c>
    </row>
    <row r="579" spans="8:10" x14ac:dyDescent="0.2">
      <c r="H579" s="64" t="str">
        <f t="shared" si="20"/>
        <v/>
      </c>
      <c r="I579" t="str">
        <f t="shared" si="21"/>
        <v/>
      </c>
      <c r="J579" t="str">
        <f t="shared" si="22"/>
        <v/>
      </c>
    </row>
    <row r="580" spans="8:10" x14ac:dyDescent="0.2">
      <c r="H580" s="64" t="str">
        <f t="shared" si="20"/>
        <v/>
      </c>
      <c r="I580" t="str">
        <f t="shared" si="21"/>
        <v/>
      </c>
      <c r="J580" t="str">
        <f t="shared" si="22"/>
        <v/>
      </c>
    </row>
    <row r="581" spans="8:10" x14ac:dyDescent="0.2">
      <c r="H581" s="64" t="str">
        <f t="shared" si="20"/>
        <v/>
      </c>
      <c r="I581" t="str">
        <f t="shared" si="21"/>
        <v/>
      </c>
      <c r="J581" t="str">
        <f t="shared" si="22"/>
        <v/>
      </c>
    </row>
    <row r="582" spans="8:10" x14ac:dyDescent="0.2">
      <c r="H582" s="64" t="str">
        <f t="shared" si="20"/>
        <v/>
      </c>
      <c r="I582" t="str">
        <f t="shared" si="21"/>
        <v/>
      </c>
      <c r="J582" t="str">
        <f t="shared" si="22"/>
        <v/>
      </c>
    </row>
    <row r="583" spans="8:10" x14ac:dyDescent="0.2">
      <c r="H583" s="64" t="str">
        <f t="shared" si="20"/>
        <v/>
      </c>
      <c r="I583" t="str">
        <f t="shared" si="21"/>
        <v/>
      </c>
      <c r="J583" t="str">
        <f t="shared" si="22"/>
        <v/>
      </c>
    </row>
    <row r="584" spans="8:10" x14ac:dyDescent="0.2">
      <c r="H584" s="64" t="str">
        <f t="shared" si="20"/>
        <v/>
      </c>
      <c r="I584" t="str">
        <f t="shared" si="21"/>
        <v/>
      </c>
      <c r="J584" t="str">
        <f t="shared" si="22"/>
        <v/>
      </c>
    </row>
    <row r="585" spans="8:10" x14ac:dyDescent="0.2">
      <c r="H585" s="64" t="str">
        <f t="shared" si="20"/>
        <v/>
      </c>
      <c r="I585" t="str">
        <f t="shared" si="21"/>
        <v/>
      </c>
      <c r="J585" t="str">
        <f t="shared" si="22"/>
        <v/>
      </c>
    </row>
    <row r="586" spans="8:10" x14ac:dyDescent="0.2">
      <c r="H586" s="64" t="str">
        <f t="shared" si="20"/>
        <v/>
      </c>
      <c r="I586" t="str">
        <f t="shared" si="21"/>
        <v/>
      </c>
      <c r="J586" t="str">
        <f t="shared" si="22"/>
        <v/>
      </c>
    </row>
    <row r="587" spans="8:10" x14ac:dyDescent="0.2">
      <c r="H587" s="64" t="str">
        <f t="shared" si="20"/>
        <v/>
      </c>
      <c r="I587" t="str">
        <f t="shared" si="21"/>
        <v/>
      </c>
      <c r="J587" t="str">
        <f t="shared" si="22"/>
        <v/>
      </c>
    </row>
    <row r="588" spans="8:10" x14ac:dyDescent="0.2">
      <c r="H588" s="64" t="str">
        <f t="shared" si="20"/>
        <v/>
      </c>
      <c r="I588" t="str">
        <f t="shared" si="21"/>
        <v/>
      </c>
      <c r="J588" t="str">
        <f t="shared" si="22"/>
        <v/>
      </c>
    </row>
    <row r="589" spans="8:10" x14ac:dyDescent="0.2">
      <c r="H589" s="64" t="str">
        <f t="shared" si="20"/>
        <v/>
      </c>
      <c r="I589" t="str">
        <f t="shared" si="21"/>
        <v/>
      </c>
      <c r="J589" t="str">
        <f t="shared" si="22"/>
        <v/>
      </c>
    </row>
    <row r="590" spans="8:10" x14ac:dyDescent="0.2">
      <c r="H590" s="64" t="str">
        <f t="shared" si="20"/>
        <v/>
      </c>
      <c r="I590" t="str">
        <f t="shared" si="21"/>
        <v/>
      </c>
      <c r="J590" t="str">
        <f t="shared" si="22"/>
        <v/>
      </c>
    </row>
    <row r="591" spans="8:10" x14ac:dyDescent="0.2">
      <c r="H591" s="64" t="str">
        <f t="shared" si="20"/>
        <v/>
      </c>
      <c r="I591" t="str">
        <f t="shared" si="21"/>
        <v/>
      </c>
      <c r="J591" t="str">
        <f t="shared" si="22"/>
        <v/>
      </c>
    </row>
    <row r="592" spans="8:10" x14ac:dyDescent="0.2">
      <c r="H592" s="64" t="str">
        <f t="shared" si="20"/>
        <v/>
      </c>
      <c r="I592" t="str">
        <f t="shared" si="21"/>
        <v/>
      </c>
      <c r="J592" t="str">
        <f t="shared" si="22"/>
        <v/>
      </c>
    </row>
    <row r="593" spans="8:10" x14ac:dyDescent="0.2">
      <c r="H593" s="64" t="str">
        <f t="shared" si="20"/>
        <v/>
      </c>
      <c r="I593" t="str">
        <f t="shared" si="21"/>
        <v/>
      </c>
      <c r="J593" t="str">
        <f t="shared" si="22"/>
        <v/>
      </c>
    </row>
    <row r="594" spans="8:10" x14ac:dyDescent="0.2">
      <c r="H594" s="64" t="str">
        <f t="shared" ref="H594:H657" si="23">IF(B594="(blank)","",IF(ISBLANK($B594),"",IF(G594&lt;120,120,"")))</f>
        <v/>
      </c>
      <c r="I594" t="str">
        <f t="shared" ref="I594:I657" si="24">IF(ISBLANK($B594),"",IF($H594="",$G594,$H594))</f>
        <v/>
      </c>
      <c r="J594" t="str">
        <f t="shared" ref="J594:J657" si="25">IF(ISBLANK($B594),"",IF($I594&lt;120,120,$I594))</f>
        <v/>
      </c>
    </row>
    <row r="595" spans="8:10" x14ac:dyDescent="0.2">
      <c r="H595" s="64" t="str">
        <f t="shared" si="23"/>
        <v/>
      </c>
      <c r="I595" t="str">
        <f t="shared" si="24"/>
        <v/>
      </c>
      <c r="J595" t="str">
        <f t="shared" si="25"/>
        <v/>
      </c>
    </row>
    <row r="596" spans="8:10" x14ac:dyDescent="0.2">
      <c r="H596" s="64" t="str">
        <f t="shared" si="23"/>
        <v/>
      </c>
      <c r="I596" t="str">
        <f t="shared" si="24"/>
        <v/>
      </c>
      <c r="J596" t="str">
        <f t="shared" si="25"/>
        <v/>
      </c>
    </row>
    <row r="597" spans="8:10" x14ac:dyDescent="0.2">
      <c r="H597" s="64" t="str">
        <f t="shared" si="23"/>
        <v/>
      </c>
      <c r="I597" t="str">
        <f t="shared" si="24"/>
        <v/>
      </c>
      <c r="J597" t="str">
        <f t="shared" si="25"/>
        <v/>
      </c>
    </row>
    <row r="598" spans="8:10" x14ac:dyDescent="0.2">
      <c r="H598" s="64" t="str">
        <f t="shared" si="23"/>
        <v/>
      </c>
      <c r="I598" t="str">
        <f t="shared" si="24"/>
        <v/>
      </c>
      <c r="J598" t="str">
        <f t="shared" si="25"/>
        <v/>
      </c>
    </row>
    <row r="599" spans="8:10" x14ac:dyDescent="0.2">
      <c r="H599" s="64" t="str">
        <f t="shared" si="23"/>
        <v/>
      </c>
      <c r="I599" t="str">
        <f t="shared" si="24"/>
        <v/>
      </c>
      <c r="J599" t="str">
        <f t="shared" si="25"/>
        <v/>
      </c>
    </row>
    <row r="600" spans="8:10" x14ac:dyDescent="0.2">
      <c r="H600" s="64" t="str">
        <f t="shared" si="23"/>
        <v/>
      </c>
      <c r="I600" t="str">
        <f t="shared" si="24"/>
        <v/>
      </c>
      <c r="J600" t="str">
        <f t="shared" si="25"/>
        <v/>
      </c>
    </row>
    <row r="601" spans="8:10" x14ac:dyDescent="0.2">
      <c r="H601" s="64" t="str">
        <f t="shared" si="23"/>
        <v/>
      </c>
      <c r="I601" t="str">
        <f t="shared" si="24"/>
        <v/>
      </c>
      <c r="J601" t="str">
        <f t="shared" si="25"/>
        <v/>
      </c>
    </row>
    <row r="602" spans="8:10" x14ac:dyDescent="0.2">
      <c r="H602" s="64" t="str">
        <f t="shared" si="23"/>
        <v/>
      </c>
      <c r="I602" t="str">
        <f t="shared" si="24"/>
        <v/>
      </c>
      <c r="J602" t="str">
        <f t="shared" si="25"/>
        <v/>
      </c>
    </row>
    <row r="603" spans="8:10" x14ac:dyDescent="0.2">
      <c r="H603" s="64" t="str">
        <f t="shared" si="23"/>
        <v/>
      </c>
      <c r="I603" t="str">
        <f t="shared" si="24"/>
        <v/>
      </c>
      <c r="J603" t="str">
        <f t="shared" si="25"/>
        <v/>
      </c>
    </row>
    <row r="604" spans="8:10" x14ac:dyDescent="0.2">
      <c r="H604" s="64" t="str">
        <f t="shared" si="23"/>
        <v/>
      </c>
      <c r="I604" t="str">
        <f t="shared" si="24"/>
        <v/>
      </c>
      <c r="J604" t="str">
        <f t="shared" si="25"/>
        <v/>
      </c>
    </row>
    <row r="605" spans="8:10" x14ac:dyDescent="0.2">
      <c r="H605" s="64" t="str">
        <f t="shared" si="23"/>
        <v/>
      </c>
      <c r="I605" t="str">
        <f t="shared" si="24"/>
        <v/>
      </c>
      <c r="J605" t="str">
        <f t="shared" si="25"/>
        <v/>
      </c>
    </row>
    <row r="606" spans="8:10" x14ac:dyDescent="0.2">
      <c r="H606" s="64" t="str">
        <f t="shared" si="23"/>
        <v/>
      </c>
      <c r="I606" t="str">
        <f t="shared" si="24"/>
        <v/>
      </c>
      <c r="J606" t="str">
        <f t="shared" si="25"/>
        <v/>
      </c>
    </row>
    <row r="607" spans="8:10" x14ac:dyDescent="0.2">
      <c r="H607" s="64" t="str">
        <f t="shared" si="23"/>
        <v/>
      </c>
      <c r="I607" t="str">
        <f t="shared" si="24"/>
        <v/>
      </c>
      <c r="J607" t="str">
        <f t="shared" si="25"/>
        <v/>
      </c>
    </row>
    <row r="608" spans="8:10" x14ac:dyDescent="0.2">
      <c r="H608" s="64" t="str">
        <f t="shared" si="23"/>
        <v/>
      </c>
      <c r="I608" t="str">
        <f t="shared" si="24"/>
        <v/>
      </c>
      <c r="J608" t="str">
        <f t="shared" si="25"/>
        <v/>
      </c>
    </row>
    <row r="609" spans="8:10" x14ac:dyDescent="0.2">
      <c r="H609" s="64" t="str">
        <f t="shared" si="23"/>
        <v/>
      </c>
      <c r="I609" t="str">
        <f t="shared" si="24"/>
        <v/>
      </c>
      <c r="J609" t="str">
        <f t="shared" si="25"/>
        <v/>
      </c>
    </row>
    <row r="610" spans="8:10" x14ac:dyDescent="0.2">
      <c r="H610" s="64" t="str">
        <f t="shared" si="23"/>
        <v/>
      </c>
      <c r="I610" t="str">
        <f t="shared" si="24"/>
        <v/>
      </c>
      <c r="J610" t="str">
        <f t="shared" si="25"/>
        <v/>
      </c>
    </row>
    <row r="611" spans="8:10" x14ac:dyDescent="0.2">
      <c r="H611" s="64" t="str">
        <f t="shared" si="23"/>
        <v/>
      </c>
      <c r="I611" t="str">
        <f t="shared" si="24"/>
        <v/>
      </c>
      <c r="J611" t="str">
        <f t="shared" si="25"/>
        <v/>
      </c>
    </row>
    <row r="612" spans="8:10" x14ac:dyDescent="0.2">
      <c r="H612" s="64" t="str">
        <f t="shared" si="23"/>
        <v/>
      </c>
      <c r="I612" t="str">
        <f t="shared" si="24"/>
        <v/>
      </c>
      <c r="J612" t="str">
        <f t="shared" si="25"/>
        <v/>
      </c>
    </row>
    <row r="613" spans="8:10" x14ac:dyDescent="0.2">
      <c r="H613" s="64" t="str">
        <f t="shared" si="23"/>
        <v/>
      </c>
      <c r="I613" t="str">
        <f t="shared" si="24"/>
        <v/>
      </c>
      <c r="J613" t="str">
        <f t="shared" si="25"/>
        <v/>
      </c>
    </row>
    <row r="614" spans="8:10" x14ac:dyDescent="0.2">
      <c r="H614" s="64" t="str">
        <f t="shared" si="23"/>
        <v/>
      </c>
      <c r="I614" t="str">
        <f t="shared" si="24"/>
        <v/>
      </c>
      <c r="J614" t="str">
        <f t="shared" si="25"/>
        <v/>
      </c>
    </row>
    <row r="615" spans="8:10" x14ac:dyDescent="0.2">
      <c r="H615" s="64" t="str">
        <f t="shared" si="23"/>
        <v/>
      </c>
      <c r="I615" t="str">
        <f t="shared" si="24"/>
        <v/>
      </c>
      <c r="J615" t="str">
        <f t="shared" si="25"/>
        <v/>
      </c>
    </row>
    <row r="616" spans="8:10" x14ac:dyDescent="0.2">
      <c r="H616" s="64" t="str">
        <f t="shared" si="23"/>
        <v/>
      </c>
      <c r="I616" t="str">
        <f t="shared" si="24"/>
        <v/>
      </c>
      <c r="J616" t="str">
        <f t="shared" si="25"/>
        <v/>
      </c>
    </row>
    <row r="617" spans="8:10" x14ac:dyDescent="0.2">
      <c r="H617" s="64" t="str">
        <f t="shared" si="23"/>
        <v/>
      </c>
      <c r="I617" t="str">
        <f t="shared" si="24"/>
        <v/>
      </c>
      <c r="J617" t="str">
        <f t="shared" si="25"/>
        <v/>
      </c>
    </row>
    <row r="618" spans="8:10" x14ac:dyDescent="0.2">
      <c r="H618" s="64" t="str">
        <f t="shared" si="23"/>
        <v/>
      </c>
      <c r="I618" t="str">
        <f t="shared" si="24"/>
        <v/>
      </c>
      <c r="J618" t="str">
        <f t="shared" si="25"/>
        <v/>
      </c>
    </row>
    <row r="619" spans="8:10" x14ac:dyDescent="0.2">
      <c r="H619" s="64" t="str">
        <f t="shared" si="23"/>
        <v/>
      </c>
      <c r="I619" t="str">
        <f t="shared" si="24"/>
        <v/>
      </c>
      <c r="J619" t="str">
        <f t="shared" si="25"/>
        <v/>
      </c>
    </row>
    <row r="620" spans="8:10" x14ac:dyDescent="0.2">
      <c r="H620" s="64" t="str">
        <f t="shared" si="23"/>
        <v/>
      </c>
      <c r="I620" t="str">
        <f t="shared" si="24"/>
        <v/>
      </c>
      <c r="J620" t="str">
        <f t="shared" si="25"/>
        <v/>
      </c>
    </row>
    <row r="621" spans="8:10" x14ac:dyDescent="0.2">
      <c r="H621" s="64" t="str">
        <f t="shared" si="23"/>
        <v/>
      </c>
      <c r="I621" t="str">
        <f t="shared" si="24"/>
        <v/>
      </c>
      <c r="J621" t="str">
        <f t="shared" si="25"/>
        <v/>
      </c>
    </row>
    <row r="622" spans="8:10" x14ac:dyDescent="0.2">
      <c r="H622" s="64" t="str">
        <f t="shared" si="23"/>
        <v/>
      </c>
      <c r="I622" t="str">
        <f t="shared" si="24"/>
        <v/>
      </c>
      <c r="J622" t="str">
        <f t="shared" si="25"/>
        <v/>
      </c>
    </row>
    <row r="623" spans="8:10" x14ac:dyDescent="0.2">
      <c r="H623" s="64" t="str">
        <f t="shared" si="23"/>
        <v/>
      </c>
      <c r="I623" t="str">
        <f t="shared" si="24"/>
        <v/>
      </c>
      <c r="J623" t="str">
        <f t="shared" si="25"/>
        <v/>
      </c>
    </row>
    <row r="624" spans="8:10" x14ac:dyDescent="0.2">
      <c r="H624" s="64" t="str">
        <f t="shared" si="23"/>
        <v/>
      </c>
      <c r="I624" t="str">
        <f t="shared" si="24"/>
        <v/>
      </c>
      <c r="J624" t="str">
        <f t="shared" si="25"/>
        <v/>
      </c>
    </row>
    <row r="625" spans="8:10" x14ac:dyDescent="0.2">
      <c r="H625" s="64" t="str">
        <f t="shared" si="23"/>
        <v/>
      </c>
      <c r="I625" t="str">
        <f t="shared" si="24"/>
        <v/>
      </c>
      <c r="J625" t="str">
        <f t="shared" si="25"/>
        <v/>
      </c>
    </row>
    <row r="626" spans="8:10" x14ac:dyDescent="0.2">
      <c r="H626" s="64" t="str">
        <f t="shared" si="23"/>
        <v/>
      </c>
      <c r="I626" t="str">
        <f t="shared" si="24"/>
        <v/>
      </c>
      <c r="J626" t="str">
        <f t="shared" si="25"/>
        <v/>
      </c>
    </row>
    <row r="627" spans="8:10" x14ac:dyDescent="0.2">
      <c r="H627" s="64" t="str">
        <f t="shared" si="23"/>
        <v/>
      </c>
      <c r="I627" t="str">
        <f t="shared" si="24"/>
        <v/>
      </c>
      <c r="J627" t="str">
        <f t="shared" si="25"/>
        <v/>
      </c>
    </row>
    <row r="628" spans="8:10" x14ac:dyDescent="0.2">
      <c r="H628" s="64" t="str">
        <f t="shared" si="23"/>
        <v/>
      </c>
      <c r="I628" t="str">
        <f t="shared" si="24"/>
        <v/>
      </c>
      <c r="J628" t="str">
        <f t="shared" si="25"/>
        <v/>
      </c>
    </row>
    <row r="629" spans="8:10" x14ac:dyDescent="0.2">
      <c r="H629" s="64" t="str">
        <f t="shared" si="23"/>
        <v/>
      </c>
      <c r="I629" t="str">
        <f t="shared" si="24"/>
        <v/>
      </c>
      <c r="J629" t="str">
        <f t="shared" si="25"/>
        <v/>
      </c>
    </row>
    <row r="630" spans="8:10" x14ac:dyDescent="0.2">
      <c r="H630" s="64" t="str">
        <f t="shared" si="23"/>
        <v/>
      </c>
      <c r="I630" t="str">
        <f t="shared" si="24"/>
        <v/>
      </c>
      <c r="J630" t="str">
        <f t="shared" si="25"/>
        <v/>
      </c>
    </row>
    <row r="631" spans="8:10" x14ac:dyDescent="0.2">
      <c r="H631" s="64" t="str">
        <f t="shared" si="23"/>
        <v/>
      </c>
      <c r="I631" t="str">
        <f t="shared" si="24"/>
        <v/>
      </c>
      <c r="J631" t="str">
        <f t="shared" si="25"/>
        <v/>
      </c>
    </row>
    <row r="632" spans="8:10" x14ac:dyDescent="0.2">
      <c r="H632" s="64" t="str">
        <f t="shared" si="23"/>
        <v/>
      </c>
      <c r="I632" t="str">
        <f t="shared" si="24"/>
        <v/>
      </c>
      <c r="J632" t="str">
        <f t="shared" si="25"/>
        <v/>
      </c>
    </row>
    <row r="633" spans="8:10" x14ac:dyDescent="0.2">
      <c r="H633" s="64" t="str">
        <f t="shared" si="23"/>
        <v/>
      </c>
      <c r="I633" t="str">
        <f t="shared" si="24"/>
        <v/>
      </c>
      <c r="J633" t="str">
        <f t="shared" si="25"/>
        <v/>
      </c>
    </row>
    <row r="634" spans="8:10" x14ac:dyDescent="0.2">
      <c r="H634" s="64" t="str">
        <f t="shared" si="23"/>
        <v/>
      </c>
      <c r="I634" t="str">
        <f t="shared" si="24"/>
        <v/>
      </c>
      <c r="J634" t="str">
        <f t="shared" si="25"/>
        <v/>
      </c>
    </row>
    <row r="635" spans="8:10" x14ac:dyDescent="0.2">
      <c r="H635" s="64" t="str">
        <f t="shared" si="23"/>
        <v/>
      </c>
      <c r="I635" t="str">
        <f t="shared" si="24"/>
        <v/>
      </c>
      <c r="J635" t="str">
        <f t="shared" si="25"/>
        <v/>
      </c>
    </row>
    <row r="636" spans="8:10" x14ac:dyDescent="0.2">
      <c r="H636" s="64" t="str">
        <f t="shared" si="23"/>
        <v/>
      </c>
      <c r="I636" t="str">
        <f t="shared" si="24"/>
        <v/>
      </c>
      <c r="J636" t="str">
        <f t="shared" si="25"/>
        <v/>
      </c>
    </row>
    <row r="637" spans="8:10" x14ac:dyDescent="0.2">
      <c r="H637" s="64" t="str">
        <f t="shared" si="23"/>
        <v/>
      </c>
      <c r="I637" t="str">
        <f t="shared" si="24"/>
        <v/>
      </c>
      <c r="J637" t="str">
        <f t="shared" si="25"/>
        <v/>
      </c>
    </row>
    <row r="638" spans="8:10" x14ac:dyDescent="0.2">
      <c r="H638" s="64" t="str">
        <f t="shared" si="23"/>
        <v/>
      </c>
      <c r="I638" t="str">
        <f t="shared" si="24"/>
        <v/>
      </c>
      <c r="J638" t="str">
        <f t="shared" si="25"/>
        <v/>
      </c>
    </row>
    <row r="639" spans="8:10" x14ac:dyDescent="0.2">
      <c r="H639" s="64" t="str">
        <f t="shared" si="23"/>
        <v/>
      </c>
      <c r="I639" t="str">
        <f t="shared" si="24"/>
        <v/>
      </c>
      <c r="J639" t="str">
        <f t="shared" si="25"/>
        <v/>
      </c>
    </row>
    <row r="640" spans="8:10" x14ac:dyDescent="0.2">
      <c r="H640" s="64" t="str">
        <f t="shared" si="23"/>
        <v/>
      </c>
      <c r="I640" t="str">
        <f t="shared" si="24"/>
        <v/>
      </c>
      <c r="J640" t="str">
        <f t="shared" si="25"/>
        <v/>
      </c>
    </row>
    <row r="641" spans="8:10" x14ac:dyDescent="0.2">
      <c r="H641" s="64" t="str">
        <f t="shared" si="23"/>
        <v/>
      </c>
      <c r="I641" t="str">
        <f t="shared" si="24"/>
        <v/>
      </c>
      <c r="J641" t="str">
        <f t="shared" si="25"/>
        <v/>
      </c>
    </row>
    <row r="642" spans="8:10" x14ac:dyDescent="0.2">
      <c r="H642" s="64" t="str">
        <f t="shared" si="23"/>
        <v/>
      </c>
      <c r="I642" t="str">
        <f t="shared" si="24"/>
        <v/>
      </c>
      <c r="J642" t="str">
        <f t="shared" si="25"/>
        <v/>
      </c>
    </row>
    <row r="643" spans="8:10" x14ac:dyDescent="0.2">
      <c r="H643" s="64" t="str">
        <f t="shared" si="23"/>
        <v/>
      </c>
      <c r="I643" t="str">
        <f t="shared" si="24"/>
        <v/>
      </c>
      <c r="J643" t="str">
        <f t="shared" si="25"/>
        <v/>
      </c>
    </row>
    <row r="644" spans="8:10" x14ac:dyDescent="0.2">
      <c r="H644" s="64" t="str">
        <f t="shared" si="23"/>
        <v/>
      </c>
      <c r="I644" t="str">
        <f t="shared" si="24"/>
        <v/>
      </c>
      <c r="J644" t="str">
        <f t="shared" si="25"/>
        <v/>
      </c>
    </row>
    <row r="645" spans="8:10" x14ac:dyDescent="0.2">
      <c r="H645" s="64" t="str">
        <f t="shared" si="23"/>
        <v/>
      </c>
      <c r="I645" t="str">
        <f t="shared" si="24"/>
        <v/>
      </c>
      <c r="J645" t="str">
        <f t="shared" si="25"/>
        <v/>
      </c>
    </row>
    <row r="646" spans="8:10" x14ac:dyDescent="0.2">
      <c r="H646" s="64" t="str">
        <f t="shared" si="23"/>
        <v/>
      </c>
      <c r="I646" t="str">
        <f t="shared" si="24"/>
        <v/>
      </c>
      <c r="J646" t="str">
        <f t="shared" si="25"/>
        <v/>
      </c>
    </row>
    <row r="647" spans="8:10" x14ac:dyDescent="0.2">
      <c r="H647" s="64" t="str">
        <f t="shared" si="23"/>
        <v/>
      </c>
      <c r="I647" t="str">
        <f t="shared" si="24"/>
        <v/>
      </c>
      <c r="J647" t="str">
        <f t="shared" si="25"/>
        <v/>
      </c>
    </row>
    <row r="648" spans="8:10" x14ac:dyDescent="0.2">
      <c r="H648" s="64" t="str">
        <f t="shared" si="23"/>
        <v/>
      </c>
      <c r="I648" t="str">
        <f t="shared" si="24"/>
        <v/>
      </c>
      <c r="J648" t="str">
        <f t="shared" si="25"/>
        <v/>
      </c>
    </row>
    <row r="649" spans="8:10" x14ac:dyDescent="0.2">
      <c r="H649" s="64" t="str">
        <f t="shared" si="23"/>
        <v/>
      </c>
      <c r="I649" t="str">
        <f t="shared" si="24"/>
        <v/>
      </c>
      <c r="J649" t="str">
        <f t="shared" si="25"/>
        <v/>
      </c>
    </row>
    <row r="650" spans="8:10" x14ac:dyDescent="0.2">
      <c r="H650" s="64" t="str">
        <f t="shared" si="23"/>
        <v/>
      </c>
      <c r="I650" t="str">
        <f t="shared" si="24"/>
        <v/>
      </c>
      <c r="J650" t="str">
        <f t="shared" si="25"/>
        <v/>
      </c>
    </row>
    <row r="651" spans="8:10" x14ac:dyDescent="0.2">
      <c r="H651" s="64" t="str">
        <f t="shared" si="23"/>
        <v/>
      </c>
      <c r="I651" t="str">
        <f t="shared" si="24"/>
        <v/>
      </c>
      <c r="J651" t="str">
        <f t="shared" si="25"/>
        <v/>
      </c>
    </row>
    <row r="652" spans="8:10" x14ac:dyDescent="0.2">
      <c r="H652" s="64" t="str">
        <f t="shared" si="23"/>
        <v/>
      </c>
      <c r="I652" t="str">
        <f t="shared" si="24"/>
        <v/>
      </c>
      <c r="J652" t="str">
        <f t="shared" si="25"/>
        <v/>
      </c>
    </row>
    <row r="653" spans="8:10" x14ac:dyDescent="0.2">
      <c r="H653" s="64" t="str">
        <f t="shared" si="23"/>
        <v/>
      </c>
      <c r="I653" t="str">
        <f t="shared" si="24"/>
        <v/>
      </c>
      <c r="J653" t="str">
        <f t="shared" si="25"/>
        <v/>
      </c>
    </row>
    <row r="654" spans="8:10" x14ac:dyDescent="0.2">
      <c r="H654" s="64" t="str">
        <f t="shared" si="23"/>
        <v/>
      </c>
      <c r="I654" t="str">
        <f t="shared" si="24"/>
        <v/>
      </c>
      <c r="J654" t="str">
        <f t="shared" si="25"/>
        <v/>
      </c>
    </row>
    <row r="655" spans="8:10" x14ac:dyDescent="0.2">
      <c r="H655" s="64" t="str">
        <f t="shared" si="23"/>
        <v/>
      </c>
      <c r="I655" t="str">
        <f t="shared" si="24"/>
        <v/>
      </c>
      <c r="J655" t="str">
        <f t="shared" si="25"/>
        <v/>
      </c>
    </row>
    <row r="656" spans="8:10" x14ac:dyDescent="0.2">
      <c r="H656" s="64" t="str">
        <f t="shared" si="23"/>
        <v/>
      </c>
      <c r="I656" t="str">
        <f t="shared" si="24"/>
        <v/>
      </c>
      <c r="J656" t="str">
        <f t="shared" si="25"/>
        <v/>
      </c>
    </row>
    <row r="657" spans="8:10" x14ac:dyDescent="0.2">
      <c r="H657" s="64" t="str">
        <f t="shared" si="23"/>
        <v/>
      </c>
      <c r="I657" t="str">
        <f t="shared" si="24"/>
        <v/>
      </c>
      <c r="J657" t="str">
        <f t="shared" si="25"/>
        <v/>
      </c>
    </row>
    <row r="658" spans="8:10" x14ac:dyDescent="0.2">
      <c r="H658" s="64" t="str">
        <f t="shared" ref="H658:H721" si="26">IF(B658="(blank)","",IF(ISBLANK($B658),"",IF(G658&lt;120,120,"")))</f>
        <v/>
      </c>
      <c r="I658" t="str">
        <f t="shared" ref="I658:I721" si="27">IF(ISBLANK($B658),"",IF($H658="",$G658,$H658))</f>
        <v/>
      </c>
      <c r="J658" t="str">
        <f t="shared" ref="J658:J721" si="28">IF(ISBLANK($B658),"",IF($I658&lt;120,120,$I658))</f>
        <v/>
      </c>
    </row>
    <row r="659" spans="8:10" x14ac:dyDescent="0.2">
      <c r="H659" s="64" t="str">
        <f t="shared" si="26"/>
        <v/>
      </c>
      <c r="I659" t="str">
        <f t="shared" si="27"/>
        <v/>
      </c>
      <c r="J659" t="str">
        <f t="shared" si="28"/>
        <v/>
      </c>
    </row>
    <row r="660" spans="8:10" x14ac:dyDescent="0.2">
      <c r="H660" s="64" t="str">
        <f t="shared" si="26"/>
        <v/>
      </c>
      <c r="I660" t="str">
        <f t="shared" si="27"/>
        <v/>
      </c>
      <c r="J660" t="str">
        <f t="shared" si="28"/>
        <v/>
      </c>
    </row>
    <row r="661" spans="8:10" x14ac:dyDescent="0.2">
      <c r="H661" s="64" t="str">
        <f t="shared" si="26"/>
        <v/>
      </c>
      <c r="I661" t="str">
        <f t="shared" si="27"/>
        <v/>
      </c>
      <c r="J661" t="str">
        <f t="shared" si="28"/>
        <v/>
      </c>
    </row>
    <row r="662" spans="8:10" x14ac:dyDescent="0.2">
      <c r="H662" s="64" t="str">
        <f t="shared" si="26"/>
        <v/>
      </c>
      <c r="I662" t="str">
        <f t="shared" si="27"/>
        <v/>
      </c>
      <c r="J662" t="str">
        <f t="shared" si="28"/>
        <v/>
      </c>
    </row>
    <row r="663" spans="8:10" x14ac:dyDescent="0.2">
      <c r="H663" s="64" t="str">
        <f t="shared" si="26"/>
        <v/>
      </c>
      <c r="I663" t="str">
        <f t="shared" si="27"/>
        <v/>
      </c>
      <c r="J663" t="str">
        <f t="shared" si="28"/>
        <v/>
      </c>
    </row>
    <row r="664" spans="8:10" x14ac:dyDescent="0.2">
      <c r="H664" s="64" t="str">
        <f t="shared" si="26"/>
        <v/>
      </c>
      <c r="I664" t="str">
        <f t="shared" si="27"/>
        <v/>
      </c>
      <c r="J664" t="str">
        <f t="shared" si="28"/>
        <v/>
      </c>
    </row>
    <row r="665" spans="8:10" x14ac:dyDescent="0.2">
      <c r="H665" s="64" t="str">
        <f t="shared" si="26"/>
        <v/>
      </c>
      <c r="I665" t="str">
        <f t="shared" si="27"/>
        <v/>
      </c>
      <c r="J665" t="str">
        <f t="shared" si="28"/>
        <v/>
      </c>
    </row>
    <row r="666" spans="8:10" x14ac:dyDescent="0.2">
      <c r="H666" s="64" t="str">
        <f t="shared" si="26"/>
        <v/>
      </c>
      <c r="I666" t="str">
        <f t="shared" si="27"/>
        <v/>
      </c>
      <c r="J666" t="str">
        <f t="shared" si="28"/>
        <v/>
      </c>
    </row>
    <row r="667" spans="8:10" x14ac:dyDescent="0.2">
      <c r="H667" s="64" t="str">
        <f t="shared" si="26"/>
        <v/>
      </c>
      <c r="I667" t="str">
        <f t="shared" si="27"/>
        <v/>
      </c>
      <c r="J667" t="str">
        <f t="shared" si="28"/>
        <v/>
      </c>
    </row>
    <row r="668" spans="8:10" x14ac:dyDescent="0.2">
      <c r="H668" s="64" t="str">
        <f t="shared" si="26"/>
        <v/>
      </c>
      <c r="I668" t="str">
        <f t="shared" si="27"/>
        <v/>
      </c>
      <c r="J668" t="str">
        <f t="shared" si="28"/>
        <v/>
      </c>
    </row>
    <row r="669" spans="8:10" x14ac:dyDescent="0.2">
      <c r="H669" s="64" t="str">
        <f t="shared" si="26"/>
        <v/>
      </c>
      <c r="I669" t="str">
        <f t="shared" si="27"/>
        <v/>
      </c>
      <c r="J669" t="str">
        <f t="shared" si="28"/>
        <v/>
      </c>
    </row>
    <row r="670" spans="8:10" x14ac:dyDescent="0.2">
      <c r="H670" s="64" t="str">
        <f t="shared" si="26"/>
        <v/>
      </c>
      <c r="I670" t="str">
        <f t="shared" si="27"/>
        <v/>
      </c>
      <c r="J670" t="str">
        <f t="shared" si="28"/>
        <v/>
      </c>
    </row>
    <row r="671" spans="8:10" x14ac:dyDescent="0.2">
      <c r="H671" s="64" t="str">
        <f t="shared" si="26"/>
        <v/>
      </c>
      <c r="I671" t="str">
        <f t="shared" si="27"/>
        <v/>
      </c>
      <c r="J671" t="str">
        <f t="shared" si="28"/>
        <v/>
      </c>
    </row>
    <row r="672" spans="8:10" x14ac:dyDescent="0.2">
      <c r="H672" s="64" t="str">
        <f t="shared" si="26"/>
        <v/>
      </c>
      <c r="I672" t="str">
        <f t="shared" si="27"/>
        <v/>
      </c>
      <c r="J672" t="str">
        <f t="shared" si="28"/>
        <v/>
      </c>
    </row>
    <row r="673" spans="8:10" x14ac:dyDescent="0.2">
      <c r="H673" s="64" t="str">
        <f t="shared" si="26"/>
        <v/>
      </c>
      <c r="I673" t="str">
        <f t="shared" si="27"/>
        <v/>
      </c>
      <c r="J673" t="str">
        <f t="shared" si="28"/>
        <v/>
      </c>
    </row>
    <row r="674" spans="8:10" x14ac:dyDescent="0.2">
      <c r="H674" s="64" t="str">
        <f t="shared" si="26"/>
        <v/>
      </c>
      <c r="I674" t="str">
        <f t="shared" si="27"/>
        <v/>
      </c>
      <c r="J674" t="str">
        <f t="shared" si="28"/>
        <v/>
      </c>
    </row>
    <row r="675" spans="8:10" x14ac:dyDescent="0.2">
      <c r="H675" s="64" t="str">
        <f t="shared" si="26"/>
        <v/>
      </c>
      <c r="I675" t="str">
        <f t="shared" si="27"/>
        <v/>
      </c>
      <c r="J675" t="str">
        <f t="shared" si="28"/>
        <v/>
      </c>
    </row>
    <row r="676" spans="8:10" x14ac:dyDescent="0.2">
      <c r="H676" s="64" t="str">
        <f t="shared" si="26"/>
        <v/>
      </c>
      <c r="I676" t="str">
        <f t="shared" si="27"/>
        <v/>
      </c>
      <c r="J676" t="str">
        <f t="shared" si="28"/>
        <v/>
      </c>
    </row>
    <row r="677" spans="8:10" x14ac:dyDescent="0.2">
      <c r="H677" s="64" t="str">
        <f t="shared" si="26"/>
        <v/>
      </c>
      <c r="I677" t="str">
        <f t="shared" si="27"/>
        <v/>
      </c>
      <c r="J677" t="str">
        <f t="shared" si="28"/>
        <v/>
      </c>
    </row>
    <row r="678" spans="8:10" x14ac:dyDescent="0.2">
      <c r="H678" s="64" t="str">
        <f t="shared" si="26"/>
        <v/>
      </c>
      <c r="I678" t="str">
        <f t="shared" si="27"/>
        <v/>
      </c>
      <c r="J678" t="str">
        <f t="shared" si="28"/>
        <v/>
      </c>
    </row>
    <row r="679" spans="8:10" x14ac:dyDescent="0.2">
      <c r="H679" s="64" t="str">
        <f t="shared" si="26"/>
        <v/>
      </c>
      <c r="I679" t="str">
        <f t="shared" si="27"/>
        <v/>
      </c>
      <c r="J679" t="str">
        <f t="shared" si="28"/>
        <v/>
      </c>
    </row>
    <row r="680" spans="8:10" x14ac:dyDescent="0.2">
      <c r="H680" s="64" t="str">
        <f t="shared" si="26"/>
        <v/>
      </c>
      <c r="I680" t="str">
        <f t="shared" si="27"/>
        <v/>
      </c>
      <c r="J680" t="str">
        <f t="shared" si="28"/>
        <v/>
      </c>
    </row>
    <row r="681" spans="8:10" x14ac:dyDescent="0.2">
      <c r="H681" s="64" t="str">
        <f t="shared" si="26"/>
        <v/>
      </c>
      <c r="I681" t="str">
        <f t="shared" si="27"/>
        <v/>
      </c>
      <c r="J681" t="str">
        <f t="shared" si="28"/>
        <v/>
      </c>
    </row>
    <row r="682" spans="8:10" x14ac:dyDescent="0.2">
      <c r="H682" s="64" t="str">
        <f t="shared" si="26"/>
        <v/>
      </c>
      <c r="I682" t="str">
        <f t="shared" si="27"/>
        <v/>
      </c>
      <c r="J682" t="str">
        <f t="shared" si="28"/>
        <v/>
      </c>
    </row>
    <row r="683" spans="8:10" x14ac:dyDescent="0.2">
      <c r="H683" s="64" t="str">
        <f t="shared" si="26"/>
        <v/>
      </c>
      <c r="I683" t="str">
        <f t="shared" si="27"/>
        <v/>
      </c>
      <c r="J683" t="str">
        <f t="shared" si="28"/>
        <v/>
      </c>
    </row>
    <row r="684" spans="8:10" x14ac:dyDescent="0.2">
      <c r="H684" s="64" t="str">
        <f t="shared" si="26"/>
        <v/>
      </c>
      <c r="I684" t="str">
        <f t="shared" si="27"/>
        <v/>
      </c>
      <c r="J684" t="str">
        <f t="shared" si="28"/>
        <v/>
      </c>
    </row>
    <row r="685" spans="8:10" x14ac:dyDescent="0.2">
      <c r="H685" s="64" t="str">
        <f t="shared" si="26"/>
        <v/>
      </c>
      <c r="I685" t="str">
        <f t="shared" si="27"/>
        <v/>
      </c>
      <c r="J685" t="str">
        <f t="shared" si="28"/>
        <v/>
      </c>
    </row>
    <row r="686" spans="8:10" x14ac:dyDescent="0.2">
      <c r="H686" s="64" t="str">
        <f t="shared" si="26"/>
        <v/>
      </c>
      <c r="I686" t="str">
        <f t="shared" si="27"/>
        <v/>
      </c>
      <c r="J686" t="str">
        <f t="shared" si="28"/>
        <v/>
      </c>
    </row>
    <row r="687" spans="8:10" x14ac:dyDescent="0.2">
      <c r="H687" s="64" t="str">
        <f t="shared" si="26"/>
        <v/>
      </c>
      <c r="I687" t="str">
        <f t="shared" si="27"/>
        <v/>
      </c>
      <c r="J687" t="str">
        <f t="shared" si="28"/>
        <v/>
      </c>
    </row>
    <row r="688" spans="8:10" x14ac:dyDescent="0.2">
      <c r="H688" s="64" t="str">
        <f t="shared" si="26"/>
        <v/>
      </c>
      <c r="I688" t="str">
        <f t="shared" si="27"/>
        <v/>
      </c>
      <c r="J688" t="str">
        <f t="shared" si="28"/>
        <v/>
      </c>
    </row>
    <row r="689" spans="8:10" x14ac:dyDescent="0.2">
      <c r="H689" s="64" t="str">
        <f t="shared" si="26"/>
        <v/>
      </c>
      <c r="I689" t="str">
        <f t="shared" si="27"/>
        <v/>
      </c>
      <c r="J689" t="str">
        <f t="shared" si="28"/>
        <v/>
      </c>
    </row>
    <row r="690" spans="8:10" x14ac:dyDescent="0.2">
      <c r="H690" s="64" t="str">
        <f t="shared" si="26"/>
        <v/>
      </c>
      <c r="I690" t="str">
        <f t="shared" si="27"/>
        <v/>
      </c>
      <c r="J690" t="str">
        <f t="shared" si="28"/>
        <v/>
      </c>
    </row>
    <row r="691" spans="8:10" x14ac:dyDescent="0.2">
      <c r="H691" s="64" t="str">
        <f t="shared" si="26"/>
        <v/>
      </c>
      <c r="I691" t="str">
        <f t="shared" si="27"/>
        <v/>
      </c>
      <c r="J691" t="str">
        <f t="shared" si="28"/>
        <v/>
      </c>
    </row>
    <row r="692" spans="8:10" x14ac:dyDescent="0.2">
      <c r="H692" s="64" t="str">
        <f t="shared" si="26"/>
        <v/>
      </c>
      <c r="I692" t="str">
        <f t="shared" si="27"/>
        <v/>
      </c>
      <c r="J692" t="str">
        <f t="shared" si="28"/>
        <v/>
      </c>
    </row>
    <row r="693" spans="8:10" x14ac:dyDescent="0.2">
      <c r="H693" s="64" t="str">
        <f t="shared" si="26"/>
        <v/>
      </c>
      <c r="I693" t="str">
        <f t="shared" si="27"/>
        <v/>
      </c>
      <c r="J693" t="str">
        <f t="shared" si="28"/>
        <v/>
      </c>
    </row>
    <row r="694" spans="8:10" x14ac:dyDescent="0.2">
      <c r="H694" s="64" t="str">
        <f t="shared" si="26"/>
        <v/>
      </c>
      <c r="I694" t="str">
        <f t="shared" si="27"/>
        <v/>
      </c>
      <c r="J694" t="str">
        <f t="shared" si="28"/>
        <v/>
      </c>
    </row>
    <row r="695" spans="8:10" x14ac:dyDescent="0.2">
      <c r="H695" s="64" t="str">
        <f t="shared" si="26"/>
        <v/>
      </c>
      <c r="I695" t="str">
        <f t="shared" si="27"/>
        <v/>
      </c>
      <c r="J695" t="str">
        <f t="shared" si="28"/>
        <v/>
      </c>
    </row>
    <row r="696" spans="8:10" x14ac:dyDescent="0.2">
      <c r="H696" s="64" t="str">
        <f t="shared" si="26"/>
        <v/>
      </c>
      <c r="I696" t="str">
        <f t="shared" si="27"/>
        <v/>
      </c>
      <c r="J696" t="str">
        <f t="shared" si="28"/>
        <v/>
      </c>
    </row>
    <row r="697" spans="8:10" x14ac:dyDescent="0.2">
      <c r="H697" s="64" t="str">
        <f t="shared" si="26"/>
        <v/>
      </c>
      <c r="I697" t="str">
        <f t="shared" si="27"/>
        <v/>
      </c>
      <c r="J697" t="str">
        <f t="shared" si="28"/>
        <v/>
      </c>
    </row>
    <row r="698" spans="8:10" x14ac:dyDescent="0.2">
      <c r="H698" s="64" t="str">
        <f t="shared" si="26"/>
        <v/>
      </c>
      <c r="I698" t="str">
        <f t="shared" si="27"/>
        <v/>
      </c>
      <c r="J698" t="str">
        <f t="shared" si="28"/>
        <v/>
      </c>
    </row>
    <row r="699" spans="8:10" x14ac:dyDescent="0.2">
      <c r="H699" s="64" t="str">
        <f t="shared" si="26"/>
        <v/>
      </c>
      <c r="I699" t="str">
        <f t="shared" si="27"/>
        <v/>
      </c>
      <c r="J699" t="str">
        <f t="shared" si="28"/>
        <v/>
      </c>
    </row>
    <row r="700" spans="8:10" x14ac:dyDescent="0.2">
      <c r="H700" s="64" t="str">
        <f t="shared" si="26"/>
        <v/>
      </c>
      <c r="I700" t="str">
        <f t="shared" si="27"/>
        <v/>
      </c>
      <c r="J700" t="str">
        <f t="shared" si="28"/>
        <v/>
      </c>
    </row>
    <row r="701" spans="8:10" x14ac:dyDescent="0.2">
      <c r="H701" s="64" t="str">
        <f t="shared" si="26"/>
        <v/>
      </c>
      <c r="I701" t="str">
        <f t="shared" si="27"/>
        <v/>
      </c>
      <c r="J701" t="str">
        <f t="shared" si="28"/>
        <v/>
      </c>
    </row>
    <row r="702" spans="8:10" x14ac:dyDescent="0.2">
      <c r="H702" s="64" t="str">
        <f t="shared" si="26"/>
        <v/>
      </c>
      <c r="I702" t="str">
        <f t="shared" si="27"/>
        <v/>
      </c>
      <c r="J702" t="str">
        <f t="shared" si="28"/>
        <v/>
      </c>
    </row>
    <row r="703" spans="8:10" x14ac:dyDescent="0.2">
      <c r="H703" s="64" t="str">
        <f t="shared" si="26"/>
        <v/>
      </c>
      <c r="I703" t="str">
        <f t="shared" si="27"/>
        <v/>
      </c>
      <c r="J703" t="str">
        <f t="shared" si="28"/>
        <v/>
      </c>
    </row>
    <row r="704" spans="8:10" x14ac:dyDescent="0.2">
      <c r="H704" s="64" t="str">
        <f t="shared" si="26"/>
        <v/>
      </c>
      <c r="I704" t="str">
        <f t="shared" si="27"/>
        <v/>
      </c>
      <c r="J704" t="str">
        <f t="shared" si="28"/>
        <v/>
      </c>
    </row>
    <row r="705" spans="8:10" x14ac:dyDescent="0.2">
      <c r="H705" s="64" t="str">
        <f t="shared" si="26"/>
        <v/>
      </c>
      <c r="I705" t="str">
        <f t="shared" si="27"/>
        <v/>
      </c>
      <c r="J705" t="str">
        <f t="shared" si="28"/>
        <v/>
      </c>
    </row>
    <row r="706" spans="8:10" x14ac:dyDescent="0.2">
      <c r="H706" s="64" t="str">
        <f t="shared" si="26"/>
        <v/>
      </c>
      <c r="I706" t="str">
        <f t="shared" si="27"/>
        <v/>
      </c>
      <c r="J706" t="str">
        <f t="shared" si="28"/>
        <v/>
      </c>
    </row>
    <row r="707" spans="8:10" x14ac:dyDescent="0.2">
      <c r="H707" s="64" t="str">
        <f t="shared" si="26"/>
        <v/>
      </c>
      <c r="I707" t="str">
        <f t="shared" si="27"/>
        <v/>
      </c>
      <c r="J707" t="str">
        <f t="shared" si="28"/>
        <v/>
      </c>
    </row>
    <row r="708" spans="8:10" x14ac:dyDescent="0.2">
      <c r="H708" s="64" t="str">
        <f t="shared" si="26"/>
        <v/>
      </c>
      <c r="I708" t="str">
        <f t="shared" si="27"/>
        <v/>
      </c>
      <c r="J708" t="str">
        <f t="shared" si="28"/>
        <v/>
      </c>
    </row>
    <row r="709" spans="8:10" x14ac:dyDescent="0.2">
      <c r="H709" s="64" t="str">
        <f t="shared" si="26"/>
        <v/>
      </c>
      <c r="I709" t="str">
        <f t="shared" si="27"/>
        <v/>
      </c>
      <c r="J709" t="str">
        <f t="shared" si="28"/>
        <v/>
      </c>
    </row>
    <row r="710" spans="8:10" x14ac:dyDescent="0.2">
      <c r="H710" s="64" t="str">
        <f t="shared" si="26"/>
        <v/>
      </c>
      <c r="I710" t="str">
        <f t="shared" si="27"/>
        <v/>
      </c>
      <c r="J710" t="str">
        <f t="shared" si="28"/>
        <v/>
      </c>
    </row>
    <row r="711" spans="8:10" x14ac:dyDescent="0.2">
      <c r="H711" s="64" t="str">
        <f t="shared" si="26"/>
        <v/>
      </c>
      <c r="I711" t="str">
        <f t="shared" si="27"/>
        <v/>
      </c>
      <c r="J711" t="str">
        <f t="shared" si="28"/>
        <v/>
      </c>
    </row>
    <row r="712" spans="8:10" x14ac:dyDescent="0.2">
      <c r="H712" s="64" t="str">
        <f t="shared" si="26"/>
        <v/>
      </c>
      <c r="I712" t="str">
        <f t="shared" si="27"/>
        <v/>
      </c>
      <c r="J712" t="str">
        <f t="shared" si="28"/>
        <v/>
      </c>
    </row>
    <row r="713" spans="8:10" x14ac:dyDescent="0.2">
      <c r="H713" s="64" t="str">
        <f t="shared" si="26"/>
        <v/>
      </c>
      <c r="I713" t="str">
        <f t="shared" si="27"/>
        <v/>
      </c>
      <c r="J713" t="str">
        <f t="shared" si="28"/>
        <v/>
      </c>
    </row>
    <row r="714" spans="8:10" x14ac:dyDescent="0.2">
      <c r="H714" s="64" t="str">
        <f t="shared" si="26"/>
        <v/>
      </c>
      <c r="I714" t="str">
        <f t="shared" si="27"/>
        <v/>
      </c>
      <c r="J714" t="str">
        <f t="shared" si="28"/>
        <v/>
      </c>
    </row>
    <row r="715" spans="8:10" x14ac:dyDescent="0.2">
      <c r="H715" s="64" t="str">
        <f t="shared" si="26"/>
        <v/>
      </c>
      <c r="I715" t="str">
        <f t="shared" si="27"/>
        <v/>
      </c>
      <c r="J715" t="str">
        <f t="shared" si="28"/>
        <v/>
      </c>
    </row>
    <row r="716" spans="8:10" x14ac:dyDescent="0.2">
      <c r="H716" s="64" t="str">
        <f t="shared" si="26"/>
        <v/>
      </c>
      <c r="I716" t="str">
        <f t="shared" si="27"/>
        <v/>
      </c>
      <c r="J716" t="str">
        <f t="shared" si="28"/>
        <v/>
      </c>
    </row>
    <row r="717" spans="8:10" x14ac:dyDescent="0.2">
      <c r="H717" s="64" t="str">
        <f t="shared" si="26"/>
        <v/>
      </c>
      <c r="I717" t="str">
        <f t="shared" si="27"/>
        <v/>
      </c>
      <c r="J717" t="str">
        <f t="shared" si="28"/>
        <v/>
      </c>
    </row>
    <row r="718" spans="8:10" x14ac:dyDescent="0.2">
      <c r="H718" s="64" t="str">
        <f t="shared" si="26"/>
        <v/>
      </c>
      <c r="I718" t="str">
        <f t="shared" si="27"/>
        <v/>
      </c>
      <c r="J718" t="str">
        <f t="shared" si="28"/>
        <v/>
      </c>
    </row>
    <row r="719" spans="8:10" x14ac:dyDescent="0.2">
      <c r="H719" s="64" t="str">
        <f t="shared" si="26"/>
        <v/>
      </c>
      <c r="I719" t="str">
        <f t="shared" si="27"/>
        <v/>
      </c>
      <c r="J719" t="str">
        <f t="shared" si="28"/>
        <v/>
      </c>
    </row>
    <row r="720" spans="8:10" x14ac:dyDescent="0.2">
      <c r="H720" s="64" t="str">
        <f t="shared" si="26"/>
        <v/>
      </c>
      <c r="I720" t="str">
        <f t="shared" si="27"/>
        <v/>
      </c>
      <c r="J720" t="str">
        <f t="shared" si="28"/>
        <v/>
      </c>
    </row>
    <row r="721" spans="8:10" x14ac:dyDescent="0.2">
      <c r="H721" s="64" t="str">
        <f t="shared" si="26"/>
        <v/>
      </c>
      <c r="I721" t="str">
        <f t="shared" si="27"/>
        <v/>
      </c>
      <c r="J721" t="str">
        <f t="shared" si="28"/>
        <v/>
      </c>
    </row>
    <row r="722" spans="8:10" x14ac:dyDescent="0.2">
      <c r="H722" s="64" t="str">
        <f t="shared" ref="H722:H785" si="29">IF(B722="(blank)","",IF(ISBLANK($B722),"",IF(G722&lt;120,120,"")))</f>
        <v/>
      </c>
      <c r="I722" t="str">
        <f t="shared" ref="I722:I785" si="30">IF(ISBLANK($B722),"",IF($H722="",$G722,$H722))</f>
        <v/>
      </c>
      <c r="J722" t="str">
        <f t="shared" ref="J722:J785" si="31">IF(ISBLANK($B722),"",IF($I722&lt;120,120,$I722))</f>
        <v/>
      </c>
    </row>
    <row r="723" spans="8:10" x14ac:dyDescent="0.2">
      <c r="H723" s="64" t="str">
        <f t="shared" si="29"/>
        <v/>
      </c>
      <c r="I723" t="str">
        <f t="shared" si="30"/>
        <v/>
      </c>
      <c r="J723" t="str">
        <f t="shared" si="31"/>
        <v/>
      </c>
    </row>
    <row r="724" spans="8:10" x14ac:dyDescent="0.2">
      <c r="H724" s="64" t="str">
        <f t="shared" si="29"/>
        <v/>
      </c>
      <c r="I724" t="str">
        <f t="shared" si="30"/>
        <v/>
      </c>
      <c r="J724" t="str">
        <f t="shared" si="31"/>
        <v/>
      </c>
    </row>
    <row r="725" spans="8:10" x14ac:dyDescent="0.2">
      <c r="H725" s="64" t="str">
        <f t="shared" si="29"/>
        <v/>
      </c>
      <c r="I725" t="str">
        <f t="shared" si="30"/>
        <v/>
      </c>
      <c r="J725" t="str">
        <f t="shared" si="31"/>
        <v/>
      </c>
    </row>
    <row r="726" spans="8:10" x14ac:dyDescent="0.2">
      <c r="H726" s="64" t="str">
        <f t="shared" si="29"/>
        <v/>
      </c>
      <c r="I726" t="str">
        <f t="shared" si="30"/>
        <v/>
      </c>
      <c r="J726" t="str">
        <f t="shared" si="31"/>
        <v/>
      </c>
    </row>
    <row r="727" spans="8:10" x14ac:dyDescent="0.2">
      <c r="H727" s="64" t="str">
        <f t="shared" si="29"/>
        <v/>
      </c>
      <c r="I727" t="str">
        <f t="shared" si="30"/>
        <v/>
      </c>
      <c r="J727" t="str">
        <f t="shared" si="31"/>
        <v/>
      </c>
    </row>
    <row r="728" spans="8:10" x14ac:dyDescent="0.2">
      <c r="H728" s="64" t="str">
        <f t="shared" si="29"/>
        <v/>
      </c>
      <c r="I728" t="str">
        <f t="shared" si="30"/>
        <v/>
      </c>
      <c r="J728" t="str">
        <f t="shared" si="31"/>
        <v/>
      </c>
    </row>
    <row r="729" spans="8:10" x14ac:dyDescent="0.2">
      <c r="H729" s="64" t="str">
        <f t="shared" si="29"/>
        <v/>
      </c>
      <c r="I729" t="str">
        <f t="shared" si="30"/>
        <v/>
      </c>
      <c r="J729" t="str">
        <f t="shared" si="31"/>
        <v/>
      </c>
    </row>
    <row r="730" spans="8:10" x14ac:dyDescent="0.2">
      <c r="H730" s="64" t="str">
        <f t="shared" si="29"/>
        <v/>
      </c>
      <c r="I730" t="str">
        <f t="shared" si="30"/>
        <v/>
      </c>
      <c r="J730" t="str">
        <f t="shared" si="31"/>
        <v/>
      </c>
    </row>
    <row r="731" spans="8:10" x14ac:dyDescent="0.2">
      <c r="H731" s="64" t="str">
        <f t="shared" si="29"/>
        <v/>
      </c>
      <c r="I731" t="str">
        <f t="shared" si="30"/>
        <v/>
      </c>
      <c r="J731" t="str">
        <f t="shared" si="31"/>
        <v/>
      </c>
    </row>
    <row r="732" spans="8:10" x14ac:dyDescent="0.2">
      <c r="H732" s="64" t="str">
        <f t="shared" si="29"/>
        <v/>
      </c>
      <c r="I732" t="str">
        <f t="shared" si="30"/>
        <v/>
      </c>
      <c r="J732" t="str">
        <f t="shared" si="31"/>
        <v/>
      </c>
    </row>
    <row r="733" spans="8:10" x14ac:dyDescent="0.2">
      <c r="H733" s="64" t="str">
        <f t="shared" si="29"/>
        <v/>
      </c>
      <c r="I733" t="str">
        <f t="shared" si="30"/>
        <v/>
      </c>
      <c r="J733" t="str">
        <f t="shared" si="31"/>
        <v/>
      </c>
    </row>
    <row r="734" spans="8:10" x14ac:dyDescent="0.2">
      <c r="H734" s="64" t="str">
        <f t="shared" si="29"/>
        <v/>
      </c>
      <c r="I734" t="str">
        <f t="shared" si="30"/>
        <v/>
      </c>
      <c r="J734" t="str">
        <f t="shared" si="31"/>
        <v/>
      </c>
    </row>
    <row r="735" spans="8:10" x14ac:dyDescent="0.2">
      <c r="H735" s="64" t="str">
        <f t="shared" si="29"/>
        <v/>
      </c>
      <c r="I735" t="str">
        <f t="shared" si="30"/>
        <v/>
      </c>
      <c r="J735" t="str">
        <f t="shared" si="31"/>
        <v/>
      </c>
    </row>
    <row r="736" spans="8:10" x14ac:dyDescent="0.2">
      <c r="H736" s="64" t="str">
        <f t="shared" si="29"/>
        <v/>
      </c>
      <c r="I736" t="str">
        <f t="shared" si="30"/>
        <v/>
      </c>
      <c r="J736" t="str">
        <f t="shared" si="31"/>
        <v/>
      </c>
    </row>
    <row r="737" spans="8:10" x14ac:dyDescent="0.2">
      <c r="H737" s="64" t="str">
        <f t="shared" si="29"/>
        <v/>
      </c>
      <c r="I737" t="str">
        <f t="shared" si="30"/>
        <v/>
      </c>
      <c r="J737" t="str">
        <f t="shared" si="31"/>
        <v/>
      </c>
    </row>
    <row r="738" spans="8:10" x14ac:dyDescent="0.2">
      <c r="H738" s="64" t="str">
        <f t="shared" si="29"/>
        <v/>
      </c>
      <c r="I738" t="str">
        <f t="shared" si="30"/>
        <v/>
      </c>
      <c r="J738" t="str">
        <f t="shared" si="31"/>
        <v/>
      </c>
    </row>
    <row r="739" spans="8:10" x14ac:dyDescent="0.2">
      <c r="H739" s="64" t="str">
        <f t="shared" si="29"/>
        <v/>
      </c>
      <c r="I739" t="str">
        <f t="shared" si="30"/>
        <v/>
      </c>
      <c r="J739" t="str">
        <f t="shared" si="31"/>
        <v/>
      </c>
    </row>
    <row r="740" spans="8:10" x14ac:dyDescent="0.2">
      <c r="H740" s="64" t="str">
        <f t="shared" si="29"/>
        <v/>
      </c>
      <c r="I740" t="str">
        <f t="shared" si="30"/>
        <v/>
      </c>
      <c r="J740" t="str">
        <f t="shared" si="31"/>
        <v/>
      </c>
    </row>
    <row r="741" spans="8:10" x14ac:dyDescent="0.2">
      <c r="H741" s="64" t="str">
        <f t="shared" si="29"/>
        <v/>
      </c>
      <c r="I741" t="str">
        <f t="shared" si="30"/>
        <v/>
      </c>
      <c r="J741" t="str">
        <f t="shared" si="31"/>
        <v/>
      </c>
    </row>
    <row r="742" spans="8:10" x14ac:dyDescent="0.2">
      <c r="H742" s="64" t="str">
        <f t="shared" si="29"/>
        <v/>
      </c>
      <c r="I742" t="str">
        <f t="shared" si="30"/>
        <v/>
      </c>
      <c r="J742" t="str">
        <f t="shared" si="31"/>
        <v/>
      </c>
    </row>
    <row r="743" spans="8:10" x14ac:dyDescent="0.2">
      <c r="H743" s="64" t="str">
        <f t="shared" si="29"/>
        <v/>
      </c>
      <c r="I743" t="str">
        <f t="shared" si="30"/>
        <v/>
      </c>
      <c r="J743" t="str">
        <f t="shared" si="31"/>
        <v/>
      </c>
    </row>
    <row r="744" spans="8:10" x14ac:dyDescent="0.2">
      <c r="H744" s="64" t="str">
        <f t="shared" si="29"/>
        <v/>
      </c>
      <c r="I744" t="str">
        <f t="shared" si="30"/>
        <v/>
      </c>
      <c r="J744" t="str">
        <f t="shared" si="31"/>
        <v/>
      </c>
    </row>
    <row r="745" spans="8:10" x14ac:dyDescent="0.2">
      <c r="H745" s="64" t="str">
        <f t="shared" si="29"/>
        <v/>
      </c>
      <c r="I745" t="str">
        <f t="shared" si="30"/>
        <v/>
      </c>
      <c r="J745" t="str">
        <f t="shared" si="31"/>
        <v/>
      </c>
    </row>
    <row r="746" spans="8:10" x14ac:dyDescent="0.2">
      <c r="H746" s="64" t="str">
        <f t="shared" si="29"/>
        <v/>
      </c>
      <c r="I746" t="str">
        <f t="shared" si="30"/>
        <v/>
      </c>
      <c r="J746" t="str">
        <f t="shared" si="31"/>
        <v/>
      </c>
    </row>
    <row r="747" spans="8:10" x14ac:dyDescent="0.2">
      <c r="H747" s="64" t="str">
        <f t="shared" si="29"/>
        <v/>
      </c>
      <c r="I747" t="str">
        <f t="shared" si="30"/>
        <v/>
      </c>
      <c r="J747" t="str">
        <f t="shared" si="31"/>
        <v/>
      </c>
    </row>
    <row r="748" spans="8:10" x14ac:dyDescent="0.2">
      <c r="H748" s="64" t="str">
        <f t="shared" si="29"/>
        <v/>
      </c>
      <c r="I748" t="str">
        <f t="shared" si="30"/>
        <v/>
      </c>
      <c r="J748" t="str">
        <f t="shared" si="31"/>
        <v/>
      </c>
    </row>
    <row r="749" spans="8:10" x14ac:dyDescent="0.2">
      <c r="H749" s="64" t="str">
        <f t="shared" si="29"/>
        <v/>
      </c>
      <c r="I749" t="str">
        <f t="shared" si="30"/>
        <v/>
      </c>
      <c r="J749" t="str">
        <f t="shared" si="31"/>
        <v/>
      </c>
    </row>
    <row r="750" spans="8:10" x14ac:dyDescent="0.2">
      <c r="H750" s="64" t="str">
        <f t="shared" si="29"/>
        <v/>
      </c>
      <c r="I750" t="str">
        <f t="shared" si="30"/>
        <v/>
      </c>
      <c r="J750" t="str">
        <f t="shared" si="31"/>
        <v/>
      </c>
    </row>
    <row r="751" spans="8:10" x14ac:dyDescent="0.2">
      <c r="H751" s="64" t="str">
        <f t="shared" si="29"/>
        <v/>
      </c>
      <c r="I751" t="str">
        <f t="shared" si="30"/>
        <v/>
      </c>
      <c r="J751" t="str">
        <f t="shared" si="31"/>
        <v/>
      </c>
    </row>
    <row r="752" spans="8:10" x14ac:dyDescent="0.2">
      <c r="H752" s="64" t="str">
        <f t="shared" si="29"/>
        <v/>
      </c>
      <c r="I752" t="str">
        <f t="shared" si="30"/>
        <v/>
      </c>
      <c r="J752" t="str">
        <f t="shared" si="31"/>
        <v/>
      </c>
    </row>
    <row r="753" spans="8:10" x14ac:dyDescent="0.2">
      <c r="H753" s="64" t="str">
        <f t="shared" si="29"/>
        <v/>
      </c>
      <c r="I753" t="str">
        <f t="shared" si="30"/>
        <v/>
      </c>
      <c r="J753" t="str">
        <f t="shared" si="31"/>
        <v/>
      </c>
    </row>
    <row r="754" spans="8:10" x14ac:dyDescent="0.2">
      <c r="H754" s="64" t="str">
        <f t="shared" si="29"/>
        <v/>
      </c>
      <c r="I754" t="str">
        <f t="shared" si="30"/>
        <v/>
      </c>
      <c r="J754" t="str">
        <f t="shared" si="31"/>
        <v/>
      </c>
    </row>
    <row r="755" spans="8:10" x14ac:dyDescent="0.2">
      <c r="H755" s="64" t="str">
        <f t="shared" si="29"/>
        <v/>
      </c>
      <c r="I755" t="str">
        <f t="shared" si="30"/>
        <v/>
      </c>
      <c r="J755" t="str">
        <f t="shared" si="31"/>
        <v/>
      </c>
    </row>
    <row r="756" spans="8:10" x14ac:dyDescent="0.2">
      <c r="H756" s="64" t="str">
        <f t="shared" si="29"/>
        <v/>
      </c>
      <c r="I756" t="str">
        <f t="shared" si="30"/>
        <v/>
      </c>
      <c r="J756" t="str">
        <f t="shared" si="31"/>
        <v/>
      </c>
    </row>
    <row r="757" spans="8:10" x14ac:dyDescent="0.2">
      <c r="H757" s="64" t="str">
        <f t="shared" si="29"/>
        <v/>
      </c>
      <c r="I757" t="str">
        <f t="shared" si="30"/>
        <v/>
      </c>
      <c r="J757" t="str">
        <f t="shared" si="31"/>
        <v/>
      </c>
    </row>
    <row r="758" spans="8:10" x14ac:dyDescent="0.2">
      <c r="H758" s="64" t="str">
        <f t="shared" si="29"/>
        <v/>
      </c>
      <c r="I758" t="str">
        <f t="shared" si="30"/>
        <v/>
      </c>
      <c r="J758" t="str">
        <f t="shared" si="31"/>
        <v/>
      </c>
    </row>
    <row r="759" spans="8:10" x14ac:dyDescent="0.2">
      <c r="H759" s="64" t="str">
        <f t="shared" si="29"/>
        <v/>
      </c>
      <c r="I759" t="str">
        <f t="shared" si="30"/>
        <v/>
      </c>
      <c r="J759" t="str">
        <f t="shared" si="31"/>
        <v/>
      </c>
    </row>
    <row r="760" spans="8:10" x14ac:dyDescent="0.2">
      <c r="H760" s="64" t="str">
        <f t="shared" si="29"/>
        <v/>
      </c>
      <c r="I760" t="str">
        <f t="shared" si="30"/>
        <v/>
      </c>
      <c r="J760" t="str">
        <f t="shared" si="31"/>
        <v/>
      </c>
    </row>
    <row r="761" spans="8:10" x14ac:dyDescent="0.2">
      <c r="H761" s="64" t="str">
        <f t="shared" si="29"/>
        <v/>
      </c>
      <c r="I761" t="str">
        <f t="shared" si="30"/>
        <v/>
      </c>
      <c r="J761" t="str">
        <f t="shared" si="31"/>
        <v/>
      </c>
    </row>
    <row r="762" spans="8:10" x14ac:dyDescent="0.2">
      <c r="H762" s="64" t="str">
        <f t="shared" si="29"/>
        <v/>
      </c>
      <c r="I762" t="str">
        <f t="shared" si="30"/>
        <v/>
      </c>
      <c r="J762" t="str">
        <f t="shared" si="31"/>
        <v/>
      </c>
    </row>
    <row r="763" spans="8:10" x14ac:dyDescent="0.2">
      <c r="H763" s="64" t="str">
        <f t="shared" si="29"/>
        <v/>
      </c>
      <c r="I763" t="str">
        <f t="shared" si="30"/>
        <v/>
      </c>
      <c r="J763" t="str">
        <f t="shared" si="31"/>
        <v/>
      </c>
    </row>
    <row r="764" spans="8:10" x14ac:dyDescent="0.2">
      <c r="H764" s="64" t="str">
        <f t="shared" si="29"/>
        <v/>
      </c>
      <c r="I764" t="str">
        <f t="shared" si="30"/>
        <v/>
      </c>
      <c r="J764" t="str">
        <f t="shared" si="31"/>
        <v/>
      </c>
    </row>
    <row r="765" spans="8:10" x14ac:dyDescent="0.2">
      <c r="H765" s="64" t="str">
        <f t="shared" si="29"/>
        <v/>
      </c>
      <c r="I765" t="str">
        <f t="shared" si="30"/>
        <v/>
      </c>
      <c r="J765" t="str">
        <f t="shared" si="31"/>
        <v/>
      </c>
    </row>
    <row r="766" spans="8:10" x14ac:dyDescent="0.2">
      <c r="H766" s="64" t="str">
        <f t="shared" si="29"/>
        <v/>
      </c>
      <c r="I766" t="str">
        <f t="shared" si="30"/>
        <v/>
      </c>
      <c r="J766" t="str">
        <f t="shared" si="31"/>
        <v/>
      </c>
    </row>
    <row r="767" spans="8:10" x14ac:dyDescent="0.2">
      <c r="H767" s="64" t="str">
        <f t="shared" si="29"/>
        <v/>
      </c>
      <c r="I767" t="str">
        <f t="shared" si="30"/>
        <v/>
      </c>
      <c r="J767" t="str">
        <f t="shared" si="31"/>
        <v/>
      </c>
    </row>
    <row r="768" spans="8:10" x14ac:dyDescent="0.2">
      <c r="H768" s="64" t="str">
        <f t="shared" si="29"/>
        <v/>
      </c>
      <c r="I768" t="str">
        <f t="shared" si="30"/>
        <v/>
      </c>
      <c r="J768" t="str">
        <f t="shared" si="31"/>
        <v/>
      </c>
    </row>
    <row r="769" spans="8:10" x14ac:dyDescent="0.2">
      <c r="H769" s="64" t="str">
        <f t="shared" si="29"/>
        <v/>
      </c>
      <c r="I769" t="str">
        <f t="shared" si="30"/>
        <v/>
      </c>
      <c r="J769" t="str">
        <f t="shared" si="31"/>
        <v/>
      </c>
    </row>
    <row r="770" spans="8:10" x14ac:dyDescent="0.2">
      <c r="H770" s="64" t="str">
        <f t="shared" si="29"/>
        <v/>
      </c>
      <c r="I770" t="str">
        <f t="shared" si="30"/>
        <v/>
      </c>
      <c r="J770" t="str">
        <f t="shared" si="31"/>
        <v/>
      </c>
    </row>
    <row r="771" spans="8:10" x14ac:dyDescent="0.2">
      <c r="H771" s="64" t="str">
        <f t="shared" si="29"/>
        <v/>
      </c>
      <c r="I771" t="str">
        <f t="shared" si="30"/>
        <v/>
      </c>
      <c r="J771" t="str">
        <f t="shared" si="31"/>
        <v/>
      </c>
    </row>
    <row r="772" spans="8:10" x14ac:dyDescent="0.2">
      <c r="H772" s="64" t="str">
        <f t="shared" si="29"/>
        <v/>
      </c>
      <c r="I772" t="str">
        <f t="shared" si="30"/>
        <v/>
      </c>
      <c r="J772" t="str">
        <f t="shared" si="31"/>
        <v/>
      </c>
    </row>
    <row r="773" spans="8:10" x14ac:dyDescent="0.2">
      <c r="H773" s="64" t="str">
        <f t="shared" si="29"/>
        <v/>
      </c>
      <c r="I773" t="str">
        <f t="shared" si="30"/>
        <v/>
      </c>
      <c r="J773" t="str">
        <f t="shared" si="31"/>
        <v/>
      </c>
    </row>
    <row r="774" spans="8:10" x14ac:dyDescent="0.2">
      <c r="H774" s="64" t="str">
        <f t="shared" si="29"/>
        <v/>
      </c>
      <c r="I774" t="str">
        <f t="shared" si="30"/>
        <v/>
      </c>
      <c r="J774" t="str">
        <f t="shared" si="31"/>
        <v/>
      </c>
    </row>
    <row r="775" spans="8:10" x14ac:dyDescent="0.2">
      <c r="H775" s="64" t="str">
        <f t="shared" si="29"/>
        <v/>
      </c>
      <c r="I775" t="str">
        <f t="shared" si="30"/>
        <v/>
      </c>
      <c r="J775" t="str">
        <f t="shared" si="31"/>
        <v/>
      </c>
    </row>
    <row r="776" spans="8:10" x14ac:dyDescent="0.2">
      <c r="H776" s="64" t="str">
        <f t="shared" si="29"/>
        <v/>
      </c>
      <c r="I776" t="str">
        <f t="shared" si="30"/>
        <v/>
      </c>
      <c r="J776" t="str">
        <f t="shared" si="31"/>
        <v/>
      </c>
    </row>
    <row r="777" spans="8:10" x14ac:dyDescent="0.2">
      <c r="H777" s="64" t="str">
        <f t="shared" si="29"/>
        <v/>
      </c>
      <c r="I777" t="str">
        <f t="shared" si="30"/>
        <v/>
      </c>
      <c r="J777" t="str">
        <f t="shared" si="31"/>
        <v/>
      </c>
    </row>
    <row r="778" spans="8:10" x14ac:dyDescent="0.2">
      <c r="H778" s="64" t="str">
        <f t="shared" si="29"/>
        <v/>
      </c>
      <c r="I778" t="str">
        <f t="shared" si="30"/>
        <v/>
      </c>
      <c r="J778" t="str">
        <f t="shared" si="31"/>
        <v/>
      </c>
    </row>
    <row r="779" spans="8:10" x14ac:dyDescent="0.2">
      <c r="H779" s="64" t="str">
        <f t="shared" si="29"/>
        <v/>
      </c>
      <c r="I779" t="str">
        <f t="shared" si="30"/>
        <v/>
      </c>
      <c r="J779" t="str">
        <f t="shared" si="31"/>
        <v/>
      </c>
    </row>
    <row r="780" spans="8:10" x14ac:dyDescent="0.2">
      <c r="H780" s="64" t="str">
        <f t="shared" si="29"/>
        <v/>
      </c>
      <c r="I780" t="str">
        <f t="shared" si="30"/>
        <v/>
      </c>
      <c r="J780" t="str">
        <f t="shared" si="31"/>
        <v/>
      </c>
    </row>
    <row r="781" spans="8:10" x14ac:dyDescent="0.2">
      <c r="H781" s="64" t="str">
        <f t="shared" si="29"/>
        <v/>
      </c>
      <c r="I781" t="str">
        <f t="shared" si="30"/>
        <v/>
      </c>
      <c r="J781" t="str">
        <f t="shared" si="31"/>
        <v/>
      </c>
    </row>
    <row r="782" spans="8:10" x14ac:dyDescent="0.2">
      <c r="H782" s="64" t="str">
        <f t="shared" si="29"/>
        <v/>
      </c>
      <c r="I782" t="str">
        <f t="shared" si="30"/>
        <v/>
      </c>
      <c r="J782" t="str">
        <f t="shared" si="31"/>
        <v/>
      </c>
    </row>
    <row r="783" spans="8:10" x14ac:dyDescent="0.2">
      <c r="H783" s="64" t="str">
        <f t="shared" si="29"/>
        <v/>
      </c>
      <c r="I783" t="str">
        <f t="shared" si="30"/>
        <v/>
      </c>
      <c r="J783" t="str">
        <f t="shared" si="31"/>
        <v/>
      </c>
    </row>
    <row r="784" spans="8:10" x14ac:dyDescent="0.2">
      <c r="H784" s="64" t="str">
        <f t="shared" si="29"/>
        <v/>
      </c>
      <c r="I784" t="str">
        <f t="shared" si="30"/>
        <v/>
      </c>
      <c r="J784" t="str">
        <f t="shared" si="31"/>
        <v/>
      </c>
    </row>
    <row r="785" spans="8:10" x14ac:dyDescent="0.2">
      <c r="H785" s="64" t="str">
        <f t="shared" si="29"/>
        <v/>
      </c>
      <c r="I785" t="str">
        <f t="shared" si="30"/>
        <v/>
      </c>
      <c r="J785" t="str">
        <f t="shared" si="31"/>
        <v/>
      </c>
    </row>
    <row r="786" spans="8:10" x14ac:dyDescent="0.2">
      <c r="H786" s="64" t="str">
        <f t="shared" ref="H786:H849" si="32">IF(B786="(blank)","",IF(ISBLANK($B786),"",IF(G786&lt;120,120,"")))</f>
        <v/>
      </c>
      <c r="I786" t="str">
        <f t="shared" ref="I786:I849" si="33">IF(ISBLANK($B786),"",IF($H786="",$G786,$H786))</f>
        <v/>
      </c>
      <c r="J786" t="str">
        <f t="shared" ref="J786:J849" si="34">IF(ISBLANK($B786),"",IF($I786&lt;120,120,$I786))</f>
        <v/>
      </c>
    </row>
    <row r="787" spans="8:10" x14ac:dyDescent="0.2">
      <c r="H787" s="64" t="str">
        <f t="shared" si="32"/>
        <v/>
      </c>
      <c r="I787" t="str">
        <f t="shared" si="33"/>
        <v/>
      </c>
      <c r="J787" t="str">
        <f t="shared" si="34"/>
        <v/>
      </c>
    </row>
    <row r="788" spans="8:10" x14ac:dyDescent="0.2">
      <c r="H788" s="64" t="str">
        <f t="shared" si="32"/>
        <v/>
      </c>
      <c r="I788" t="str">
        <f t="shared" si="33"/>
        <v/>
      </c>
      <c r="J788" t="str">
        <f t="shared" si="34"/>
        <v/>
      </c>
    </row>
    <row r="789" spans="8:10" x14ac:dyDescent="0.2">
      <c r="H789" s="64" t="str">
        <f t="shared" si="32"/>
        <v/>
      </c>
      <c r="I789" t="str">
        <f t="shared" si="33"/>
        <v/>
      </c>
      <c r="J789" t="str">
        <f t="shared" si="34"/>
        <v/>
      </c>
    </row>
    <row r="790" spans="8:10" x14ac:dyDescent="0.2">
      <c r="H790" s="64" t="str">
        <f t="shared" si="32"/>
        <v/>
      </c>
      <c r="I790" t="str">
        <f t="shared" si="33"/>
        <v/>
      </c>
      <c r="J790" t="str">
        <f t="shared" si="34"/>
        <v/>
      </c>
    </row>
    <row r="791" spans="8:10" x14ac:dyDescent="0.2">
      <c r="H791" s="64" t="str">
        <f t="shared" si="32"/>
        <v/>
      </c>
      <c r="I791" t="str">
        <f t="shared" si="33"/>
        <v/>
      </c>
      <c r="J791" t="str">
        <f t="shared" si="34"/>
        <v/>
      </c>
    </row>
    <row r="792" spans="8:10" x14ac:dyDescent="0.2">
      <c r="H792" s="64" t="str">
        <f t="shared" si="32"/>
        <v/>
      </c>
      <c r="I792" t="str">
        <f t="shared" si="33"/>
        <v/>
      </c>
      <c r="J792" t="str">
        <f t="shared" si="34"/>
        <v/>
      </c>
    </row>
    <row r="793" spans="8:10" x14ac:dyDescent="0.2">
      <c r="H793" s="64" t="str">
        <f t="shared" si="32"/>
        <v/>
      </c>
      <c r="I793" t="str">
        <f t="shared" si="33"/>
        <v/>
      </c>
      <c r="J793" t="str">
        <f t="shared" si="34"/>
        <v/>
      </c>
    </row>
    <row r="794" spans="8:10" x14ac:dyDescent="0.2">
      <c r="H794" s="64" t="str">
        <f t="shared" si="32"/>
        <v/>
      </c>
      <c r="I794" t="str">
        <f t="shared" si="33"/>
        <v/>
      </c>
      <c r="J794" t="str">
        <f t="shared" si="34"/>
        <v/>
      </c>
    </row>
    <row r="795" spans="8:10" x14ac:dyDescent="0.2">
      <c r="H795" s="64" t="str">
        <f t="shared" si="32"/>
        <v/>
      </c>
      <c r="I795" t="str">
        <f t="shared" si="33"/>
        <v/>
      </c>
      <c r="J795" t="str">
        <f t="shared" si="34"/>
        <v/>
      </c>
    </row>
    <row r="796" spans="8:10" x14ac:dyDescent="0.2">
      <c r="H796" s="64" t="str">
        <f t="shared" si="32"/>
        <v/>
      </c>
      <c r="I796" t="str">
        <f t="shared" si="33"/>
        <v/>
      </c>
      <c r="J796" t="str">
        <f t="shared" si="34"/>
        <v/>
      </c>
    </row>
    <row r="797" spans="8:10" x14ac:dyDescent="0.2">
      <c r="H797" s="64" t="str">
        <f t="shared" si="32"/>
        <v/>
      </c>
      <c r="I797" t="str">
        <f t="shared" si="33"/>
        <v/>
      </c>
      <c r="J797" t="str">
        <f t="shared" si="34"/>
        <v/>
      </c>
    </row>
    <row r="798" spans="8:10" x14ac:dyDescent="0.2">
      <c r="H798" s="64" t="str">
        <f t="shared" si="32"/>
        <v/>
      </c>
      <c r="I798" t="str">
        <f t="shared" si="33"/>
        <v/>
      </c>
      <c r="J798" t="str">
        <f t="shared" si="34"/>
        <v/>
      </c>
    </row>
    <row r="799" spans="8:10" x14ac:dyDescent="0.2">
      <c r="H799" s="64" t="str">
        <f t="shared" si="32"/>
        <v/>
      </c>
      <c r="I799" t="str">
        <f t="shared" si="33"/>
        <v/>
      </c>
      <c r="J799" t="str">
        <f t="shared" si="34"/>
        <v/>
      </c>
    </row>
    <row r="800" spans="8:10" x14ac:dyDescent="0.2">
      <c r="H800" s="64" t="str">
        <f t="shared" si="32"/>
        <v/>
      </c>
      <c r="I800" t="str">
        <f t="shared" si="33"/>
        <v/>
      </c>
      <c r="J800" t="str">
        <f t="shared" si="34"/>
        <v/>
      </c>
    </row>
    <row r="801" spans="8:10" x14ac:dyDescent="0.2">
      <c r="H801" s="64" t="str">
        <f t="shared" si="32"/>
        <v/>
      </c>
      <c r="I801" t="str">
        <f t="shared" si="33"/>
        <v/>
      </c>
      <c r="J801" t="str">
        <f t="shared" si="34"/>
        <v/>
      </c>
    </row>
    <row r="802" spans="8:10" x14ac:dyDescent="0.2">
      <c r="H802" s="64" t="str">
        <f t="shared" si="32"/>
        <v/>
      </c>
      <c r="I802" t="str">
        <f t="shared" si="33"/>
        <v/>
      </c>
      <c r="J802" t="str">
        <f t="shared" si="34"/>
        <v/>
      </c>
    </row>
    <row r="803" spans="8:10" x14ac:dyDescent="0.2">
      <c r="H803" s="64" t="str">
        <f t="shared" si="32"/>
        <v/>
      </c>
      <c r="I803" t="str">
        <f t="shared" si="33"/>
        <v/>
      </c>
      <c r="J803" t="str">
        <f t="shared" si="34"/>
        <v/>
      </c>
    </row>
    <row r="804" spans="8:10" x14ac:dyDescent="0.2">
      <c r="H804" s="64" t="str">
        <f t="shared" si="32"/>
        <v/>
      </c>
      <c r="I804" t="str">
        <f t="shared" si="33"/>
        <v/>
      </c>
      <c r="J804" t="str">
        <f t="shared" si="34"/>
        <v/>
      </c>
    </row>
    <row r="805" spans="8:10" x14ac:dyDescent="0.2">
      <c r="H805" s="64" t="str">
        <f t="shared" si="32"/>
        <v/>
      </c>
      <c r="I805" t="str">
        <f t="shared" si="33"/>
        <v/>
      </c>
      <c r="J805" t="str">
        <f t="shared" si="34"/>
        <v/>
      </c>
    </row>
    <row r="806" spans="8:10" x14ac:dyDescent="0.2">
      <c r="H806" s="64" t="str">
        <f t="shared" si="32"/>
        <v/>
      </c>
      <c r="I806" t="str">
        <f t="shared" si="33"/>
        <v/>
      </c>
      <c r="J806" t="str">
        <f t="shared" si="34"/>
        <v/>
      </c>
    </row>
    <row r="807" spans="8:10" x14ac:dyDescent="0.2">
      <c r="H807" s="64" t="str">
        <f t="shared" si="32"/>
        <v/>
      </c>
      <c r="I807" t="str">
        <f t="shared" si="33"/>
        <v/>
      </c>
      <c r="J807" t="str">
        <f t="shared" si="34"/>
        <v/>
      </c>
    </row>
    <row r="808" spans="8:10" x14ac:dyDescent="0.2">
      <c r="H808" s="64" t="str">
        <f t="shared" si="32"/>
        <v/>
      </c>
      <c r="I808" t="str">
        <f t="shared" si="33"/>
        <v/>
      </c>
      <c r="J808" t="str">
        <f t="shared" si="34"/>
        <v/>
      </c>
    </row>
    <row r="809" spans="8:10" x14ac:dyDescent="0.2">
      <c r="H809" s="64" t="str">
        <f t="shared" si="32"/>
        <v/>
      </c>
      <c r="I809" t="str">
        <f t="shared" si="33"/>
        <v/>
      </c>
      <c r="J809" t="str">
        <f t="shared" si="34"/>
        <v/>
      </c>
    </row>
    <row r="810" spans="8:10" x14ac:dyDescent="0.2">
      <c r="H810" s="64" t="str">
        <f t="shared" si="32"/>
        <v/>
      </c>
      <c r="I810" t="str">
        <f t="shared" si="33"/>
        <v/>
      </c>
      <c r="J810" t="str">
        <f t="shared" si="34"/>
        <v/>
      </c>
    </row>
    <row r="811" spans="8:10" x14ac:dyDescent="0.2">
      <c r="H811" s="64" t="str">
        <f t="shared" si="32"/>
        <v/>
      </c>
      <c r="I811" t="str">
        <f t="shared" si="33"/>
        <v/>
      </c>
      <c r="J811" t="str">
        <f t="shared" si="34"/>
        <v/>
      </c>
    </row>
    <row r="812" spans="8:10" x14ac:dyDescent="0.2">
      <c r="H812" s="64" t="str">
        <f t="shared" si="32"/>
        <v/>
      </c>
      <c r="I812" t="str">
        <f t="shared" si="33"/>
        <v/>
      </c>
      <c r="J812" t="str">
        <f t="shared" si="34"/>
        <v/>
      </c>
    </row>
    <row r="813" spans="8:10" x14ac:dyDescent="0.2">
      <c r="H813" s="64" t="str">
        <f t="shared" si="32"/>
        <v/>
      </c>
      <c r="I813" t="str">
        <f t="shared" si="33"/>
        <v/>
      </c>
      <c r="J813" t="str">
        <f t="shared" si="34"/>
        <v/>
      </c>
    </row>
    <row r="814" spans="8:10" x14ac:dyDescent="0.2">
      <c r="H814" s="64" t="str">
        <f t="shared" si="32"/>
        <v/>
      </c>
      <c r="I814" t="str">
        <f t="shared" si="33"/>
        <v/>
      </c>
      <c r="J814" t="str">
        <f t="shared" si="34"/>
        <v/>
      </c>
    </row>
    <row r="815" spans="8:10" x14ac:dyDescent="0.2">
      <c r="H815" s="64" t="str">
        <f t="shared" si="32"/>
        <v/>
      </c>
      <c r="I815" t="str">
        <f t="shared" si="33"/>
        <v/>
      </c>
      <c r="J815" t="str">
        <f t="shared" si="34"/>
        <v/>
      </c>
    </row>
    <row r="816" spans="8:10" x14ac:dyDescent="0.2">
      <c r="H816" s="64" t="str">
        <f t="shared" si="32"/>
        <v/>
      </c>
      <c r="I816" t="str">
        <f t="shared" si="33"/>
        <v/>
      </c>
      <c r="J816" t="str">
        <f t="shared" si="34"/>
        <v/>
      </c>
    </row>
    <row r="817" spans="8:10" x14ac:dyDescent="0.2">
      <c r="H817" s="64" t="str">
        <f t="shared" si="32"/>
        <v/>
      </c>
      <c r="I817" t="str">
        <f t="shared" si="33"/>
        <v/>
      </c>
      <c r="J817" t="str">
        <f t="shared" si="34"/>
        <v/>
      </c>
    </row>
    <row r="818" spans="8:10" x14ac:dyDescent="0.2">
      <c r="H818" s="64" t="str">
        <f t="shared" si="32"/>
        <v/>
      </c>
      <c r="I818" t="str">
        <f t="shared" si="33"/>
        <v/>
      </c>
      <c r="J818" t="str">
        <f t="shared" si="34"/>
        <v/>
      </c>
    </row>
    <row r="819" spans="8:10" x14ac:dyDescent="0.2">
      <c r="H819" s="64" t="str">
        <f t="shared" si="32"/>
        <v/>
      </c>
      <c r="I819" t="str">
        <f t="shared" si="33"/>
        <v/>
      </c>
      <c r="J819" t="str">
        <f t="shared" si="34"/>
        <v/>
      </c>
    </row>
    <row r="820" spans="8:10" x14ac:dyDescent="0.2">
      <c r="H820" s="64" t="str">
        <f t="shared" si="32"/>
        <v/>
      </c>
      <c r="I820" t="str">
        <f t="shared" si="33"/>
        <v/>
      </c>
      <c r="J820" t="str">
        <f t="shared" si="34"/>
        <v/>
      </c>
    </row>
    <row r="821" spans="8:10" x14ac:dyDescent="0.2">
      <c r="H821" s="64" t="str">
        <f t="shared" si="32"/>
        <v/>
      </c>
      <c r="I821" t="str">
        <f t="shared" si="33"/>
        <v/>
      </c>
      <c r="J821" t="str">
        <f t="shared" si="34"/>
        <v/>
      </c>
    </row>
    <row r="822" spans="8:10" x14ac:dyDescent="0.2">
      <c r="H822" s="64" t="str">
        <f t="shared" si="32"/>
        <v/>
      </c>
      <c r="I822" t="str">
        <f t="shared" si="33"/>
        <v/>
      </c>
      <c r="J822" t="str">
        <f t="shared" si="34"/>
        <v/>
      </c>
    </row>
    <row r="823" spans="8:10" x14ac:dyDescent="0.2">
      <c r="H823" s="64" t="str">
        <f t="shared" si="32"/>
        <v/>
      </c>
      <c r="I823" t="str">
        <f t="shared" si="33"/>
        <v/>
      </c>
      <c r="J823" t="str">
        <f t="shared" si="34"/>
        <v/>
      </c>
    </row>
    <row r="824" spans="8:10" x14ac:dyDescent="0.2">
      <c r="H824" s="64" t="str">
        <f t="shared" si="32"/>
        <v/>
      </c>
      <c r="I824" t="str">
        <f t="shared" si="33"/>
        <v/>
      </c>
      <c r="J824" t="str">
        <f t="shared" si="34"/>
        <v/>
      </c>
    </row>
    <row r="825" spans="8:10" x14ac:dyDescent="0.2">
      <c r="H825" s="64" t="str">
        <f t="shared" si="32"/>
        <v/>
      </c>
      <c r="I825" t="str">
        <f t="shared" si="33"/>
        <v/>
      </c>
      <c r="J825" t="str">
        <f t="shared" si="34"/>
        <v/>
      </c>
    </row>
    <row r="826" spans="8:10" x14ac:dyDescent="0.2">
      <c r="H826" s="64" t="str">
        <f t="shared" si="32"/>
        <v/>
      </c>
      <c r="I826" t="str">
        <f t="shared" si="33"/>
        <v/>
      </c>
      <c r="J826" t="str">
        <f t="shared" si="34"/>
        <v/>
      </c>
    </row>
    <row r="827" spans="8:10" x14ac:dyDescent="0.2">
      <c r="H827" s="64" t="str">
        <f t="shared" si="32"/>
        <v/>
      </c>
      <c r="I827" t="str">
        <f t="shared" si="33"/>
        <v/>
      </c>
      <c r="J827" t="str">
        <f t="shared" si="34"/>
        <v/>
      </c>
    </row>
    <row r="828" spans="8:10" x14ac:dyDescent="0.2">
      <c r="H828" s="64" t="str">
        <f t="shared" si="32"/>
        <v/>
      </c>
      <c r="I828" t="str">
        <f t="shared" si="33"/>
        <v/>
      </c>
      <c r="J828" t="str">
        <f t="shared" si="34"/>
        <v/>
      </c>
    </row>
    <row r="829" spans="8:10" x14ac:dyDescent="0.2">
      <c r="H829" s="64" t="str">
        <f t="shared" si="32"/>
        <v/>
      </c>
      <c r="I829" t="str">
        <f t="shared" si="33"/>
        <v/>
      </c>
      <c r="J829" t="str">
        <f t="shared" si="34"/>
        <v/>
      </c>
    </row>
    <row r="830" spans="8:10" x14ac:dyDescent="0.2">
      <c r="H830" s="64" t="str">
        <f t="shared" si="32"/>
        <v/>
      </c>
      <c r="I830" t="str">
        <f t="shared" si="33"/>
        <v/>
      </c>
      <c r="J830" t="str">
        <f t="shared" si="34"/>
        <v/>
      </c>
    </row>
    <row r="831" spans="8:10" x14ac:dyDescent="0.2">
      <c r="H831" s="64" t="str">
        <f t="shared" si="32"/>
        <v/>
      </c>
      <c r="I831" t="str">
        <f t="shared" si="33"/>
        <v/>
      </c>
      <c r="J831" t="str">
        <f t="shared" si="34"/>
        <v/>
      </c>
    </row>
    <row r="832" spans="8:10" x14ac:dyDescent="0.2">
      <c r="H832" s="64" t="str">
        <f t="shared" si="32"/>
        <v/>
      </c>
      <c r="I832" t="str">
        <f t="shared" si="33"/>
        <v/>
      </c>
      <c r="J832" t="str">
        <f t="shared" si="34"/>
        <v/>
      </c>
    </row>
    <row r="833" spans="8:10" x14ac:dyDescent="0.2">
      <c r="H833" s="64" t="str">
        <f t="shared" si="32"/>
        <v/>
      </c>
      <c r="I833" t="str">
        <f t="shared" si="33"/>
        <v/>
      </c>
      <c r="J833" t="str">
        <f t="shared" si="34"/>
        <v/>
      </c>
    </row>
    <row r="834" spans="8:10" x14ac:dyDescent="0.2">
      <c r="H834" s="64" t="str">
        <f t="shared" si="32"/>
        <v/>
      </c>
      <c r="I834" t="str">
        <f t="shared" si="33"/>
        <v/>
      </c>
      <c r="J834" t="str">
        <f t="shared" si="34"/>
        <v/>
      </c>
    </row>
    <row r="835" spans="8:10" x14ac:dyDescent="0.2">
      <c r="H835" s="64" t="str">
        <f t="shared" si="32"/>
        <v/>
      </c>
      <c r="I835" t="str">
        <f t="shared" si="33"/>
        <v/>
      </c>
      <c r="J835" t="str">
        <f t="shared" si="34"/>
        <v/>
      </c>
    </row>
    <row r="836" spans="8:10" x14ac:dyDescent="0.2">
      <c r="H836" s="64" t="str">
        <f t="shared" si="32"/>
        <v/>
      </c>
      <c r="I836" t="str">
        <f t="shared" si="33"/>
        <v/>
      </c>
      <c r="J836" t="str">
        <f t="shared" si="34"/>
        <v/>
      </c>
    </row>
    <row r="837" spans="8:10" x14ac:dyDescent="0.2">
      <c r="H837" s="64" t="str">
        <f t="shared" si="32"/>
        <v/>
      </c>
      <c r="I837" t="str">
        <f t="shared" si="33"/>
        <v/>
      </c>
      <c r="J837" t="str">
        <f t="shared" si="34"/>
        <v/>
      </c>
    </row>
    <row r="838" spans="8:10" x14ac:dyDescent="0.2">
      <c r="H838" s="64" t="str">
        <f t="shared" si="32"/>
        <v/>
      </c>
      <c r="I838" t="str">
        <f t="shared" si="33"/>
        <v/>
      </c>
      <c r="J838" t="str">
        <f t="shared" si="34"/>
        <v/>
      </c>
    </row>
    <row r="839" spans="8:10" x14ac:dyDescent="0.2">
      <c r="H839" s="64" t="str">
        <f t="shared" si="32"/>
        <v/>
      </c>
      <c r="I839" t="str">
        <f t="shared" si="33"/>
        <v/>
      </c>
      <c r="J839" t="str">
        <f t="shared" si="34"/>
        <v/>
      </c>
    </row>
    <row r="840" spans="8:10" x14ac:dyDescent="0.2">
      <c r="H840" s="64" t="str">
        <f t="shared" si="32"/>
        <v/>
      </c>
      <c r="I840" t="str">
        <f t="shared" si="33"/>
        <v/>
      </c>
      <c r="J840" t="str">
        <f t="shared" si="34"/>
        <v/>
      </c>
    </row>
    <row r="841" spans="8:10" x14ac:dyDescent="0.2">
      <c r="H841" s="64" t="str">
        <f t="shared" si="32"/>
        <v/>
      </c>
      <c r="I841" t="str">
        <f t="shared" si="33"/>
        <v/>
      </c>
      <c r="J841" t="str">
        <f t="shared" si="34"/>
        <v/>
      </c>
    </row>
    <row r="842" spans="8:10" x14ac:dyDescent="0.2">
      <c r="H842" s="64" t="str">
        <f t="shared" si="32"/>
        <v/>
      </c>
      <c r="I842" t="str">
        <f t="shared" si="33"/>
        <v/>
      </c>
      <c r="J842" t="str">
        <f t="shared" si="34"/>
        <v/>
      </c>
    </row>
    <row r="843" spans="8:10" x14ac:dyDescent="0.2">
      <c r="H843" s="64" t="str">
        <f t="shared" si="32"/>
        <v/>
      </c>
      <c r="I843" t="str">
        <f t="shared" si="33"/>
        <v/>
      </c>
      <c r="J843" t="str">
        <f t="shared" si="34"/>
        <v/>
      </c>
    </row>
    <row r="844" spans="8:10" x14ac:dyDescent="0.2">
      <c r="H844" s="64" t="str">
        <f t="shared" si="32"/>
        <v/>
      </c>
      <c r="I844" t="str">
        <f t="shared" si="33"/>
        <v/>
      </c>
      <c r="J844" t="str">
        <f t="shared" si="34"/>
        <v/>
      </c>
    </row>
    <row r="845" spans="8:10" x14ac:dyDescent="0.2">
      <c r="H845" s="64" t="str">
        <f t="shared" si="32"/>
        <v/>
      </c>
      <c r="I845" t="str">
        <f t="shared" si="33"/>
        <v/>
      </c>
      <c r="J845" t="str">
        <f t="shared" si="34"/>
        <v/>
      </c>
    </row>
    <row r="846" spans="8:10" x14ac:dyDescent="0.2">
      <c r="H846" s="64" t="str">
        <f t="shared" si="32"/>
        <v/>
      </c>
      <c r="I846" t="str">
        <f t="shared" si="33"/>
        <v/>
      </c>
      <c r="J846" t="str">
        <f t="shared" si="34"/>
        <v/>
      </c>
    </row>
    <row r="847" spans="8:10" x14ac:dyDescent="0.2">
      <c r="H847" s="64" t="str">
        <f t="shared" si="32"/>
        <v/>
      </c>
      <c r="I847" t="str">
        <f t="shared" si="33"/>
        <v/>
      </c>
      <c r="J847" t="str">
        <f t="shared" si="34"/>
        <v/>
      </c>
    </row>
    <row r="848" spans="8:10" x14ac:dyDescent="0.2">
      <c r="H848" s="64" t="str">
        <f t="shared" si="32"/>
        <v/>
      </c>
      <c r="I848" t="str">
        <f t="shared" si="33"/>
        <v/>
      </c>
      <c r="J848" t="str">
        <f t="shared" si="34"/>
        <v/>
      </c>
    </row>
    <row r="849" spans="8:10" x14ac:dyDescent="0.2">
      <c r="H849" s="64" t="str">
        <f t="shared" si="32"/>
        <v/>
      </c>
      <c r="I849" t="str">
        <f t="shared" si="33"/>
        <v/>
      </c>
      <c r="J849" t="str">
        <f t="shared" si="34"/>
        <v/>
      </c>
    </row>
    <row r="850" spans="8:10" x14ac:dyDescent="0.2">
      <c r="H850" s="64" t="str">
        <f t="shared" ref="H850:H913" si="35">IF(B850="(blank)","",IF(ISBLANK($B850),"",IF(G850&lt;120,120,"")))</f>
        <v/>
      </c>
      <c r="I850" t="str">
        <f t="shared" ref="I850:I913" si="36">IF(ISBLANK($B850),"",IF($H850="",$G850,$H850))</f>
        <v/>
      </c>
      <c r="J850" t="str">
        <f t="shared" ref="J850:J913" si="37">IF(ISBLANK($B850),"",IF($I850&lt;120,120,$I850))</f>
        <v/>
      </c>
    </row>
    <row r="851" spans="8:10" x14ac:dyDescent="0.2">
      <c r="H851" s="64" t="str">
        <f t="shared" si="35"/>
        <v/>
      </c>
      <c r="I851" t="str">
        <f t="shared" si="36"/>
        <v/>
      </c>
      <c r="J851" t="str">
        <f t="shared" si="37"/>
        <v/>
      </c>
    </row>
    <row r="852" spans="8:10" x14ac:dyDescent="0.2">
      <c r="H852" s="64" t="str">
        <f t="shared" si="35"/>
        <v/>
      </c>
      <c r="I852" t="str">
        <f t="shared" si="36"/>
        <v/>
      </c>
      <c r="J852" t="str">
        <f t="shared" si="37"/>
        <v/>
      </c>
    </row>
    <row r="853" spans="8:10" x14ac:dyDescent="0.2">
      <c r="H853" s="64" t="str">
        <f t="shared" si="35"/>
        <v/>
      </c>
      <c r="I853" t="str">
        <f t="shared" si="36"/>
        <v/>
      </c>
      <c r="J853" t="str">
        <f t="shared" si="37"/>
        <v/>
      </c>
    </row>
    <row r="854" spans="8:10" x14ac:dyDescent="0.2">
      <c r="H854" s="64" t="str">
        <f t="shared" si="35"/>
        <v/>
      </c>
      <c r="I854" t="str">
        <f t="shared" si="36"/>
        <v/>
      </c>
      <c r="J854" t="str">
        <f t="shared" si="37"/>
        <v/>
      </c>
    </row>
    <row r="855" spans="8:10" x14ac:dyDescent="0.2">
      <c r="H855" s="64" t="str">
        <f t="shared" si="35"/>
        <v/>
      </c>
      <c r="I855" t="str">
        <f t="shared" si="36"/>
        <v/>
      </c>
      <c r="J855" t="str">
        <f t="shared" si="37"/>
        <v/>
      </c>
    </row>
    <row r="856" spans="8:10" x14ac:dyDescent="0.2">
      <c r="H856" s="64" t="str">
        <f t="shared" si="35"/>
        <v/>
      </c>
      <c r="I856" t="str">
        <f t="shared" si="36"/>
        <v/>
      </c>
      <c r="J856" t="str">
        <f t="shared" si="37"/>
        <v/>
      </c>
    </row>
    <row r="857" spans="8:10" x14ac:dyDescent="0.2">
      <c r="H857" s="64" t="str">
        <f t="shared" si="35"/>
        <v/>
      </c>
      <c r="I857" t="str">
        <f t="shared" si="36"/>
        <v/>
      </c>
      <c r="J857" t="str">
        <f t="shared" si="37"/>
        <v/>
      </c>
    </row>
    <row r="858" spans="8:10" x14ac:dyDescent="0.2">
      <c r="H858" s="64" t="str">
        <f t="shared" si="35"/>
        <v/>
      </c>
      <c r="I858" t="str">
        <f t="shared" si="36"/>
        <v/>
      </c>
      <c r="J858" t="str">
        <f t="shared" si="37"/>
        <v/>
      </c>
    </row>
    <row r="859" spans="8:10" x14ac:dyDescent="0.2">
      <c r="H859" s="64" t="str">
        <f t="shared" si="35"/>
        <v/>
      </c>
      <c r="I859" t="str">
        <f t="shared" si="36"/>
        <v/>
      </c>
      <c r="J859" t="str">
        <f t="shared" si="37"/>
        <v/>
      </c>
    </row>
    <row r="860" spans="8:10" x14ac:dyDescent="0.2">
      <c r="H860" s="64" t="str">
        <f t="shared" si="35"/>
        <v/>
      </c>
      <c r="I860" t="str">
        <f t="shared" si="36"/>
        <v/>
      </c>
      <c r="J860" t="str">
        <f t="shared" si="37"/>
        <v/>
      </c>
    </row>
    <row r="861" spans="8:10" x14ac:dyDescent="0.2">
      <c r="H861" s="64" t="str">
        <f t="shared" si="35"/>
        <v/>
      </c>
      <c r="I861" t="str">
        <f t="shared" si="36"/>
        <v/>
      </c>
      <c r="J861" t="str">
        <f t="shared" si="37"/>
        <v/>
      </c>
    </row>
    <row r="862" spans="8:10" x14ac:dyDescent="0.2">
      <c r="H862" s="64" t="str">
        <f t="shared" si="35"/>
        <v/>
      </c>
      <c r="I862" t="str">
        <f t="shared" si="36"/>
        <v/>
      </c>
      <c r="J862" t="str">
        <f t="shared" si="37"/>
        <v/>
      </c>
    </row>
    <row r="863" spans="8:10" x14ac:dyDescent="0.2">
      <c r="H863" s="64" t="str">
        <f t="shared" si="35"/>
        <v/>
      </c>
      <c r="I863" t="str">
        <f t="shared" si="36"/>
        <v/>
      </c>
      <c r="J863" t="str">
        <f t="shared" si="37"/>
        <v/>
      </c>
    </row>
    <row r="864" spans="8:10" x14ac:dyDescent="0.2">
      <c r="H864" s="64" t="str">
        <f t="shared" si="35"/>
        <v/>
      </c>
      <c r="I864" t="str">
        <f t="shared" si="36"/>
        <v/>
      </c>
      <c r="J864" t="str">
        <f t="shared" si="37"/>
        <v/>
      </c>
    </row>
    <row r="865" spans="8:10" x14ac:dyDescent="0.2">
      <c r="H865" s="64" t="str">
        <f t="shared" si="35"/>
        <v/>
      </c>
      <c r="I865" t="str">
        <f t="shared" si="36"/>
        <v/>
      </c>
      <c r="J865" t="str">
        <f t="shared" si="37"/>
        <v/>
      </c>
    </row>
    <row r="866" spans="8:10" x14ac:dyDescent="0.2">
      <c r="H866" s="64" t="str">
        <f t="shared" si="35"/>
        <v/>
      </c>
      <c r="I866" t="str">
        <f t="shared" si="36"/>
        <v/>
      </c>
      <c r="J866" t="str">
        <f t="shared" si="37"/>
        <v/>
      </c>
    </row>
    <row r="867" spans="8:10" x14ac:dyDescent="0.2">
      <c r="H867" s="64" t="str">
        <f t="shared" si="35"/>
        <v/>
      </c>
      <c r="I867" t="str">
        <f t="shared" si="36"/>
        <v/>
      </c>
      <c r="J867" t="str">
        <f t="shared" si="37"/>
        <v/>
      </c>
    </row>
    <row r="868" spans="8:10" x14ac:dyDescent="0.2">
      <c r="H868" s="64" t="str">
        <f t="shared" si="35"/>
        <v/>
      </c>
      <c r="I868" t="str">
        <f t="shared" si="36"/>
        <v/>
      </c>
      <c r="J868" t="str">
        <f t="shared" si="37"/>
        <v/>
      </c>
    </row>
    <row r="869" spans="8:10" x14ac:dyDescent="0.2">
      <c r="H869" s="64" t="str">
        <f t="shared" si="35"/>
        <v/>
      </c>
      <c r="I869" t="str">
        <f t="shared" si="36"/>
        <v/>
      </c>
      <c r="J869" t="str">
        <f t="shared" si="37"/>
        <v/>
      </c>
    </row>
    <row r="870" spans="8:10" x14ac:dyDescent="0.2">
      <c r="H870" s="64" t="str">
        <f t="shared" si="35"/>
        <v/>
      </c>
      <c r="I870" t="str">
        <f t="shared" si="36"/>
        <v/>
      </c>
      <c r="J870" t="str">
        <f t="shared" si="37"/>
        <v/>
      </c>
    </row>
    <row r="871" spans="8:10" x14ac:dyDescent="0.2">
      <c r="H871" s="64" t="str">
        <f t="shared" si="35"/>
        <v/>
      </c>
      <c r="I871" t="str">
        <f t="shared" si="36"/>
        <v/>
      </c>
      <c r="J871" t="str">
        <f t="shared" si="37"/>
        <v/>
      </c>
    </row>
    <row r="872" spans="8:10" x14ac:dyDescent="0.2">
      <c r="H872" s="64" t="str">
        <f t="shared" si="35"/>
        <v/>
      </c>
      <c r="I872" t="str">
        <f t="shared" si="36"/>
        <v/>
      </c>
      <c r="J872" t="str">
        <f t="shared" si="37"/>
        <v/>
      </c>
    </row>
    <row r="873" spans="8:10" x14ac:dyDescent="0.2">
      <c r="H873" s="64" t="str">
        <f t="shared" si="35"/>
        <v/>
      </c>
      <c r="I873" t="str">
        <f t="shared" si="36"/>
        <v/>
      </c>
      <c r="J873" t="str">
        <f t="shared" si="37"/>
        <v/>
      </c>
    </row>
    <row r="874" spans="8:10" x14ac:dyDescent="0.2">
      <c r="H874" s="64" t="str">
        <f t="shared" si="35"/>
        <v/>
      </c>
      <c r="I874" t="str">
        <f t="shared" si="36"/>
        <v/>
      </c>
      <c r="J874" t="str">
        <f t="shared" si="37"/>
        <v/>
      </c>
    </row>
    <row r="875" spans="8:10" x14ac:dyDescent="0.2">
      <c r="H875" s="64" t="str">
        <f t="shared" si="35"/>
        <v/>
      </c>
      <c r="I875" t="str">
        <f t="shared" si="36"/>
        <v/>
      </c>
      <c r="J875" t="str">
        <f t="shared" si="37"/>
        <v/>
      </c>
    </row>
    <row r="876" spans="8:10" x14ac:dyDescent="0.2">
      <c r="H876" s="64" t="str">
        <f t="shared" si="35"/>
        <v/>
      </c>
      <c r="I876" t="str">
        <f t="shared" si="36"/>
        <v/>
      </c>
      <c r="J876" t="str">
        <f t="shared" si="37"/>
        <v/>
      </c>
    </row>
    <row r="877" spans="8:10" x14ac:dyDescent="0.2">
      <c r="H877" s="64" t="str">
        <f t="shared" si="35"/>
        <v/>
      </c>
      <c r="I877" t="str">
        <f t="shared" si="36"/>
        <v/>
      </c>
      <c r="J877" t="str">
        <f t="shared" si="37"/>
        <v/>
      </c>
    </row>
    <row r="878" spans="8:10" x14ac:dyDescent="0.2">
      <c r="H878" s="64" t="str">
        <f t="shared" si="35"/>
        <v/>
      </c>
      <c r="I878" t="str">
        <f t="shared" si="36"/>
        <v/>
      </c>
      <c r="J878" t="str">
        <f t="shared" si="37"/>
        <v/>
      </c>
    </row>
    <row r="879" spans="8:10" x14ac:dyDescent="0.2">
      <c r="H879" s="64" t="str">
        <f t="shared" si="35"/>
        <v/>
      </c>
      <c r="I879" t="str">
        <f t="shared" si="36"/>
        <v/>
      </c>
      <c r="J879" t="str">
        <f t="shared" si="37"/>
        <v/>
      </c>
    </row>
    <row r="880" spans="8:10" x14ac:dyDescent="0.2">
      <c r="H880" s="64" t="str">
        <f t="shared" si="35"/>
        <v/>
      </c>
      <c r="I880" t="str">
        <f t="shared" si="36"/>
        <v/>
      </c>
      <c r="J880" t="str">
        <f t="shared" si="37"/>
        <v/>
      </c>
    </row>
    <row r="881" spans="8:10" x14ac:dyDescent="0.2">
      <c r="H881" s="64" t="str">
        <f t="shared" si="35"/>
        <v/>
      </c>
      <c r="I881" t="str">
        <f t="shared" si="36"/>
        <v/>
      </c>
      <c r="J881" t="str">
        <f t="shared" si="37"/>
        <v/>
      </c>
    </row>
    <row r="882" spans="8:10" x14ac:dyDescent="0.2">
      <c r="H882" s="64" t="str">
        <f t="shared" si="35"/>
        <v/>
      </c>
      <c r="I882" t="str">
        <f t="shared" si="36"/>
        <v/>
      </c>
      <c r="J882" t="str">
        <f t="shared" si="37"/>
        <v/>
      </c>
    </row>
    <row r="883" spans="8:10" x14ac:dyDescent="0.2">
      <c r="H883" s="64" t="str">
        <f t="shared" si="35"/>
        <v/>
      </c>
      <c r="I883" t="str">
        <f t="shared" si="36"/>
        <v/>
      </c>
      <c r="J883" t="str">
        <f t="shared" si="37"/>
        <v/>
      </c>
    </row>
    <row r="884" spans="8:10" x14ac:dyDescent="0.2">
      <c r="H884" s="64" t="str">
        <f t="shared" si="35"/>
        <v/>
      </c>
      <c r="I884" t="str">
        <f t="shared" si="36"/>
        <v/>
      </c>
      <c r="J884" t="str">
        <f t="shared" si="37"/>
        <v/>
      </c>
    </row>
    <row r="885" spans="8:10" x14ac:dyDescent="0.2">
      <c r="H885" s="64" t="str">
        <f t="shared" si="35"/>
        <v/>
      </c>
      <c r="I885" t="str">
        <f t="shared" si="36"/>
        <v/>
      </c>
      <c r="J885" t="str">
        <f t="shared" si="37"/>
        <v/>
      </c>
    </row>
    <row r="886" spans="8:10" x14ac:dyDescent="0.2">
      <c r="H886" s="64" t="str">
        <f t="shared" si="35"/>
        <v/>
      </c>
      <c r="I886" t="str">
        <f t="shared" si="36"/>
        <v/>
      </c>
      <c r="J886" t="str">
        <f t="shared" si="37"/>
        <v/>
      </c>
    </row>
    <row r="887" spans="8:10" x14ac:dyDescent="0.2">
      <c r="H887" s="64" t="str">
        <f t="shared" si="35"/>
        <v/>
      </c>
      <c r="I887" t="str">
        <f t="shared" si="36"/>
        <v/>
      </c>
      <c r="J887" t="str">
        <f t="shared" si="37"/>
        <v/>
      </c>
    </row>
    <row r="888" spans="8:10" x14ac:dyDescent="0.2">
      <c r="H888" s="64" t="str">
        <f t="shared" si="35"/>
        <v/>
      </c>
      <c r="I888" t="str">
        <f t="shared" si="36"/>
        <v/>
      </c>
      <c r="J888" t="str">
        <f t="shared" si="37"/>
        <v/>
      </c>
    </row>
    <row r="889" spans="8:10" x14ac:dyDescent="0.2">
      <c r="H889" s="64" t="str">
        <f t="shared" si="35"/>
        <v/>
      </c>
      <c r="I889" t="str">
        <f t="shared" si="36"/>
        <v/>
      </c>
      <c r="J889" t="str">
        <f t="shared" si="37"/>
        <v/>
      </c>
    </row>
    <row r="890" spans="8:10" x14ac:dyDescent="0.2">
      <c r="H890" s="64" t="str">
        <f t="shared" si="35"/>
        <v/>
      </c>
      <c r="I890" t="str">
        <f t="shared" si="36"/>
        <v/>
      </c>
      <c r="J890" t="str">
        <f t="shared" si="37"/>
        <v/>
      </c>
    </row>
    <row r="891" spans="8:10" x14ac:dyDescent="0.2">
      <c r="H891" s="64" t="str">
        <f t="shared" si="35"/>
        <v/>
      </c>
      <c r="I891" t="str">
        <f t="shared" si="36"/>
        <v/>
      </c>
      <c r="J891" t="str">
        <f t="shared" si="37"/>
        <v/>
      </c>
    </row>
    <row r="892" spans="8:10" x14ac:dyDescent="0.2">
      <c r="H892" s="64" t="str">
        <f t="shared" si="35"/>
        <v/>
      </c>
      <c r="I892" t="str">
        <f t="shared" si="36"/>
        <v/>
      </c>
      <c r="J892" t="str">
        <f t="shared" si="37"/>
        <v/>
      </c>
    </row>
    <row r="893" spans="8:10" x14ac:dyDescent="0.2">
      <c r="H893" s="64" t="str">
        <f t="shared" si="35"/>
        <v/>
      </c>
      <c r="I893" t="str">
        <f t="shared" si="36"/>
        <v/>
      </c>
      <c r="J893" t="str">
        <f t="shared" si="37"/>
        <v/>
      </c>
    </row>
    <row r="894" spans="8:10" x14ac:dyDescent="0.2">
      <c r="H894" s="64" t="str">
        <f t="shared" si="35"/>
        <v/>
      </c>
      <c r="I894" t="str">
        <f t="shared" si="36"/>
        <v/>
      </c>
      <c r="J894" t="str">
        <f t="shared" si="37"/>
        <v/>
      </c>
    </row>
    <row r="895" spans="8:10" x14ac:dyDescent="0.2">
      <c r="H895" s="64" t="str">
        <f t="shared" si="35"/>
        <v/>
      </c>
      <c r="I895" t="str">
        <f t="shared" si="36"/>
        <v/>
      </c>
      <c r="J895" t="str">
        <f t="shared" si="37"/>
        <v/>
      </c>
    </row>
    <row r="896" spans="8:10" x14ac:dyDescent="0.2">
      <c r="H896" s="64" t="str">
        <f t="shared" si="35"/>
        <v/>
      </c>
      <c r="I896" t="str">
        <f t="shared" si="36"/>
        <v/>
      </c>
      <c r="J896" t="str">
        <f t="shared" si="37"/>
        <v/>
      </c>
    </row>
    <row r="897" spans="8:10" x14ac:dyDescent="0.2">
      <c r="H897" s="64" t="str">
        <f t="shared" si="35"/>
        <v/>
      </c>
      <c r="I897" t="str">
        <f t="shared" si="36"/>
        <v/>
      </c>
      <c r="J897" t="str">
        <f t="shared" si="37"/>
        <v/>
      </c>
    </row>
    <row r="898" spans="8:10" x14ac:dyDescent="0.2">
      <c r="H898" s="64" t="str">
        <f t="shared" si="35"/>
        <v/>
      </c>
      <c r="I898" t="str">
        <f t="shared" si="36"/>
        <v/>
      </c>
      <c r="J898" t="str">
        <f t="shared" si="37"/>
        <v/>
      </c>
    </row>
    <row r="899" spans="8:10" x14ac:dyDescent="0.2">
      <c r="H899" s="64" t="str">
        <f t="shared" si="35"/>
        <v/>
      </c>
      <c r="I899" t="str">
        <f t="shared" si="36"/>
        <v/>
      </c>
      <c r="J899" t="str">
        <f t="shared" si="37"/>
        <v/>
      </c>
    </row>
    <row r="900" spans="8:10" x14ac:dyDescent="0.2">
      <c r="H900" s="64" t="str">
        <f t="shared" si="35"/>
        <v/>
      </c>
      <c r="I900" t="str">
        <f t="shared" si="36"/>
        <v/>
      </c>
      <c r="J900" t="str">
        <f t="shared" si="37"/>
        <v/>
      </c>
    </row>
    <row r="901" spans="8:10" x14ac:dyDescent="0.2">
      <c r="H901" s="64" t="str">
        <f t="shared" si="35"/>
        <v/>
      </c>
      <c r="I901" t="str">
        <f t="shared" si="36"/>
        <v/>
      </c>
      <c r="J901" t="str">
        <f t="shared" si="37"/>
        <v/>
      </c>
    </row>
    <row r="902" spans="8:10" x14ac:dyDescent="0.2">
      <c r="H902" s="64" t="str">
        <f t="shared" si="35"/>
        <v/>
      </c>
      <c r="I902" t="str">
        <f t="shared" si="36"/>
        <v/>
      </c>
      <c r="J902" t="str">
        <f t="shared" si="37"/>
        <v/>
      </c>
    </row>
    <row r="903" spans="8:10" x14ac:dyDescent="0.2">
      <c r="H903" s="64" t="str">
        <f t="shared" si="35"/>
        <v/>
      </c>
      <c r="I903" t="str">
        <f t="shared" si="36"/>
        <v/>
      </c>
      <c r="J903" t="str">
        <f t="shared" si="37"/>
        <v/>
      </c>
    </row>
    <row r="904" spans="8:10" x14ac:dyDescent="0.2">
      <c r="H904" s="64" t="str">
        <f t="shared" si="35"/>
        <v/>
      </c>
      <c r="I904" t="str">
        <f t="shared" si="36"/>
        <v/>
      </c>
      <c r="J904" t="str">
        <f t="shared" si="37"/>
        <v/>
      </c>
    </row>
    <row r="905" spans="8:10" x14ac:dyDescent="0.2">
      <c r="H905" s="64" t="str">
        <f t="shared" si="35"/>
        <v/>
      </c>
      <c r="I905" t="str">
        <f t="shared" si="36"/>
        <v/>
      </c>
      <c r="J905" t="str">
        <f t="shared" si="37"/>
        <v/>
      </c>
    </row>
    <row r="906" spans="8:10" x14ac:dyDescent="0.2">
      <c r="H906" s="64" t="str">
        <f t="shared" si="35"/>
        <v/>
      </c>
      <c r="I906" t="str">
        <f t="shared" si="36"/>
        <v/>
      </c>
      <c r="J906" t="str">
        <f t="shared" si="37"/>
        <v/>
      </c>
    </row>
    <row r="907" spans="8:10" x14ac:dyDescent="0.2">
      <c r="H907" s="64" t="str">
        <f t="shared" si="35"/>
        <v/>
      </c>
      <c r="I907" t="str">
        <f t="shared" si="36"/>
        <v/>
      </c>
      <c r="J907" t="str">
        <f t="shared" si="37"/>
        <v/>
      </c>
    </row>
    <row r="908" spans="8:10" x14ac:dyDescent="0.2">
      <c r="H908" s="64" t="str">
        <f t="shared" si="35"/>
        <v/>
      </c>
      <c r="I908" t="str">
        <f t="shared" si="36"/>
        <v/>
      </c>
      <c r="J908" t="str">
        <f t="shared" si="37"/>
        <v/>
      </c>
    </row>
    <row r="909" spans="8:10" x14ac:dyDescent="0.2">
      <c r="H909" s="64" t="str">
        <f t="shared" si="35"/>
        <v/>
      </c>
      <c r="I909" t="str">
        <f t="shared" si="36"/>
        <v/>
      </c>
      <c r="J909" t="str">
        <f t="shared" si="37"/>
        <v/>
      </c>
    </row>
    <row r="910" spans="8:10" x14ac:dyDescent="0.2">
      <c r="H910" s="64" t="str">
        <f t="shared" si="35"/>
        <v/>
      </c>
      <c r="I910" t="str">
        <f t="shared" si="36"/>
        <v/>
      </c>
      <c r="J910" t="str">
        <f t="shared" si="37"/>
        <v/>
      </c>
    </row>
    <row r="911" spans="8:10" x14ac:dyDescent="0.2">
      <c r="H911" s="64" t="str">
        <f t="shared" si="35"/>
        <v/>
      </c>
      <c r="I911" t="str">
        <f t="shared" si="36"/>
        <v/>
      </c>
      <c r="J911" t="str">
        <f t="shared" si="37"/>
        <v/>
      </c>
    </row>
    <row r="912" spans="8:10" x14ac:dyDescent="0.2">
      <c r="H912" s="64" t="str">
        <f t="shared" si="35"/>
        <v/>
      </c>
      <c r="I912" t="str">
        <f t="shared" si="36"/>
        <v/>
      </c>
      <c r="J912" t="str">
        <f t="shared" si="37"/>
        <v/>
      </c>
    </row>
    <row r="913" spans="8:10" x14ac:dyDescent="0.2">
      <c r="H913" s="64" t="str">
        <f t="shared" si="35"/>
        <v/>
      </c>
      <c r="I913" t="str">
        <f t="shared" si="36"/>
        <v/>
      </c>
      <c r="J913" t="str">
        <f t="shared" si="37"/>
        <v/>
      </c>
    </row>
    <row r="914" spans="8:10" x14ac:dyDescent="0.2">
      <c r="H914" s="64" t="str">
        <f t="shared" ref="H914:H977" si="38">IF(B914="(blank)","",IF(ISBLANK($B914),"",IF(G914&lt;120,120,"")))</f>
        <v/>
      </c>
      <c r="I914" t="str">
        <f t="shared" ref="I914:I977" si="39">IF(ISBLANK($B914),"",IF($H914="",$G914,$H914))</f>
        <v/>
      </c>
      <c r="J914" t="str">
        <f t="shared" ref="J914:J977" si="40">IF(ISBLANK($B914),"",IF($I914&lt;120,120,$I914))</f>
        <v/>
      </c>
    </row>
    <row r="915" spans="8:10" x14ac:dyDescent="0.2">
      <c r="H915" s="64" t="str">
        <f t="shared" si="38"/>
        <v/>
      </c>
      <c r="I915" t="str">
        <f t="shared" si="39"/>
        <v/>
      </c>
      <c r="J915" t="str">
        <f t="shared" si="40"/>
        <v/>
      </c>
    </row>
    <row r="916" spans="8:10" x14ac:dyDescent="0.2">
      <c r="H916" s="64" t="str">
        <f t="shared" si="38"/>
        <v/>
      </c>
      <c r="I916" t="str">
        <f t="shared" si="39"/>
        <v/>
      </c>
      <c r="J916" t="str">
        <f t="shared" si="40"/>
        <v/>
      </c>
    </row>
    <row r="917" spans="8:10" x14ac:dyDescent="0.2">
      <c r="H917" s="64" t="str">
        <f t="shared" si="38"/>
        <v/>
      </c>
      <c r="I917" t="str">
        <f t="shared" si="39"/>
        <v/>
      </c>
      <c r="J917" t="str">
        <f t="shared" si="40"/>
        <v/>
      </c>
    </row>
    <row r="918" spans="8:10" x14ac:dyDescent="0.2">
      <c r="H918" s="64" t="str">
        <f t="shared" si="38"/>
        <v/>
      </c>
      <c r="I918" t="str">
        <f t="shared" si="39"/>
        <v/>
      </c>
      <c r="J918" t="str">
        <f t="shared" si="40"/>
        <v/>
      </c>
    </row>
    <row r="919" spans="8:10" x14ac:dyDescent="0.2">
      <c r="H919" s="64" t="str">
        <f t="shared" si="38"/>
        <v/>
      </c>
      <c r="I919" t="str">
        <f t="shared" si="39"/>
        <v/>
      </c>
      <c r="J919" t="str">
        <f t="shared" si="40"/>
        <v/>
      </c>
    </row>
    <row r="920" spans="8:10" x14ac:dyDescent="0.2">
      <c r="H920" s="64" t="str">
        <f t="shared" si="38"/>
        <v/>
      </c>
      <c r="I920" t="str">
        <f t="shared" si="39"/>
        <v/>
      </c>
      <c r="J920" t="str">
        <f t="shared" si="40"/>
        <v/>
      </c>
    </row>
    <row r="921" spans="8:10" x14ac:dyDescent="0.2">
      <c r="H921" s="64" t="str">
        <f t="shared" si="38"/>
        <v/>
      </c>
      <c r="I921" t="str">
        <f t="shared" si="39"/>
        <v/>
      </c>
      <c r="J921" t="str">
        <f t="shared" si="40"/>
        <v/>
      </c>
    </row>
    <row r="922" spans="8:10" x14ac:dyDescent="0.2">
      <c r="H922" s="64" t="str">
        <f t="shared" si="38"/>
        <v/>
      </c>
      <c r="I922" t="str">
        <f t="shared" si="39"/>
        <v/>
      </c>
      <c r="J922" t="str">
        <f t="shared" si="40"/>
        <v/>
      </c>
    </row>
    <row r="923" spans="8:10" x14ac:dyDescent="0.2">
      <c r="H923" s="64" t="str">
        <f t="shared" si="38"/>
        <v/>
      </c>
      <c r="I923" t="str">
        <f t="shared" si="39"/>
        <v/>
      </c>
      <c r="J923" t="str">
        <f t="shared" si="40"/>
        <v/>
      </c>
    </row>
    <row r="924" spans="8:10" x14ac:dyDescent="0.2">
      <c r="H924" s="64" t="str">
        <f t="shared" si="38"/>
        <v/>
      </c>
      <c r="I924" t="str">
        <f t="shared" si="39"/>
        <v/>
      </c>
      <c r="J924" t="str">
        <f t="shared" si="40"/>
        <v/>
      </c>
    </row>
    <row r="925" spans="8:10" x14ac:dyDescent="0.2">
      <c r="H925" s="64" t="str">
        <f t="shared" si="38"/>
        <v/>
      </c>
      <c r="I925" t="str">
        <f t="shared" si="39"/>
        <v/>
      </c>
      <c r="J925" t="str">
        <f t="shared" si="40"/>
        <v/>
      </c>
    </row>
    <row r="926" spans="8:10" x14ac:dyDescent="0.2">
      <c r="H926" s="64" t="str">
        <f t="shared" si="38"/>
        <v/>
      </c>
      <c r="I926" t="str">
        <f t="shared" si="39"/>
        <v/>
      </c>
      <c r="J926" t="str">
        <f t="shared" si="40"/>
        <v/>
      </c>
    </row>
    <row r="927" spans="8:10" x14ac:dyDescent="0.2">
      <c r="H927" s="64" t="str">
        <f t="shared" si="38"/>
        <v/>
      </c>
      <c r="I927" t="str">
        <f t="shared" si="39"/>
        <v/>
      </c>
      <c r="J927" t="str">
        <f t="shared" si="40"/>
        <v/>
      </c>
    </row>
    <row r="928" spans="8:10" x14ac:dyDescent="0.2">
      <c r="H928" s="64" t="str">
        <f t="shared" si="38"/>
        <v/>
      </c>
      <c r="I928" t="str">
        <f t="shared" si="39"/>
        <v/>
      </c>
      <c r="J928" t="str">
        <f t="shared" si="40"/>
        <v/>
      </c>
    </row>
    <row r="929" spans="8:10" x14ac:dyDescent="0.2">
      <c r="H929" s="64" t="str">
        <f t="shared" si="38"/>
        <v/>
      </c>
      <c r="I929" t="str">
        <f t="shared" si="39"/>
        <v/>
      </c>
      <c r="J929" t="str">
        <f t="shared" si="40"/>
        <v/>
      </c>
    </row>
    <row r="930" spans="8:10" x14ac:dyDescent="0.2">
      <c r="H930" s="64" t="str">
        <f t="shared" si="38"/>
        <v/>
      </c>
      <c r="I930" t="str">
        <f t="shared" si="39"/>
        <v/>
      </c>
      <c r="J930" t="str">
        <f t="shared" si="40"/>
        <v/>
      </c>
    </row>
    <row r="931" spans="8:10" x14ac:dyDescent="0.2">
      <c r="H931" s="64" t="str">
        <f t="shared" si="38"/>
        <v/>
      </c>
      <c r="I931" t="str">
        <f t="shared" si="39"/>
        <v/>
      </c>
      <c r="J931" t="str">
        <f t="shared" si="40"/>
        <v/>
      </c>
    </row>
    <row r="932" spans="8:10" x14ac:dyDescent="0.2">
      <c r="H932" s="64" t="str">
        <f t="shared" si="38"/>
        <v/>
      </c>
      <c r="I932" t="str">
        <f t="shared" si="39"/>
        <v/>
      </c>
      <c r="J932" t="str">
        <f t="shared" si="40"/>
        <v/>
      </c>
    </row>
    <row r="933" spans="8:10" x14ac:dyDescent="0.2">
      <c r="H933" s="64" t="str">
        <f t="shared" si="38"/>
        <v/>
      </c>
      <c r="I933" t="str">
        <f t="shared" si="39"/>
        <v/>
      </c>
      <c r="J933" t="str">
        <f t="shared" si="40"/>
        <v/>
      </c>
    </row>
    <row r="934" spans="8:10" x14ac:dyDescent="0.2">
      <c r="H934" s="64" t="str">
        <f t="shared" si="38"/>
        <v/>
      </c>
      <c r="I934" t="str">
        <f t="shared" si="39"/>
        <v/>
      </c>
      <c r="J934" t="str">
        <f t="shared" si="40"/>
        <v/>
      </c>
    </row>
    <row r="935" spans="8:10" x14ac:dyDescent="0.2">
      <c r="H935" s="64" t="str">
        <f t="shared" si="38"/>
        <v/>
      </c>
      <c r="I935" t="str">
        <f t="shared" si="39"/>
        <v/>
      </c>
      <c r="J935" t="str">
        <f t="shared" si="40"/>
        <v/>
      </c>
    </row>
    <row r="936" spans="8:10" x14ac:dyDescent="0.2">
      <c r="H936" s="64" t="str">
        <f t="shared" si="38"/>
        <v/>
      </c>
      <c r="I936" t="str">
        <f t="shared" si="39"/>
        <v/>
      </c>
      <c r="J936" t="str">
        <f t="shared" si="40"/>
        <v/>
      </c>
    </row>
    <row r="937" spans="8:10" x14ac:dyDescent="0.2">
      <c r="H937" s="64" t="str">
        <f t="shared" si="38"/>
        <v/>
      </c>
      <c r="I937" t="str">
        <f t="shared" si="39"/>
        <v/>
      </c>
      <c r="J937" t="str">
        <f t="shared" si="40"/>
        <v/>
      </c>
    </row>
    <row r="938" spans="8:10" x14ac:dyDescent="0.2">
      <c r="H938" s="64" t="str">
        <f t="shared" si="38"/>
        <v/>
      </c>
      <c r="I938" t="str">
        <f t="shared" si="39"/>
        <v/>
      </c>
      <c r="J938" t="str">
        <f t="shared" si="40"/>
        <v/>
      </c>
    </row>
    <row r="939" spans="8:10" x14ac:dyDescent="0.2">
      <c r="H939" s="64" t="str">
        <f t="shared" si="38"/>
        <v/>
      </c>
      <c r="I939" t="str">
        <f t="shared" si="39"/>
        <v/>
      </c>
      <c r="J939" t="str">
        <f t="shared" si="40"/>
        <v/>
      </c>
    </row>
    <row r="940" spans="8:10" x14ac:dyDescent="0.2">
      <c r="H940" s="64" t="str">
        <f t="shared" si="38"/>
        <v/>
      </c>
      <c r="I940" t="str">
        <f t="shared" si="39"/>
        <v/>
      </c>
      <c r="J940" t="str">
        <f t="shared" si="40"/>
        <v/>
      </c>
    </row>
    <row r="941" spans="8:10" x14ac:dyDescent="0.2">
      <c r="H941" s="64" t="str">
        <f t="shared" si="38"/>
        <v/>
      </c>
      <c r="I941" t="str">
        <f t="shared" si="39"/>
        <v/>
      </c>
      <c r="J941" t="str">
        <f t="shared" si="40"/>
        <v/>
      </c>
    </row>
    <row r="942" spans="8:10" x14ac:dyDescent="0.2">
      <c r="H942" s="64" t="str">
        <f t="shared" si="38"/>
        <v/>
      </c>
      <c r="I942" t="str">
        <f t="shared" si="39"/>
        <v/>
      </c>
      <c r="J942" t="str">
        <f t="shared" si="40"/>
        <v/>
      </c>
    </row>
    <row r="943" spans="8:10" x14ac:dyDescent="0.2">
      <c r="H943" s="64" t="str">
        <f t="shared" si="38"/>
        <v/>
      </c>
      <c r="I943" t="str">
        <f t="shared" si="39"/>
        <v/>
      </c>
      <c r="J943" t="str">
        <f t="shared" si="40"/>
        <v/>
      </c>
    </row>
    <row r="944" spans="8:10" x14ac:dyDescent="0.2">
      <c r="H944" s="64" t="str">
        <f t="shared" si="38"/>
        <v/>
      </c>
      <c r="I944" t="str">
        <f t="shared" si="39"/>
        <v/>
      </c>
      <c r="J944" t="str">
        <f t="shared" si="40"/>
        <v/>
      </c>
    </row>
    <row r="945" spans="8:10" x14ac:dyDescent="0.2">
      <c r="H945" s="64" t="str">
        <f t="shared" si="38"/>
        <v/>
      </c>
      <c r="I945" t="str">
        <f t="shared" si="39"/>
        <v/>
      </c>
      <c r="J945" t="str">
        <f t="shared" si="40"/>
        <v/>
      </c>
    </row>
    <row r="946" spans="8:10" x14ac:dyDescent="0.2">
      <c r="H946" s="64" t="str">
        <f t="shared" si="38"/>
        <v/>
      </c>
      <c r="I946" t="str">
        <f t="shared" si="39"/>
        <v/>
      </c>
      <c r="J946" t="str">
        <f t="shared" si="40"/>
        <v/>
      </c>
    </row>
    <row r="947" spans="8:10" x14ac:dyDescent="0.2">
      <c r="H947" s="64" t="str">
        <f t="shared" si="38"/>
        <v/>
      </c>
      <c r="I947" t="str">
        <f t="shared" si="39"/>
        <v/>
      </c>
      <c r="J947" t="str">
        <f t="shared" si="40"/>
        <v/>
      </c>
    </row>
    <row r="948" spans="8:10" x14ac:dyDescent="0.2">
      <c r="H948" s="64" t="str">
        <f t="shared" si="38"/>
        <v/>
      </c>
      <c r="I948" t="str">
        <f t="shared" si="39"/>
        <v/>
      </c>
      <c r="J948" t="str">
        <f t="shared" si="40"/>
        <v/>
      </c>
    </row>
    <row r="949" spans="8:10" x14ac:dyDescent="0.2">
      <c r="H949" s="64" t="str">
        <f t="shared" si="38"/>
        <v/>
      </c>
      <c r="I949" t="str">
        <f t="shared" si="39"/>
        <v/>
      </c>
      <c r="J949" t="str">
        <f t="shared" si="40"/>
        <v/>
      </c>
    </row>
    <row r="950" spans="8:10" x14ac:dyDescent="0.2">
      <c r="H950" s="64" t="str">
        <f t="shared" si="38"/>
        <v/>
      </c>
      <c r="I950" t="str">
        <f t="shared" si="39"/>
        <v/>
      </c>
      <c r="J950" t="str">
        <f t="shared" si="40"/>
        <v/>
      </c>
    </row>
    <row r="951" spans="8:10" x14ac:dyDescent="0.2">
      <c r="H951" s="64" t="str">
        <f t="shared" si="38"/>
        <v/>
      </c>
      <c r="I951" t="str">
        <f t="shared" si="39"/>
        <v/>
      </c>
      <c r="J951" t="str">
        <f t="shared" si="40"/>
        <v/>
      </c>
    </row>
    <row r="952" spans="8:10" x14ac:dyDescent="0.2">
      <c r="H952" s="64" t="str">
        <f t="shared" si="38"/>
        <v/>
      </c>
      <c r="I952" t="str">
        <f t="shared" si="39"/>
        <v/>
      </c>
      <c r="J952" t="str">
        <f t="shared" si="40"/>
        <v/>
      </c>
    </row>
    <row r="953" spans="8:10" x14ac:dyDescent="0.2">
      <c r="H953" s="64" t="str">
        <f t="shared" si="38"/>
        <v/>
      </c>
      <c r="I953" t="str">
        <f t="shared" si="39"/>
        <v/>
      </c>
      <c r="J953" t="str">
        <f t="shared" si="40"/>
        <v/>
      </c>
    </row>
    <row r="954" spans="8:10" x14ac:dyDescent="0.2">
      <c r="H954" s="64" t="str">
        <f t="shared" si="38"/>
        <v/>
      </c>
      <c r="I954" t="str">
        <f t="shared" si="39"/>
        <v/>
      </c>
      <c r="J954" t="str">
        <f t="shared" si="40"/>
        <v/>
      </c>
    </row>
    <row r="955" spans="8:10" x14ac:dyDescent="0.2">
      <c r="H955" s="64" t="str">
        <f t="shared" si="38"/>
        <v/>
      </c>
      <c r="I955" t="str">
        <f t="shared" si="39"/>
        <v/>
      </c>
      <c r="J955" t="str">
        <f t="shared" si="40"/>
        <v/>
      </c>
    </row>
    <row r="956" spans="8:10" x14ac:dyDescent="0.2">
      <c r="H956" s="64" t="str">
        <f t="shared" si="38"/>
        <v/>
      </c>
      <c r="I956" t="str">
        <f t="shared" si="39"/>
        <v/>
      </c>
      <c r="J956" t="str">
        <f t="shared" si="40"/>
        <v/>
      </c>
    </row>
    <row r="957" spans="8:10" x14ac:dyDescent="0.2">
      <c r="H957" s="64" t="str">
        <f t="shared" si="38"/>
        <v/>
      </c>
      <c r="I957" t="str">
        <f t="shared" si="39"/>
        <v/>
      </c>
      <c r="J957" t="str">
        <f t="shared" si="40"/>
        <v/>
      </c>
    </row>
    <row r="958" spans="8:10" x14ac:dyDescent="0.2">
      <c r="H958" s="64" t="str">
        <f t="shared" si="38"/>
        <v/>
      </c>
      <c r="I958" t="str">
        <f t="shared" si="39"/>
        <v/>
      </c>
      <c r="J958" t="str">
        <f t="shared" si="40"/>
        <v/>
      </c>
    </row>
    <row r="959" spans="8:10" x14ac:dyDescent="0.2">
      <c r="H959" s="64" t="str">
        <f t="shared" si="38"/>
        <v/>
      </c>
      <c r="I959" t="str">
        <f t="shared" si="39"/>
        <v/>
      </c>
      <c r="J959" t="str">
        <f t="shared" si="40"/>
        <v/>
      </c>
    </row>
    <row r="960" spans="8:10" x14ac:dyDescent="0.2">
      <c r="H960" s="64" t="str">
        <f t="shared" si="38"/>
        <v/>
      </c>
      <c r="I960" t="str">
        <f t="shared" si="39"/>
        <v/>
      </c>
      <c r="J960" t="str">
        <f t="shared" si="40"/>
        <v/>
      </c>
    </row>
    <row r="961" spans="8:10" x14ac:dyDescent="0.2">
      <c r="H961" s="64" t="str">
        <f t="shared" si="38"/>
        <v/>
      </c>
      <c r="I961" t="str">
        <f t="shared" si="39"/>
        <v/>
      </c>
      <c r="J961" t="str">
        <f t="shared" si="40"/>
        <v/>
      </c>
    </row>
    <row r="962" spans="8:10" x14ac:dyDescent="0.2">
      <c r="H962" s="64" t="str">
        <f t="shared" si="38"/>
        <v/>
      </c>
      <c r="I962" t="str">
        <f t="shared" si="39"/>
        <v/>
      </c>
      <c r="J962" t="str">
        <f t="shared" si="40"/>
        <v/>
      </c>
    </row>
    <row r="963" spans="8:10" x14ac:dyDescent="0.2">
      <c r="H963" s="64" t="str">
        <f t="shared" si="38"/>
        <v/>
      </c>
      <c r="I963" t="str">
        <f t="shared" si="39"/>
        <v/>
      </c>
      <c r="J963" t="str">
        <f t="shared" si="40"/>
        <v/>
      </c>
    </row>
    <row r="964" spans="8:10" x14ac:dyDescent="0.2">
      <c r="H964" s="64" t="str">
        <f t="shared" si="38"/>
        <v/>
      </c>
      <c r="I964" t="str">
        <f t="shared" si="39"/>
        <v/>
      </c>
      <c r="J964" t="str">
        <f t="shared" si="40"/>
        <v/>
      </c>
    </row>
    <row r="965" spans="8:10" x14ac:dyDescent="0.2">
      <c r="H965" s="64" t="str">
        <f t="shared" si="38"/>
        <v/>
      </c>
      <c r="I965" t="str">
        <f t="shared" si="39"/>
        <v/>
      </c>
      <c r="J965" t="str">
        <f t="shared" si="40"/>
        <v/>
      </c>
    </row>
    <row r="966" spans="8:10" x14ac:dyDescent="0.2">
      <c r="H966" s="64" t="str">
        <f t="shared" si="38"/>
        <v/>
      </c>
      <c r="I966" t="str">
        <f t="shared" si="39"/>
        <v/>
      </c>
      <c r="J966" t="str">
        <f t="shared" si="40"/>
        <v/>
      </c>
    </row>
    <row r="967" spans="8:10" x14ac:dyDescent="0.2">
      <c r="H967" s="64" t="str">
        <f t="shared" si="38"/>
        <v/>
      </c>
      <c r="I967" t="str">
        <f t="shared" si="39"/>
        <v/>
      </c>
      <c r="J967" t="str">
        <f t="shared" si="40"/>
        <v/>
      </c>
    </row>
    <row r="968" spans="8:10" x14ac:dyDescent="0.2">
      <c r="H968" s="64" t="str">
        <f t="shared" si="38"/>
        <v/>
      </c>
      <c r="I968" t="str">
        <f t="shared" si="39"/>
        <v/>
      </c>
      <c r="J968" t="str">
        <f t="shared" si="40"/>
        <v/>
      </c>
    </row>
    <row r="969" spans="8:10" x14ac:dyDescent="0.2">
      <c r="H969" s="64" t="str">
        <f t="shared" si="38"/>
        <v/>
      </c>
      <c r="I969" t="str">
        <f t="shared" si="39"/>
        <v/>
      </c>
      <c r="J969" t="str">
        <f t="shared" si="40"/>
        <v/>
      </c>
    </row>
    <row r="970" spans="8:10" x14ac:dyDescent="0.2">
      <c r="H970" s="64" t="str">
        <f t="shared" si="38"/>
        <v/>
      </c>
      <c r="I970" t="str">
        <f t="shared" si="39"/>
        <v/>
      </c>
      <c r="J970" t="str">
        <f t="shared" si="40"/>
        <v/>
      </c>
    </row>
    <row r="971" spans="8:10" x14ac:dyDescent="0.2">
      <c r="H971" s="64" t="str">
        <f t="shared" si="38"/>
        <v/>
      </c>
      <c r="I971" t="str">
        <f t="shared" si="39"/>
        <v/>
      </c>
      <c r="J971" t="str">
        <f t="shared" si="40"/>
        <v/>
      </c>
    </row>
    <row r="972" spans="8:10" x14ac:dyDescent="0.2">
      <c r="H972" s="64" t="str">
        <f t="shared" si="38"/>
        <v/>
      </c>
      <c r="I972" t="str">
        <f t="shared" si="39"/>
        <v/>
      </c>
      <c r="J972" t="str">
        <f t="shared" si="40"/>
        <v/>
      </c>
    </row>
    <row r="973" spans="8:10" x14ac:dyDescent="0.2">
      <c r="H973" s="64" t="str">
        <f t="shared" si="38"/>
        <v/>
      </c>
      <c r="I973" t="str">
        <f t="shared" si="39"/>
        <v/>
      </c>
      <c r="J973" t="str">
        <f t="shared" si="40"/>
        <v/>
      </c>
    </row>
    <row r="974" spans="8:10" x14ac:dyDescent="0.2">
      <c r="H974" s="64" t="str">
        <f t="shared" si="38"/>
        <v/>
      </c>
      <c r="I974" t="str">
        <f t="shared" si="39"/>
        <v/>
      </c>
      <c r="J974" t="str">
        <f t="shared" si="40"/>
        <v/>
      </c>
    </row>
    <row r="975" spans="8:10" x14ac:dyDescent="0.2">
      <c r="H975" s="64" t="str">
        <f t="shared" si="38"/>
        <v/>
      </c>
      <c r="I975" t="str">
        <f t="shared" si="39"/>
        <v/>
      </c>
      <c r="J975" t="str">
        <f t="shared" si="40"/>
        <v/>
      </c>
    </row>
    <row r="976" spans="8:10" x14ac:dyDescent="0.2">
      <c r="H976" s="64" t="str">
        <f t="shared" si="38"/>
        <v/>
      </c>
      <c r="I976" t="str">
        <f t="shared" si="39"/>
        <v/>
      </c>
      <c r="J976" t="str">
        <f t="shared" si="40"/>
        <v/>
      </c>
    </row>
    <row r="977" spans="8:10" x14ac:dyDescent="0.2">
      <c r="H977" s="64" t="str">
        <f t="shared" si="38"/>
        <v/>
      </c>
      <c r="I977" t="str">
        <f t="shared" si="39"/>
        <v/>
      </c>
      <c r="J977" t="str">
        <f t="shared" si="40"/>
        <v/>
      </c>
    </row>
    <row r="978" spans="8:10" x14ac:dyDescent="0.2">
      <c r="H978" s="64" t="str">
        <f t="shared" ref="H978:H1002" si="41">IF(B978="(blank)","",IF(ISBLANK($B978),"",IF(G978&lt;120,120,"")))</f>
        <v/>
      </c>
      <c r="I978" t="str">
        <f t="shared" ref="I978:I1041" si="42">IF(ISBLANK($B978),"",IF($H978="",$G978,$H978))</f>
        <v/>
      </c>
      <c r="J978" t="str">
        <f t="shared" ref="J978:J1000" si="43">IF(ISBLANK($B978),"",IF($I978&lt;120,120,$I978))</f>
        <v/>
      </c>
    </row>
    <row r="979" spans="8:10" x14ac:dyDescent="0.2">
      <c r="H979" s="64" t="str">
        <f t="shared" si="41"/>
        <v/>
      </c>
      <c r="I979" t="str">
        <f t="shared" si="42"/>
        <v/>
      </c>
      <c r="J979" t="str">
        <f t="shared" si="43"/>
        <v/>
      </c>
    </row>
    <row r="980" spans="8:10" x14ac:dyDescent="0.2">
      <c r="H980" s="64" t="str">
        <f t="shared" si="41"/>
        <v/>
      </c>
      <c r="I980" t="str">
        <f t="shared" si="42"/>
        <v/>
      </c>
      <c r="J980" t="str">
        <f t="shared" si="43"/>
        <v/>
      </c>
    </row>
    <row r="981" spans="8:10" x14ac:dyDescent="0.2">
      <c r="H981" s="64" t="str">
        <f t="shared" si="41"/>
        <v/>
      </c>
      <c r="I981" t="str">
        <f t="shared" si="42"/>
        <v/>
      </c>
      <c r="J981" t="str">
        <f t="shared" si="43"/>
        <v/>
      </c>
    </row>
    <row r="982" spans="8:10" x14ac:dyDescent="0.2">
      <c r="H982" s="64" t="str">
        <f t="shared" si="41"/>
        <v/>
      </c>
      <c r="I982" t="str">
        <f t="shared" si="42"/>
        <v/>
      </c>
      <c r="J982" t="str">
        <f t="shared" si="43"/>
        <v/>
      </c>
    </row>
    <row r="983" spans="8:10" x14ac:dyDescent="0.2">
      <c r="H983" s="64" t="str">
        <f t="shared" si="41"/>
        <v/>
      </c>
      <c r="I983" t="str">
        <f t="shared" si="42"/>
        <v/>
      </c>
      <c r="J983" t="str">
        <f t="shared" si="43"/>
        <v/>
      </c>
    </row>
    <row r="984" spans="8:10" x14ac:dyDescent="0.2">
      <c r="H984" s="64" t="str">
        <f t="shared" si="41"/>
        <v/>
      </c>
      <c r="I984" t="str">
        <f t="shared" si="42"/>
        <v/>
      </c>
      <c r="J984" t="str">
        <f t="shared" si="43"/>
        <v/>
      </c>
    </row>
    <row r="985" spans="8:10" x14ac:dyDescent="0.2">
      <c r="H985" s="64" t="str">
        <f t="shared" si="41"/>
        <v/>
      </c>
      <c r="I985" t="str">
        <f t="shared" si="42"/>
        <v/>
      </c>
      <c r="J985" t="str">
        <f t="shared" si="43"/>
        <v/>
      </c>
    </row>
    <row r="986" spans="8:10" x14ac:dyDescent="0.2">
      <c r="H986" s="64" t="str">
        <f t="shared" si="41"/>
        <v/>
      </c>
      <c r="I986" t="str">
        <f t="shared" si="42"/>
        <v/>
      </c>
      <c r="J986" t="str">
        <f t="shared" si="43"/>
        <v/>
      </c>
    </row>
    <row r="987" spans="8:10" x14ac:dyDescent="0.2">
      <c r="H987" s="64" t="str">
        <f t="shared" si="41"/>
        <v/>
      </c>
      <c r="I987" t="str">
        <f t="shared" si="42"/>
        <v/>
      </c>
      <c r="J987" t="str">
        <f t="shared" si="43"/>
        <v/>
      </c>
    </row>
    <row r="988" spans="8:10" x14ac:dyDescent="0.2">
      <c r="H988" s="64" t="str">
        <f t="shared" si="41"/>
        <v/>
      </c>
      <c r="I988" t="str">
        <f t="shared" si="42"/>
        <v/>
      </c>
      <c r="J988" t="str">
        <f t="shared" si="43"/>
        <v/>
      </c>
    </row>
    <row r="989" spans="8:10" x14ac:dyDescent="0.2">
      <c r="H989" s="64" t="str">
        <f t="shared" si="41"/>
        <v/>
      </c>
      <c r="I989" t="str">
        <f t="shared" si="42"/>
        <v/>
      </c>
      <c r="J989" t="str">
        <f t="shared" si="43"/>
        <v/>
      </c>
    </row>
    <row r="990" spans="8:10" x14ac:dyDescent="0.2">
      <c r="H990" s="64" t="str">
        <f t="shared" si="41"/>
        <v/>
      </c>
      <c r="I990" t="str">
        <f t="shared" si="42"/>
        <v/>
      </c>
      <c r="J990" t="str">
        <f t="shared" si="43"/>
        <v/>
      </c>
    </row>
    <row r="991" spans="8:10" x14ac:dyDescent="0.2">
      <c r="H991" s="64" t="str">
        <f t="shared" si="41"/>
        <v/>
      </c>
      <c r="I991" t="str">
        <f t="shared" si="42"/>
        <v/>
      </c>
      <c r="J991" t="str">
        <f t="shared" si="43"/>
        <v/>
      </c>
    </row>
    <row r="992" spans="8:10" x14ac:dyDescent="0.2">
      <c r="H992" s="64" t="str">
        <f t="shared" si="41"/>
        <v/>
      </c>
      <c r="I992" t="str">
        <f t="shared" si="42"/>
        <v/>
      </c>
      <c r="J992" t="str">
        <f t="shared" si="43"/>
        <v/>
      </c>
    </row>
    <row r="993" spans="8:10" x14ac:dyDescent="0.2">
      <c r="H993" s="64" t="str">
        <f t="shared" si="41"/>
        <v/>
      </c>
      <c r="I993" t="str">
        <f t="shared" si="42"/>
        <v/>
      </c>
      <c r="J993" t="str">
        <f t="shared" si="43"/>
        <v/>
      </c>
    </row>
    <row r="994" spans="8:10" x14ac:dyDescent="0.2">
      <c r="H994" s="64" t="str">
        <f t="shared" si="41"/>
        <v/>
      </c>
      <c r="I994" t="str">
        <f t="shared" si="42"/>
        <v/>
      </c>
      <c r="J994" t="str">
        <f t="shared" si="43"/>
        <v/>
      </c>
    </row>
    <row r="995" spans="8:10" x14ac:dyDescent="0.2">
      <c r="H995" s="64" t="str">
        <f t="shared" si="41"/>
        <v/>
      </c>
      <c r="I995" t="str">
        <f t="shared" si="42"/>
        <v/>
      </c>
      <c r="J995" t="str">
        <f t="shared" si="43"/>
        <v/>
      </c>
    </row>
    <row r="996" spans="8:10" x14ac:dyDescent="0.2">
      <c r="H996" s="64" t="str">
        <f t="shared" si="41"/>
        <v/>
      </c>
      <c r="I996" t="str">
        <f t="shared" si="42"/>
        <v/>
      </c>
      <c r="J996" t="str">
        <f t="shared" si="43"/>
        <v/>
      </c>
    </row>
    <row r="997" spans="8:10" x14ac:dyDescent="0.2">
      <c r="H997" s="64" t="str">
        <f t="shared" si="41"/>
        <v/>
      </c>
      <c r="I997" t="str">
        <f t="shared" si="42"/>
        <v/>
      </c>
      <c r="J997" t="str">
        <f t="shared" si="43"/>
        <v/>
      </c>
    </row>
    <row r="998" spans="8:10" x14ac:dyDescent="0.2">
      <c r="H998" s="64" t="str">
        <f t="shared" si="41"/>
        <v/>
      </c>
      <c r="I998" t="str">
        <f t="shared" si="42"/>
        <v/>
      </c>
      <c r="J998" t="str">
        <f t="shared" si="43"/>
        <v/>
      </c>
    </row>
    <row r="999" spans="8:10" x14ac:dyDescent="0.2">
      <c r="H999" s="64" t="str">
        <f t="shared" si="41"/>
        <v/>
      </c>
      <c r="I999" t="str">
        <f t="shared" si="42"/>
        <v/>
      </c>
      <c r="J999" t="str">
        <f t="shared" si="43"/>
        <v/>
      </c>
    </row>
    <row r="1000" spans="8:10" x14ac:dyDescent="0.2">
      <c r="H1000" s="64" t="str">
        <f t="shared" si="41"/>
        <v/>
      </c>
      <c r="I1000" t="str">
        <f t="shared" si="42"/>
        <v/>
      </c>
      <c r="J1000" t="str">
        <f t="shared" si="43"/>
        <v/>
      </c>
    </row>
    <row r="1001" spans="8:10" x14ac:dyDescent="0.2">
      <c r="H1001" s="64" t="str">
        <f t="shared" si="41"/>
        <v/>
      </c>
      <c r="I1001" t="str">
        <f t="shared" si="42"/>
        <v/>
      </c>
      <c r="J1001" t="s">
        <v>373</v>
      </c>
    </row>
    <row r="1002" spans="8:10" x14ac:dyDescent="0.2">
      <c r="H1002" s="64" t="str">
        <f t="shared" si="41"/>
        <v/>
      </c>
      <c r="I1002" t="str">
        <f t="shared" si="42"/>
        <v/>
      </c>
    </row>
    <row r="1003" spans="8:10" x14ac:dyDescent="0.2">
      <c r="H1003" s="64" t="str">
        <f t="shared" ref="H1003:H1041" si="44">IF(ISBLANK($B1003),"",IF(G1003&lt;120,120,""))</f>
        <v/>
      </c>
      <c r="I1003" t="str">
        <f t="shared" si="42"/>
        <v/>
      </c>
    </row>
    <row r="1004" spans="8:10" x14ac:dyDescent="0.2">
      <c r="H1004" s="64" t="str">
        <f t="shared" si="44"/>
        <v/>
      </c>
      <c r="I1004" t="str">
        <f t="shared" si="42"/>
        <v/>
      </c>
    </row>
    <row r="1005" spans="8:10" x14ac:dyDescent="0.2">
      <c r="H1005" s="64" t="str">
        <f t="shared" si="44"/>
        <v/>
      </c>
      <c r="I1005" t="str">
        <f t="shared" si="42"/>
        <v/>
      </c>
    </row>
    <row r="1006" spans="8:10" x14ac:dyDescent="0.2">
      <c r="H1006" s="64" t="str">
        <f t="shared" si="44"/>
        <v/>
      </c>
      <c r="I1006" t="str">
        <f t="shared" si="42"/>
        <v/>
      </c>
    </row>
    <row r="1007" spans="8:10" x14ac:dyDescent="0.2">
      <c r="H1007" s="64" t="str">
        <f t="shared" si="44"/>
        <v/>
      </c>
      <c r="I1007" t="str">
        <f t="shared" si="42"/>
        <v/>
      </c>
    </row>
    <row r="1008" spans="8:10" x14ac:dyDescent="0.2">
      <c r="H1008" s="64" t="str">
        <f t="shared" si="44"/>
        <v/>
      </c>
      <c r="I1008" t="str">
        <f t="shared" si="42"/>
        <v/>
      </c>
    </row>
    <row r="1009" spans="8:9" x14ac:dyDescent="0.2">
      <c r="H1009" s="64" t="str">
        <f t="shared" si="44"/>
        <v/>
      </c>
      <c r="I1009" t="str">
        <f t="shared" si="42"/>
        <v/>
      </c>
    </row>
    <row r="1010" spans="8:9" x14ac:dyDescent="0.2">
      <c r="H1010" s="64" t="str">
        <f t="shared" si="44"/>
        <v/>
      </c>
      <c r="I1010" t="str">
        <f t="shared" si="42"/>
        <v/>
      </c>
    </row>
    <row r="1011" spans="8:9" x14ac:dyDescent="0.2">
      <c r="H1011" s="64" t="str">
        <f t="shared" si="44"/>
        <v/>
      </c>
      <c r="I1011" t="str">
        <f t="shared" si="42"/>
        <v/>
      </c>
    </row>
    <row r="1012" spans="8:9" x14ac:dyDescent="0.2">
      <c r="H1012" s="64" t="str">
        <f t="shared" si="44"/>
        <v/>
      </c>
      <c r="I1012" t="str">
        <f t="shared" si="42"/>
        <v/>
      </c>
    </row>
    <row r="1013" spans="8:9" x14ac:dyDescent="0.2">
      <c r="H1013" s="64" t="str">
        <f t="shared" si="44"/>
        <v/>
      </c>
      <c r="I1013" t="str">
        <f t="shared" si="42"/>
        <v/>
      </c>
    </row>
    <row r="1014" spans="8:9" x14ac:dyDescent="0.2">
      <c r="H1014" s="64" t="str">
        <f t="shared" si="44"/>
        <v/>
      </c>
      <c r="I1014" t="str">
        <f t="shared" si="42"/>
        <v/>
      </c>
    </row>
    <row r="1015" spans="8:9" x14ac:dyDescent="0.2">
      <c r="H1015" s="64" t="str">
        <f t="shared" si="44"/>
        <v/>
      </c>
      <c r="I1015" t="str">
        <f t="shared" si="42"/>
        <v/>
      </c>
    </row>
    <row r="1016" spans="8:9" x14ac:dyDescent="0.2">
      <c r="H1016" s="64" t="str">
        <f t="shared" si="44"/>
        <v/>
      </c>
      <c r="I1016" t="str">
        <f t="shared" si="42"/>
        <v/>
      </c>
    </row>
    <row r="1017" spans="8:9" x14ac:dyDescent="0.2">
      <c r="H1017" s="64" t="str">
        <f t="shared" si="44"/>
        <v/>
      </c>
      <c r="I1017" t="str">
        <f t="shared" si="42"/>
        <v/>
      </c>
    </row>
    <row r="1018" spans="8:9" x14ac:dyDescent="0.2">
      <c r="H1018" s="64" t="str">
        <f t="shared" si="44"/>
        <v/>
      </c>
      <c r="I1018" t="str">
        <f t="shared" si="42"/>
        <v/>
      </c>
    </row>
    <row r="1019" spans="8:9" x14ac:dyDescent="0.2">
      <c r="H1019" s="64" t="str">
        <f t="shared" si="44"/>
        <v/>
      </c>
      <c r="I1019" t="str">
        <f t="shared" si="42"/>
        <v/>
      </c>
    </row>
    <row r="1020" spans="8:9" x14ac:dyDescent="0.2">
      <c r="H1020" s="64" t="str">
        <f t="shared" si="44"/>
        <v/>
      </c>
      <c r="I1020" t="str">
        <f t="shared" si="42"/>
        <v/>
      </c>
    </row>
    <row r="1021" spans="8:9" x14ac:dyDescent="0.2">
      <c r="H1021" s="64" t="str">
        <f t="shared" si="44"/>
        <v/>
      </c>
      <c r="I1021" t="str">
        <f t="shared" si="42"/>
        <v/>
      </c>
    </row>
    <row r="1022" spans="8:9" x14ac:dyDescent="0.2">
      <c r="H1022" s="64" t="str">
        <f t="shared" si="44"/>
        <v/>
      </c>
      <c r="I1022" t="str">
        <f t="shared" si="42"/>
        <v/>
      </c>
    </row>
    <row r="1023" spans="8:9" x14ac:dyDescent="0.2">
      <c r="H1023" s="64" t="str">
        <f t="shared" si="44"/>
        <v/>
      </c>
      <c r="I1023" t="str">
        <f t="shared" si="42"/>
        <v/>
      </c>
    </row>
    <row r="1024" spans="8:9" x14ac:dyDescent="0.2">
      <c r="H1024" s="64" t="str">
        <f t="shared" si="44"/>
        <v/>
      </c>
      <c r="I1024" t="str">
        <f t="shared" si="42"/>
        <v/>
      </c>
    </row>
    <row r="1025" spans="8:9" x14ac:dyDescent="0.2">
      <c r="H1025" s="64" t="str">
        <f t="shared" si="44"/>
        <v/>
      </c>
      <c r="I1025" t="str">
        <f t="shared" si="42"/>
        <v/>
      </c>
    </row>
    <row r="1026" spans="8:9" x14ac:dyDescent="0.2">
      <c r="H1026" s="64" t="str">
        <f t="shared" si="44"/>
        <v/>
      </c>
      <c r="I1026" t="str">
        <f t="shared" si="42"/>
        <v/>
      </c>
    </row>
    <row r="1027" spans="8:9" x14ac:dyDescent="0.2">
      <c r="H1027" s="64" t="str">
        <f t="shared" si="44"/>
        <v/>
      </c>
      <c r="I1027" t="str">
        <f t="shared" si="42"/>
        <v/>
      </c>
    </row>
    <row r="1028" spans="8:9" x14ac:dyDescent="0.2">
      <c r="H1028" s="64" t="str">
        <f t="shared" si="44"/>
        <v/>
      </c>
      <c r="I1028" t="str">
        <f t="shared" si="42"/>
        <v/>
      </c>
    </row>
    <row r="1029" spans="8:9" x14ac:dyDescent="0.2">
      <c r="H1029" s="64" t="str">
        <f t="shared" si="44"/>
        <v/>
      </c>
      <c r="I1029" t="str">
        <f t="shared" si="42"/>
        <v/>
      </c>
    </row>
    <row r="1030" spans="8:9" x14ac:dyDescent="0.2">
      <c r="H1030" s="64" t="str">
        <f t="shared" si="44"/>
        <v/>
      </c>
      <c r="I1030" t="str">
        <f t="shared" si="42"/>
        <v/>
      </c>
    </row>
    <row r="1031" spans="8:9" x14ac:dyDescent="0.2">
      <c r="H1031" s="64" t="str">
        <f t="shared" si="44"/>
        <v/>
      </c>
      <c r="I1031" t="str">
        <f t="shared" si="42"/>
        <v/>
      </c>
    </row>
    <row r="1032" spans="8:9" x14ac:dyDescent="0.2">
      <c r="H1032" s="64" t="str">
        <f t="shared" si="44"/>
        <v/>
      </c>
      <c r="I1032" t="str">
        <f t="shared" si="42"/>
        <v/>
      </c>
    </row>
    <row r="1033" spans="8:9" x14ac:dyDescent="0.2">
      <c r="H1033" s="64" t="str">
        <f t="shared" si="44"/>
        <v/>
      </c>
      <c r="I1033" t="str">
        <f t="shared" si="42"/>
        <v/>
      </c>
    </row>
    <row r="1034" spans="8:9" x14ac:dyDescent="0.2">
      <c r="H1034" s="64" t="str">
        <f t="shared" si="44"/>
        <v/>
      </c>
      <c r="I1034" t="str">
        <f t="shared" si="42"/>
        <v/>
      </c>
    </row>
    <row r="1035" spans="8:9" x14ac:dyDescent="0.2">
      <c r="H1035" s="64" t="str">
        <f t="shared" si="44"/>
        <v/>
      </c>
      <c r="I1035" t="str">
        <f t="shared" si="42"/>
        <v/>
      </c>
    </row>
    <row r="1036" spans="8:9" x14ac:dyDescent="0.2">
      <c r="H1036" s="64" t="str">
        <f t="shared" si="44"/>
        <v/>
      </c>
      <c r="I1036" t="str">
        <f t="shared" si="42"/>
        <v/>
      </c>
    </row>
    <row r="1037" spans="8:9" x14ac:dyDescent="0.2">
      <c r="H1037" s="64" t="str">
        <f t="shared" si="44"/>
        <v/>
      </c>
      <c r="I1037" t="str">
        <f t="shared" si="42"/>
        <v/>
      </c>
    </row>
    <row r="1038" spans="8:9" x14ac:dyDescent="0.2">
      <c r="H1038" s="64" t="str">
        <f t="shared" si="44"/>
        <v/>
      </c>
      <c r="I1038" t="str">
        <f t="shared" si="42"/>
        <v/>
      </c>
    </row>
    <row r="1039" spans="8:9" x14ac:dyDescent="0.2">
      <c r="H1039" s="64" t="str">
        <f t="shared" si="44"/>
        <v/>
      </c>
      <c r="I1039" t="str">
        <f t="shared" si="42"/>
        <v/>
      </c>
    </row>
    <row r="1040" spans="8:9" x14ac:dyDescent="0.2">
      <c r="H1040" s="64" t="str">
        <f t="shared" si="44"/>
        <v/>
      </c>
      <c r="I1040" t="str">
        <f t="shared" si="42"/>
        <v/>
      </c>
    </row>
    <row r="1041" spans="8:9" x14ac:dyDescent="0.2">
      <c r="H1041" s="64" t="str">
        <f t="shared" si="44"/>
        <v/>
      </c>
      <c r="I1041" t="str">
        <f t="shared" si="42"/>
        <v/>
      </c>
    </row>
    <row r="1042" spans="8:9" x14ac:dyDescent="0.2">
      <c r="H1042" s="64" t="str">
        <f t="shared" ref="H1042:H1105" si="45">IF(ISBLANK($B1042),"",IF(G1042&lt;120,120,""))</f>
        <v/>
      </c>
      <c r="I1042" t="str">
        <f t="shared" ref="I1042:I1105" si="46">IF(ISBLANK($B1042),"",IF($H1042="",$G1042,$H1042))</f>
        <v/>
      </c>
    </row>
    <row r="1043" spans="8:9" x14ac:dyDescent="0.2">
      <c r="H1043" s="64" t="str">
        <f t="shared" si="45"/>
        <v/>
      </c>
      <c r="I1043" t="str">
        <f t="shared" si="46"/>
        <v/>
      </c>
    </row>
    <row r="1044" spans="8:9" x14ac:dyDescent="0.2">
      <c r="H1044" s="64" t="str">
        <f t="shared" si="45"/>
        <v/>
      </c>
      <c r="I1044" t="str">
        <f t="shared" si="46"/>
        <v/>
      </c>
    </row>
    <row r="1045" spans="8:9" x14ac:dyDescent="0.2">
      <c r="H1045" s="64" t="str">
        <f t="shared" si="45"/>
        <v/>
      </c>
      <c r="I1045" t="str">
        <f t="shared" si="46"/>
        <v/>
      </c>
    </row>
    <row r="1046" spans="8:9" x14ac:dyDescent="0.2">
      <c r="H1046" s="64" t="str">
        <f t="shared" si="45"/>
        <v/>
      </c>
      <c r="I1046" t="str">
        <f t="shared" si="46"/>
        <v/>
      </c>
    </row>
    <row r="1047" spans="8:9" x14ac:dyDescent="0.2">
      <c r="H1047" s="64" t="str">
        <f t="shared" si="45"/>
        <v/>
      </c>
      <c r="I1047" t="str">
        <f t="shared" si="46"/>
        <v/>
      </c>
    </row>
    <row r="1048" spans="8:9" x14ac:dyDescent="0.2">
      <c r="H1048" s="64" t="str">
        <f t="shared" si="45"/>
        <v/>
      </c>
      <c r="I1048" t="str">
        <f t="shared" si="46"/>
        <v/>
      </c>
    </row>
    <row r="1049" spans="8:9" x14ac:dyDescent="0.2">
      <c r="H1049" s="64" t="str">
        <f t="shared" si="45"/>
        <v/>
      </c>
      <c r="I1049" t="str">
        <f t="shared" si="46"/>
        <v/>
      </c>
    </row>
    <row r="1050" spans="8:9" x14ac:dyDescent="0.2">
      <c r="H1050" s="64" t="str">
        <f t="shared" si="45"/>
        <v/>
      </c>
      <c r="I1050" t="str">
        <f t="shared" si="46"/>
        <v/>
      </c>
    </row>
    <row r="1051" spans="8:9" x14ac:dyDescent="0.2">
      <c r="H1051" s="64" t="str">
        <f t="shared" si="45"/>
        <v/>
      </c>
      <c r="I1051" t="str">
        <f t="shared" si="46"/>
        <v/>
      </c>
    </row>
    <row r="1052" spans="8:9" x14ac:dyDescent="0.2">
      <c r="H1052" s="64" t="str">
        <f t="shared" si="45"/>
        <v/>
      </c>
      <c r="I1052" t="str">
        <f t="shared" si="46"/>
        <v/>
      </c>
    </row>
    <row r="1053" spans="8:9" x14ac:dyDescent="0.2">
      <c r="H1053" s="64" t="str">
        <f t="shared" si="45"/>
        <v/>
      </c>
      <c r="I1053" t="str">
        <f t="shared" si="46"/>
        <v/>
      </c>
    </row>
    <row r="1054" spans="8:9" x14ac:dyDescent="0.2">
      <c r="H1054" s="64" t="str">
        <f t="shared" si="45"/>
        <v/>
      </c>
      <c r="I1054" t="str">
        <f t="shared" si="46"/>
        <v/>
      </c>
    </row>
    <row r="1055" spans="8:9" x14ac:dyDescent="0.2">
      <c r="H1055" s="64" t="str">
        <f t="shared" si="45"/>
        <v/>
      </c>
      <c r="I1055" t="str">
        <f t="shared" si="46"/>
        <v/>
      </c>
    </row>
    <row r="1056" spans="8:9" x14ac:dyDescent="0.2">
      <c r="H1056" s="64" t="str">
        <f t="shared" si="45"/>
        <v/>
      </c>
      <c r="I1056" t="str">
        <f t="shared" si="46"/>
        <v/>
      </c>
    </row>
    <row r="1057" spans="8:9" x14ac:dyDescent="0.2">
      <c r="H1057" s="64" t="str">
        <f t="shared" si="45"/>
        <v/>
      </c>
      <c r="I1057" t="str">
        <f t="shared" si="46"/>
        <v/>
      </c>
    </row>
    <row r="1058" spans="8:9" x14ac:dyDescent="0.2">
      <c r="H1058" s="64" t="str">
        <f t="shared" si="45"/>
        <v/>
      </c>
      <c r="I1058" t="str">
        <f t="shared" si="46"/>
        <v/>
      </c>
    </row>
    <row r="1059" spans="8:9" x14ac:dyDescent="0.2">
      <c r="H1059" s="64" t="str">
        <f t="shared" si="45"/>
        <v/>
      </c>
      <c r="I1059" t="str">
        <f t="shared" si="46"/>
        <v/>
      </c>
    </row>
    <row r="1060" spans="8:9" x14ac:dyDescent="0.2">
      <c r="H1060" s="64" t="str">
        <f t="shared" si="45"/>
        <v/>
      </c>
      <c r="I1060" t="str">
        <f t="shared" si="46"/>
        <v/>
      </c>
    </row>
    <row r="1061" spans="8:9" x14ac:dyDescent="0.2">
      <c r="H1061" s="64" t="str">
        <f t="shared" si="45"/>
        <v/>
      </c>
      <c r="I1061" t="str">
        <f t="shared" si="46"/>
        <v/>
      </c>
    </row>
    <row r="1062" spans="8:9" x14ac:dyDescent="0.2">
      <c r="H1062" s="64" t="str">
        <f t="shared" si="45"/>
        <v/>
      </c>
      <c r="I1062" t="str">
        <f t="shared" si="46"/>
        <v/>
      </c>
    </row>
    <row r="1063" spans="8:9" x14ac:dyDescent="0.2">
      <c r="H1063" s="64" t="str">
        <f t="shared" si="45"/>
        <v/>
      </c>
      <c r="I1063" t="str">
        <f t="shared" si="46"/>
        <v/>
      </c>
    </row>
    <row r="1064" spans="8:9" x14ac:dyDescent="0.2">
      <c r="H1064" s="64" t="str">
        <f t="shared" si="45"/>
        <v/>
      </c>
      <c r="I1064" t="str">
        <f t="shared" si="46"/>
        <v/>
      </c>
    </row>
    <row r="1065" spans="8:9" x14ac:dyDescent="0.2">
      <c r="H1065" s="64" t="str">
        <f t="shared" si="45"/>
        <v/>
      </c>
      <c r="I1065" t="str">
        <f t="shared" si="46"/>
        <v/>
      </c>
    </row>
    <row r="1066" spans="8:9" x14ac:dyDescent="0.2">
      <c r="H1066" s="64" t="str">
        <f t="shared" si="45"/>
        <v/>
      </c>
      <c r="I1066" t="str">
        <f t="shared" si="46"/>
        <v/>
      </c>
    </row>
    <row r="1067" spans="8:9" x14ac:dyDescent="0.2">
      <c r="H1067" s="64" t="str">
        <f t="shared" si="45"/>
        <v/>
      </c>
      <c r="I1067" t="str">
        <f t="shared" si="46"/>
        <v/>
      </c>
    </row>
    <row r="1068" spans="8:9" x14ac:dyDescent="0.2">
      <c r="H1068" s="64" t="str">
        <f t="shared" si="45"/>
        <v/>
      </c>
      <c r="I1068" t="str">
        <f t="shared" si="46"/>
        <v/>
      </c>
    </row>
    <row r="1069" spans="8:9" x14ac:dyDescent="0.2">
      <c r="H1069" s="64" t="str">
        <f t="shared" si="45"/>
        <v/>
      </c>
      <c r="I1069" t="str">
        <f t="shared" si="46"/>
        <v/>
      </c>
    </row>
    <row r="1070" spans="8:9" x14ac:dyDescent="0.2">
      <c r="H1070" s="64" t="str">
        <f t="shared" si="45"/>
        <v/>
      </c>
      <c r="I1070" t="str">
        <f t="shared" si="46"/>
        <v/>
      </c>
    </row>
    <row r="1071" spans="8:9" x14ac:dyDescent="0.2">
      <c r="H1071" s="64" t="str">
        <f t="shared" si="45"/>
        <v/>
      </c>
      <c r="I1071" t="str">
        <f t="shared" si="46"/>
        <v/>
      </c>
    </row>
    <row r="1072" spans="8:9" x14ac:dyDescent="0.2">
      <c r="H1072" s="64" t="str">
        <f t="shared" si="45"/>
        <v/>
      </c>
      <c r="I1072" t="str">
        <f t="shared" si="46"/>
        <v/>
      </c>
    </row>
    <row r="1073" spans="8:9" x14ac:dyDescent="0.2">
      <c r="H1073" s="64" t="str">
        <f t="shared" si="45"/>
        <v/>
      </c>
      <c r="I1073" t="str">
        <f t="shared" si="46"/>
        <v/>
      </c>
    </row>
    <row r="1074" spans="8:9" x14ac:dyDescent="0.2">
      <c r="H1074" s="64" t="str">
        <f t="shared" si="45"/>
        <v/>
      </c>
      <c r="I1074" t="str">
        <f t="shared" si="46"/>
        <v/>
      </c>
    </row>
    <row r="1075" spans="8:9" x14ac:dyDescent="0.2">
      <c r="H1075" s="64" t="str">
        <f t="shared" si="45"/>
        <v/>
      </c>
      <c r="I1075" t="str">
        <f t="shared" si="46"/>
        <v/>
      </c>
    </row>
    <row r="1076" spans="8:9" x14ac:dyDescent="0.2">
      <c r="H1076" s="64" t="str">
        <f t="shared" si="45"/>
        <v/>
      </c>
      <c r="I1076" t="str">
        <f t="shared" si="46"/>
        <v/>
      </c>
    </row>
    <row r="1077" spans="8:9" x14ac:dyDescent="0.2">
      <c r="H1077" s="64" t="str">
        <f t="shared" si="45"/>
        <v/>
      </c>
      <c r="I1077" t="str">
        <f t="shared" si="46"/>
        <v/>
      </c>
    </row>
    <row r="1078" spans="8:9" x14ac:dyDescent="0.2">
      <c r="H1078" s="64" t="str">
        <f t="shared" si="45"/>
        <v/>
      </c>
      <c r="I1078" t="str">
        <f t="shared" si="46"/>
        <v/>
      </c>
    </row>
    <row r="1079" spans="8:9" x14ac:dyDescent="0.2">
      <c r="H1079" s="64" t="str">
        <f t="shared" si="45"/>
        <v/>
      </c>
      <c r="I1079" t="str">
        <f t="shared" si="46"/>
        <v/>
      </c>
    </row>
    <row r="1080" spans="8:9" x14ac:dyDescent="0.2">
      <c r="H1080" s="64" t="str">
        <f t="shared" si="45"/>
        <v/>
      </c>
      <c r="I1080" t="str">
        <f t="shared" si="46"/>
        <v/>
      </c>
    </row>
    <row r="1081" spans="8:9" x14ac:dyDescent="0.2">
      <c r="H1081" s="64" t="str">
        <f t="shared" si="45"/>
        <v/>
      </c>
      <c r="I1081" t="str">
        <f t="shared" si="46"/>
        <v/>
      </c>
    </row>
    <row r="1082" spans="8:9" x14ac:dyDescent="0.2">
      <c r="H1082" s="64" t="str">
        <f t="shared" si="45"/>
        <v/>
      </c>
      <c r="I1082" t="str">
        <f t="shared" si="46"/>
        <v/>
      </c>
    </row>
    <row r="1083" spans="8:9" x14ac:dyDescent="0.2">
      <c r="H1083" s="64" t="str">
        <f t="shared" si="45"/>
        <v/>
      </c>
      <c r="I1083" t="str">
        <f t="shared" si="46"/>
        <v/>
      </c>
    </row>
    <row r="1084" spans="8:9" x14ac:dyDescent="0.2">
      <c r="H1084" s="64" t="str">
        <f t="shared" si="45"/>
        <v/>
      </c>
      <c r="I1084" t="str">
        <f t="shared" si="46"/>
        <v/>
      </c>
    </row>
    <row r="1085" spans="8:9" x14ac:dyDescent="0.2">
      <c r="H1085" s="64" t="str">
        <f t="shared" si="45"/>
        <v/>
      </c>
      <c r="I1085" t="str">
        <f t="shared" si="46"/>
        <v/>
      </c>
    </row>
    <row r="1086" spans="8:9" x14ac:dyDescent="0.2">
      <c r="H1086" s="64" t="str">
        <f t="shared" si="45"/>
        <v/>
      </c>
      <c r="I1086" t="str">
        <f t="shared" si="46"/>
        <v/>
      </c>
    </row>
    <row r="1087" spans="8:9" x14ac:dyDescent="0.2">
      <c r="H1087" s="64" t="str">
        <f t="shared" si="45"/>
        <v/>
      </c>
      <c r="I1087" t="str">
        <f t="shared" si="46"/>
        <v/>
      </c>
    </row>
    <row r="1088" spans="8:9" x14ac:dyDescent="0.2">
      <c r="H1088" s="64" t="str">
        <f t="shared" si="45"/>
        <v/>
      </c>
      <c r="I1088" t="str">
        <f t="shared" si="46"/>
        <v/>
      </c>
    </row>
    <row r="1089" spans="8:9" x14ac:dyDescent="0.2">
      <c r="H1089" s="64" t="str">
        <f t="shared" si="45"/>
        <v/>
      </c>
      <c r="I1089" t="str">
        <f t="shared" si="46"/>
        <v/>
      </c>
    </row>
    <row r="1090" spans="8:9" x14ac:dyDescent="0.2">
      <c r="H1090" s="64" t="str">
        <f t="shared" si="45"/>
        <v/>
      </c>
      <c r="I1090" t="str">
        <f t="shared" si="46"/>
        <v/>
      </c>
    </row>
    <row r="1091" spans="8:9" x14ac:dyDescent="0.2">
      <c r="H1091" s="64" t="str">
        <f t="shared" si="45"/>
        <v/>
      </c>
      <c r="I1091" t="str">
        <f t="shared" si="46"/>
        <v/>
      </c>
    </row>
    <row r="1092" spans="8:9" x14ac:dyDescent="0.2">
      <c r="H1092" s="64" t="str">
        <f t="shared" si="45"/>
        <v/>
      </c>
      <c r="I1092" t="str">
        <f t="shared" si="46"/>
        <v/>
      </c>
    </row>
    <row r="1093" spans="8:9" x14ac:dyDescent="0.2">
      <c r="H1093" s="64" t="str">
        <f t="shared" si="45"/>
        <v/>
      </c>
      <c r="I1093" t="str">
        <f t="shared" si="46"/>
        <v/>
      </c>
    </row>
    <row r="1094" spans="8:9" x14ac:dyDescent="0.2">
      <c r="H1094" s="64" t="str">
        <f t="shared" si="45"/>
        <v/>
      </c>
      <c r="I1094" t="str">
        <f t="shared" si="46"/>
        <v/>
      </c>
    </row>
    <row r="1095" spans="8:9" x14ac:dyDescent="0.2">
      <c r="H1095" s="64" t="str">
        <f t="shared" si="45"/>
        <v/>
      </c>
      <c r="I1095" t="str">
        <f t="shared" si="46"/>
        <v/>
      </c>
    </row>
    <row r="1096" spans="8:9" x14ac:dyDescent="0.2">
      <c r="H1096" s="64" t="str">
        <f t="shared" si="45"/>
        <v/>
      </c>
      <c r="I1096" t="str">
        <f t="shared" si="46"/>
        <v/>
      </c>
    </row>
    <row r="1097" spans="8:9" x14ac:dyDescent="0.2">
      <c r="H1097" s="64" t="str">
        <f t="shared" si="45"/>
        <v/>
      </c>
      <c r="I1097" t="str">
        <f t="shared" si="46"/>
        <v/>
      </c>
    </row>
    <row r="1098" spans="8:9" x14ac:dyDescent="0.2">
      <c r="H1098" s="64" t="str">
        <f t="shared" si="45"/>
        <v/>
      </c>
      <c r="I1098" t="str">
        <f t="shared" si="46"/>
        <v/>
      </c>
    </row>
    <row r="1099" spans="8:9" x14ac:dyDescent="0.2">
      <c r="H1099" s="64" t="str">
        <f t="shared" si="45"/>
        <v/>
      </c>
      <c r="I1099" t="str">
        <f t="shared" si="46"/>
        <v/>
      </c>
    </row>
    <row r="1100" spans="8:9" x14ac:dyDescent="0.2">
      <c r="H1100" s="64" t="str">
        <f t="shared" si="45"/>
        <v/>
      </c>
      <c r="I1100" t="str">
        <f t="shared" si="46"/>
        <v/>
      </c>
    </row>
    <row r="1101" spans="8:9" x14ac:dyDescent="0.2">
      <c r="H1101" s="64" t="str">
        <f t="shared" si="45"/>
        <v/>
      </c>
      <c r="I1101" t="str">
        <f t="shared" si="46"/>
        <v/>
      </c>
    </row>
    <row r="1102" spans="8:9" x14ac:dyDescent="0.2">
      <c r="H1102" s="64" t="str">
        <f t="shared" si="45"/>
        <v/>
      </c>
      <c r="I1102" t="str">
        <f t="shared" si="46"/>
        <v/>
      </c>
    </row>
    <row r="1103" spans="8:9" x14ac:dyDescent="0.2">
      <c r="H1103" s="64" t="str">
        <f t="shared" si="45"/>
        <v/>
      </c>
      <c r="I1103" t="str">
        <f t="shared" si="46"/>
        <v/>
      </c>
    </row>
    <row r="1104" spans="8:9" x14ac:dyDescent="0.2">
      <c r="H1104" s="64" t="str">
        <f t="shared" si="45"/>
        <v/>
      </c>
      <c r="I1104" t="str">
        <f t="shared" si="46"/>
        <v/>
      </c>
    </row>
    <row r="1105" spans="8:9" x14ac:dyDescent="0.2">
      <c r="H1105" s="64" t="str">
        <f t="shared" si="45"/>
        <v/>
      </c>
      <c r="I1105" t="str">
        <f t="shared" si="46"/>
        <v/>
      </c>
    </row>
    <row r="1106" spans="8:9" x14ac:dyDescent="0.2">
      <c r="H1106" s="64" t="str">
        <f t="shared" ref="H1106:H1123" si="47">IF(ISBLANK($B1106),"",IF(G1106&lt;120,120,""))</f>
        <v/>
      </c>
      <c r="I1106" t="str">
        <f t="shared" ref="I1106:I1123" si="48">IF(ISBLANK($B1106),"",IF($H1106="",$G1106,$H1106))</f>
        <v/>
      </c>
    </row>
    <row r="1107" spans="8:9" x14ac:dyDescent="0.2">
      <c r="H1107" s="64" t="str">
        <f t="shared" si="47"/>
        <v/>
      </c>
      <c r="I1107" t="str">
        <f t="shared" si="48"/>
        <v/>
      </c>
    </row>
    <row r="1108" spans="8:9" x14ac:dyDescent="0.2">
      <c r="H1108" s="64" t="str">
        <f t="shared" si="47"/>
        <v/>
      </c>
      <c r="I1108" t="str">
        <f t="shared" si="48"/>
        <v/>
      </c>
    </row>
    <row r="1109" spans="8:9" x14ac:dyDescent="0.2">
      <c r="H1109" s="64" t="str">
        <f t="shared" si="47"/>
        <v/>
      </c>
      <c r="I1109" t="str">
        <f t="shared" si="48"/>
        <v/>
      </c>
    </row>
    <row r="1110" spans="8:9" x14ac:dyDescent="0.2">
      <c r="H1110" s="64" t="str">
        <f t="shared" si="47"/>
        <v/>
      </c>
      <c r="I1110" t="str">
        <f t="shared" si="48"/>
        <v/>
      </c>
    </row>
    <row r="1111" spans="8:9" x14ac:dyDescent="0.2">
      <c r="H1111" s="64" t="str">
        <f t="shared" si="47"/>
        <v/>
      </c>
      <c r="I1111" t="str">
        <f t="shared" si="48"/>
        <v/>
      </c>
    </row>
    <row r="1112" spans="8:9" x14ac:dyDescent="0.2">
      <c r="H1112" s="64" t="str">
        <f t="shared" si="47"/>
        <v/>
      </c>
      <c r="I1112" t="str">
        <f t="shared" si="48"/>
        <v/>
      </c>
    </row>
    <row r="1113" spans="8:9" x14ac:dyDescent="0.2">
      <c r="H1113" s="64" t="str">
        <f t="shared" si="47"/>
        <v/>
      </c>
      <c r="I1113" t="str">
        <f t="shared" si="48"/>
        <v/>
      </c>
    </row>
    <row r="1114" spans="8:9" x14ac:dyDescent="0.2">
      <c r="H1114" s="64" t="str">
        <f t="shared" si="47"/>
        <v/>
      </c>
      <c r="I1114" t="str">
        <f t="shared" si="48"/>
        <v/>
      </c>
    </row>
    <row r="1115" spans="8:9" x14ac:dyDescent="0.2">
      <c r="H1115" s="64" t="str">
        <f t="shared" si="47"/>
        <v/>
      </c>
      <c r="I1115" t="str">
        <f t="shared" si="48"/>
        <v/>
      </c>
    </row>
    <row r="1116" spans="8:9" x14ac:dyDescent="0.2">
      <c r="H1116" s="64" t="str">
        <f t="shared" si="47"/>
        <v/>
      </c>
      <c r="I1116" t="str">
        <f t="shared" si="48"/>
        <v/>
      </c>
    </row>
    <row r="1117" spans="8:9" x14ac:dyDescent="0.2">
      <c r="H1117" s="64" t="str">
        <f t="shared" si="47"/>
        <v/>
      </c>
      <c r="I1117" t="str">
        <f t="shared" si="48"/>
        <v/>
      </c>
    </row>
    <row r="1118" spans="8:9" x14ac:dyDescent="0.2">
      <c r="H1118" s="64" t="str">
        <f t="shared" si="47"/>
        <v/>
      </c>
      <c r="I1118" t="str">
        <f t="shared" si="48"/>
        <v/>
      </c>
    </row>
    <row r="1119" spans="8:9" x14ac:dyDescent="0.2">
      <c r="H1119" s="64" t="str">
        <f t="shared" si="47"/>
        <v/>
      </c>
      <c r="I1119" t="str">
        <f t="shared" si="48"/>
        <v/>
      </c>
    </row>
    <row r="1120" spans="8:9" x14ac:dyDescent="0.2">
      <c r="H1120" s="64" t="str">
        <f t="shared" si="47"/>
        <v/>
      </c>
      <c r="I1120" t="str">
        <f t="shared" si="48"/>
        <v/>
      </c>
    </row>
    <row r="1121" spans="8:9" x14ac:dyDescent="0.2">
      <c r="H1121" s="64" t="str">
        <f t="shared" si="47"/>
        <v/>
      </c>
      <c r="I1121" t="str">
        <f t="shared" si="48"/>
        <v/>
      </c>
    </row>
    <row r="1122" spans="8:9" x14ac:dyDescent="0.2">
      <c r="H1122" s="64" t="str">
        <f t="shared" si="47"/>
        <v/>
      </c>
      <c r="I1122" t="str">
        <f t="shared" si="48"/>
        <v/>
      </c>
    </row>
    <row r="1123" spans="8:9" x14ac:dyDescent="0.2">
      <c r="H1123" s="64" t="str">
        <f t="shared" si="47"/>
        <v/>
      </c>
      <c r="I1123" t="str">
        <f t="shared" si="48"/>
        <v/>
      </c>
    </row>
  </sheetData>
  <pageMargins left="0.70866141732283472" right="0.70866141732283472" top="0.74803149606299213" bottom="0.74803149606299213" header="0.31496062992125984" footer="0.31496062992125984"/>
  <pageSetup paperSize="9" scale="50" orientation="landscape"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pageSetUpPr fitToPage="1"/>
  </sheetPr>
  <dimension ref="A1:S49"/>
  <sheetViews>
    <sheetView showGridLines="0" zoomScale="90" zoomScaleNormal="90" workbookViewId="0">
      <pane xSplit="1" ySplit="10" topLeftCell="B13" activePane="bottomRight" state="frozen"/>
      <selection pane="topRight" activeCell="B1" sqref="B1"/>
      <selection pane="bottomLeft" activeCell="A3" sqref="A3"/>
      <selection pane="bottomRight" activeCell="D38" sqref="D38"/>
    </sheetView>
  </sheetViews>
  <sheetFormatPr defaultRowHeight="12" x14ac:dyDescent="0.2"/>
  <cols>
    <col min="1" max="1" width="17" style="3" customWidth="1"/>
    <col min="2" max="5" width="17.5703125" style="53" customWidth="1"/>
    <col min="6" max="6" width="17.5703125" style="262" customWidth="1"/>
    <col min="7" max="11" width="17.5703125" style="53" customWidth="1"/>
    <col min="12" max="12" width="17.5703125" style="3" customWidth="1"/>
    <col min="13" max="16384" width="9.140625" style="3"/>
  </cols>
  <sheetData>
    <row r="1" spans="1:18" s="120" customFormat="1" ht="15.75" x14ac:dyDescent="0.25">
      <c r="A1" s="121" t="s">
        <v>396</v>
      </c>
      <c r="B1" s="119"/>
      <c r="C1" s="119"/>
      <c r="D1" s="119"/>
      <c r="E1" s="119"/>
      <c r="F1" s="261"/>
      <c r="G1" s="119"/>
      <c r="H1" s="119"/>
      <c r="I1" s="119"/>
      <c r="J1" s="119"/>
      <c r="K1" s="119"/>
    </row>
    <row r="3" spans="1:18" ht="12.75" x14ac:dyDescent="0.2">
      <c r="A3" s="47" t="s">
        <v>337</v>
      </c>
      <c r="B3" s="68">
        <f ca="1">'DELIVERY CHARGE SUMMARY'!B3</f>
        <v>43891</v>
      </c>
      <c r="C3" s="68"/>
      <c r="D3" s="68"/>
      <c r="E3" s="68"/>
    </row>
    <row r="4" spans="1:18" ht="12.75" x14ac:dyDescent="0.2">
      <c r="A4" s="47" t="s">
        <v>338</v>
      </c>
      <c r="B4" s="67">
        <f ca="1">'DELIVERY CHARGE SUMMARY'!B4</f>
        <v>3</v>
      </c>
      <c r="C4" s="67"/>
      <c r="D4" s="67"/>
      <c r="E4" s="67"/>
    </row>
    <row r="5" spans="1:18" ht="12.75" x14ac:dyDescent="0.2">
      <c r="A5" s="47" t="s">
        <v>339</v>
      </c>
      <c r="B5" s="68">
        <f ca="1">'DELIVERY CHARGE SUMMARY'!B5</f>
        <v>43891</v>
      </c>
      <c r="C5" s="68"/>
      <c r="D5" s="68"/>
      <c r="E5" s="68"/>
    </row>
    <row r="6" spans="1:18" ht="12.75" x14ac:dyDescent="0.2">
      <c r="A6" s="47" t="s">
        <v>340</v>
      </c>
      <c r="B6" s="68">
        <f ca="1">'DELIVERY CHARGE SUMMARY'!B6</f>
        <v>43921</v>
      </c>
      <c r="C6" s="68"/>
      <c r="D6" s="68"/>
      <c r="E6" s="68"/>
    </row>
    <row r="9" spans="1:18" x14ac:dyDescent="0.2">
      <c r="A9" s="107" t="s">
        <v>367</v>
      </c>
      <c r="B9" s="296" t="s">
        <v>368</v>
      </c>
      <c r="C9" s="297"/>
      <c r="D9" s="297"/>
      <c r="E9" s="298"/>
      <c r="F9" s="294" t="s">
        <v>50</v>
      </c>
      <c r="G9" s="294"/>
      <c r="H9" s="294" t="s">
        <v>55</v>
      </c>
      <c r="I9" s="294"/>
      <c r="J9" s="294"/>
      <c r="K9" s="107" t="s">
        <v>372</v>
      </c>
      <c r="L9" s="107" t="s">
        <v>374</v>
      </c>
      <c r="M9" s="294" t="s">
        <v>375</v>
      </c>
      <c r="N9" s="294"/>
      <c r="O9" s="294"/>
      <c r="P9" s="294"/>
      <c r="Q9" s="294"/>
      <c r="R9" s="294"/>
    </row>
    <row r="10" spans="1:18" x14ac:dyDescent="0.2">
      <c r="A10" s="109"/>
      <c r="B10" s="254" t="s">
        <v>536</v>
      </c>
      <c r="C10" s="254" t="s">
        <v>537</v>
      </c>
      <c r="D10" s="254" t="s">
        <v>538</v>
      </c>
      <c r="E10" s="254" t="s">
        <v>539</v>
      </c>
      <c r="F10" s="263" t="s">
        <v>51</v>
      </c>
      <c r="G10" s="108" t="s">
        <v>53</v>
      </c>
      <c r="H10" s="108" t="s">
        <v>369</v>
      </c>
      <c r="I10" s="108" t="s">
        <v>370</v>
      </c>
      <c r="J10" s="108" t="s">
        <v>371</v>
      </c>
      <c r="K10" s="109"/>
      <c r="L10" s="109"/>
      <c r="M10" s="108" t="s">
        <v>68</v>
      </c>
      <c r="N10" s="108" t="s">
        <v>69</v>
      </c>
      <c r="O10" s="108" t="s">
        <v>70</v>
      </c>
      <c r="P10" s="108" t="s">
        <v>71</v>
      </c>
      <c r="Q10" s="108" t="s">
        <v>72</v>
      </c>
      <c r="R10" s="111" t="s">
        <v>73</v>
      </c>
    </row>
    <row r="11" spans="1:18" x14ac:dyDescent="0.2">
      <c r="A11" s="92">
        <f ca="1">$B$5</f>
        <v>43891</v>
      </c>
      <c r="B11" s="251">
        <v>458</v>
      </c>
      <c r="C11" s="251"/>
      <c r="D11" s="251">
        <v>150</v>
      </c>
      <c r="E11" s="251"/>
      <c r="F11" s="264">
        <f ca="1">SUMIF('DATA PICKING PACKING UNIT'!D:D,$A11,'DATA PICKING PACKING UNIT'!$S:$S)</f>
        <v>0</v>
      </c>
      <c r="G11" s="93">
        <f ca="1">SUM(M11:R11)</f>
        <v>0</v>
      </c>
      <c r="H11" s="93"/>
      <c r="I11" s="93"/>
      <c r="J11" s="93"/>
      <c r="K11" s="93"/>
      <c r="L11" s="94"/>
      <c r="M11" s="94">
        <f ca="1">SUMIFS('DATA PICKING PACKING UNIT'!$C:$C,'DATA PICKING PACKING UNIT'!$A:$A,$A11,'DATA PICKING PACKING UNIT'!$T:$T,M$10)</f>
        <v>0</v>
      </c>
      <c r="N11" s="94">
        <f ca="1">SUMIFS('DATA PICKING PACKING UNIT'!$C:$C,'DATA PICKING PACKING UNIT'!$A:$A,$A11,'DATA PICKING PACKING UNIT'!$T:$T,N$10)</f>
        <v>0</v>
      </c>
      <c r="O11" s="94">
        <f ca="1">SUMIFS('DATA PICKING PACKING UNIT'!$C:$C,'DATA PICKING PACKING UNIT'!$A:$A,$A11,'DATA PICKING PACKING UNIT'!$T:$T,O$10)</f>
        <v>0</v>
      </c>
      <c r="P11" s="94">
        <f ca="1">SUMIFS('DATA PICKING PACKING UNIT'!$C:$C,'DATA PICKING PACKING UNIT'!$A:$A,$A11,'DATA PICKING PACKING UNIT'!$T:$T,P$10)</f>
        <v>0</v>
      </c>
      <c r="Q11" s="94">
        <f ca="1">SUMIFS('DATA PICKING PACKING UNIT'!$C:$C,'DATA PICKING PACKING UNIT'!$A:$A,$A11,'DATA PICKING PACKING UNIT'!$T:$T,Q$10)</f>
        <v>0</v>
      </c>
      <c r="R11" s="94">
        <f ca="1">SUMIFS('DATA PICKING PACKING UNIT'!$C:$C,'DATA PICKING PACKING UNIT'!$A:$A,$A11,'DATA PICKING PACKING UNIT'!$T:$T,R$10)</f>
        <v>0</v>
      </c>
    </row>
    <row r="12" spans="1:18" x14ac:dyDescent="0.2">
      <c r="A12" s="95">
        <f ca="1">IF(A11+1&gt;'PERFORMANCE DASHBOARD'!$C$8,"",A11+1)</f>
        <v>43892</v>
      </c>
      <c r="B12" s="255">
        <v>458</v>
      </c>
      <c r="C12" s="255"/>
      <c r="D12" s="255">
        <v>150</v>
      </c>
      <c r="E12" s="255"/>
      <c r="F12" s="265">
        <f ca="1">SUMIF('DATA PICKING PACKING UNIT'!D:D,$A12,'DATA PICKING PACKING UNIT'!$S:$S)</f>
        <v>14</v>
      </c>
      <c r="G12" s="93">
        <f t="shared" ref="G12:G14" ca="1" si="0">SUM(M12:R12)</f>
        <v>2</v>
      </c>
      <c r="H12" s="96"/>
      <c r="I12" s="96"/>
      <c r="J12" s="96"/>
      <c r="K12" s="96"/>
      <c r="L12" s="97"/>
      <c r="M12" s="97">
        <f ca="1">SUMIFS('DATA PICKING PACKING UNIT'!$C:$C,'DATA PICKING PACKING UNIT'!$A:$A,$A12,'DATA PICKING PACKING UNIT'!$T:$T,M$10)</f>
        <v>0</v>
      </c>
      <c r="N12" s="97">
        <f ca="1">SUMIFS('DATA PICKING PACKING UNIT'!$C:$C,'DATA PICKING PACKING UNIT'!$A:$A,$A12,'DATA PICKING PACKING UNIT'!$T:$T,N$10)</f>
        <v>0</v>
      </c>
      <c r="O12" s="97">
        <f ca="1">SUMIFS('DATA PICKING PACKING UNIT'!$C:$C,'DATA PICKING PACKING UNIT'!$A:$A,$A12,'DATA PICKING PACKING UNIT'!$T:$T,O$10)</f>
        <v>0</v>
      </c>
      <c r="P12" s="97">
        <f ca="1">SUMIFS('DATA PICKING PACKING UNIT'!$C:$C,'DATA PICKING PACKING UNIT'!$A:$A,$A12,'DATA PICKING PACKING UNIT'!$T:$T,P$10)</f>
        <v>2</v>
      </c>
      <c r="Q12" s="97">
        <f ca="1">SUMIFS('DATA PICKING PACKING UNIT'!$C:$C,'DATA PICKING PACKING UNIT'!$A:$A,$A12,'DATA PICKING PACKING UNIT'!$T:$T,Q$10)</f>
        <v>0</v>
      </c>
      <c r="R12" s="97">
        <f ca="1">SUMIFS('DATA PICKING PACKING UNIT'!$C:$C,'DATA PICKING PACKING UNIT'!$A:$A,$A12,'DATA PICKING PACKING UNIT'!$T:$T,R$10)</f>
        <v>0</v>
      </c>
    </row>
    <row r="13" spans="1:18" x14ac:dyDescent="0.2">
      <c r="A13" s="95">
        <f ca="1">IF(A12+1&gt;'PERFORMANCE DASHBOARD'!$C$8,"",A12+1)</f>
        <v>43893</v>
      </c>
      <c r="B13" s="255">
        <v>457</v>
      </c>
      <c r="C13" s="255"/>
      <c r="D13" s="255">
        <v>150</v>
      </c>
      <c r="E13" s="250"/>
      <c r="F13" s="265">
        <f ca="1">SUMIF('DATA PICKING PACKING UNIT'!D:D,$A13,'DATA PICKING PACKING UNIT'!$S:$S)</f>
        <v>13</v>
      </c>
      <c r="G13" s="93">
        <f t="shared" ca="1" si="0"/>
        <v>1</v>
      </c>
      <c r="H13" s="96"/>
      <c r="I13" s="96"/>
      <c r="J13" s="96"/>
      <c r="K13" s="96"/>
      <c r="L13" s="97"/>
      <c r="M13" s="97">
        <f ca="1">SUMIFS('DATA PICKING PACKING UNIT'!$C:$C,'DATA PICKING PACKING UNIT'!$A:$A,$A13,'DATA PICKING PACKING UNIT'!$T:$T,M$10)</f>
        <v>0</v>
      </c>
      <c r="N13" s="97">
        <f ca="1">SUMIFS('DATA PICKING PACKING UNIT'!$C:$C,'DATA PICKING PACKING UNIT'!$A:$A,$A13,'DATA PICKING PACKING UNIT'!$T:$T,N$10)</f>
        <v>0</v>
      </c>
      <c r="O13" s="97">
        <f ca="1">SUMIFS('DATA PICKING PACKING UNIT'!$C:$C,'DATA PICKING PACKING UNIT'!$A:$A,$A13,'DATA PICKING PACKING UNIT'!$T:$T,O$10)</f>
        <v>0</v>
      </c>
      <c r="P13" s="97">
        <f ca="1">SUMIFS('DATA PICKING PACKING UNIT'!$C:$C,'DATA PICKING PACKING UNIT'!$A:$A,$A13,'DATA PICKING PACKING UNIT'!$T:$T,P$10)</f>
        <v>1</v>
      </c>
      <c r="Q13" s="97">
        <f ca="1">SUMIFS('DATA PICKING PACKING UNIT'!$C:$C,'DATA PICKING PACKING UNIT'!$A:$A,$A13,'DATA PICKING PACKING UNIT'!$T:$T,Q$10)</f>
        <v>0</v>
      </c>
      <c r="R13" s="97">
        <f ca="1">SUMIFS('DATA PICKING PACKING UNIT'!$C:$C,'DATA PICKING PACKING UNIT'!$A:$A,$A13,'DATA PICKING PACKING UNIT'!$T:$T,R$10)</f>
        <v>0</v>
      </c>
    </row>
    <row r="14" spans="1:18" x14ac:dyDescent="0.2">
      <c r="A14" s="95">
        <f ca="1">IF(A13+1&gt;'PERFORMANCE DASHBOARD'!$C$8,"",A13+1)</f>
        <v>43894</v>
      </c>
      <c r="B14" s="255">
        <v>457</v>
      </c>
      <c r="C14" s="255"/>
      <c r="D14" s="255">
        <v>150</v>
      </c>
      <c r="E14" s="250"/>
      <c r="F14" s="265">
        <f ca="1">SUMIF('DATA PICKING PACKING UNIT'!D:D,$A14,'DATA PICKING PACKING UNIT'!$S:$S)</f>
        <v>0</v>
      </c>
      <c r="G14" s="93">
        <f t="shared" ca="1" si="0"/>
        <v>0</v>
      </c>
      <c r="H14" s="96"/>
      <c r="I14" s="96"/>
      <c r="J14" s="96"/>
      <c r="K14" s="96"/>
      <c r="L14" s="97"/>
      <c r="M14" s="97">
        <f ca="1">SUMIFS('DATA PICKING PACKING UNIT'!$C:$C,'DATA PICKING PACKING UNIT'!$A:$A,$A14,'DATA PICKING PACKING UNIT'!$T:$T,M$10)</f>
        <v>0</v>
      </c>
      <c r="N14" s="97">
        <f ca="1">SUMIFS('DATA PICKING PACKING UNIT'!$C:$C,'DATA PICKING PACKING UNIT'!$A:$A,$A14,'DATA PICKING PACKING UNIT'!$T:$T,N$10)</f>
        <v>0</v>
      </c>
      <c r="O14" s="97">
        <f ca="1">SUMIFS('DATA PICKING PACKING UNIT'!$C:$C,'DATA PICKING PACKING UNIT'!$A:$A,$A14,'DATA PICKING PACKING UNIT'!$T:$T,O$10)</f>
        <v>0</v>
      </c>
      <c r="P14" s="97">
        <f ca="1">SUMIFS('DATA PICKING PACKING UNIT'!$C:$C,'DATA PICKING PACKING UNIT'!$A:$A,$A14,'DATA PICKING PACKING UNIT'!$T:$T,P$10)</f>
        <v>0</v>
      </c>
      <c r="Q14" s="97">
        <f ca="1">SUMIFS('DATA PICKING PACKING UNIT'!$C:$C,'DATA PICKING PACKING UNIT'!$A:$A,$A14,'DATA PICKING PACKING UNIT'!$T:$T,Q$10)</f>
        <v>0</v>
      </c>
      <c r="R14" s="97">
        <f ca="1">SUMIFS('DATA PICKING PACKING UNIT'!$C:$C,'DATA PICKING PACKING UNIT'!$A:$A,$A14,'DATA PICKING PACKING UNIT'!$T:$T,R$10)</f>
        <v>0</v>
      </c>
    </row>
    <row r="15" spans="1:18" x14ac:dyDescent="0.2">
      <c r="A15" s="95">
        <f ca="1">IF(A14+1&gt;'PERFORMANCE DASHBOARD'!$C$8,"",A14+1)</f>
        <v>43895</v>
      </c>
      <c r="B15" s="255">
        <v>456</v>
      </c>
      <c r="C15" s="255"/>
      <c r="D15" s="255">
        <v>150</v>
      </c>
      <c r="E15" s="250"/>
      <c r="F15" s="265">
        <f ca="1">SUMIF('DATA PICKING PACKING UNIT'!D:D,$A15,'DATA PICKING PACKING UNIT'!$S:$S)</f>
        <v>14.5</v>
      </c>
      <c r="G15" s="96">
        <f t="shared" ref="G15:G41" ca="1" si="1">SUM(M15:R15)</f>
        <v>3</v>
      </c>
      <c r="H15" s="96"/>
      <c r="I15" s="96"/>
      <c r="J15" s="96"/>
      <c r="K15" s="96"/>
      <c r="L15" s="97"/>
      <c r="M15" s="97">
        <f ca="1">SUMIFS('DATA PICKING PACKING UNIT'!$C:$C,'DATA PICKING PACKING UNIT'!$A:$A,$A15,'DATA PICKING PACKING UNIT'!$T:$T,M$10)</f>
        <v>0</v>
      </c>
      <c r="N15" s="97">
        <f ca="1">SUMIFS('DATA PICKING PACKING UNIT'!$C:$C,'DATA PICKING PACKING UNIT'!$A:$A,$A15,'DATA PICKING PACKING UNIT'!$T:$T,N$10)</f>
        <v>2</v>
      </c>
      <c r="O15" s="97">
        <f ca="1">SUMIFS('DATA PICKING PACKING UNIT'!$C:$C,'DATA PICKING PACKING UNIT'!$A:$A,$A15,'DATA PICKING PACKING UNIT'!$T:$T,O$10)</f>
        <v>1</v>
      </c>
      <c r="P15" s="97">
        <f ca="1">SUMIFS('DATA PICKING PACKING UNIT'!$C:$C,'DATA PICKING PACKING UNIT'!$A:$A,$A15,'DATA PICKING PACKING UNIT'!$T:$T,P$10)</f>
        <v>0</v>
      </c>
      <c r="Q15" s="97">
        <f ca="1">SUMIFS('DATA PICKING PACKING UNIT'!$C:$C,'DATA PICKING PACKING UNIT'!$A:$A,$A15,'DATA PICKING PACKING UNIT'!$T:$T,Q$10)</f>
        <v>0</v>
      </c>
      <c r="R15" s="97">
        <f ca="1">SUMIFS('DATA PICKING PACKING UNIT'!$C:$C,'DATA PICKING PACKING UNIT'!$A:$A,$A15,'DATA PICKING PACKING UNIT'!$T:$T,R$10)</f>
        <v>0</v>
      </c>
    </row>
    <row r="16" spans="1:18" x14ac:dyDescent="0.2">
      <c r="A16" s="95">
        <f ca="1">IF(A15+1&gt;'PERFORMANCE DASHBOARD'!$C$8,"",A15+1)</f>
        <v>43896</v>
      </c>
      <c r="B16" s="255">
        <v>456</v>
      </c>
      <c r="C16" s="255"/>
      <c r="D16" s="255">
        <v>150</v>
      </c>
      <c r="E16" s="250"/>
      <c r="F16" s="265">
        <f ca="1">SUMIF('DATA PICKING PACKING UNIT'!D:D,$A16,'DATA PICKING PACKING UNIT'!$S:$S)</f>
        <v>0</v>
      </c>
      <c r="G16" s="96">
        <f t="shared" ca="1" si="1"/>
        <v>0</v>
      </c>
      <c r="H16" s="96"/>
      <c r="I16" s="96"/>
      <c r="J16" s="96"/>
      <c r="K16" s="96"/>
      <c r="L16" s="97"/>
      <c r="M16" s="97">
        <f ca="1">SUMIFS('DATA PICKING PACKING UNIT'!$C:$C,'DATA PICKING PACKING UNIT'!$A:$A,$A16,'DATA PICKING PACKING UNIT'!$T:$T,M$10)</f>
        <v>0</v>
      </c>
      <c r="N16" s="97">
        <f ca="1">SUMIFS('DATA PICKING PACKING UNIT'!$C:$C,'DATA PICKING PACKING UNIT'!$A:$A,$A16,'DATA PICKING PACKING UNIT'!$T:$T,N$10)</f>
        <v>0</v>
      </c>
      <c r="O16" s="97">
        <f ca="1">SUMIFS('DATA PICKING PACKING UNIT'!$C:$C,'DATA PICKING PACKING UNIT'!$A:$A,$A16,'DATA PICKING PACKING UNIT'!$T:$T,O$10)</f>
        <v>0</v>
      </c>
      <c r="P16" s="97">
        <f ca="1">SUMIFS('DATA PICKING PACKING UNIT'!$C:$C,'DATA PICKING PACKING UNIT'!$A:$A,$A16,'DATA PICKING PACKING UNIT'!$T:$T,P$10)</f>
        <v>0</v>
      </c>
      <c r="Q16" s="97">
        <f ca="1">SUMIFS('DATA PICKING PACKING UNIT'!$C:$C,'DATA PICKING PACKING UNIT'!$A:$A,$A16,'DATA PICKING PACKING UNIT'!$T:$T,Q$10)</f>
        <v>0</v>
      </c>
      <c r="R16" s="97">
        <f ca="1">SUMIFS('DATA PICKING PACKING UNIT'!$C:$C,'DATA PICKING PACKING UNIT'!$A:$A,$A16,'DATA PICKING PACKING UNIT'!$T:$T,R$10)</f>
        <v>0</v>
      </c>
    </row>
    <row r="17" spans="1:18" x14ac:dyDescent="0.2">
      <c r="A17" s="95">
        <f ca="1">IF(A16+1&gt;'PERFORMANCE DASHBOARD'!$C$8,"",A16+1)</f>
        <v>43897</v>
      </c>
      <c r="B17" s="250">
        <v>456</v>
      </c>
      <c r="C17" s="250"/>
      <c r="D17" s="250">
        <v>150</v>
      </c>
      <c r="E17" s="250"/>
      <c r="F17" s="265">
        <f ca="1">SUMIF('DATA PICKING PACKING UNIT'!D:D,$A17,'DATA PICKING PACKING UNIT'!$S:$S)</f>
        <v>0</v>
      </c>
      <c r="G17" s="96">
        <f t="shared" ca="1" si="1"/>
        <v>0</v>
      </c>
      <c r="H17" s="96"/>
      <c r="I17" s="96"/>
      <c r="J17" s="96"/>
      <c r="K17" s="96"/>
      <c r="L17" s="97"/>
      <c r="M17" s="97">
        <f ca="1">SUMIFS('DATA PICKING PACKING UNIT'!$C:$C,'DATA PICKING PACKING UNIT'!$A:$A,$A17,'DATA PICKING PACKING UNIT'!$T:$T,M$10)</f>
        <v>0</v>
      </c>
      <c r="N17" s="97">
        <f ca="1">SUMIFS('DATA PICKING PACKING UNIT'!$C:$C,'DATA PICKING PACKING UNIT'!$A:$A,$A17,'DATA PICKING PACKING UNIT'!$T:$T,N$10)</f>
        <v>0</v>
      </c>
      <c r="O17" s="97">
        <f ca="1">SUMIFS('DATA PICKING PACKING UNIT'!$C:$C,'DATA PICKING PACKING UNIT'!$A:$A,$A17,'DATA PICKING PACKING UNIT'!$T:$T,O$10)</f>
        <v>0</v>
      </c>
      <c r="P17" s="97">
        <f ca="1">SUMIFS('DATA PICKING PACKING UNIT'!$C:$C,'DATA PICKING PACKING UNIT'!$A:$A,$A17,'DATA PICKING PACKING UNIT'!$T:$T,P$10)</f>
        <v>0</v>
      </c>
      <c r="Q17" s="97">
        <f ca="1">SUMIFS('DATA PICKING PACKING UNIT'!$C:$C,'DATA PICKING PACKING UNIT'!$A:$A,$A17,'DATA PICKING PACKING UNIT'!$T:$T,Q$10)</f>
        <v>0</v>
      </c>
      <c r="R17" s="97">
        <f ca="1">SUMIFS('DATA PICKING PACKING UNIT'!$C:$C,'DATA PICKING PACKING UNIT'!$A:$A,$A17,'DATA PICKING PACKING UNIT'!$T:$T,R$10)</f>
        <v>0</v>
      </c>
    </row>
    <row r="18" spans="1:18" x14ac:dyDescent="0.2">
      <c r="A18" s="95">
        <f ca="1">IF(A17+1&gt;'PERFORMANCE DASHBOARD'!$C$8,"",A17+1)</f>
        <v>43898</v>
      </c>
      <c r="B18" s="250">
        <v>456</v>
      </c>
      <c r="C18" s="250"/>
      <c r="D18" s="250">
        <v>150</v>
      </c>
      <c r="E18" s="250"/>
      <c r="F18" s="265">
        <f ca="1">SUMIF('DATA PICKING PACKING UNIT'!D:D,$A18,'DATA PICKING PACKING UNIT'!$S:$S)</f>
        <v>0</v>
      </c>
      <c r="G18" s="96">
        <f t="shared" ca="1" si="1"/>
        <v>0</v>
      </c>
      <c r="H18" s="96"/>
      <c r="I18" s="96"/>
      <c r="J18" s="96"/>
      <c r="K18" s="96"/>
      <c r="L18" s="97"/>
      <c r="M18" s="97">
        <f ca="1">SUMIFS('DATA PICKING PACKING UNIT'!$C:$C,'DATA PICKING PACKING UNIT'!$A:$A,$A18,'DATA PICKING PACKING UNIT'!$T:$T,M$10)</f>
        <v>0</v>
      </c>
      <c r="N18" s="97">
        <f ca="1">SUMIFS('DATA PICKING PACKING UNIT'!$C:$C,'DATA PICKING PACKING UNIT'!$A:$A,$A18,'DATA PICKING PACKING UNIT'!$T:$T,N$10)</f>
        <v>0</v>
      </c>
      <c r="O18" s="97">
        <f ca="1">SUMIFS('DATA PICKING PACKING UNIT'!$C:$C,'DATA PICKING PACKING UNIT'!$A:$A,$A18,'DATA PICKING PACKING UNIT'!$T:$T,O$10)</f>
        <v>0</v>
      </c>
      <c r="P18" s="97">
        <f ca="1">SUMIFS('DATA PICKING PACKING UNIT'!$C:$C,'DATA PICKING PACKING UNIT'!$A:$A,$A18,'DATA PICKING PACKING UNIT'!$T:$T,P$10)</f>
        <v>0</v>
      </c>
      <c r="Q18" s="97">
        <f ca="1">SUMIFS('DATA PICKING PACKING UNIT'!$C:$C,'DATA PICKING PACKING UNIT'!$A:$A,$A18,'DATA PICKING PACKING UNIT'!$T:$T,Q$10)</f>
        <v>0</v>
      </c>
      <c r="R18" s="97">
        <f ca="1">SUMIFS('DATA PICKING PACKING UNIT'!$C:$C,'DATA PICKING PACKING UNIT'!$A:$A,$A18,'DATA PICKING PACKING UNIT'!$T:$T,R$10)</f>
        <v>0</v>
      </c>
    </row>
    <row r="19" spans="1:18" x14ac:dyDescent="0.2">
      <c r="A19" s="95">
        <f ca="1">IF(A18+1&gt;'PERFORMANCE DASHBOARD'!$C$8,"",A18+1)</f>
        <v>43899</v>
      </c>
      <c r="B19" s="250">
        <v>456</v>
      </c>
      <c r="C19" s="250"/>
      <c r="D19" s="250">
        <v>149</v>
      </c>
      <c r="E19" s="250"/>
      <c r="F19" s="265">
        <f ca="1">SUMIF('DATA PICKING PACKING UNIT'!D:D,$A19,'DATA PICKING PACKING UNIT'!$S:$S)</f>
        <v>103</v>
      </c>
      <c r="G19" s="96">
        <f t="shared" ca="1" si="1"/>
        <v>4</v>
      </c>
      <c r="H19" s="96"/>
      <c r="I19" s="96"/>
      <c r="J19" s="96"/>
      <c r="K19" s="96"/>
      <c r="L19" s="97"/>
      <c r="M19" s="97">
        <f ca="1">SUMIFS('DATA PICKING PACKING UNIT'!$C:$C,'DATA PICKING PACKING UNIT'!$A:$A,$A19,'DATA PICKING PACKING UNIT'!$T:$T,M$10)</f>
        <v>1</v>
      </c>
      <c r="N19" s="97">
        <f ca="1">SUMIFS('DATA PICKING PACKING UNIT'!$C:$C,'DATA PICKING PACKING UNIT'!$A:$A,$A19,'DATA PICKING PACKING UNIT'!$T:$T,N$10)</f>
        <v>0</v>
      </c>
      <c r="O19" s="97">
        <f ca="1">SUMIFS('DATA PICKING PACKING UNIT'!$C:$C,'DATA PICKING PACKING UNIT'!$A:$A,$A19,'DATA PICKING PACKING UNIT'!$T:$T,O$10)</f>
        <v>0</v>
      </c>
      <c r="P19" s="97">
        <f ca="1">SUMIFS('DATA PICKING PACKING UNIT'!$C:$C,'DATA PICKING PACKING UNIT'!$A:$A,$A19,'DATA PICKING PACKING UNIT'!$T:$T,P$10)</f>
        <v>3</v>
      </c>
      <c r="Q19" s="97">
        <f ca="1">SUMIFS('DATA PICKING PACKING UNIT'!$C:$C,'DATA PICKING PACKING UNIT'!$A:$A,$A19,'DATA PICKING PACKING UNIT'!$T:$T,Q$10)</f>
        <v>0</v>
      </c>
      <c r="R19" s="97">
        <f ca="1">SUMIFS('DATA PICKING PACKING UNIT'!$C:$C,'DATA PICKING PACKING UNIT'!$A:$A,$A19,'DATA PICKING PACKING UNIT'!$T:$T,R$10)</f>
        <v>0</v>
      </c>
    </row>
    <row r="20" spans="1:18" x14ac:dyDescent="0.2">
      <c r="A20" s="95">
        <f ca="1">IF(A19+1&gt;'PERFORMANCE DASHBOARD'!$C$8,"",A19+1)</f>
        <v>43900</v>
      </c>
      <c r="B20" s="250">
        <v>456</v>
      </c>
      <c r="C20" s="250"/>
      <c r="D20" s="250">
        <v>149</v>
      </c>
      <c r="E20" s="250"/>
      <c r="F20" s="265">
        <f ca="1">SUMIF('DATA PICKING PACKING UNIT'!D:D,$A20,'DATA PICKING PACKING UNIT'!$S:$S)</f>
        <v>17</v>
      </c>
      <c r="G20" s="96">
        <f t="shared" ca="1" si="1"/>
        <v>3</v>
      </c>
      <c r="H20" s="96"/>
      <c r="I20" s="96"/>
      <c r="J20" s="96"/>
      <c r="K20" s="96"/>
      <c r="L20" s="97"/>
      <c r="M20" s="97">
        <f ca="1">SUMIFS('DATA PICKING PACKING UNIT'!$C:$C,'DATA PICKING PACKING UNIT'!$A:$A,$A20,'DATA PICKING PACKING UNIT'!$T:$T,M$10)</f>
        <v>0</v>
      </c>
      <c r="N20" s="97">
        <f ca="1">SUMIFS('DATA PICKING PACKING UNIT'!$C:$C,'DATA PICKING PACKING UNIT'!$A:$A,$A20,'DATA PICKING PACKING UNIT'!$T:$T,N$10)</f>
        <v>3</v>
      </c>
      <c r="O20" s="97">
        <f ca="1">SUMIFS('DATA PICKING PACKING UNIT'!$C:$C,'DATA PICKING PACKING UNIT'!$A:$A,$A20,'DATA PICKING PACKING UNIT'!$T:$T,O$10)</f>
        <v>0</v>
      </c>
      <c r="P20" s="97">
        <f ca="1">SUMIFS('DATA PICKING PACKING UNIT'!$C:$C,'DATA PICKING PACKING UNIT'!$A:$A,$A20,'DATA PICKING PACKING UNIT'!$T:$T,P$10)</f>
        <v>0</v>
      </c>
      <c r="Q20" s="97">
        <f ca="1">SUMIFS('DATA PICKING PACKING UNIT'!$C:$C,'DATA PICKING PACKING UNIT'!$A:$A,$A20,'DATA PICKING PACKING UNIT'!$T:$T,Q$10)</f>
        <v>0</v>
      </c>
      <c r="R20" s="97">
        <f ca="1">SUMIFS('DATA PICKING PACKING UNIT'!$C:$C,'DATA PICKING PACKING UNIT'!$A:$A,$A20,'DATA PICKING PACKING UNIT'!$T:$T,R$10)</f>
        <v>0</v>
      </c>
    </row>
    <row r="21" spans="1:18" x14ac:dyDescent="0.2">
      <c r="A21" s="95">
        <f ca="1">IF(A20+1&gt;'PERFORMANCE DASHBOARD'!$C$8,"",A20+1)</f>
        <v>43901</v>
      </c>
      <c r="B21" s="250">
        <v>456</v>
      </c>
      <c r="C21" s="250"/>
      <c r="D21" s="250">
        <v>149</v>
      </c>
      <c r="E21" s="250"/>
      <c r="F21" s="265">
        <f ca="1">SUMIF('DATA PICKING PACKING UNIT'!D:D,$A21,'DATA PICKING PACKING UNIT'!$S:$S)</f>
        <v>0</v>
      </c>
      <c r="G21" s="96">
        <f t="shared" ca="1" si="1"/>
        <v>0</v>
      </c>
      <c r="H21" s="96"/>
      <c r="I21" s="96"/>
      <c r="J21" s="96"/>
      <c r="K21" s="96"/>
      <c r="L21" s="97"/>
      <c r="M21" s="97">
        <f ca="1">SUMIFS('DATA PICKING PACKING UNIT'!$C:$C,'DATA PICKING PACKING UNIT'!$A:$A,$A21,'DATA PICKING PACKING UNIT'!$T:$T,M$10)</f>
        <v>0</v>
      </c>
      <c r="N21" s="97">
        <f ca="1">SUMIFS('DATA PICKING PACKING UNIT'!$C:$C,'DATA PICKING PACKING UNIT'!$A:$A,$A21,'DATA PICKING PACKING UNIT'!$T:$T,N$10)</f>
        <v>0</v>
      </c>
      <c r="O21" s="97">
        <f ca="1">SUMIFS('DATA PICKING PACKING UNIT'!$C:$C,'DATA PICKING PACKING UNIT'!$A:$A,$A21,'DATA PICKING PACKING UNIT'!$T:$T,O$10)</f>
        <v>0</v>
      </c>
      <c r="P21" s="97">
        <f ca="1">SUMIFS('DATA PICKING PACKING UNIT'!$C:$C,'DATA PICKING PACKING UNIT'!$A:$A,$A21,'DATA PICKING PACKING UNIT'!$T:$T,P$10)</f>
        <v>0</v>
      </c>
      <c r="Q21" s="97">
        <f ca="1">SUMIFS('DATA PICKING PACKING UNIT'!$C:$C,'DATA PICKING PACKING UNIT'!$A:$A,$A21,'DATA PICKING PACKING UNIT'!$T:$T,Q$10)</f>
        <v>0</v>
      </c>
      <c r="R21" s="97">
        <f ca="1">SUMIFS('DATA PICKING PACKING UNIT'!$C:$C,'DATA PICKING PACKING UNIT'!$A:$A,$A21,'DATA PICKING PACKING UNIT'!$T:$T,R$10)</f>
        <v>0</v>
      </c>
    </row>
    <row r="22" spans="1:18" x14ac:dyDescent="0.2">
      <c r="A22" s="95">
        <f ca="1">IF(A21+1&gt;'PERFORMANCE DASHBOARD'!$C$8,"",A21+1)</f>
        <v>43902</v>
      </c>
      <c r="B22" s="250">
        <v>453</v>
      </c>
      <c r="C22" s="250"/>
      <c r="D22" s="250">
        <v>149</v>
      </c>
      <c r="E22" s="250"/>
      <c r="F22" s="265">
        <f ca="1">SUMIF('DATA PICKING PACKING UNIT'!D:D,$A22,'DATA PICKING PACKING UNIT'!$S:$S)</f>
        <v>132.33333333333334</v>
      </c>
      <c r="G22" s="96">
        <f t="shared" ca="1" si="1"/>
        <v>8</v>
      </c>
      <c r="H22" s="96"/>
      <c r="I22" s="96"/>
      <c r="J22" s="96"/>
      <c r="K22" s="96"/>
      <c r="L22" s="97"/>
      <c r="M22" s="97">
        <f ca="1">SUMIFS('DATA PICKING PACKING UNIT'!$C:$C,'DATA PICKING PACKING UNIT'!$A:$A,$A22,'DATA PICKING PACKING UNIT'!$T:$T,M$10)</f>
        <v>1</v>
      </c>
      <c r="N22" s="97">
        <f ca="1">SUMIFS('DATA PICKING PACKING UNIT'!$C:$C,'DATA PICKING PACKING UNIT'!$A:$A,$A22,'DATA PICKING PACKING UNIT'!$T:$T,N$10)</f>
        <v>0</v>
      </c>
      <c r="O22" s="97">
        <f ca="1">SUMIFS('DATA PICKING PACKING UNIT'!$C:$C,'DATA PICKING PACKING UNIT'!$A:$A,$A22,'DATA PICKING PACKING UNIT'!$T:$T,O$10)</f>
        <v>2</v>
      </c>
      <c r="P22" s="97">
        <f ca="1">SUMIFS('DATA PICKING PACKING UNIT'!$C:$C,'DATA PICKING PACKING UNIT'!$A:$A,$A22,'DATA PICKING PACKING UNIT'!$T:$T,P$10)</f>
        <v>5</v>
      </c>
      <c r="Q22" s="97">
        <f ca="1">SUMIFS('DATA PICKING PACKING UNIT'!$C:$C,'DATA PICKING PACKING UNIT'!$A:$A,$A22,'DATA PICKING PACKING UNIT'!$T:$T,Q$10)</f>
        <v>0</v>
      </c>
      <c r="R22" s="97">
        <f ca="1">SUMIFS('DATA PICKING PACKING UNIT'!$C:$C,'DATA PICKING PACKING UNIT'!$A:$A,$A22,'DATA PICKING PACKING UNIT'!$T:$T,R$10)</f>
        <v>0</v>
      </c>
    </row>
    <row r="23" spans="1:18" x14ac:dyDescent="0.2">
      <c r="A23" s="95">
        <f ca="1">IF(A22+1&gt;'PERFORMANCE DASHBOARD'!$C$8,"",A22+1)</f>
        <v>43903</v>
      </c>
      <c r="B23" s="250">
        <v>452</v>
      </c>
      <c r="C23" s="250"/>
      <c r="D23" s="250">
        <v>149</v>
      </c>
      <c r="E23" s="250"/>
      <c r="F23" s="265">
        <f ca="1">SUMIF('DATA PICKING PACKING UNIT'!D:D,$A23,'DATA PICKING PACKING UNIT'!$S:$S)</f>
        <v>10</v>
      </c>
      <c r="G23" s="96">
        <f t="shared" ca="1" si="1"/>
        <v>1</v>
      </c>
      <c r="H23" s="96"/>
      <c r="I23" s="96"/>
      <c r="J23" s="96"/>
      <c r="K23" s="96"/>
      <c r="L23" s="97"/>
      <c r="M23" s="97">
        <f ca="1">SUMIFS('DATA PICKING PACKING UNIT'!$C:$C,'DATA PICKING PACKING UNIT'!$A:$A,$A23,'DATA PICKING PACKING UNIT'!$T:$T,M$10)</f>
        <v>0</v>
      </c>
      <c r="N23" s="97">
        <f ca="1">SUMIFS('DATA PICKING PACKING UNIT'!$C:$C,'DATA PICKING PACKING UNIT'!$A:$A,$A23,'DATA PICKING PACKING UNIT'!$T:$T,N$10)</f>
        <v>0</v>
      </c>
      <c r="O23" s="97">
        <f ca="1">SUMIFS('DATA PICKING PACKING UNIT'!$C:$C,'DATA PICKING PACKING UNIT'!$A:$A,$A23,'DATA PICKING PACKING UNIT'!$T:$T,O$10)</f>
        <v>1</v>
      </c>
      <c r="P23" s="97">
        <f ca="1">SUMIFS('DATA PICKING PACKING UNIT'!$C:$C,'DATA PICKING PACKING UNIT'!$A:$A,$A23,'DATA PICKING PACKING UNIT'!$T:$T,P$10)</f>
        <v>0</v>
      </c>
      <c r="Q23" s="97">
        <f ca="1">SUMIFS('DATA PICKING PACKING UNIT'!$C:$C,'DATA PICKING PACKING UNIT'!$A:$A,$A23,'DATA PICKING PACKING UNIT'!$T:$T,Q$10)</f>
        <v>0</v>
      </c>
      <c r="R23" s="97">
        <f ca="1">SUMIFS('DATA PICKING PACKING UNIT'!$C:$C,'DATA PICKING PACKING UNIT'!$A:$A,$A23,'DATA PICKING PACKING UNIT'!$T:$T,R$10)</f>
        <v>0</v>
      </c>
    </row>
    <row r="24" spans="1:18" x14ac:dyDescent="0.2">
      <c r="A24" s="95">
        <f ca="1">IF(A23+1&gt;'PERFORMANCE DASHBOARD'!$C$8,"",A23+1)</f>
        <v>43904</v>
      </c>
      <c r="B24" s="250">
        <v>451</v>
      </c>
      <c r="C24" s="250"/>
      <c r="D24" s="250">
        <v>148</v>
      </c>
      <c r="E24" s="250"/>
      <c r="F24" s="265">
        <f ca="1">SUMIF('DATA PICKING PACKING UNIT'!D:D,$A24,'DATA PICKING PACKING UNIT'!$S:$S)</f>
        <v>267</v>
      </c>
      <c r="G24" s="96">
        <f t="shared" ca="1" si="1"/>
        <v>12</v>
      </c>
      <c r="H24" s="96"/>
      <c r="I24" s="96"/>
      <c r="J24" s="96"/>
      <c r="K24" s="96"/>
      <c r="L24" s="97"/>
      <c r="M24" s="97">
        <f ca="1">SUMIFS('DATA PICKING PACKING UNIT'!$C:$C,'DATA PICKING PACKING UNIT'!$A:$A,$A24,'DATA PICKING PACKING UNIT'!$T:$T,M$10)</f>
        <v>0</v>
      </c>
      <c r="N24" s="97">
        <f ca="1">SUMIFS('DATA PICKING PACKING UNIT'!$C:$C,'DATA PICKING PACKING UNIT'!$A:$A,$A24,'DATA PICKING PACKING UNIT'!$T:$T,N$10)</f>
        <v>0</v>
      </c>
      <c r="O24" s="97">
        <f ca="1">SUMIFS('DATA PICKING PACKING UNIT'!$C:$C,'DATA PICKING PACKING UNIT'!$A:$A,$A24,'DATA PICKING PACKING UNIT'!$T:$T,O$10)</f>
        <v>0</v>
      </c>
      <c r="P24" s="97">
        <f ca="1">SUMIFS('DATA PICKING PACKING UNIT'!$C:$C,'DATA PICKING PACKING UNIT'!$A:$A,$A24,'DATA PICKING PACKING UNIT'!$T:$T,P$10)</f>
        <v>12</v>
      </c>
      <c r="Q24" s="97">
        <f ca="1">SUMIFS('DATA PICKING PACKING UNIT'!$C:$C,'DATA PICKING PACKING UNIT'!$A:$A,$A24,'DATA PICKING PACKING UNIT'!$T:$T,Q$10)</f>
        <v>0</v>
      </c>
      <c r="R24" s="97">
        <f ca="1">SUMIFS('DATA PICKING PACKING UNIT'!$C:$C,'DATA PICKING PACKING UNIT'!$A:$A,$A24,'DATA PICKING PACKING UNIT'!$T:$T,R$10)</f>
        <v>0</v>
      </c>
    </row>
    <row r="25" spans="1:18" x14ac:dyDescent="0.2">
      <c r="A25" s="95">
        <f ca="1">IF(A24+1&gt;'PERFORMANCE DASHBOARD'!$C$8,"",A24+1)</f>
        <v>43905</v>
      </c>
      <c r="B25" s="250">
        <v>451</v>
      </c>
      <c r="C25" s="250"/>
      <c r="D25" s="250">
        <v>148</v>
      </c>
      <c r="E25" s="250"/>
      <c r="F25" s="265">
        <f ca="1">SUMIF('DATA PICKING PACKING UNIT'!D:D,$A25,'DATA PICKING PACKING UNIT'!$S:$S)</f>
        <v>0</v>
      </c>
      <c r="G25" s="96">
        <f t="shared" ca="1" si="1"/>
        <v>0</v>
      </c>
      <c r="H25" s="96"/>
      <c r="I25" s="96"/>
      <c r="J25" s="96"/>
      <c r="K25" s="96"/>
      <c r="L25" s="97"/>
      <c r="M25" s="97">
        <f ca="1">SUMIFS('DATA PICKING PACKING UNIT'!$C:$C,'DATA PICKING PACKING UNIT'!$A:$A,$A25,'DATA PICKING PACKING UNIT'!$T:$T,M$10)</f>
        <v>0</v>
      </c>
      <c r="N25" s="97">
        <f ca="1">SUMIFS('DATA PICKING PACKING UNIT'!$C:$C,'DATA PICKING PACKING UNIT'!$A:$A,$A25,'DATA PICKING PACKING UNIT'!$T:$T,N$10)</f>
        <v>0</v>
      </c>
      <c r="O25" s="97">
        <f ca="1">SUMIFS('DATA PICKING PACKING UNIT'!$C:$C,'DATA PICKING PACKING UNIT'!$A:$A,$A25,'DATA PICKING PACKING UNIT'!$T:$T,O$10)</f>
        <v>0</v>
      </c>
      <c r="P25" s="97">
        <f ca="1">SUMIFS('DATA PICKING PACKING UNIT'!$C:$C,'DATA PICKING PACKING UNIT'!$A:$A,$A25,'DATA PICKING PACKING UNIT'!$T:$T,P$10)</f>
        <v>0</v>
      </c>
      <c r="Q25" s="97">
        <f ca="1">SUMIFS('DATA PICKING PACKING UNIT'!$C:$C,'DATA PICKING PACKING UNIT'!$A:$A,$A25,'DATA PICKING PACKING UNIT'!$T:$T,Q$10)</f>
        <v>0</v>
      </c>
      <c r="R25" s="97">
        <f ca="1">SUMIFS('DATA PICKING PACKING UNIT'!$C:$C,'DATA PICKING PACKING UNIT'!$A:$A,$A25,'DATA PICKING PACKING UNIT'!$T:$T,R$10)</f>
        <v>0</v>
      </c>
    </row>
    <row r="26" spans="1:18" x14ac:dyDescent="0.2">
      <c r="A26" s="95">
        <f ca="1">IF(A25+1&gt;'PERFORMANCE DASHBOARD'!$C$8,"",A25+1)</f>
        <v>43906</v>
      </c>
      <c r="B26" s="250">
        <v>451</v>
      </c>
      <c r="C26" s="250"/>
      <c r="D26" s="250">
        <v>139</v>
      </c>
      <c r="E26" s="250"/>
      <c r="F26" s="265">
        <f ca="1">SUMIF('DATA PICKING PACKING UNIT'!D:D,$A26,'DATA PICKING PACKING UNIT'!$S:$S)</f>
        <v>10</v>
      </c>
      <c r="G26" s="96">
        <f t="shared" ca="1" si="1"/>
        <v>10</v>
      </c>
      <c r="H26" s="96"/>
      <c r="I26" s="96"/>
      <c r="J26" s="96"/>
      <c r="K26" s="96"/>
      <c r="L26" s="97"/>
      <c r="M26" s="97">
        <f ca="1">SUMIFS('DATA PICKING PACKING UNIT'!$C:$C,'DATA PICKING PACKING UNIT'!$A:$A,$A26,'DATA PICKING PACKING UNIT'!$T:$T,M$10)</f>
        <v>10</v>
      </c>
      <c r="N26" s="97">
        <f ca="1">SUMIFS('DATA PICKING PACKING UNIT'!$C:$C,'DATA PICKING PACKING UNIT'!$A:$A,$A26,'DATA PICKING PACKING UNIT'!$T:$T,N$10)</f>
        <v>0</v>
      </c>
      <c r="O26" s="97">
        <f ca="1">SUMIFS('DATA PICKING PACKING UNIT'!$C:$C,'DATA PICKING PACKING UNIT'!$A:$A,$A26,'DATA PICKING PACKING UNIT'!$T:$T,O$10)</f>
        <v>0</v>
      </c>
      <c r="P26" s="97">
        <f ca="1">SUMIFS('DATA PICKING PACKING UNIT'!$C:$C,'DATA PICKING PACKING UNIT'!$A:$A,$A26,'DATA PICKING PACKING UNIT'!$T:$T,P$10)</f>
        <v>0</v>
      </c>
      <c r="Q26" s="97">
        <f ca="1">SUMIFS('DATA PICKING PACKING UNIT'!$C:$C,'DATA PICKING PACKING UNIT'!$A:$A,$A26,'DATA PICKING PACKING UNIT'!$T:$T,Q$10)</f>
        <v>0</v>
      </c>
      <c r="R26" s="97">
        <f ca="1">SUMIFS('DATA PICKING PACKING UNIT'!$C:$C,'DATA PICKING PACKING UNIT'!$A:$A,$A26,'DATA PICKING PACKING UNIT'!$T:$T,R$10)</f>
        <v>0</v>
      </c>
    </row>
    <row r="27" spans="1:18" x14ac:dyDescent="0.2">
      <c r="A27" s="95">
        <f ca="1">IF(A26+1&gt;'PERFORMANCE DASHBOARD'!$C$8,"",A26+1)</f>
        <v>43907</v>
      </c>
      <c r="B27" s="250">
        <v>450</v>
      </c>
      <c r="C27" s="250"/>
      <c r="D27" s="250">
        <v>139</v>
      </c>
      <c r="E27" s="250"/>
      <c r="F27" s="265">
        <f ca="1">SUMIF('DATA PICKING PACKING UNIT'!D:D,$A27,'DATA PICKING PACKING UNIT'!$S:$S)</f>
        <v>61</v>
      </c>
      <c r="G27" s="96">
        <f t="shared" ca="1" si="1"/>
        <v>8</v>
      </c>
      <c r="H27" s="96"/>
      <c r="I27" s="96"/>
      <c r="J27" s="96"/>
      <c r="K27" s="96"/>
      <c r="L27" s="97"/>
      <c r="M27" s="97">
        <f ca="1">SUMIFS('DATA PICKING PACKING UNIT'!$C:$C,'DATA PICKING PACKING UNIT'!$A:$A,$A27,'DATA PICKING PACKING UNIT'!$T:$T,M$10)</f>
        <v>0</v>
      </c>
      <c r="N27" s="97">
        <f ca="1">SUMIFS('DATA PICKING PACKING UNIT'!$C:$C,'DATA PICKING PACKING UNIT'!$A:$A,$A27,'DATA PICKING PACKING UNIT'!$T:$T,N$10)</f>
        <v>1</v>
      </c>
      <c r="O27" s="97">
        <f ca="1">SUMIFS('DATA PICKING PACKING UNIT'!$C:$C,'DATA PICKING PACKING UNIT'!$A:$A,$A27,'DATA PICKING PACKING UNIT'!$T:$T,O$10)</f>
        <v>3</v>
      </c>
      <c r="P27" s="97">
        <f ca="1">SUMIFS('DATA PICKING PACKING UNIT'!$C:$C,'DATA PICKING PACKING UNIT'!$A:$A,$A27,'DATA PICKING PACKING UNIT'!$T:$T,P$10)</f>
        <v>4</v>
      </c>
      <c r="Q27" s="97">
        <f ca="1">SUMIFS('DATA PICKING PACKING UNIT'!$C:$C,'DATA PICKING PACKING UNIT'!$A:$A,$A27,'DATA PICKING PACKING UNIT'!$T:$T,Q$10)</f>
        <v>0</v>
      </c>
      <c r="R27" s="97">
        <f ca="1">SUMIFS('DATA PICKING PACKING UNIT'!$C:$C,'DATA PICKING PACKING UNIT'!$A:$A,$A27,'DATA PICKING PACKING UNIT'!$T:$T,R$10)</f>
        <v>0</v>
      </c>
    </row>
    <row r="28" spans="1:18" x14ac:dyDescent="0.2">
      <c r="A28" s="95">
        <f ca="1">IF(A27+1&gt;'PERFORMANCE DASHBOARD'!$C$8,"",A27+1)</f>
        <v>43908</v>
      </c>
      <c r="B28" s="250">
        <v>450</v>
      </c>
      <c r="C28" s="250"/>
      <c r="D28" s="250">
        <v>139</v>
      </c>
      <c r="E28" s="250"/>
      <c r="F28" s="265">
        <f ca="1">SUMIF('DATA PICKING PACKING UNIT'!D:D,$A28,'DATA PICKING PACKING UNIT'!$S:$S)</f>
        <v>0</v>
      </c>
      <c r="G28" s="96">
        <f t="shared" ca="1" si="1"/>
        <v>0</v>
      </c>
      <c r="H28" s="96"/>
      <c r="I28" s="96"/>
      <c r="J28" s="96"/>
      <c r="K28" s="96"/>
      <c r="L28" s="97"/>
      <c r="M28" s="97">
        <f ca="1">SUMIFS('DATA PICKING PACKING UNIT'!$C:$C,'DATA PICKING PACKING UNIT'!$A:$A,$A28,'DATA PICKING PACKING UNIT'!$T:$T,M$10)</f>
        <v>0</v>
      </c>
      <c r="N28" s="97">
        <f ca="1">SUMIFS('DATA PICKING PACKING UNIT'!$C:$C,'DATA PICKING PACKING UNIT'!$A:$A,$A28,'DATA PICKING PACKING UNIT'!$T:$T,N$10)</f>
        <v>0</v>
      </c>
      <c r="O28" s="97">
        <f ca="1">SUMIFS('DATA PICKING PACKING UNIT'!$C:$C,'DATA PICKING PACKING UNIT'!$A:$A,$A28,'DATA PICKING PACKING UNIT'!$T:$T,O$10)</f>
        <v>0</v>
      </c>
      <c r="P28" s="97">
        <f ca="1">SUMIFS('DATA PICKING PACKING UNIT'!$C:$C,'DATA PICKING PACKING UNIT'!$A:$A,$A28,'DATA PICKING PACKING UNIT'!$T:$T,P$10)</f>
        <v>0</v>
      </c>
      <c r="Q28" s="97">
        <f ca="1">SUMIFS('DATA PICKING PACKING UNIT'!$C:$C,'DATA PICKING PACKING UNIT'!$A:$A,$A28,'DATA PICKING PACKING UNIT'!$T:$T,Q$10)</f>
        <v>0</v>
      </c>
      <c r="R28" s="97">
        <f ca="1">SUMIFS('DATA PICKING PACKING UNIT'!$C:$C,'DATA PICKING PACKING UNIT'!$A:$A,$A28,'DATA PICKING PACKING UNIT'!$T:$T,R$10)</f>
        <v>0</v>
      </c>
    </row>
    <row r="29" spans="1:18" x14ac:dyDescent="0.2">
      <c r="A29" s="95">
        <f ca="1">IF(A28+1&gt;'PERFORMANCE DASHBOARD'!$C$8,"",A28+1)</f>
        <v>43909</v>
      </c>
      <c r="B29" s="250">
        <v>450</v>
      </c>
      <c r="C29" s="250"/>
      <c r="D29" s="250">
        <v>139</v>
      </c>
      <c r="E29" s="250"/>
      <c r="F29" s="265">
        <f ca="1">SUMIF('DATA PICKING PACKING UNIT'!D:D,$A29,'DATA PICKING PACKING UNIT'!$S:$S)</f>
        <v>0</v>
      </c>
      <c r="G29" s="96">
        <f t="shared" ca="1" si="1"/>
        <v>0</v>
      </c>
      <c r="H29" s="96"/>
      <c r="I29" s="96"/>
      <c r="J29" s="96"/>
      <c r="K29" s="96"/>
      <c r="L29" s="97"/>
      <c r="M29" s="97">
        <f ca="1">SUMIFS('DATA PICKING PACKING UNIT'!$C:$C,'DATA PICKING PACKING UNIT'!$A:$A,$A29,'DATA PICKING PACKING UNIT'!$T:$T,M$10)</f>
        <v>0</v>
      </c>
      <c r="N29" s="97">
        <f ca="1">SUMIFS('DATA PICKING PACKING UNIT'!$C:$C,'DATA PICKING PACKING UNIT'!$A:$A,$A29,'DATA PICKING PACKING UNIT'!$T:$T,N$10)</f>
        <v>0</v>
      </c>
      <c r="O29" s="97">
        <f ca="1">SUMIFS('DATA PICKING PACKING UNIT'!$C:$C,'DATA PICKING PACKING UNIT'!$A:$A,$A29,'DATA PICKING PACKING UNIT'!$T:$T,O$10)</f>
        <v>0</v>
      </c>
      <c r="P29" s="97">
        <f ca="1">SUMIFS('DATA PICKING PACKING UNIT'!$C:$C,'DATA PICKING PACKING UNIT'!$A:$A,$A29,'DATA PICKING PACKING UNIT'!$T:$T,P$10)</f>
        <v>0</v>
      </c>
      <c r="Q29" s="97">
        <f ca="1">SUMIFS('DATA PICKING PACKING UNIT'!$C:$C,'DATA PICKING PACKING UNIT'!$A:$A,$A29,'DATA PICKING PACKING UNIT'!$T:$T,Q$10)</f>
        <v>0</v>
      </c>
      <c r="R29" s="97">
        <f ca="1">SUMIFS('DATA PICKING PACKING UNIT'!$C:$C,'DATA PICKING PACKING UNIT'!$A:$A,$A29,'DATA PICKING PACKING UNIT'!$T:$T,R$10)</f>
        <v>0</v>
      </c>
    </row>
    <row r="30" spans="1:18" x14ac:dyDescent="0.2">
      <c r="A30" s="95">
        <f ca="1">IF(A29+1&gt;'PERFORMANCE DASHBOARD'!$C$8,"",A29+1)</f>
        <v>43910</v>
      </c>
      <c r="B30" s="250">
        <v>450</v>
      </c>
      <c r="C30" s="250"/>
      <c r="D30" s="250">
        <v>139</v>
      </c>
      <c r="E30" s="250"/>
      <c r="F30" s="265">
        <f ca="1">SUMIF('DATA PICKING PACKING UNIT'!D:D,$A30,'DATA PICKING PACKING UNIT'!$S:$S)</f>
        <v>0</v>
      </c>
      <c r="G30" s="96">
        <f t="shared" ca="1" si="1"/>
        <v>0</v>
      </c>
      <c r="H30" s="96"/>
      <c r="I30" s="96"/>
      <c r="J30" s="96"/>
      <c r="K30" s="96"/>
      <c r="L30" s="97"/>
      <c r="M30" s="97">
        <f ca="1">SUMIFS('DATA PICKING PACKING UNIT'!$C:$C,'DATA PICKING PACKING UNIT'!$A:$A,$A30,'DATA PICKING PACKING UNIT'!$T:$T,M$10)</f>
        <v>0</v>
      </c>
      <c r="N30" s="97">
        <f ca="1">SUMIFS('DATA PICKING PACKING UNIT'!$C:$C,'DATA PICKING PACKING UNIT'!$A:$A,$A30,'DATA PICKING PACKING UNIT'!$T:$T,N$10)</f>
        <v>0</v>
      </c>
      <c r="O30" s="97">
        <f ca="1">SUMIFS('DATA PICKING PACKING UNIT'!$C:$C,'DATA PICKING PACKING UNIT'!$A:$A,$A30,'DATA PICKING PACKING UNIT'!$T:$T,O$10)</f>
        <v>0</v>
      </c>
      <c r="P30" s="97">
        <f ca="1">SUMIFS('DATA PICKING PACKING UNIT'!$C:$C,'DATA PICKING PACKING UNIT'!$A:$A,$A30,'DATA PICKING PACKING UNIT'!$T:$T,P$10)</f>
        <v>0</v>
      </c>
      <c r="Q30" s="97">
        <f ca="1">SUMIFS('DATA PICKING PACKING UNIT'!$C:$C,'DATA PICKING PACKING UNIT'!$A:$A,$A30,'DATA PICKING PACKING UNIT'!$T:$T,Q$10)</f>
        <v>0</v>
      </c>
      <c r="R30" s="97">
        <f ca="1">SUMIFS('DATA PICKING PACKING UNIT'!$C:$C,'DATA PICKING PACKING UNIT'!$A:$A,$A30,'DATA PICKING PACKING UNIT'!$T:$T,R$10)</f>
        <v>0</v>
      </c>
    </row>
    <row r="31" spans="1:18" x14ac:dyDescent="0.2">
      <c r="A31" s="95">
        <f ca="1">IF(A30+1&gt;'PERFORMANCE DASHBOARD'!$C$8,"",A30+1)</f>
        <v>43911</v>
      </c>
      <c r="B31" s="250">
        <v>450</v>
      </c>
      <c r="C31" s="250"/>
      <c r="D31" s="250">
        <v>139</v>
      </c>
      <c r="E31" s="250"/>
      <c r="F31" s="265">
        <f ca="1">SUMIF('DATA PICKING PACKING UNIT'!D:D,$A31,'DATA PICKING PACKING UNIT'!$S:$S)</f>
        <v>0</v>
      </c>
      <c r="G31" s="96">
        <f t="shared" ca="1" si="1"/>
        <v>0</v>
      </c>
      <c r="H31" s="96"/>
      <c r="I31" s="96"/>
      <c r="J31" s="96"/>
      <c r="K31" s="96"/>
      <c r="L31" s="97"/>
      <c r="M31" s="97">
        <f ca="1">SUMIFS('DATA PICKING PACKING UNIT'!$C:$C,'DATA PICKING PACKING UNIT'!$A:$A,$A31,'DATA PICKING PACKING UNIT'!$T:$T,M$10)</f>
        <v>0</v>
      </c>
      <c r="N31" s="97">
        <f ca="1">SUMIFS('DATA PICKING PACKING UNIT'!$C:$C,'DATA PICKING PACKING UNIT'!$A:$A,$A31,'DATA PICKING PACKING UNIT'!$T:$T,N$10)</f>
        <v>0</v>
      </c>
      <c r="O31" s="97">
        <f ca="1">SUMIFS('DATA PICKING PACKING UNIT'!$C:$C,'DATA PICKING PACKING UNIT'!$A:$A,$A31,'DATA PICKING PACKING UNIT'!$T:$T,O$10)</f>
        <v>0</v>
      </c>
      <c r="P31" s="97">
        <f ca="1">SUMIFS('DATA PICKING PACKING UNIT'!$C:$C,'DATA PICKING PACKING UNIT'!$A:$A,$A31,'DATA PICKING PACKING UNIT'!$T:$T,P$10)</f>
        <v>0</v>
      </c>
      <c r="Q31" s="97">
        <f ca="1">SUMIFS('DATA PICKING PACKING UNIT'!$C:$C,'DATA PICKING PACKING UNIT'!$A:$A,$A31,'DATA PICKING PACKING UNIT'!$T:$T,Q$10)</f>
        <v>0</v>
      </c>
      <c r="R31" s="97">
        <f ca="1">SUMIFS('DATA PICKING PACKING UNIT'!$C:$C,'DATA PICKING PACKING UNIT'!$A:$A,$A31,'DATA PICKING PACKING UNIT'!$T:$T,R$10)</f>
        <v>0</v>
      </c>
    </row>
    <row r="32" spans="1:18" x14ac:dyDescent="0.2">
      <c r="A32" s="95">
        <f ca="1">IF(A31+1&gt;'PERFORMANCE DASHBOARD'!$C$8,"",A31+1)</f>
        <v>43912</v>
      </c>
      <c r="B32" s="250">
        <v>450</v>
      </c>
      <c r="C32" s="250"/>
      <c r="D32" s="250">
        <v>139</v>
      </c>
      <c r="E32" s="250"/>
      <c r="F32" s="265">
        <f ca="1">SUMIF('DATA PICKING PACKING UNIT'!D:D,$A32,'DATA PICKING PACKING UNIT'!$S:$S)</f>
        <v>0</v>
      </c>
      <c r="G32" s="96">
        <f t="shared" ca="1" si="1"/>
        <v>0</v>
      </c>
      <c r="H32" s="96"/>
      <c r="I32" s="96"/>
      <c r="J32" s="96"/>
      <c r="K32" s="96"/>
      <c r="L32" s="97"/>
      <c r="M32" s="97">
        <f ca="1">SUMIFS('DATA PICKING PACKING UNIT'!$C:$C,'DATA PICKING PACKING UNIT'!$A:$A,$A32,'DATA PICKING PACKING UNIT'!$T:$T,M$10)</f>
        <v>0</v>
      </c>
      <c r="N32" s="97">
        <f ca="1">SUMIFS('DATA PICKING PACKING UNIT'!$C:$C,'DATA PICKING PACKING UNIT'!$A:$A,$A32,'DATA PICKING PACKING UNIT'!$T:$T,N$10)</f>
        <v>0</v>
      </c>
      <c r="O32" s="97">
        <f ca="1">SUMIFS('DATA PICKING PACKING UNIT'!$C:$C,'DATA PICKING PACKING UNIT'!$A:$A,$A32,'DATA PICKING PACKING UNIT'!$T:$T,O$10)</f>
        <v>0</v>
      </c>
      <c r="P32" s="97">
        <f ca="1">SUMIFS('DATA PICKING PACKING UNIT'!$C:$C,'DATA PICKING PACKING UNIT'!$A:$A,$A32,'DATA PICKING PACKING UNIT'!$T:$T,P$10)</f>
        <v>0</v>
      </c>
      <c r="Q32" s="97">
        <f ca="1">SUMIFS('DATA PICKING PACKING UNIT'!$C:$C,'DATA PICKING PACKING UNIT'!$A:$A,$A32,'DATA PICKING PACKING UNIT'!$T:$T,Q$10)</f>
        <v>0</v>
      </c>
      <c r="R32" s="97">
        <f ca="1">SUMIFS('DATA PICKING PACKING UNIT'!$C:$C,'DATA PICKING PACKING UNIT'!$A:$A,$A32,'DATA PICKING PACKING UNIT'!$T:$T,R$10)</f>
        <v>0</v>
      </c>
    </row>
    <row r="33" spans="1:19" x14ac:dyDescent="0.2">
      <c r="A33" s="95">
        <f ca="1">IF(A32+1&gt;'PERFORMANCE DASHBOARD'!$C$8,"",A32+1)</f>
        <v>43913</v>
      </c>
      <c r="B33" s="250">
        <v>450</v>
      </c>
      <c r="C33" s="250"/>
      <c r="D33" s="250">
        <v>139</v>
      </c>
      <c r="E33" s="250"/>
      <c r="F33" s="265">
        <f ca="1">SUMIF('DATA PICKING PACKING UNIT'!D:D,$A33,'DATA PICKING PACKING UNIT'!$S:$S)</f>
        <v>0</v>
      </c>
      <c r="G33" s="96">
        <f t="shared" ca="1" si="1"/>
        <v>0</v>
      </c>
      <c r="H33" s="96"/>
      <c r="I33" s="96"/>
      <c r="J33" s="96"/>
      <c r="K33" s="96"/>
      <c r="L33" s="97"/>
      <c r="M33" s="97">
        <f ca="1">SUMIFS('DATA PICKING PACKING UNIT'!$C:$C,'DATA PICKING PACKING UNIT'!$A:$A,$A33,'DATA PICKING PACKING UNIT'!$T:$T,M$10)</f>
        <v>0</v>
      </c>
      <c r="N33" s="97">
        <f ca="1">SUMIFS('DATA PICKING PACKING UNIT'!$C:$C,'DATA PICKING PACKING UNIT'!$A:$A,$A33,'DATA PICKING PACKING UNIT'!$T:$T,N$10)</f>
        <v>0</v>
      </c>
      <c r="O33" s="97">
        <f ca="1">SUMIFS('DATA PICKING PACKING UNIT'!$C:$C,'DATA PICKING PACKING UNIT'!$A:$A,$A33,'DATA PICKING PACKING UNIT'!$T:$T,O$10)</f>
        <v>0</v>
      </c>
      <c r="P33" s="97">
        <f ca="1">SUMIFS('DATA PICKING PACKING UNIT'!$C:$C,'DATA PICKING PACKING UNIT'!$A:$A,$A33,'DATA PICKING PACKING UNIT'!$T:$T,P$10)</f>
        <v>0</v>
      </c>
      <c r="Q33" s="97">
        <f ca="1">SUMIFS('DATA PICKING PACKING UNIT'!$C:$C,'DATA PICKING PACKING UNIT'!$A:$A,$A33,'DATA PICKING PACKING UNIT'!$T:$T,Q$10)</f>
        <v>0</v>
      </c>
      <c r="R33" s="97">
        <f ca="1">SUMIFS('DATA PICKING PACKING UNIT'!$C:$C,'DATA PICKING PACKING UNIT'!$A:$A,$A33,'DATA PICKING PACKING UNIT'!$T:$T,R$10)</f>
        <v>0</v>
      </c>
    </row>
    <row r="34" spans="1:19" x14ac:dyDescent="0.2">
      <c r="A34" s="95">
        <f ca="1">IF(A33+1&gt;'PERFORMANCE DASHBOARD'!$C$8,"",A33+1)</f>
        <v>43914</v>
      </c>
      <c r="B34" s="250">
        <v>450</v>
      </c>
      <c r="C34" s="250"/>
      <c r="D34" s="250">
        <v>139</v>
      </c>
      <c r="E34" s="250"/>
      <c r="F34" s="265">
        <f ca="1">SUMIF('DATA PICKING PACKING UNIT'!D:D,$A34,'DATA PICKING PACKING UNIT'!$S:$S)</f>
        <v>0</v>
      </c>
      <c r="G34" s="96">
        <f t="shared" ca="1" si="1"/>
        <v>0</v>
      </c>
      <c r="H34" s="96"/>
      <c r="I34" s="96"/>
      <c r="J34" s="96"/>
      <c r="K34" s="96"/>
      <c r="L34" s="97"/>
      <c r="M34" s="97">
        <f ca="1">SUMIFS('DATA PICKING PACKING UNIT'!$C:$C,'DATA PICKING PACKING UNIT'!$A:$A,$A34,'DATA PICKING PACKING UNIT'!$T:$T,M$10)</f>
        <v>0</v>
      </c>
      <c r="N34" s="97">
        <f ca="1">SUMIFS('DATA PICKING PACKING UNIT'!$C:$C,'DATA PICKING PACKING UNIT'!$A:$A,$A34,'DATA PICKING PACKING UNIT'!$T:$T,N$10)</f>
        <v>0</v>
      </c>
      <c r="O34" s="97">
        <f ca="1">SUMIFS('DATA PICKING PACKING UNIT'!$C:$C,'DATA PICKING PACKING UNIT'!$A:$A,$A34,'DATA PICKING PACKING UNIT'!$T:$T,O$10)</f>
        <v>0</v>
      </c>
      <c r="P34" s="97">
        <f ca="1">SUMIFS('DATA PICKING PACKING UNIT'!$C:$C,'DATA PICKING PACKING UNIT'!$A:$A,$A34,'DATA PICKING PACKING UNIT'!$T:$T,P$10)</f>
        <v>0</v>
      </c>
      <c r="Q34" s="97">
        <f ca="1">SUMIFS('DATA PICKING PACKING UNIT'!$C:$C,'DATA PICKING PACKING UNIT'!$A:$A,$A34,'DATA PICKING PACKING UNIT'!$T:$T,Q$10)</f>
        <v>0</v>
      </c>
      <c r="R34" s="97">
        <f ca="1">SUMIFS('DATA PICKING PACKING UNIT'!$C:$C,'DATA PICKING PACKING UNIT'!$A:$A,$A34,'DATA PICKING PACKING UNIT'!$T:$T,R$10)</f>
        <v>0</v>
      </c>
    </row>
    <row r="35" spans="1:19" x14ac:dyDescent="0.2">
      <c r="A35" s="95">
        <f ca="1">IF(A34+1&gt;'PERFORMANCE DASHBOARD'!$C$8,"",A34+1)</f>
        <v>43915</v>
      </c>
      <c r="B35" s="250">
        <v>450</v>
      </c>
      <c r="C35" s="250"/>
      <c r="D35" s="250">
        <v>139</v>
      </c>
      <c r="E35" s="250"/>
      <c r="F35" s="265">
        <f ca="1">SUMIF('DATA PICKING PACKING UNIT'!D:D,$A35,'DATA PICKING PACKING UNIT'!$S:$S)</f>
        <v>0</v>
      </c>
      <c r="G35" s="96">
        <f t="shared" ca="1" si="1"/>
        <v>0</v>
      </c>
      <c r="H35" s="96"/>
      <c r="I35" s="96"/>
      <c r="J35" s="96"/>
      <c r="K35" s="96"/>
      <c r="L35" s="97"/>
      <c r="M35" s="97">
        <f ca="1">SUMIFS('DATA PICKING PACKING UNIT'!$C:$C,'DATA PICKING PACKING UNIT'!$A:$A,$A35,'DATA PICKING PACKING UNIT'!$T:$T,M$10)</f>
        <v>0</v>
      </c>
      <c r="N35" s="97">
        <f ca="1">SUMIFS('DATA PICKING PACKING UNIT'!$C:$C,'DATA PICKING PACKING UNIT'!$A:$A,$A35,'DATA PICKING PACKING UNIT'!$T:$T,N$10)</f>
        <v>0</v>
      </c>
      <c r="O35" s="97">
        <f ca="1">SUMIFS('DATA PICKING PACKING UNIT'!$C:$C,'DATA PICKING PACKING UNIT'!$A:$A,$A35,'DATA PICKING PACKING UNIT'!$T:$T,O$10)</f>
        <v>0</v>
      </c>
      <c r="P35" s="97">
        <f ca="1">SUMIFS('DATA PICKING PACKING UNIT'!$C:$C,'DATA PICKING PACKING UNIT'!$A:$A,$A35,'DATA PICKING PACKING UNIT'!$T:$T,P$10)</f>
        <v>0</v>
      </c>
      <c r="Q35" s="97">
        <f ca="1">SUMIFS('DATA PICKING PACKING UNIT'!$C:$C,'DATA PICKING PACKING UNIT'!$A:$A,$A35,'DATA PICKING PACKING UNIT'!$T:$T,Q$10)</f>
        <v>0</v>
      </c>
      <c r="R35" s="97">
        <f ca="1">SUMIFS('DATA PICKING PACKING UNIT'!$C:$C,'DATA PICKING PACKING UNIT'!$A:$A,$A35,'DATA PICKING PACKING UNIT'!$T:$T,R$10)</f>
        <v>0</v>
      </c>
    </row>
    <row r="36" spans="1:19" x14ac:dyDescent="0.2">
      <c r="A36" s="95">
        <f ca="1">IF(A35+1&gt;'PERFORMANCE DASHBOARD'!$C$8,"",A35+1)</f>
        <v>43916</v>
      </c>
      <c r="B36" s="250">
        <v>450</v>
      </c>
      <c r="C36" s="250"/>
      <c r="D36" s="250">
        <v>139</v>
      </c>
      <c r="E36" s="250"/>
      <c r="F36" s="265">
        <f ca="1">SUMIF('DATA PICKING PACKING UNIT'!D:D,$A36,'DATA PICKING PACKING UNIT'!$S:$S)</f>
        <v>0</v>
      </c>
      <c r="G36" s="96">
        <f t="shared" ca="1" si="1"/>
        <v>0</v>
      </c>
      <c r="H36" s="96"/>
      <c r="I36" s="96"/>
      <c r="J36" s="96"/>
      <c r="K36" s="96"/>
      <c r="L36" s="97"/>
      <c r="M36" s="97">
        <f ca="1">SUMIFS('DATA PICKING PACKING UNIT'!$C:$C,'DATA PICKING PACKING UNIT'!$A:$A,$A36,'DATA PICKING PACKING UNIT'!$T:$T,M$10)</f>
        <v>0</v>
      </c>
      <c r="N36" s="97">
        <f ca="1">SUMIFS('DATA PICKING PACKING UNIT'!$C:$C,'DATA PICKING PACKING UNIT'!$A:$A,$A36,'DATA PICKING PACKING UNIT'!$T:$T,N$10)</f>
        <v>0</v>
      </c>
      <c r="O36" s="97">
        <f ca="1">SUMIFS('DATA PICKING PACKING UNIT'!$C:$C,'DATA PICKING PACKING UNIT'!$A:$A,$A36,'DATA PICKING PACKING UNIT'!$T:$T,O$10)</f>
        <v>0</v>
      </c>
      <c r="P36" s="97">
        <f ca="1">SUMIFS('DATA PICKING PACKING UNIT'!$C:$C,'DATA PICKING PACKING UNIT'!$A:$A,$A36,'DATA PICKING PACKING UNIT'!$T:$T,P$10)</f>
        <v>0</v>
      </c>
      <c r="Q36" s="97">
        <f ca="1">SUMIFS('DATA PICKING PACKING UNIT'!$C:$C,'DATA PICKING PACKING UNIT'!$A:$A,$A36,'DATA PICKING PACKING UNIT'!$T:$T,Q$10)</f>
        <v>0</v>
      </c>
      <c r="R36" s="97">
        <f ca="1">SUMIFS('DATA PICKING PACKING UNIT'!$C:$C,'DATA PICKING PACKING UNIT'!$A:$A,$A36,'DATA PICKING PACKING UNIT'!$T:$T,R$10)</f>
        <v>0</v>
      </c>
    </row>
    <row r="37" spans="1:19" x14ac:dyDescent="0.2">
      <c r="A37" s="95">
        <f ca="1">IF(A36+1&gt;'PERFORMANCE DASHBOARD'!$C$8,"",A36+1)</f>
        <v>43917</v>
      </c>
      <c r="B37" s="250">
        <v>450</v>
      </c>
      <c r="C37" s="250"/>
      <c r="D37" s="250">
        <v>140</v>
      </c>
      <c r="E37" s="250"/>
      <c r="F37" s="265">
        <f ca="1">SUMIF('DATA PICKING PACKING UNIT'!D:D,$A37,'DATA PICKING PACKING UNIT'!$S:$S)</f>
        <v>0</v>
      </c>
      <c r="G37" s="96">
        <f t="shared" ca="1" si="1"/>
        <v>0</v>
      </c>
      <c r="H37" s="96"/>
      <c r="I37" s="96"/>
      <c r="J37" s="96"/>
      <c r="K37" s="96"/>
      <c r="L37" s="97"/>
      <c r="M37" s="97">
        <f ca="1">SUMIFS('DATA PICKING PACKING UNIT'!$C:$C,'DATA PICKING PACKING UNIT'!$A:$A,$A37,'DATA PICKING PACKING UNIT'!$T:$T,M$10)</f>
        <v>0</v>
      </c>
      <c r="N37" s="97">
        <f ca="1">SUMIFS('DATA PICKING PACKING UNIT'!$C:$C,'DATA PICKING PACKING UNIT'!$A:$A,$A37,'DATA PICKING PACKING UNIT'!$T:$T,N$10)</f>
        <v>0</v>
      </c>
      <c r="O37" s="97">
        <f ca="1">SUMIFS('DATA PICKING PACKING UNIT'!$C:$C,'DATA PICKING PACKING UNIT'!$A:$A,$A37,'DATA PICKING PACKING UNIT'!$T:$T,O$10)</f>
        <v>0</v>
      </c>
      <c r="P37" s="97">
        <f ca="1">SUMIFS('DATA PICKING PACKING UNIT'!$C:$C,'DATA PICKING PACKING UNIT'!$A:$A,$A37,'DATA PICKING PACKING UNIT'!$T:$T,P$10)</f>
        <v>0</v>
      </c>
      <c r="Q37" s="97">
        <f ca="1">SUMIFS('DATA PICKING PACKING UNIT'!$C:$C,'DATA PICKING PACKING UNIT'!$A:$A,$A37,'DATA PICKING PACKING UNIT'!$T:$T,Q$10)</f>
        <v>0</v>
      </c>
      <c r="R37" s="97">
        <f ca="1">SUMIFS('DATA PICKING PACKING UNIT'!$C:$C,'DATA PICKING PACKING UNIT'!$A:$A,$A37,'DATA PICKING PACKING UNIT'!$T:$T,R$10)</f>
        <v>0</v>
      </c>
    </row>
    <row r="38" spans="1:19" x14ac:dyDescent="0.2">
      <c r="A38" s="95">
        <f ca="1">IF(A37+1&gt;'PERFORMANCE DASHBOARD'!$C$8,"",A37+1)</f>
        <v>43918</v>
      </c>
      <c r="B38" s="250">
        <v>450</v>
      </c>
      <c r="C38" s="250"/>
      <c r="D38" s="250">
        <v>140</v>
      </c>
      <c r="E38" s="250"/>
      <c r="F38" s="265">
        <f ca="1">SUMIF('DATA PICKING PACKING UNIT'!D:D,$A38,'DATA PICKING PACKING UNIT'!$S:$S)</f>
        <v>0</v>
      </c>
      <c r="G38" s="96">
        <f t="shared" ca="1" si="1"/>
        <v>0</v>
      </c>
      <c r="H38" s="96"/>
      <c r="I38" s="96"/>
      <c r="J38" s="96"/>
      <c r="K38" s="96"/>
      <c r="L38" s="97"/>
      <c r="M38" s="97">
        <f ca="1">SUMIFS('DATA PICKING PACKING UNIT'!$C:$C,'DATA PICKING PACKING UNIT'!$A:$A,$A38,'DATA PICKING PACKING UNIT'!$T:$T,M$10)</f>
        <v>0</v>
      </c>
      <c r="N38" s="97">
        <f ca="1">SUMIFS('DATA PICKING PACKING UNIT'!$C:$C,'DATA PICKING PACKING UNIT'!$A:$A,$A38,'DATA PICKING PACKING UNIT'!$T:$T,N$10)</f>
        <v>0</v>
      </c>
      <c r="O38" s="97">
        <f ca="1">SUMIFS('DATA PICKING PACKING UNIT'!$C:$C,'DATA PICKING PACKING UNIT'!$A:$A,$A38,'DATA PICKING PACKING UNIT'!$T:$T,O$10)</f>
        <v>0</v>
      </c>
      <c r="P38" s="97">
        <f ca="1">SUMIFS('DATA PICKING PACKING UNIT'!$C:$C,'DATA PICKING PACKING UNIT'!$A:$A,$A38,'DATA PICKING PACKING UNIT'!$T:$T,P$10)</f>
        <v>0</v>
      </c>
      <c r="Q38" s="97">
        <f ca="1">SUMIFS('DATA PICKING PACKING UNIT'!$C:$C,'DATA PICKING PACKING UNIT'!$A:$A,$A38,'DATA PICKING PACKING UNIT'!$T:$T,Q$10)</f>
        <v>0</v>
      </c>
      <c r="R38" s="97">
        <f ca="1">SUMIFS('DATA PICKING PACKING UNIT'!$C:$C,'DATA PICKING PACKING UNIT'!$A:$A,$A38,'DATA PICKING PACKING UNIT'!$T:$T,R$10)</f>
        <v>0</v>
      </c>
    </row>
    <row r="39" spans="1:19" x14ac:dyDescent="0.2">
      <c r="A39" s="95">
        <f ca="1">IF(A38+1&gt;'PERFORMANCE DASHBOARD'!$C$8,"",A38+1)</f>
        <v>43919</v>
      </c>
      <c r="B39" s="250">
        <v>450</v>
      </c>
      <c r="C39" s="250"/>
      <c r="D39" s="250">
        <v>140</v>
      </c>
      <c r="E39" s="250"/>
      <c r="F39" s="265">
        <f ca="1">SUMIF('DATA PICKING PACKING UNIT'!D:D,$A39,'DATA PICKING PACKING UNIT'!$S:$S)</f>
        <v>0</v>
      </c>
      <c r="G39" s="96">
        <f t="shared" ca="1" si="1"/>
        <v>0</v>
      </c>
      <c r="H39" s="96"/>
      <c r="I39" s="96"/>
      <c r="J39" s="96"/>
      <c r="K39" s="96"/>
      <c r="L39" s="97"/>
      <c r="M39" s="97">
        <f ca="1">SUMIFS('DATA PICKING PACKING UNIT'!$C:$C,'DATA PICKING PACKING UNIT'!$A:$A,$A39,'DATA PICKING PACKING UNIT'!$T:$T,M$10)</f>
        <v>0</v>
      </c>
      <c r="N39" s="97">
        <f ca="1">SUMIFS('DATA PICKING PACKING UNIT'!$C:$C,'DATA PICKING PACKING UNIT'!$A:$A,$A39,'DATA PICKING PACKING UNIT'!$T:$T,N$10)</f>
        <v>0</v>
      </c>
      <c r="O39" s="97">
        <f ca="1">SUMIFS('DATA PICKING PACKING UNIT'!$C:$C,'DATA PICKING PACKING UNIT'!$A:$A,$A39,'DATA PICKING PACKING UNIT'!$T:$T,O$10)</f>
        <v>0</v>
      </c>
      <c r="P39" s="97">
        <f ca="1">SUMIFS('DATA PICKING PACKING UNIT'!$C:$C,'DATA PICKING PACKING UNIT'!$A:$A,$A39,'DATA PICKING PACKING UNIT'!$T:$T,P$10)</f>
        <v>0</v>
      </c>
      <c r="Q39" s="97">
        <f ca="1">SUMIFS('DATA PICKING PACKING UNIT'!$C:$C,'DATA PICKING PACKING UNIT'!$A:$A,$A39,'DATA PICKING PACKING UNIT'!$T:$T,Q$10)</f>
        <v>0</v>
      </c>
      <c r="R39" s="97">
        <f ca="1">SUMIFS('DATA PICKING PACKING UNIT'!$C:$C,'DATA PICKING PACKING UNIT'!$A:$A,$A39,'DATA PICKING PACKING UNIT'!$T:$T,R$10)</f>
        <v>0</v>
      </c>
    </row>
    <row r="40" spans="1:19" x14ac:dyDescent="0.2">
      <c r="A40" s="95">
        <f ca="1">IF(A39+1&gt;'PERFORMANCE DASHBOARD'!$C$8,"",A39+1)</f>
        <v>43920</v>
      </c>
      <c r="B40" s="250">
        <v>450</v>
      </c>
      <c r="C40" s="250"/>
      <c r="D40" s="250">
        <v>140</v>
      </c>
      <c r="E40" s="250"/>
      <c r="F40" s="265">
        <f ca="1">SUMIF('DATA PICKING PACKING UNIT'!D:D,$A40,'DATA PICKING PACKING UNIT'!$S:$S)</f>
        <v>0</v>
      </c>
      <c r="G40" s="96">
        <f t="shared" ca="1" si="1"/>
        <v>0</v>
      </c>
      <c r="H40" s="96"/>
      <c r="I40" s="96"/>
      <c r="J40" s="96"/>
      <c r="K40" s="96"/>
      <c r="L40" s="97"/>
      <c r="M40" s="97">
        <f ca="1">SUMIFS('DATA PICKING PACKING UNIT'!$C:$C,'DATA PICKING PACKING UNIT'!$A:$A,$A40,'DATA PICKING PACKING UNIT'!$T:$T,M$10)</f>
        <v>0</v>
      </c>
      <c r="N40" s="97">
        <f ca="1">SUMIFS('DATA PICKING PACKING UNIT'!$C:$C,'DATA PICKING PACKING UNIT'!$A:$A,$A40,'DATA PICKING PACKING UNIT'!$T:$T,N$10)</f>
        <v>0</v>
      </c>
      <c r="O40" s="97">
        <f ca="1">SUMIFS('DATA PICKING PACKING UNIT'!$C:$C,'DATA PICKING PACKING UNIT'!$A:$A,$A40,'DATA PICKING PACKING UNIT'!$T:$T,O$10)</f>
        <v>0</v>
      </c>
      <c r="P40" s="97">
        <f ca="1">SUMIFS('DATA PICKING PACKING UNIT'!$C:$C,'DATA PICKING PACKING UNIT'!$A:$A,$A40,'DATA PICKING PACKING UNIT'!$T:$T,P$10)</f>
        <v>0</v>
      </c>
      <c r="Q40" s="97">
        <f ca="1">SUMIFS('DATA PICKING PACKING UNIT'!$C:$C,'DATA PICKING PACKING UNIT'!$A:$A,$A40,'DATA PICKING PACKING UNIT'!$T:$T,Q$10)</f>
        <v>0</v>
      </c>
      <c r="R40" s="97">
        <f ca="1">SUMIFS('DATA PICKING PACKING UNIT'!$C:$C,'DATA PICKING PACKING UNIT'!$A:$A,$A40,'DATA PICKING PACKING UNIT'!$T:$T,R$10)</f>
        <v>0</v>
      </c>
    </row>
    <row r="41" spans="1:19" x14ac:dyDescent="0.2">
      <c r="A41" s="95">
        <f ca="1">IF(A40+1&gt;'PERFORMANCE DASHBOARD'!$C$8,"",A40+1)</f>
        <v>43921</v>
      </c>
      <c r="B41" s="252">
        <v>450</v>
      </c>
      <c r="C41" s="252"/>
      <c r="D41" s="252">
        <v>145</v>
      </c>
      <c r="E41" s="252"/>
      <c r="F41" s="266">
        <f ca="1">SUMIF('DATA PICKING PACKING UNIT'!D:D,$A41,'DATA PICKING PACKING UNIT'!$S:$S)</f>
        <v>0</v>
      </c>
      <c r="G41" s="98">
        <f t="shared" ca="1" si="1"/>
        <v>0</v>
      </c>
      <c r="H41" s="98"/>
      <c r="I41" s="98"/>
      <c r="J41" s="98"/>
      <c r="K41" s="98"/>
      <c r="L41" s="99"/>
      <c r="M41" s="99">
        <f ca="1">SUMIFS('DATA PICKING PACKING UNIT'!$C:$C,'DATA PICKING PACKING UNIT'!$A:$A,$A41,'DATA PICKING PACKING UNIT'!$T:$T,M$10)</f>
        <v>0</v>
      </c>
      <c r="N41" s="99">
        <f ca="1">SUMIFS('DATA PICKING PACKING UNIT'!$C:$C,'DATA PICKING PACKING UNIT'!$A:$A,$A41,'DATA PICKING PACKING UNIT'!$T:$T,N$10)</f>
        <v>0</v>
      </c>
      <c r="O41" s="99">
        <f ca="1">SUMIFS('DATA PICKING PACKING UNIT'!$C:$C,'DATA PICKING PACKING UNIT'!$A:$A,$A41,'DATA PICKING PACKING UNIT'!$T:$T,O$10)</f>
        <v>0</v>
      </c>
      <c r="P41" s="99">
        <f ca="1">SUMIFS('DATA PICKING PACKING UNIT'!$C:$C,'DATA PICKING PACKING UNIT'!$A:$A,$A41,'DATA PICKING PACKING UNIT'!$T:$T,P$10)</f>
        <v>0</v>
      </c>
      <c r="Q41" s="99">
        <f ca="1">SUMIFS('DATA PICKING PACKING UNIT'!$C:$C,'DATA PICKING PACKING UNIT'!$A:$A,$A41,'DATA PICKING PACKING UNIT'!$T:$T,Q$10)</f>
        <v>0</v>
      </c>
      <c r="R41" s="99">
        <f ca="1">SUMIFS('DATA PICKING PACKING UNIT'!$C:$C,'DATA PICKING PACKING UNIT'!$A:$A,$A41,'DATA PICKING PACKING UNIT'!$T:$T,R$10)</f>
        <v>0</v>
      </c>
    </row>
    <row r="42" spans="1:19" x14ac:dyDescent="0.2">
      <c r="A42" s="100" t="s">
        <v>376</v>
      </c>
      <c r="B42" s="101">
        <f>ROUND(MAX(B11:B41),0)</f>
        <v>458</v>
      </c>
      <c r="C42" s="101">
        <f t="shared" ref="C42:E42" si="2">ROUND(MAX(C11:C41),0)</f>
        <v>0</v>
      </c>
      <c r="D42" s="101">
        <f t="shared" si="2"/>
        <v>150</v>
      </c>
      <c r="E42" s="101">
        <f t="shared" si="2"/>
        <v>0</v>
      </c>
      <c r="F42" s="267">
        <f ca="1">SUM(F11:F41)</f>
        <v>641.83333333333337</v>
      </c>
      <c r="G42" s="101">
        <f t="shared" ref="G42:L42" ca="1" si="3">SUM(G11:G41)</f>
        <v>52</v>
      </c>
      <c r="H42" s="101">
        <f t="shared" si="3"/>
        <v>0</v>
      </c>
      <c r="I42" s="101">
        <f t="shared" si="3"/>
        <v>0</v>
      </c>
      <c r="J42" s="101">
        <f t="shared" si="3"/>
        <v>0</v>
      </c>
      <c r="K42" s="101">
        <f t="shared" si="3"/>
        <v>0</v>
      </c>
      <c r="L42" s="101">
        <f t="shared" si="3"/>
        <v>0</v>
      </c>
      <c r="M42" s="101">
        <f t="shared" ref="M42" ca="1" si="4">SUM(M11:M41)</f>
        <v>12</v>
      </c>
      <c r="N42" s="101">
        <f t="shared" ref="N42" ca="1" si="5">SUM(N11:N41)</f>
        <v>6</v>
      </c>
      <c r="O42" s="101">
        <f t="shared" ref="O42" ca="1" si="6">SUM(O11:O41)</f>
        <v>7</v>
      </c>
      <c r="P42" s="101">
        <f t="shared" ref="P42" ca="1" si="7">SUM(P11:P41)</f>
        <v>27</v>
      </c>
      <c r="Q42" s="101">
        <f t="shared" ref="Q42:R42" ca="1" si="8">SUM(Q11:Q41)</f>
        <v>0</v>
      </c>
      <c r="R42" s="101">
        <f t="shared" ca="1" si="8"/>
        <v>0</v>
      </c>
    </row>
    <row r="43" spans="1:19" x14ac:dyDescent="0.2">
      <c r="A43" s="102" t="s">
        <v>42</v>
      </c>
      <c r="B43" s="103">
        <v>69</v>
      </c>
      <c r="C43" s="103">
        <v>325</v>
      </c>
      <c r="D43" s="103">
        <v>325</v>
      </c>
      <c r="E43" s="103"/>
      <c r="F43" s="268">
        <f>'TABLE CHARGE RATE'!$G$15</f>
        <v>5</v>
      </c>
      <c r="G43" s="104">
        <f>'TABLE CHARGE RATE'!$G$16</f>
        <v>10</v>
      </c>
      <c r="H43" s="104">
        <f>'TABLE CHARGE RATE'!$G$18</f>
        <v>5</v>
      </c>
      <c r="I43" s="104">
        <f>'TABLE CHARGE RATE'!$G$19</f>
        <v>5</v>
      </c>
      <c r="J43" s="104">
        <f>'TABLE CHARGE RATE'!$G$20</f>
        <v>20</v>
      </c>
      <c r="K43" s="104">
        <f>'TABLE CHARGE RATE'!$G$15</f>
        <v>5</v>
      </c>
      <c r="L43" s="104">
        <f>'TABLE CHARGE RATE'!$G$13</f>
        <v>2</v>
      </c>
      <c r="M43" s="104">
        <f>'TABLE CHARGE RATE'!E26</f>
        <v>20</v>
      </c>
      <c r="N43" s="104">
        <f>'TABLE CHARGE RATE'!F26</f>
        <v>30</v>
      </c>
      <c r="O43" s="104">
        <f>'TABLE CHARGE RATE'!G26</f>
        <v>30</v>
      </c>
      <c r="P43" s="104">
        <f>'TABLE CHARGE RATE'!H26</f>
        <v>35</v>
      </c>
      <c r="Q43" s="104">
        <f>'TABLE CHARGE RATE'!I26</f>
        <v>40</v>
      </c>
      <c r="R43" s="104">
        <f>'TABLE CHARGE RATE'!J26</f>
        <v>45</v>
      </c>
    </row>
    <row r="44" spans="1:19" x14ac:dyDescent="0.2">
      <c r="A44" s="102" t="s">
        <v>41</v>
      </c>
      <c r="B44" s="105" t="s">
        <v>46</v>
      </c>
      <c r="C44" s="105"/>
      <c r="D44" s="105"/>
      <c r="E44" s="105"/>
      <c r="F44" s="269" t="s">
        <v>52</v>
      </c>
      <c r="G44" s="105" t="s">
        <v>54</v>
      </c>
      <c r="H44" s="105" t="s">
        <v>57</v>
      </c>
      <c r="I44" s="105" t="s">
        <v>59</v>
      </c>
      <c r="J44" s="105" t="s">
        <v>61</v>
      </c>
      <c r="K44" s="105" t="s">
        <v>52</v>
      </c>
      <c r="L44" s="105" t="s">
        <v>49</v>
      </c>
      <c r="M44" s="105" t="s">
        <v>54</v>
      </c>
      <c r="N44" s="105" t="s">
        <v>54</v>
      </c>
      <c r="O44" s="105" t="s">
        <v>54</v>
      </c>
      <c r="P44" s="105" t="s">
        <v>54</v>
      </c>
      <c r="Q44" s="105" t="s">
        <v>54</v>
      </c>
      <c r="R44" s="105" t="s">
        <v>54</v>
      </c>
    </row>
    <row r="45" spans="1:19" x14ac:dyDescent="0.2">
      <c r="A45" s="102" t="s">
        <v>379</v>
      </c>
      <c r="B45" s="106">
        <f>B42*B43</f>
        <v>31602</v>
      </c>
      <c r="C45" s="106">
        <f t="shared" ref="C45:E45" si="9">C42*C43</f>
        <v>0</v>
      </c>
      <c r="D45" s="106">
        <f t="shared" si="9"/>
        <v>48750</v>
      </c>
      <c r="E45" s="106">
        <f t="shared" si="9"/>
        <v>0</v>
      </c>
      <c r="F45" s="270">
        <f t="shared" ref="F45:Q45" ca="1" si="10">F42*F43</f>
        <v>3209.166666666667</v>
      </c>
      <c r="G45" s="106">
        <f t="shared" ca="1" si="10"/>
        <v>520</v>
      </c>
      <c r="H45" s="106">
        <f t="shared" si="10"/>
        <v>0</v>
      </c>
      <c r="I45" s="106">
        <f t="shared" si="10"/>
        <v>0</v>
      </c>
      <c r="J45" s="106">
        <f t="shared" si="10"/>
        <v>0</v>
      </c>
      <c r="K45" s="106">
        <f t="shared" si="10"/>
        <v>0</v>
      </c>
      <c r="L45" s="106">
        <f t="shared" si="10"/>
        <v>0</v>
      </c>
      <c r="M45" s="106">
        <f t="shared" ca="1" si="10"/>
        <v>240</v>
      </c>
      <c r="N45" s="106">
        <f t="shared" ca="1" si="10"/>
        <v>180</v>
      </c>
      <c r="O45" s="106">
        <f t="shared" ca="1" si="10"/>
        <v>210</v>
      </c>
      <c r="P45" s="106">
        <f t="shared" ca="1" si="10"/>
        <v>945</v>
      </c>
      <c r="Q45" s="106">
        <f t="shared" ca="1" si="10"/>
        <v>0</v>
      </c>
      <c r="R45" s="106">
        <f t="shared" ref="R45" ca="1" si="11">R42*R43</f>
        <v>0</v>
      </c>
    </row>
    <row r="46" spans="1:19" x14ac:dyDescent="0.2">
      <c r="A46" s="102" t="s">
        <v>378</v>
      </c>
      <c r="B46" s="299">
        <f>'TABLE CHARGE RATE'!$G$12*'TABLE CHARGE RATE'!$I$12</f>
        <v>50000</v>
      </c>
      <c r="C46" s="300"/>
      <c r="D46" s="300"/>
      <c r="E46" s="301"/>
      <c r="F46" s="270"/>
      <c r="G46" s="106"/>
      <c r="H46" s="106"/>
      <c r="I46" s="106"/>
      <c r="J46" s="106"/>
      <c r="K46" s="106"/>
      <c r="L46" s="106"/>
      <c r="M46" s="106"/>
      <c r="N46" s="106"/>
      <c r="O46" s="106"/>
      <c r="P46" s="106"/>
      <c r="Q46" s="106"/>
      <c r="R46" s="106"/>
    </row>
    <row r="47" spans="1:19" x14ac:dyDescent="0.2">
      <c r="A47" s="102" t="s">
        <v>377</v>
      </c>
      <c r="B47" s="299">
        <f>IF(SUM($B$45:$E$45)&gt;B46,SUM($B$45:$E$45),B46)</f>
        <v>80352</v>
      </c>
      <c r="C47" s="300"/>
      <c r="D47" s="300"/>
      <c r="E47" s="301"/>
      <c r="F47" s="270">
        <f t="shared" ref="F47:R47" ca="1" si="12">IF(F46&gt;F45,F46,F45)</f>
        <v>3209.166666666667</v>
      </c>
      <c r="G47" s="106">
        <f t="shared" ca="1" si="12"/>
        <v>520</v>
      </c>
      <c r="H47" s="106">
        <f t="shared" si="12"/>
        <v>0</v>
      </c>
      <c r="I47" s="106">
        <f t="shared" si="12"/>
        <v>0</v>
      </c>
      <c r="J47" s="106">
        <f t="shared" si="12"/>
        <v>0</v>
      </c>
      <c r="K47" s="106">
        <f t="shared" si="12"/>
        <v>0</v>
      </c>
      <c r="L47" s="106">
        <f t="shared" si="12"/>
        <v>0</v>
      </c>
      <c r="M47" s="106">
        <f t="shared" ca="1" si="12"/>
        <v>240</v>
      </c>
      <c r="N47" s="106">
        <f t="shared" ca="1" si="12"/>
        <v>180</v>
      </c>
      <c r="O47" s="106">
        <f t="shared" ca="1" si="12"/>
        <v>210</v>
      </c>
      <c r="P47" s="106">
        <f t="shared" ca="1" si="12"/>
        <v>945</v>
      </c>
      <c r="Q47" s="106">
        <f t="shared" ca="1" si="12"/>
        <v>0</v>
      </c>
      <c r="R47" s="106">
        <f t="shared" ca="1" si="12"/>
        <v>0</v>
      </c>
    </row>
    <row r="48" spans="1:19" s="110" customFormat="1" ht="14.25" customHeight="1" x14ac:dyDescent="0.2">
      <c r="F48" s="271"/>
      <c r="G48" s="290" t="s">
        <v>343</v>
      </c>
      <c r="H48" s="291"/>
      <c r="I48" s="289" t="str">
        <f ca="1">"-"&amp;BAHTTEXT(M48)&amp;"-"</f>
        <v>-แปดหมื่นห้าพันหกร้อยห้าสิบหกบาทสิบเจ็ดสตางค์-</v>
      </c>
      <c r="J48" s="289"/>
      <c r="K48" s="289"/>
      <c r="L48" s="289"/>
      <c r="M48" s="295">
        <f ca="1">SUM(B47:R47)</f>
        <v>85656.166666666672</v>
      </c>
      <c r="N48" s="295"/>
      <c r="O48" s="295"/>
      <c r="P48" s="295"/>
      <c r="Q48" s="295"/>
      <c r="R48" s="295"/>
      <c r="S48" s="3"/>
    </row>
    <row r="49" spans="6:19" s="110" customFormat="1" ht="14.25" customHeight="1" x14ac:dyDescent="0.2">
      <c r="F49" s="271"/>
      <c r="G49" s="292"/>
      <c r="H49" s="293"/>
      <c r="I49" s="289"/>
      <c r="J49" s="289"/>
      <c r="K49" s="289"/>
      <c r="L49" s="289"/>
      <c r="M49" s="295"/>
      <c r="N49" s="295"/>
      <c r="O49" s="295"/>
      <c r="P49" s="295"/>
      <c r="Q49" s="295"/>
      <c r="R49" s="295"/>
      <c r="S49" s="3"/>
    </row>
  </sheetData>
  <mergeCells count="9">
    <mergeCell ref="I48:L49"/>
    <mergeCell ref="G48:H49"/>
    <mergeCell ref="M9:R9"/>
    <mergeCell ref="M48:R49"/>
    <mergeCell ref="B9:E9"/>
    <mergeCell ref="B46:E46"/>
    <mergeCell ref="B47:E47"/>
    <mergeCell ref="F9:G9"/>
    <mergeCell ref="H9:J9"/>
  </mergeCells>
  <pageMargins left="0.31496062992125984" right="0.31496062992125984" top="0.74803149606299213" bottom="0.35433070866141736" header="0.31496062992125984" footer="0.31496062992125984"/>
  <pageSetup paperSize="9" scale="55"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5:P73"/>
  <sheetViews>
    <sheetView showGridLines="0" view="pageLayout" topLeftCell="A31" zoomScaleNormal="100" workbookViewId="0">
      <selection activeCell="M34" sqref="M34"/>
    </sheetView>
  </sheetViews>
  <sheetFormatPr defaultColWidth="6.85546875" defaultRowHeight="12.75" customHeight="1" x14ac:dyDescent="0.2"/>
  <cols>
    <col min="1" max="16" width="8.42578125" style="161" customWidth="1"/>
    <col min="17" max="16384" width="6.85546875" style="161"/>
  </cols>
  <sheetData>
    <row r="5" spans="1:16" s="158" customFormat="1" ht="12.75" customHeight="1" x14ac:dyDescent="0.2">
      <c r="A5" s="159" t="s">
        <v>401</v>
      </c>
      <c r="B5" s="159"/>
    </row>
    <row r="6" spans="1:16" s="158" customFormat="1" ht="12.75" customHeight="1" x14ac:dyDescent="0.2">
      <c r="A6" s="159" t="s">
        <v>404</v>
      </c>
      <c r="B6" s="159"/>
    </row>
    <row r="7" spans="1:16" s="158" customFormat="1" ht="12.75" customHeight="1" x14ac:dyDescent="0.2">
      <c r="A7" s="159" t="s">
        <v>407</v>
      </c>
      <c r="B7" s="159"/>
    </row>
    <row r="8" spans="1:16" s="158" customFormat="1" ht="12.75" customHeight="1" x14ac:dyDescent="0.2">
      <c r="A8" s="159" t="s">
        <v>410</v>
      </c>
      <c r="B8" s="159"/>
    </row>
    <row r="9" spans="1:16" s="158" customFormat="1" ht="12.75" customHeight="1" x14ac:dyDescent="0.2">
      <c r="A9" s="159" t="s">
        <v>413</v>
      </c>
      <c r="B9" s="159"/>
    </row>
    <row r="10" spans="1:16" ht="12.75" customHeight="1" x14ac:dyDescent="0.2">
      <c r="H10" s="162" t="s">
        <v>416</v>
      </c>
      <c r="I10" s="304">
        <f ca="1">TODAY()</f>
        <v>43932</v>
      </c>
      <c r="J10" s="304"/>
      <c r="K10" s="304"/>
      <c r="L10" s="304"/>
    </row>
    <row r="12" spans="1:16" ht="12.75" customHeight="1" x14ac:dyDescent="0.2">
      <c r="A12" s="307" t="s">
        <v>591</v>
      </c>
      <c r="B12" s="307"/>
      <c r="C12" s="307"/>
      <c r="D12" s="307"/>
      <c r="E12" s="307"/>
      <c r="F12" s="307"/>
      <c r="G12" s="307"/>
      <c r="H12" s="307"/>
      <c r="I12" s="307"/>
      <c r="J12" s="307"/>
      <c r="K12" s="307"/>
      <c r="L12" s="307"/>
      <c r="M12" s="307"/>
      <c r="N12" s="307"/>
      <c r="O12" s="307"/>
      <c r="P12" s="307"/>
    </row>
    <row r="13" spans="1:16" ht="12.75" customHeight="1" x14ac:dyDescent="0.2">
      <c r="A13" s="307" t="s">
        <v>424</v>
      </c>
      <c r="B13" s="307"/>
      <c r="C13" s="307"/>
      <c r="D13" s="307"/>
      <c r="E13" s="307"/>
      <c r="F13" s="307"/>
      <c r="G13" s="307"/>
      <c r="H13" s="307"/>
      <c r="I13" s="307"/>
      <c r="J13" s="307"/>
      <c r="K13" s="307"/>
      <c r="L13" s="307"/>
      <c r="M13" s="307"/>
      <c r="N13" s="307"/>
      <c r="O13" s="307"/>
      <c r="P13" s="307"/>
    </row>
    <row r="14" spans="1:16" ht="12.75" customHeight="1" x14ac:dyDescent="0.2">
      <c r="A14" s="163"/>
      <c r="B14" s="164" t="s">
        <v>427</v>
      </c>
      <c r="C14" s="165"/>
      <c r="D14" s="165"/>
      <c r="E14" s="165">
        <v>121</v>
      </c>
      <c r="F14" s="165"/>
      <c r="G14" s="165"/>
      <c r="H14" s="165"/>
      <c r="I14" s="164" t="s">
        <v>429</v>
      </c>
      <c r="J14" s="165"/>
      <c r="K14" s="165" t="s">
        <v>548</v>
      </c>
      <c r="L14" s="165"/>
      <c r="M14" s="165"/>
      <c r="N14" s="165"/>
      <c r="O14" s="165"/>
      <c r="P14" s="166"/>
    </row>
    <row r="15" spans="1:16" ht="12.75" customHeight="1" x14ac:dyDescent="0.2">
      <c r="A15" s="167"/>
      <c r="B15" s="168" t="s">
        <v>433</v>
      </c>
      <c r="C15" s="169"/>
      <c r="D15" s="169"/>
      <c r="E15" s="169"/>
      <c r="F15" s="169"/>
      <c r="G15" s="169"/>
      <c r="H15" s="169"/>
      <c r="I15" s="169"/>
      <c r="J15" s="169"/>
      <c r="K15" s="169"/>
      <c r="L15" s="169"/>
      <c r="M15" s="169"/>
      <c r="N15" s="169"/>
      <c r="O15" s="169"/>
      <c r="P15" s="170"/>
    </row>
    <row r="16" spans="1:16" ht="12.75" customHeight="1" x14ac:dyDescent="0.2">
      <c r="A16" s="167"/>
      <c r="B16" s="169" t="s">
        <v>547</v>
      </c>
      <c r="C16" s="169"/>
      <c r="D16" s="169"/>
      <c r="E16" s="169"/>
      <c r="F16" s="169"/>
      <c r="G16" s="169"/>
      <c r="H16" s="169"/>
      <c r="I16" s="169"/>
      <c r="J16" s="169"/>
      <c r="K16" s="169"/>
      <c r="L16" s="169"/>
      <c r="M16" s="169"/>
      <c r="N16" s="169"/>
      <c r="O16" s="169"/>
      <c r="P16" s="170"/>
    </row>
    <row r="17" spans="1:16" ht="12.75" customHeight="1" x14ac:dyDescent="0.2">
      <c r="A17" s="167"/>
      <c r="B17" s="169" t="s">
        <v>508</v>
      </c>
      <c r="C17" s="169"/>
      <c r="D17" s="169"/>
      <c r="E17" s="169"/>
      <c r="F17" s="169"/>
      <c r="G17" s="169"/>
      <c r="H17" s="169"/>
      <c r="I17" s="169"/>
      <c r="J17" s="169"/>
      <c r="K17" s="169"/>
      <c r="L17" s="169"/>
      <c r="M17" s="169"/>
      <c r="N17" s="169"/>
      <c r="O17" s="169"/>
      <c r="P17" s="170"/>
    </row>
    <row r="18" spans="1:16" ht="12.75" customHeight="1" x14ac:dyDescent="0.2">
      <c r="A18" s="167"/>
      <c r="B18" s="169"/>
      <c r="C18" s="169"/>
      <c r="D18" s="169"/>
      <c r="E18" s="169"/>
      <c r="F18" s="169"/>
      <c r="G18" s="169"/>
      <c r="H18" s="169"/>
      <c r="I18" s="169"/>
      <c r="J18" s="169"/>
      <c r="K18" s="169"/>
      <c r="L18" s="169"/>
      <c r="M18" s="169"/>
      <c r="N18" s="169"/>
      <c r="O18" s="169"/>
      <c r="P18" s="170"/>
    </row>
    <row r="19" spans="1:16" ht="2.25" customHeight="1" x14ac:dyDescent="0.2">
      <c r="A19" s="171"/>
      <c r="B19" s="172"/>
      <c r="C19" s="172"/>
      <c r="D19" s="172"/>
      <c r="E19" s="172"/>
      <c r="F19" s="172"/>
      <c r="G19" s="172"/>
      <c r="H19" s="172"/>
      <c r="I19" s="172"/>
      <c r="J19" s="172"/>
      <c r="K19" s="172"/>
      <c r="L19" s="172"/>
      <c r="M19" s="172"/>
      <c r="N19" s="172"/>
      <c r="O19" s="172"/>
      <c r="P19" s="173"/>
    </row>
    <row r="21" spans="1:16" ht="12.75" customHeight="1" x14ac:dyDescent="0.2">
      <c r="A21" s="361" t="s">
        <v>434</v>
      </c>
      <c r="B21" s="361"/>
      <c r="C21" s="361"/>
      <c r="D21" s="361" t="s">
        <v>435</v>
      </c>
      <c r="E21" s="361"/>
      <c r="F21" s="361"/>
      <c r="G21" s="361" t="s">
        <v>436</v>
      </c>
      <c r="H21" s="361"/>
      <c r="I21" s="361"/>
      <c r="J21" s="361" t="s">
        <v>437</v>
      </c>
      <c r="K21" s="361"/>
      <c r="L21" s="361"/>
      <c r="M21" s="361" t="s">
        <v>438</v>
      </c>
      <c r="N21" s="361"/>
      <c r="O21" s="361"/>
      <c r="P21" s="361"/>
    </row>
    <row r="22" spans="1:16" ht="12.75" customHeight="1" x14ac:dyDescent="0.2">
      <c r="A22" s="306" t="s">
        <v>439</v>
      </c>
      <c r="B22" s="306"/>
      <c r="C22" s="306"/>
      <c r="D22" s="306" t="s">
        <v>440</v>
      </c>
      <c r="E22" s="306"/>
      <c r="F22" s="306"/>
      <c r="G22" s="306" t="s">
        <v>441</v>
      </c>
      <c r="H22" s="306"/>
      <c r="I22" s="306"/>
      <c r="J22" s="306" t="s">
        <v>442</v>
      </c>
      <c r="K22" s="306"/>
      <c r="L22" s="306"/>
      <c r="M22" s="306" t="s">
        <v>443</v>
      </c>
      <c r="N22" s="306"/>
      <c r="O22" s="306"/>
      <c r="P22" s="306"/>
    </row>
    <row r="23" spans="1:16" ht="12.75" customHeight="1" x14ac:dyDescent="0.2">
      <c r="A23" s="308" t="s">
        <v>507</v>
      </c>
      <c r="B23" s="308"/>
      <c r="C23" s="308"/>
      <c r="D23" s="308">
        <v>30</v>
      </c>
      <c r="E23" s="308"/>
      <c r="F23" s="308"/>
      <c r="G23" s="308"/>
      <c r="H23" s="308"/>
      <c r="I23" s="308"/>
      <c r="J23" s="308" t="s">
        <v>506</v>
      </c>
      <c r="K23" s="308"/>
      <c r="L23" s="308"/>
      <c r="M23" s="308"/>
      <c r="N23" s="308"/>
      <c r="O23" s="308"/>
      <c r="P23" s="308"/>
    </row>
    <row r="25" spans="1:16" s="158" customFormat="1" ht="12.75" customHeight="1" x14ac:dyDescent="0.2">
      <c r="A25" s="305" t="s">
        <v>446</v>
      </c>
      <c r="B25" s="305"/>
      <c r="C25" s="305"/>
      <c r="D25" s="305"/>
      <c r="E25" s="305" t="s">
        <v>505</v>
      </c>
      <c r="F25" s="305"/>
      <c r="G25" s="305"/>
      <c r="H25" s="305" t="s">
        <v>504</v>
      </c>
      <c r="I25" s="305"/>
      <c r="J25" s="305" t="s">
        <v>448</v>
      </c>
      <c r="K25" s="305"/>
      <c r="L25" s="305" t="s">
        <v>503</v>
      </c>
      <c r="M25" s="305"/>
      <c r="N25" s="305" t="s">
        <v>502</v>
      </c>
      <c r="O25" s="305"/>
      <c r="P25" s="305"/>
    </row>
    <row r="26" spans="1:16" s="158" customFormat="1" ht="12.75" customHeight="1" x14ac:dyDescent="0.2">
      <c r="A26" s="369" t="s">
        <v>501</v>
      </c>
      <c r="B26" s="369"/>
      <c r="C26" s="369"/>
      <c r="D26" s="369"/>
      <c r="E26" s="369" t="s">
        <v>500</v>
      </c>
      <c r="F26" s="369"/>
      <c r="G26" s="369"/>
      <c r="H26" s="369" t="s">
        <v>499</v>
      </c>
      <c r="I26" s="369"/>
      <c r="J26" s="369" t="s">
        <v>498</v>
      </c>
      <c r="K26" s="369"/>
      <c r="L26" s="369" t="s">
        <v>497</v>
      </c>
      <c r="M26" s="369"/>
      <c r="N26" s="369" t="s">
        <v>496</v>
      </c>
      <c r="O26" s="369"/>
      <c r="P26" s="369"/>
    </row>
    <row r="27" spans="1:16" ht="12.75" customHeight="1" x14ac:dyDescent="0.2">
      <c r="A27" s="370" t="s">
        <v>495</v>
      </c>
      <c r="B27" s="371"/>
      <c r="C27" s="371"/>
      <c r="D27" s="371"/>
      <c r="E27" s="174"/>
      <c r="F27" s="175"/>
      <c r="G27" s="176"/>
      <c r="H27" s="174"/>
      <c r="I27" s="176"/>
      <c r="J27" s="177"/>
      <c r="K27" s="178"/>
      <c r="L27" s="174"/>
      <c r="M27" s="176"/>
      <c r="N27" s="362">
        <f>N28</f>
        <v>80352</v>
      </c>
      <c r="O27" s="363"/>
      <c r="P27" s="364"/>
    </row>
    <row r="28" spans="1:16" ht="12.75" customHeight="1" x14ac:dyDescent="0.2">
      <c r="A28" s="328" t="s">
        <v>542</v>
      </c>
      <c r="B28" s="329"/>
      <c r="C28" s="329"/>
      <c r="D28" s="329"/>
      <c r="E28" s="330" t="s">
        <v>46</v>
      </c>
      <c r="F28" s="331"/>
      <c r="G28" s="310"/>
      <c r="H28" s="332">
        <f>'TABLE CHARGE RATE'!$G$12</f>
        <v>200</v>
      </c>
      <c r="I28" s="310"/>
      <c r="J28" s="372">
        <f>SUM(J29:K32)</f>
        <v>608</v>
      </c>
      <c r="K28" s="373"/>
      <c r="L28" s="309">
        <f>'TABLE CHARGE RATE'!$I$12</f>
        <v>250</v>
      </c>
      <c r="M28" s="310"/>
      <c r="N28" s="311">
        <f>IF(H28*L28&gt;SUM(N29:P32),H28*L28,SUM(N29:P32))</f>
        <v>80352</v>
      </c>
      <c r="O28" s="311"/>
      <c r="P28" s="312"/>
    </row>
    <row r="29" spans="1:16" s="258" customFormat="1" ht="12.75" customHeight="1" x14ac:dyDescent="0.2">
      <c r="A29" s="302" t="s">
        <v>541</v>
      </c>
      <c r="B29" s="303"/>
      <c r="C29" s="303"/>
      <c r="D29" s="303"/>
      <c r="E29" s="374" t="s">
        <v>46</v>
      </c>
      <c r="F29" s="375"/>
      <c r="G29" s="376"/>
      <c r="H29" s="379">
        <f>'WAREHOUSE MANAGEMENT CHARGE'!B43</f>
        <v>69</v>
      </c>
      <c r="I29" s="380"/>
      <c r="J29" s="381">
        <f>'WAREHOUSE MANAGEMENT CHARGE'!$B$42</f>
        <v>458</v>
      </c>
      <c r="K29" s="382"/>
      <c r="L29" s="256"/>
      <c r="M29" s="257"/>
      <c r="N29" s="377">
        <f>H29*J29</f>
        <v>31602</v>
      </c>
      <c r="O29" s="377"/>
      <c r="P29" s="378"/>
    </row>
    <row r="30" spans="1:16" s="258" customFormat="1" ht="12.75" customHeight="1" x14ac:dyDescent="0.2">
      <c r="A30" s="302" t="s">
        <v>543</v>
      </c>
      <c r="B30" s="303"/>
      <c r="C30" s="303"/>
      <c r="D30" s="303"/>
      <c r="E30" s="374" t="s">
        <v>46</v>
      </c>
      <c r="F30" s="375"/>
      <c r="G30" s="376"/>
      <c r="H30" s="379">
        <f>'WAREHOUSE MANAGEMENT CHARGE'!C43</f>
        <v>325</v>
      </c>
      <c r="I30" s="380"/>
      <c r="J30" s="381">
        <f>'WAREHOUSE MANAGEMENT CHARGE'!$C$42</f>
        <v>0</v>
      </c>
      <c r="K30" s="382"/>
      <c r="L30" s="256"/>
      <c r="M30" s="257"/>
      <c r="N30" s="377">
        <f t="shared" ref="N30:N32" si="0">IF(J30&lt;L30,L30*H30,H30*J30)</f>
        <v>0</v>
      </c>
      <c r="O30" s="377"/>
      <c r="P30" s="378"/>
    </row>
    <row r="31" spans="1:16" s="258" customFormat="1" ht="12.75" customHeight="1" x14ac:dyDescent="0.2">
      <c r="A31" s="302" t="s">
        <v>544</v>
      </c>
      <c r="B31" s="303"/>
      <c r="C31" s="303"/>
      <c r="D31" s="303"/>
      <c r="E31" s="374" t="s">
        <v>46</v>
      </c>
      <c r="F31" s="375"/>
      <c r="G31" s="376"/>
      <c r="H31" s="379">
        <f>'WAREHOUSE MANAGEMENT CHARGE'!D43</f>
        <v>325</v>
      </c>
      <c r="I31" s="380"/>
      <c r="J31" s="381">
        <f>'WAREHOUSE MANAGEMENT CHARGE'!$D$42</f>
        <v>150</v>
      </c>
      <c r="K31" s="382"/>
      <c r="L31" s="256"/>
      <c r="M31" s="257"/>
      <c r="N31" s="377">
        <f t="shared" si="0"/>
        <v>48750</v>
      </c>
      <c r="O31" s="377"/>
      <c r="P31" s="378"/>
    </row>
    <row r="32" spans="1:16" s="258" customFormat="1" ht="12.75" customHeight="1" x14ac:dyDescent="0.2">
      <c r="A32" s="259"/>
      <c r="B32" s="260"/>
      <c r="C32" s="260"/>
      <c r="D32" s="260" t="s">
        <v>540</v>
      </c>
      <c r="E32" s="374" t="s">
        <v>46</v>
      </c>
      <c r="F32" s="375"/>
      <c r="G32" s="376"/>
      <c r="H32" s="379"/>
      <c r="I32" s="376"/>
      <c r="J32" s="381"/>
      <c r="K32" s="382"/>
      <c r="L32" s="256"/>
      <c r="M32" s="257"/>
      <c r="N32" s="377">
        <f t="shared" si="0"/>
        <v>0</v>
      </c>
      <c r="O32" s="377"/>
      <c r="P32" s="378"/>
    </row>
    <row r="33" spans="1:16" ht="12.75" customHeight="1" x14ac:dyDescent="0.2">
      <c r="A33" s="328" t="s">
        <v>494</v>
      </c>
      <c r="B33" s="329"/>
      <c r="C33" s="329"/>
      <c r="D33" s="329"/>
      <c r="E33" s="330" t="s">
        <v>49</v>
      </c>
      <c r="F33" s="331"/>
      <c r="G33" s="310"/>
      <c r="H33" s="332">
        <f>'TABLE CHARGE RATE'!$G$13</f>
        <v>2</v>
      </c>
      <c r="I33" s="310"/>
      <c r="J33" s="332"/>
      <c r="K33" s="333"/>
      <c r="L33" s="309"/>
      <c r="M33" s="310"/>
      <c r="N33" s="326"/>
      <c r="O33" s="326"/>
      <c r="P33" s="327"/>
    </row>
    <row r="34" spans="1:16" ht="12.75" customHeight="1" x14ac:dyDescent="0.2">
      <c r="A34" s="365" t="s">
        <v>493</v>
      </c>
      <c r="B34" s="366"/>
      <c r="C34" s="366"/>
      <c r="D34" s="366"/>
      <c r="E34" s="179"/>
      <c r="F34" s="180"/>
      <c r="G34" s="181"/>
      <c r="H34" s="179"/>
      <c r="I34" s="181"/>
      <c r="J34" s="182"/>
      <c r="K34" s="183"/>
      <c r="L34" s="179"/>
      <c r="M34" s="181"/>
      <c r="N34" s="323">
        <f ca="1">SUM(N35:P36)</f>
        <v>3729.166666666667</v>
      </c>
      <c r="O34" s="324"/>
      <c r="P34" s="325"/>
    </row>
    <row r="35" spans="1:16" ht="12.75" customHeight="1" x14ac:dyDescent="0.2">
      <c r="A35" s="328" t="s">
        <v>492</v>
      </c>
      <c r="B35" s="329"/>
      <c r="C35" s="329"/>
      <c r="D35" s="329"/>
      <c r="E35" s="330" t="s">
        <v>52</v>
      </c>
      <c r="F35" s="331"/>
      <c r="G35" s="310"/>
      <c r="H35" s="309">
        <f>'TABLE CHARGE RATE'!$G$15</f>
        <v>5</v>
      </c>
      <c r="I35" s="310"/>
      <c r="J35" s="367">
        <f ca="1">'WAREHOUSE MANAGEMENT CHARGE'!$F$42</f>
        <v>641.83333333333337</v>
      </c>
      <c r="K35" s="368"/>
      <c r="L35" s="309"/>
      <c r="M35" s="310"/>
      <c r="N35" s="311">
        <f ca="1">IF(J35&lt;L35,L35*H35,H35*J35)</f>
        <v>3209.166666666667</v>
      </c>
      <c r="O35" s="311"/>
      <c r="P35" s="312"/>
    </row>
    <row r="36" spans="1:16" ht="12.75" customHeight="1" x14ac:dyDescent="0.2">
      <c r="A36" s="328" t="s">
        <v>491</v>
      </c>
      <c r="B36" s="329"/>
      <c r="C36" s="329"/>
      <c r="D36" s="329"/>
      <c r="E36" s="330" t="s">
        <v>54</v>
      </c>
      <c r="F36" s="331"/>
      <c r="G36" s="310"/>
      <c r="H36" s="332">
        <f>'TABLE CHARGE RATE'!$G$16</f>
        <v>10</v>
      </c>
      <c r="I36" s="310"/>
      <c r="J36" s="332">
        <f ca="1">'WAREHOUSE MANAGEMENT CHARGE'!$G$42</f>
        <v>52</v>
      </c>
      <c r="K36" s="333"/>
      <c r="L36" s="309"/>
      <c r="M36" s="310"/>
      <c r="N36" s="326">
        <f ca="1">IF(J36&lt;L36,L36*H36,H36*J36)</f>
        <v>520</v>
      </c>
      <c r="O36" s="326"/>
      <c r="P36" s="327"/>
    </row>
    <row r="37" spans="1:16" ht="12.75" customHeight="1" x14ac:dyDescent="0.2">
      <c r="A37" s="365" t="s">
        <v>490</v>
      </c>
      <c r="B37" s="366"/>
      <c r="C37" s="366"/>
      <c r="D37" s="366"/>
      <c r="E37" s="184"/>
      <c r="F37" s="185"/>
      <c r="G37" s="186"/>
      <c r="H37" s="184"/>
      <c r="I37" s="186"/>
      <c r="J37" s="187"/>
      <c r="K37" s="188"/>
      <c r="L37" s="184"/>
      <c r="M37" s="186"/>
      <c r="N37" s="323">
        <f>SUM(N38:P40)</f>
        <v>0</v>
      </c>
      <c r="O37" s="324"/>
      <c r="P37" s="325"/>
    </row>
    <row r="38" spans="1:16" ht="12.75" customHeight="1" x14ac:dyDescent="0.2">
      <c r="A38" s="328" t="s">
        <v>56</v>
      </c>
      <c r="B38" s="329"/>
      <c r="C38" s="329"/>
      <c r="D38" s="329"/>
      <c r="E38" s="330" t="s">
        <v>57</v>
      </c>
      <c r="F38" s="331"/>
      <c r="G38" s="310"/>
      <c r="H38" s="309">
        <f>'TABLE CHARGE RATE'!$G$18</f>
        <v>5</v>
      </c>
      <c r="I38" s="310"/>
      <c r="J38" s="332"/>
      <c r="K38" s="333"/>
      <c r="L38" s="309"/>
      <c r="M38" s="310"/>
      <c r="N38" s="311"/>
      <c r="O38" s="311"/>
      <c r="P38" s="312"/>
    </row>
    <row r="39" spans="1:16" ht="12.75" customHeight="1" x14ac:dyDescent="0.2">
      <c r="A39" s="328" t="s">
        <v>58</v>
      </c>
      <c r="B39" s="329"/>
      <c r="C39" s="329"/>
      <c r="D39" s="329"/>
      <c r="E39" s="330" t="s">
        <v>59</v>
      </c>
      <c r="F39" s="331"/>
      <c r="G39" s="310"/>
      <c r="H39" s="332">
        <f>'TABLE CHARGE RATE'!$G$19</f>
        <v>5</v>
      </c>
      <c r="I39" s="310"/>
      <c r="J39" s="332"/>
      <c r="K39" s="333"/>
      <c r="L39" s="309"/>
      <c r="M39" s="310"/>
      <c r="N39" s="326"/>
      <c r="O39" s="326"/>
      <c r="P39" s="327"/>
    </row>
    <row r="40" spans="1:16" ht="12.75" customHeight="1" x14ac:dyDescent="0.2">
      <c r="A40" s="328" t="s">
        <v>60</v>
      </c>
      <c r="B40" s="329"/>
      <c r="C40" s="329"/>
      <c r="D40" s="329"/>
      <c r="E40" s="330" t="s">
        <v>61</v>
      </c>
      <c r="F40" s="331"/>
      <c r="G40" s="310"/>
      <c r="H40" s="332">
        <f>'TABLE CHARGE RATE'!$G$20</f>
        <v>20</v>
      </c>
      <c r="I40" s="310"/>
      <c r="J40" s="332"/>
      <c r="K40" s="333"/>
      <c r="L40" s="309"/>
      <c r="M40" s="310"/>
      <c r="N40" s="326"/>
      <c r="O40" s="326"/>
      <c r="P40" s="327"/>
    </row>
    <row r="41" spans="1:16" ht="12.75" customHeight="1" x14ac:dyDescent="0.2">
      <c r="A41" s="184" t="s">
        <v>489</v>
      </c>
      <c r="B41" s="169"/>
      <c r="C41" s="169"/>
      <c r="D41" s="169"/>
      <c r="E41" s="167"/>
      <c r="F41" s="169"/>
      <c r="G41" s="170"/>
      <c r="H41" s="167"/>
      <c r="I41" s="170"/>
      <c r="J41" s="189"/>
      <c r="K41" s="190"/>
      <c r="L41" s="167"/>
      <c r="M41" s="170"/>
      <c r="N41" s="323">
        <f ca="1">SUM(N42:P47)</f>
        <v>1575</v>
      </c>
      <c r="O41" s="324"/>
      <c r="P41" s="325"/>
    </row>
    <row r="42" spans="1:16" ht="12.75" customHeight="1" x14ac:dyDescent="0.2">
      <c r="A42" s="328" t="s">
        <v>488</v>
      </c>
      <c r="B42" s="329"/>
      <c r="C42" s="329"/>
      <c r="D42" s="329"/>
      <c r="E42" s="330" t="s">
        <v>54</v>
      </c>
      <c r="F42" s="331"/>
      <c r="G42" s="310"/>
      <c r="H42" s="332">
        <f>'TABLE CHARGE RATE'!$E$26</f>
        <v>20</v>
      </c>
      <c r="I42" s="310"/>
      <c r="J42" s="332">
        <f ca="1">'WAREHOUSE MANAGEMENT CHARGE'!M$42</f>
        <v>12</v>
      </c>
      <c r="K42" s="333"/>
      <c r="L42" s="309"/>
      <c r="M42" s="310"/>
      <c r="N42" s="326">
        <f t="shared" ref="N42:N47" ca="1" si="1">IF(J42&lt;L42,L42*H42,H42*J42)</f>
        <v>240</v>
      </c>
      <c r="O42" s="326"/>
      <c r="P42" s="327"/>
    </row>
    <row r="43" spans="1:16" ht="12.75" customHeight="1" x14ac:dyDescent="0.2">
      <c r="A43" s="328" t="s">
        <v>487</v>
      </c>
      <c r="B43" s="329"/>
      <c r="C43" s="329"/>
      <c r="D43" s="329"/>
      <c r="E43" s="330" t="s">
        <v>54</v>
      </c>
      <c r="F43" s="331"/>
      <c r="G43" s="310"/>
      <c r="H43" s="332">
        <f>'TABLE CHARGE RATE'!$F$26</f>
        <v>30</v>
      </c>
      <c r="I43" s="310"/>
      <c r="J43" s="332">
        <f ca="1">'WAREHOUSE MANAGEMENT CHARGE'!N$42</f>
        <v>6</v>
      </c>
      <c r="K43" s="333"/>
      <c r="L43" s="309"/>
      <c r="M43" s="310"/>
      <c r="N43" s="326">
        <f t="shared" ca="1" si="1"/>
        <v>180</v>
      </c>
      <c r="O43" s="326"/>
      <c r="P43" s="327"/>
    </row>
    <row r="44" spans="1:16" ht="12.75" customHeight="1" x14ac:dyDescent="0.2">
      <c r="A44" s="328" t="s">
        <v>486</v>
      </c>
      <c r="B44" s="329"/>
      <c r="C44" s="329"/>
      <c r="D44" s="329"/>
      <c r="E44" s="330" t="s">
        <v>54</v>
      </c>
      <c r="F44" s="331"/>
      <c r="G44" s="310"/>
      <c r="H44" s="332">
        <f>'TABLE CHARGE RATE'!$G$26</f>
        <v>30</v>
      </c>
      <c r="I44" s="310"/>
      <c r="J44" s="332">
        <f ca="1">'WAREHOUSE MANAGEMENT CHARGE'!O$42</f>
        <v>7</v>
      </c>
      <c r="K44" s="333"/>
      <c r="L44" s="309"/>
      <c r="M44" s="310"/>
      <c r="N44" s="326">
        <f t="shared" ca="1" si="1"/>
        <v>210</v>
      </c>
      <c r="O44" s="326"/>
      <c r="P44" s="327"/>
    </row>
    <row r="45" spans="1:16" ht="12.75" customHeight="1" x14ac:dyDescent="0.2">
      <c r="A45" s="328" t="s">
        <v>485</v>
      </c>
      <c r="B45" s="329"/>
      <c r="C45" s="329"/>
      <c r="D45" s="329"/>
      <c r="E45" s="330" t="s">
        <v>54</v>
      </c>
      <c r="F45" s="331"/>
      <c r="G45" s="310"/>
      <c r="H45" s="332">
        <f>'TABLE CHARGE RATE'!$H$26</f>
        <v>35</v>
      </c>
      <c r="I45" s="310"/>
      <c r="J45" s="332">
        <f ca="1">'WAREHOUSE MANAGEMENT CHARGE'!P$42</f>
        <v>27</v>
      </c>
      <c r="K45" s="333"/>
      <c r="L45" s="309"/>
      <c r="M45" s="310"/>
      <c r="N45" s="326">
        <f t="shared" ca="1" si="1"/>
        <v>945</v>
      </c>
      <c r="O45" s="326"/>
      <c r="P45" s="327"/>
    </row>
    <row r="46" spans="1:16" ht="12.75" customHeight="1" x14ac:dyDescent="0.2">
      <c r="A46" s="328" t="s">
        <v>484</v>
      </c>
      <c r="B46" s="329"/>
      <c r="C46" s="329"/>
      <c r="D46" s="329"/>
      <c r="E46" s="330" t="s">
        <v>54</v>
      </c>
      <c r="F46" s="331"/>
      <c r="G46" s="310"/>
      <c r="H46" s="332">
        <f>'TABLE CHARGE RATE'!$I$26</f>
        <v>40</v>
      </c>
      <c r="I46" s="310"/>
      <c r="J46" s="332">
        <f ca="1">'WAREHOUSE MANAGEMENT CHARGE'!Q$42</f>
        <v>0</v>
      </c>
      <c r="K46" s="333"/>
      <c r="L46" s="309"/>
      <c r="M46" s="310"/>
      <c r="N46" s="326">
        <f t="shared" ca="1" si="1"/>
        <v>0</v>
      </c>
      <c r="O46" s="326"/>
      <c r="P46" s="327"/>
    </row>
    <row r="47" spans="1:16" ht="12.75" customHeight="1" x14ac:dyDescent="0.2">
      <c r="A47" s="328" t="s">
        <v>483</v>
      </c>
      <c r="B47" s="329"/>
      <c r="C47" s="329"/>
      <c r="D47" s="329"/>
      <c r="E47" s="330" t="s">
        <v>54</v>
      </c>
      <c r="F47" s="331"/>
      <c r="G47" s="310"/>
      <c r="H47" s="332">
        <f>'TABLE CHARGE RATE'!$J$26</f>
        <v>45</v>
      </c>
      <c r="I47" s="310"/>
      <c r="J47" s="332">
        <f ca="1">'WAREHOUSE MANAGEMENT CHARGE'!R$42</f>
        <v>0</v>
      </c>
      <c r="K47" s="333"/>
      <c r="L47" s="309"/>
      <c r="M47" s="310"/>
      <c r="N47" s="326">
        <f t="shared" ca="1" si="1"/>
        <v>0</v>
      </c>
      <c r="O47" s="326"/>
      <c r="P47" s="327"/>
    </row>
    <row r="48" spans="1:16" ht="12.75" customHeight="1" x14ac:dyDescent="0.2">
      <c r="A48" s="191" t="s">
        <v>482</v>
      </c>
      <c r="B48" s="192"/>
      <c r="C48" s="192"/>
      <c r="D48" s="192"/>
      <c r="E48" s="179"/>
      <c r="F48" s="180"/>
      <c r="G48" s="181"/>
      <c r="H48" s="182"/>
      <c r="I48" s="181"/>
      <c r="J48" s="182"/>
      <c r="K48" s="183"/>
      <c r="L48" s="193"/>
      <c r="M48" s="181"/>
      <c r="N48" s="323">
        <f>SUM(N49:P51)</f>
        <v>0</v>
      </c>
      <c r="O48" s="324"/>
      <c r="P48" s="325"/>
    </row>
    <row r="49" spans="1:16" ht="12.75" customHeight="1" x14ac:dyDescent="0.2">
      <c r="A49" s="328" t="s">
        <v>481</v>
      </c>
      <c r="B49" s="329"/>
      <c r="C49" s="329"/>
      <c r="D49" s="329"/>
      <c r="E49" s="330" t="s">
        <v>52</v>
      </c>
      <c r="F49" s="331"/>
      <c r="G49" s="310"/>
      <c r="H49" s="309">
        <f>'TABLE CHARGE RATE'!$G$15</f>
        <v>5</v>
      </c>
      <c r="I49" s="310"/>
      <c r="J49" s="332"/>
      <c r="K49" s="333"/>
      <c r="L49" s="309"/>
      <c r="M49" s="310"/>
      <c r="N49" s="311"/>
      <c r="O49" s="311"/>
      <c r="P49" s="312"/>
    </row>
    <row r="50" spans="1:16" ht="12.75" customHeight="1" x14ac:dyDescent="0.2">
      <c r="A50" s="328"/>
      <c r="B50" s="329"/>
      <c r="C50" s="329"/>
      <c r="D50" s="329"/>
      <c r="E50" s="330"/>
      <c r="F50" s="331"/>
      <c r="G50" s="310"/>
      <c r="H50" s="332"/>
      <c r="I50" s="310"/>
      <c r="J50" s="332"/>
      <c r="K50" s="333"/>
      <c r="L50" s="309"/>
      <c r="M50" s="310"/>
      <c r="N50" s="326"/>
      <c r="O50" s="326"/>
      <c r="P50" s="327"/>
    </row>
    <row r="51" spans="1:16" ht="6.75" customHeight="1" x14ac:dyDescent="0.2">
      <c r="A51" s="313"/>
      <c r="B51" s="314"/>
      <c r="C51" s="314"/>
      <c r="D51" s="314"/>
      <c r="E51" s="315"/>
      <c r="F51" s="316"/>
      <c r="G51" s="317"/>
      <c r="H51" s="318"/>
      <c r="I51" s="317"/>
      <c r="J51" s="318"/>
      <c r="K51" s="319"/>
      <c r="L51" s="320"/>
      <c r="M51" s="317"/>
      <c r="N51" s="321"/>
      <c r="O51" s="321"/>
      <c r="P51" s="322"/>
    </row>
    <row r="52" spans="1:16" s="158" customFormat="1" ht="12.75" customHeight="1" x14ac:dyDescent="0.2">
      <c r="A52" s="194"/>
      <c r="B52" s="195"/>
      <c r="C52" s="195"/>
      <c r="D52" s="195"/>
      <c r="E52" s="195"/>
      <c r="F52" s="195"/>
      <c r="G52" s="195"/>
      <c r="H52" s="346" t="s">
        <v>480</v>
      </c>
      <c r="I52" s="347"/>
      <c r="J52" s="347"/>
      <c r="K52" s="348"/>
      <c r="L52" s="349">
        <f ca="1">SUM(N27,N34,N37,N41,N48)</f>
        <v>85656.166666666672</v>
      </c>
      <c r="M52" s="350"/>
      <c r="N52" s="350"/>
      <c r="O52" s="350"/>
      <c r="P52" s="351"/>
    </row>
    <row r="53" spans="1:16" ht="12.75" customHeight="1" x14ac:dyDescent="0.2">
      <c r="A53" s="167"/>
      <c r="B53" s="169"/>
      <c r="C53" s="169"/>
      <c r="D53" s="169"/>
      <c r="E53" s="169"/>
      <c r="F53" s="169"/>
      <c r="G53" s="169"/>
      <c r="H53" s="346" t="s">
        <v>479</v>
      </c>
      <c r="I53" s="347"/>
      <c r="J53" s="347"/>
      <c r="K53" s="348"/>
      <c r="L53" s="349"/>
      <c r="M53" s="350"/>
      <c r="N53" s="350"/>
      <c r="O53" s="350"/>
      <c r="P53" s="351"/>
    </row>
    <row r="54" spans="1:16" ht="12.75" customHeight="1" x14ac:dyDescent="0.2">
      <c r="A54" s="167"/>
      <c r="B54" s="169"/>
      <c r="C54" s="169"/>
      <c r="D54" s="169" t="s">
        <v>478</v>
      </c>
      <c r="E54" s="169"/>
      <c r="F54" s="169"/>
      <c r="G54" s="169"/>
      <c r="H54" s="346" t="s">
        <v>477</v>
      </c>
      <c r="I54" s="347"/>
      <c r="J54" s="347"/>
      <c r="K54" s="348"/>
      <c r="L54" s="349"/>
      <c r="M54" s="350"/>
      <c r="N54" s="350"/>
      <c r="O54" s="350"/>
      <c r="P54" s="351"/>
    </row>
    <row r="55" spans="1:16" ht="12.75" customHeight="1" x14ac:dyDescent="0.2">
      <c r="A55" s="167"/>
      <c r="B55" s="169"/>
      <c r="C55" s="169"/>
      <c r="D55" s="169"/>
      <c r="E55" s="169"/>
      <c r="F55" s="169"/>
      <c r="G55" s="169"/>
      <c r="H55" s="346" t="s">
        <v>476</v>
      </c>
      <c r="I55" s="347"/>
      <c r="J55" s="347"/>
      <c r="K55" s="348"/>
      <c r="L55" s="349">
        <f ca="1">L52-(L53+L54)</f>
        <v>85656.166666666672</v>
      </c>
      <c r="M55" s="350"/>
      <c r="N55" s="350"/>
      <c r="O55" s="350"/>
      <c r="P55" s="351"/>
    </row>
    <row r="56" spans="1:16" ht="12.75" customHeight="1" x14ac:dyDescent="0.2">
      <c r="A56" s="167"/>
      <c r="B56" s="169"/>
      <c r="C56" s="169"/>
      <c r="D56" s="169"/>
      <c r="E56" s="169"/>
      <c r="F56" s="169"/>
      <c r="G56" s="169"/>
      <c r="H56" s="346" t="s">
        <v>458</v>
      </c>
      <c r="I56" s="347"/>
      <c r="J56" s="347"/>
      <c r="K56" s="197">
        <v>7.0000000000000007E-2</v>
      </c>
      <c r="L56" s="349">
        <f ca="1">$L$55*K56</f>
        <v>5995.9316666666673</v>
      </c>
      <c r="M56" s="350"/>
      <c r="N56" s="350"/>
      <c r="O56" s="350"/>
      <c r="P56" s="351"/>
    </row>
    <row r="57" spans="1:16" ht="12.75" customHeight="1" x14ac:dyDescent="0.2">
      <c r="A57" s="167"/>
      <c r="B57" s="169"/>
      <c r="C57" s="169"/>
      <c r="D57" s="169"/>
      <c r="E57" s="169"/>
      <c r="F57" s="169"/>
      <c r="G57" s="169"/>
      <c r="H57" s="346" t="s">
        <v>475</v>
      </c>
      <c r="I57" s="347"/>
      <c r="J57" s="347"/>
      <c r="K57" s="197">
        <v>0.03</v>
      </c>
      <c r="L57" s="349">
        <f ca="1">L55*$K$57</f>
        <v>2569.6849999999999</v>
      </c>
      <c r="M57" s="350"/>
      <c r="N57" s="350"/>
      <c r="O57" s="350"/>
      <c r="P57" s="351"/>
    </row>
    <row r="58" spans="1:16" s="196" customFormat="1" ht="12.75" customHeight="1" x14ac:dyDescent="0.2">
      <c r="A58" s="355" t="str">
        <f ca="1">"-"&amp;BAHTTEXT($L$58)&amp;"-"</f>
        <v>-แปดหมื่นเก้าพันแปดสิบสองบาทสี่สิบเอ็ดสตางค์-</v>
      </c>
      <c r="B58" s="356"/>
      <c r="C58" s="356"/>
      <c r="D58" s="356"/>
      <c r="E58" s="356"/>
      <c r="F58" s="356"/>
      <c r="G58" s="357"/>
      <c r="H58" s="352" t="s">
        <v>474</v>
      </c>
      <c r="I58" s="353"/>
      <c r="J58" s="353"/>
      <c r="K58" s="354"/>
      <c r="L58" s="343">
        <f ca="1">($L$55+$L$56)-$L$57</f>
        <v>89082.413333333345</v>
      </c>
      <c r="M58" s="344"/>
      <c r="N58" s="344"/>
      <c r="O58" s="344"/>
      <c r="P58" s="345"/>
    </row>
    <row r="59" spans="1:16" ht="12.75" customHeight="1" x14ac:dyDescent="0.2">
      <c r="A59" s="334" t="s">
        <v>473</v>
      </c>
      <c r="B59" s="335"/>
      <c r="C59" s="335"/>
      <c r="D59" s="335"/>
      <c r="E59" s="335"/>
      <c r="F59" s="335"/>
      <c r="G59" s="335"/>
      <c r="H59" s="335"/>
      <c r="I59" s="335"/>
      <c r="J59" s="335"/>
      <c r="K59" s="335"/>
      <c r="L59" s="335"/>
      <c r="M59" s="335"/>
      <c r="N59" s="335"/>
      <c r="O59" s="335"/>
      <c r="P59" s="336"/>
    </row>
    <row r="60" spans="1:16" ht="12.75" customHeight="1" x14ac:dyDescent="0.2">
      <c r="A60" s="337" t="s">
        <v>472</v>
      </c>
      <c r="B60" s="338"/>
      <c r="C60" s="338"/>
      <c r="D60" s="338"/>
      <c r="E60" s="338"/>
      <c r="F60" s="338"/>
      <c r="G60" s="338"/>
      <c r="H60" s="338"/>
      <c r="I60" s="338"/>
      <c r="J60" s="338"/>
      <c r="K60" s="338"/>
      <c r="L60" s="338"/>
      <c r="M60" s="338"/>
      <c r="N60" s="338"/>
      <c r="O60" s="338"/>
      <c r="P60" s="339"/>
    </row>
    <row r="61" spans="1:16" ht="12.75" customHeight="1" x14ac:dyDescent="0.2">
      <c r="A61" s="340"/>
      <c r="B61" s="341"/>
      <c r="C61" s="341"/>
      <c r="D61" s="341"/>
      <c r="E61" s="341"/>
      <c r="F61" s="341"/>
      <c r="G61" s="341"/>
      <c r="H61" s="341"/>
      <c r="I61" s="341"/>
      <c r="J61" s="341"/>
      <c r="K61" s="341"/>
      <c r="L61" s="341"/>
      <c r="M61" s="341"/>
      <c r="N61" s="341"/>
      <c r="O61" s="341"/>
      <c r="P61" s="342"/>
    </row>
    <row r="62" spans="1:16" ht="12.75" customHeight="1" x14ac:dyDescent="0.2">
      <c r="A62" s="340"/>
      <c r="B62" s="341"/>
      <c r="C62" s="341"/>
      <c r="D62" s="341"/>
      <c r="E62" s="341"/>
      <c r="F62" s="341"/>
      <c r="G62" s="341"/>
      <c r="H62" s="341"/>
      <c r="I62" s="341"/>
      <c r="J62" s="341"/>
      <c r="K62" s="341"/>
      <c r="L62" s="341"/>
      <c r="M62" s="341"/>
      <c r="N62" s="341"/>
      <c r="O62" s="341"/>
      <c r="P62" s="342"/>
    </row>
    <row r="63" spans="1:16" ht="12.75" customHeight="1" x14ac:dyDescent="0.2">
      <c r="A63" s="340" t="s">
        <v>471</v>
      </c>
      <c r="B63" s="341"/>
      <c r="C63" s="341"/>
      <c r="D63" s="341"/>
      <c r="E63" s="341"/>
      <c r="F63" s="341"/>
      <c r="G63" s="341"/>
      <c r="H63" s="341"/>
      <c r="I63" s="341"/>
      <c r="J63" s="341"/>
      <c r="K63" s="341"/>
      <c r="L63" s="341"/>
      <c r="M63" s="341"/>
      <c r="N63" s="341"/>
      <c r="O63" s="341"/>
      <c r="P63" s="342"/>
    </row>
    <row r="64" spans="1:16" ht="12.75" customHeight="1" x14ac:dyDescent="0.2">
      <c r="A64" s="340" t="s">
        <v>470</v>
      </c>
      <c r="B64" s="341"/>
      <c r="C64" s="341"/>
      <c r="D64" s="341"/>
      <c r="E64" s="341"/>
      <c r="F64" s="341"/>
      <c r="G64" s="341"/>
      <c r="H64" s="341"/>
      <c r="I64" s="341"/>
      <c r="J64" s="341"/>
      <c r="K64" s="341"/>
      <c r="L64" s="341"/>
      <c r="M64" s="341"/>
      <c r="N64" s="341"/>
      <c r="O64" s="341"/>
      <c r="P64" s="342"/>
    </row>
    <row r="65" spans="1:16" ht="12.75" customHeight="1" x14ac:dyDescent="0.2">
      <c r="A65" s="340"/>
      <c r="B65" s="341"/>
      <c r="C65" s="341"/>
      <c r="D65" s="341"/>
      <c r="E65" s="341"/>
      <c r="F65" s="341"/>
      <c r="G65" s="341"/>
      <c r="H65" s="341"/>
      <c r="I65" s="341"/>
      <c r="J65" s="341"/>
      <c r="K65" s="341"/>
      <c r="L65" s="341"/>
      <c r="M65" s="341"/>
      <c r="N65" s="341"/>
      <c r="O65" s="341"/>
      <c r="P65" s="342"/>
    </row>
    <row r="66" spans="1:16" ht="12.75" customHeight="1" x14ac:dyDescent="0.2">
      <c r="A66" s="340" t="s">
        <v>469</v>
      </c>
      <c r="B66" s="341"/>
      <c r="C66" s="341"/>
      <c r="D66" s="341"/>
      <c r="E66" s="341"/>
      <c r="F66" s="341"/>
      <c r="G66" s="341"/>
      <c r="H66" s="341"/>
      <c r="I66" s="341"/>
      <c r="J66" s="341"/>
      <c r="K66" s="341"/>
      <c r="L66" s="341"/>
      <c r="M66" s="341"/>
      <c r="N66" s="341"/>
      <c r="O66" s="341"/>
      <c r="P66" s="342"/>
    </row>
    <row r="67" spans="1:16" ht="12.75" customHeight="1" x14ac:dyDescent="0.2">
      <c r="A67" s="340"/>
      <c r="B67" s="341"/>
      <c r="C67" s="341"/>
      <c r="D67" s="341"/>
      <c r="E67" s="341"/>
      <c r="F67" s="341"/>
      <c r="G67" s="341"/>
      <c r="H67" s="341"/>
      <c r="I67" s="341"/>
      <c r="J67" s="341"/>
      <c r="K67" s="341"/>
      <c r="L67" s="341"/>
      <c r="M67" s="341"/>
      <c r="N67" s="341"/>
      <c r="O67" s="341"/>
      <c r="P67" s="342"/>
    </row>
    <row r="68" spans="1:16" ht="12.75" customHeight="1" x14ac:dyDescent="0.2">
      <c r="A68" s="171"/>
      <c r="B68" s="172"/>
      <c r="C68" s="172"/>
      <c r="D68" s="172"/>
      <c r="E68" s="172"/>
      <c r="F68" s="172"/>
      <c r="G68" s="172"/>
      <c r="H68" s="172"/>
      <c r="I68" s="172"/>
      <c r="J68" s="172"/>
      <c r="K68" s="172"/>
      <c r="L68" s="172"/>
      <c r="M68" s="172"/>
      <c r="N68" s="172"/>
      <c r="O68" s="172"/>
      <c r="P68" s="173"/>
    </row>
    <row r="69" spans="1:16" ht="12.75" customHeight="1" x14ac:dyDescent="0.2">
      <c r="A69" s="358" t="s">
        <v>401</v>
      </c>
      <c r="B69" s="359"/>
      <c r="C69" s="359"/>
      <c r="D69" s="359"/>
      <c r="E69" s="359"/>
      <c r="F69" s="359"/>
      <c r="G69" s="359"/>
      <c r="H69" s="360"/>
      <c r="I69" s="358" t="str">
        <f>$B$16</f>
        <v>บริษัท เอสซีจี ซิเมนต์ จำกัด</v>
      </c>
      <c r="J69" s="359"/>
      <c r="K69" s="359"/>
      <c r="L69" s="359"/>
      <c r="M69" s="359"/>
      <c r="N69" s="359"/>
      <c r="O69" s="359"/>
      <c r="P69" s="360"/>
    </row>
    <row r="70" spans="1:16" ht="23.25" customHeight="1" x14ac:dyDescent="0.2">
      <c r="A70" s="167"/>
      <c r="B70" s="169"/>
      <c r="C70" s="169"/>
      <c r="D70" s="169"/>
      <c r="E70" s="169"/>
      <c r="F70" s="169"/>
      <c r="G70" s="169"/>
      <c r="H70" s="170"/>
      <c r="I70" s="167"/>
      <c r="J70" s="169"/>
      <c r="K70" s="169"/>
      <c r="L70" s="169"/>
      <c r="M70" s="169"/>
      <c r="N70" s="169"/>
      <c r="O70" s="169"/>
      <c r="P70" s="170"/>
    </row>
    <row r="71" spans="1:16" ht="10.5" customHeight="1" x14ac:dyDescent="0.2">
      <c r="A71" s="167" t="s">
        <v>465</v>
      </c>
      <c r="B71" s="169"/>
      <c r="C71" s="169"/>
      <c r="D71" s="169"/>
      <c r="E71" s="169"/>
      <c r="F71" s="169"/>
      <c r="G71" s="169"/>
      <c r="H71" s="170"/>
      <c r="I71" s="167" t="s">
        <v>466</v>
      </c>
      <c r="J71" s="169"/>
      <c r="K71" s="169"/>
      <c r="L71" s="169"/>
      <c r="M71" s="169"/>
      <c r="N71" s="169"/>
      <c r="O71" s="169"/>
      <c r="P71" s="170"/>
    </row>
    <row r="72" spans="1:16" ht="14.25" customHeight="1" x14ac:dyDescent="0.2">
      <c r="A72" s="167" t="s">
        <v>467</v>
      </c>
      <c r="B72" s="169"/>
      <c r="C72" s="169"/>
      <c r="D72" s="169"/>
      <c r="E72" s="169"/>
      <c r="F72" s="169"/>
      <c r="G72" s="169"/>
      <c r="H72" s="170"/>
      <c r="I72" s="167" t="s">
        <v>467</v>
      </c>
      <c r="J72" s="169"/>
      <c r="K72" s="169"/>
      <c r="L72" s="169"/>
      <c r="M72" s="169"/>
      <c r="N72" s="169"/>
      <c r="O72" s="169"/>
      <c r="P72" s="170"/>
    </row>
    <row r="73" spans="1:16" ht="11.25" customHeight="1" x14ac:dyDescent="0.2">
      <c r="A73" s="171"/>
      <c r="B73" s="172"/>
      <c r="C73" s="172"/>
      <c r="D73" s="172"/>
      <c r="E73" s="172"/>
      <c r="F73" s="172"/>
      <c r="G73" s="172"/>
      <c r="H73" s="173"/>
      <c r="I73" s="171"/>
      <c r="J73" s="172"/>
      <c r="K73" s="172"/>
      <c r="L73" s="172"/>
      <c r="M73" s="172"/>
      <c r="N73" s="172"/>
      <c r="O73" s="172"/>
      <c r="P73" s="173"/>
    </row>
  </sheetData>
  <mergeCells count="175">
    <mergeCell ref="N29:P29"/>
    <mergeCell ref="N30:P30"/>
    <mergeCell ref="N31:P31"/>
    <mergeCell ref="N32:P32"/>
    <mergeCell ref="E31:G31"/>
    <mergeCell ref="E32:G32"/>
    <mergeCell ref="H29:I29"/>
    <mergeCell ref="H30:I30"/>
    <mergeCell ref="H31:I31"/>
    <mergeCell ref="H32:I32"/>
    <mergeCell ref="J29:K29"/>
    <mergeCell ref="J30:K30"/>
    <mergeCell ref="J31:K31"/>
    <mergeCell ref="J32:K32"/>
    <mergeCell ref="N39:P39"/>
    <mergeCell ref="A26:D26"/>
    <mergeCell ref="E26:G26"/>
    <mergeCell ref="H26:I26"/>
    <mergeCell ref="J26:K26"/>
    <mergeCell ref="L26:M26"/>
    <mergeCell ref="N26:P26"/>
    <mergeCell ref="A36:D36"/>
    <mergeCell ref="A27:D27"/>
    <mergeCell ref="A33:D33"/>
    <mergeCell ref="E33:G33"/>
    <mergeCell ref="H33:I33"/>
    <mergeCell ref="J33:K33"/>
    <mergeCell ref="L33:M33"/>
    <mergeCell ref="A28:D28"/>
    <mergeCell ref="E28:G28"/>
    <mergeCell ref="H28:I28"/>
    <mergeCell ref="J28:K28"/>
    <mergeCell ref="A34:D34"/>
    <mergeCell ref="A35:D35"/>
    <mergeCell ref="E35:G35"/>
    <mergeCell ref="H35:I35"/>
    <mergeCell ref="E29:G29"/>
    <mergeCell ref="E30:G30"/>
    <mergeCell ref="E38:G38"/>
    <mergeCell ref="H38:I38"/>
    <mergeCell ref="J38:K38"/>
    <mergeCell ref="L38:M38"/>
    <mergeCell ref="N38:P38"/>
    <mergeCell ref="N33:P33"/>
    <mergeCell ref="N35:P35"/>
    <mergeCell ref="A37:D37"/>
    <mergeCell ref="A38:D38"/>
    <mergeCell ref="H36:I36"/>
    <mergeCell ref="J36:K36"/>
    <mergeCell ref="L36:M36"/>
    <mergeCell ref="N36:P36"/>
    <mergeCell ref="J35:K35"/>
    <mergeCell ref="L35:M35"/>
    <mergeCell ref="E36:G36"/>
    <mergeCell ref="N42:P42"/>
    <mergeCell ref="L40:M40"/>
    <mergeCell ref="E44:G44"/>
    <mergeCell ref="H44:I44"/>
    <mergeCell ref="J44:K44"/>
    <mergeCell ref="L44:M44"/>
    <mergeCell ref="N44:P44"/>
    <mergeCell ref="A45:D45"/>
    <mergeCell ref="E45:G45"/>
    <mergeCell ref="N43:P43"/>
    <mergeCell ref="N40:P40"/>
    <mergeCell ref="N41:P41"/>
    <mergeCell ref="A42:D42"/>
    <mergeCell ref="E42:G42"/>
    <mergeCell ref="H42:I42"/>
    <mergeCell ref="J42:K42"/>
    <mergeCell ref="L42:M42"/>
    <mergeCell ref="A40:D40"/>
    <mergeCell ref="E40:G40"/>
    <mergeCell ref="H40:I40"/>
    <mergeCell ref="J40:K40"/>
    <mergeCell ref="A39:D39"/>
    <mergeCell ref="E39:G39"/>
    <mergeCell ref="H39:I39"/>
    <mergeCell ref="J39:K39"/>
    <mergeCell ref="L39:M39"/>
    <mergeCell ref="H45:I45"/>
    <mergeCell ref="J45:K45"/>
    <mergeCell ref="L45:M45"/>
    <mergeCell ref="A43:D43"/>
    <mergeCell ref="E43:G43"/>
    <mergeCell ref="H43:I43"/>
    <mergeCell ref="J43:K43"/>
    <mergeCell ref="L43:M43"/>
    <mergeCell ref="A64:P65"/>
    <mergeCell ref="A66:P67"/>
    <mergeCell ref="A69:H69"/>
    <mergeCell ref="I69:P69"/>
    <mergeCell ref="A21:C21"/>
    <mergeCell ref="D21:F21"/>
    <mergeCell ref="G21:I21"/>
    <mergeCell ref="J21:L21"/>
    <mergeCell ref="M21:P21"/>
    <mergeCell ref="A46:D46"/>
    <mergeCell ref="E46:G46"/>
    <mergeCell ref="H46:I46"/>
    <mergeCell ref="J46:K46"/>
    <mergeCell ref="L46:M46"/>
    <mergeCell ref="N46:P46"/>
    <mergeCell ref="A47:D47"/>
    <mergeCell ref="E47:G47"/>
    <mergeCell ref="H47:I47"/>
    <mergeCell ref="J47:K47"/>
    <mergeCell ref="L47:M47"/>
    <mergeCell ref="N47:P47"/>
    <mergeCell ref="N27:P27"/>
    <mergeCell ref="N34:P34"/>
    <mergeCell ref="N37:P37"/>
    <mergeCell ref="A59:P59"/>
    <mergeCell ref="A60:P62"/>
    <mergeCell ref="L58:P58"/>
    <mergeCell ref="H52:K52"/>
    <mergeCell ref="H53:K53"/>
    <mergeCell ref="H54:K54"/>
    <mergeCell ref="H55:K55"/>
    <mergeCell ref="L53:P53"/>
    <mergeCell ref="A63:P63"/>
    <mergeCell ref="L52:P52"/>
    <mergeCell ref="H58:K58"/>
    <mergeCell ref="A58:G58"/>
    <mergeCell ref="L54:P54"/>
    <mergeCell ref="L55:P55"/>
    <mergeCell ref="L56:P56"/>
    <mergeCell ref="L57:P57"/>
    <mergeCell ref="H56:J56"/>
    <mergeCell ref="H57:J57"/>
    <mergeCell ref="A51:D51"/>
    <mergeCell ref="E51:G51"/>
    <mergeCell ref="H51:I51"/>
    <mergeCell ref="J51:K51"/>
    <mergeCell ref="L51:M51"/>
    <mergeCell ref="N51:P51"/>
    <mergeCell ref="N48:P48"/>
    <mergeCell ref="N45:P45"/>
    <mergeCell ref="A44:D44"/>
    <mergeCell ref="A50:D50"/>
    <mergeCell ref="E50:G50"/>
    <mergeCell ref="H50:I50"/>
    <mergeCell ref="J50:K50"/>
    <mergeCell ref="L50:M50"/>
    <mergeCell ref="N50:P50"/>
    <mergeCell ref="A49:D49"/>
    <mergeCell ref="E49:G49"/>
    <mergeCell ref="H49:I49"/>
    <mergeCell ref="J49:K49"/>
    <mergeCell ref="L49:M49"/>
    <mergeCell ref="N49:P49"/>
    <mergeCell ref="A29:D29"/>
    <mergeCell ref="A30:D30"/>
    <mergeCell ref="A31:D31"/>
    <mergeCell ref="I10:L10"/>
    <mergeCell ref="A25:D25"/>
    <mergeCell ref="E25:G25"/>
    <mergeCell ref="H25:I25"/>
    <mergeCell ref="J25:K25"/>
    <mergeCell ref="L25:M25"/>
    <mergeCell ref="A22:C22"/>
    <mergeCell ref="D22:F22"/>
    <mergeCell ref="G22:I22"/>
    <mergeCell ref="J22:L22"/>
    <mergeCell ref="A12:P12"/>
    <mergeCell ref="A13:P13"/>
    <mergeCell ref="N25:P25"/>
    <mergeCell ref="M22:P22"/>
    <mergeCell ref="A23:C23"/>
    <mergeCell ref="D23:F23"/>
    <mergeCell ref="G23:I23"/>
    <mergeCell ref="J23:L23"/>
    <mergeCell ref="M23:P23"/>
    <mergeCell ref="L28:M28"/>
    <mergeCell ref="N28:P28"/>
  </mergeCells>
  <pageMargins left="0.31496062992125984" right="0.31496062992125984" top="0.31177083333333333" bottom="0.35433070866141736" header="0.31496062992125984" footer="0.31496062992125984"/>
  <pageSetup paperSize="9" scale="73"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5:P71"/>
  <sheetViews>
    <sheetView showGridLines="0" view="pageLayout" topLeftCell="A10" zoomScaleNormal="100" workbookViewId="0">
      <selection activeCell="L18" sqref="L18"/>
    </sheetView>
  </sheetViews>
  <sheetFormatPr defaultColWidth="6.85546875" defaultRowHeight="12.75" customHeight="1" x14ac:dyDescent="0.2"/>
  <cols>
    <col min="1" max="16" width="8.42578125" style="161" customWidth="1"/>
    <col min="17" max="16384" width="6.85546875" style="161"/>
  </cols>
  <sheetData>
    <row r="5" spans="1:16" s="158" customFormat="1" ht="12.75" customHeight="1" x14ac:dyDescent="0.2">
      <c r="A5" s="159" t="s">
        <v>401</v>
      </c>
      <c r="B5" s="159"/>
    </row>
    <row r="6" spans="1:16" s="158" customFormat="1" ht="12.75" customHeight="1" x14ac:dyDescent="0.2">
      <c r="A6" s="159" t="s">
        <v>404</v>
      </c>
      <c r="B6" s="159"/>
    </row>
    <row r="7" spans="1:16" s="158" customFormat="1" ht="12.75" customHeight="1" x14ac:dyDescent="0.2">
      <c r="A7" s="159" t="s">
        <v>407</v>
      </c>
      <c r="B7" s="159"/>
    </row>
    <row r="8" spans="1:16" s="158" customFormat="1" ht="12.75" customHeight="1" x14ac:dyDescent="0.2">
      <c r="A8" s="159" t="s">
        <v>410</v>
      </c>
      <c r="B8" s="159"/>
    </row>
    <row r="9" spans="1:16" s="158" customFormat="1" ht="12.75" customHeight="1" x14ac:dyDescent="0.2">
      <c r="A9" s="159" t="s">
        <v>413</v>
      </c>
      <c r="B9" s="159"/>
    </row>
    <row r="10" spans="1:16" ht="12.75" customHeight="1" x14ac:dyDescent="0.2">
      <c r="H10" s="162" t="s">
        <v>416</v>
      </c>
      <c r="I10" s="304">
        <f ca="1">TODAY()</f>
        <v>43932</v>
      </c>
      <c r="J10" s="304"/>
      <c r="K10" s="304"/>
      <c r="L10" s="304"/>
    </row>
    <row r="12" spans="1:16" ht="12.75" customHeight="1" x14ac:dyDescent="0.2">
      <c r="A12" s="307" t="s">
        <v>591</v>
      </c>
      <c r="B12" s="307"/>
      <c r="C12" s="307"/>
      <c r="D12" s="307"/>
      <c r="E12" s="307"/>
      <c r="F12" s="307"/>
      <c r="G12" s="307"/>
      <c r="H12" s="307"/>
      <c r="I12" s="307"/>
      <c r="J12" s="307"/>
      <c r="K12" s="307"/>
      <c r="L12" s="307"/>
      <c r="M12" s="307"/>
      <c r="N12" s="307"/>
      <c r="O12" s="307"/>
      <c r="P12" s="307"/>
    </row>
    <row r="13" spans="1:16" ht="12.75" customHeight="1" x14ac:dyDescent="0.2">
      <c r="A13" s="307" t="s">
        <v>424</v>
      </c>
      <c r="B13" s="307"/>
      <c r="C13" s="307"/>
      <c r="D13" s="307"/>
      <c r="E13" s="307"/>
      <c r="F13" s="307"/>
      <c r="G13" s="307"/>
      <c r="H13" s="307"/>
      <c r="I13" s="307"/>
      <c r="J13" s="307"/>
      <c r="K13" s="307"/>
      <c r="L13" s="307"/>
      <c r="M13" s="307"/>
      <c r="N13" s="307"/>
      <c r="O13" s="307"/>
      <c r="P13" s="307"/>
    </row>
    <row r="14" spans="1:16" ht="12.75" customHeight="1" x14ac:dyDescent="0.2">
      <c r="A14" s="163"/>
      <c r="B14" s="164" t="s">
        <v>427</v>
      </c>
      <c r="C14" s="165"/>
      <c r="D14" s="165"/>
      <c r="E14" s="165">
        <v>121</v>
      </c>
      <c r="F14" s="165"/>
      <c r="G14" s="165"/>
      <c r="H14" s="165"/>
      <c r="I14" s="164" t="s">
        <v>429</v>
      </c>
      <c r="J14" s="165"/>
      <c r="K14" s="165" t="s">
        <v>549</v>
      </c>
      <c r="L14" s="165"/>
      <c r="M14" s="165"/>
      <c r="N14" s="165"/>
      <c r="O14" s="165"/>
      <c r="P14" s="166"/>
    </row>
    <row r="15" spans="1:16" ht="12.75" customHeight="1" x14ac:dyDescent="0.2">
      <c r="A15" s="167"/>
      <c r="B15" s="168" t="s">
        <v>433</v>
      </c>
      <c r="C15" s="169"/>
      <c r="D15" s="169"/>
      <c r="E15" s="169"/>
      <c r="F15" s="169"/>
      <c r="G15" s="169"/>
      <c r="H15" s="169"/>
      <c r="I15" s="169"/>
      <c r="J15" s="169"/>
      <c r="K15" s="169"/>
      <c r="L15" s="169"/>
      <c r="M15" s="169"/>
      <c r="N15" s="169"/>
      <c r="O15" s="169"/>
      <c r="P15" s="170"/>
    </row>
    <row r="16" spans="1:16" ht="12.75" customHeight="1" x14ac:dyDescent="0.2">
      <c r="A16" s="167"/>
      <c r="B16" s="169" t="s">
        <v>547</v>
      </c>
      <c r="C16" s="169"/>
      <c r="D16" s="169"/>
      <c r="E16" s="169"/>
      <c r="F16" s="169"/>
      <c r="G16" s="169"/>
      <c r="H16" s="169"/>
      <c r="I16" s="169"/>
      <c r="J16" s="169"/>
      <c r="K16" s="169"/>
      <c r="L16" s="169"/>
      <c r="M16" s="169"/>
      <c r="N16" s="169"/>
      <c r="O16" s="169"/>
      <c r="P16" s="170"/>
    </row>
    <row r="17" spans="1:16" ht="12.75" customHeight="1" x14ac:dyDescent="0.2">
      <c r="A17" s="167"/>
      <c r="B17" s="169" t="s">
        <v>508</v>
      </c>
      <c r="C17" s="169"/>
      <c r="D17" s="169"/>
      <c r="E17" s="169"/>
      <c r="F17" s="169"/>
      <c r="G17" s="169"/>
      <c r="H17" s="169"/>
      <c r="I17" s="169"/>
      <c r="J17" s="169"/>
      <c r="K17" s="169"/>
      <c r="L17" s="169"/>
      <c r="M17" s="169"/>
      <c r="N17" s="169"/>
      <c r="O17" s="169"/>
      <c r="P17" s="170"/>
    </row>
    <row r="18" spans="1:16" ht="12.75" customHeight="1" x14ac:dyDescent="0.2">
      <c r="A18" s="167"/>
      <c r="B18" s="169"/>
      <c r="C18" s="169"/>
      <c r="D18" s="169"/>
      <c r="E18" s="169"/>
      <c r="F18" s="169"/>
      <c r="G18" s="169"/>
      <c r="H18" s="169"/>
      <c r="I18" s="169"/>
      <c r="J18" s="169"/>
      <c r="K18" s="169"/>
      <c r="L18" s="169"/>
      <c r="M18" s="169"/>
      <c r="N18" s="169"/>
      <c r="O18" s="169"/>
      <c r="P18" s="170"/>
    </row>
    <row r="19" spans="1:16" ht="12.75" customHeight="1" x14ac:dyDescent="0.2">
      <c r="A19" s="171"/>
      <c r="B19" s="172"/>
      <c r="C19" s="172"/>
      <c r="D19" s="172"/>
      <c r="E19" s="172"/>
      <c r="F19" s="172"/>
      <c r="G19" s="172"/>
      <c r="H19" s="172"/>
      <c r="I19" s="172"/>
      <c r="J19" s="172"/>
      <c r="K19" s="172"/>
      <c r="L19" s="172"/>
      <c r="M19" s="172"/>
      <c r="N19" s="172"/>
      <c r="O19" s="172"/>
      <c r="P19" s="173"/>
    </row>
    <row r="21" spans="1:16" ht="12.75" customHeight="1" x14ac:dyDescent="0.2">
      <c r="A21" s="361" t="s">
        <v>434</v>
      </c>
      <c r="B21" s="361"/>
      <c r="C21" s="361"/>
      <c r="D21" s="361" t="s">
        <v>435</v>
      </c>
      <c r="E21" s="361"/>
      <c r="F21" s="361"/>
      <c r="G21" s="361" t="s">
        <v>436</v>
      </c>
      <c r="H21" s="361"/>
      <c r="I21" s="361"/>
      <c r="J21" s="361" t="s">
        <v>437</v>
      </c>
      <c r="K21" s="361"/>
      <c r="L21" s="361"/>
      <c r="M21" s="361" t="s">
        <v>438</v>
      </c>
      <c r="N21" s="361"/>
      <c r="O21" s="361"/>
      <c r="P21" s="361"/>
    </row>
    <row r="22" spans="1:16" ht="12.75" customHeight="1" x14ac:dyDescent="0.2">
      <c r="A22" s="306" t="s">
        <v>439</v>
      </c>
      <c r="B22" s="306"/>
      <c r="C22" s="306"/>
      <c r="D22" s="306" t="s">
        <v>440</v>
      </c>
      <c r="E22" s="306"/>
      <c r="F22" s="306"/>
      <c r="G22" s="306" t="s">
        <v>441</v>
      </c>
      <c r="H22" s="306"/>
      <c r="I22" s="306"/>
      <c r="J22" s="306" t="s">
        <v>442</v>
      </c>
      <c r="K22" s="306"/>
      <c r="L22" s="306"/>
      <c r="M22" s="306" t="s">
        <v>443</v>
      </c>
      <c r="N22" s="306"/>
      <c r="O22" s="306"/>
      <c r="P22" s="306"/>
    </row>
    <row r="23" spans="1:16" ht="12.75" customHeight="1" x14ac:dyDescent="0.2">
      <c r="A23" s="308" t="s">
        <v>507</v>
      </c>
      <c r="B23" s="308"/>
      <c r="C23" s="308"/>
      <c r="D23" s="308">
        <v>30</v>
      </c>
      <c r="E23" s="308"/>
      <c r="F23" s="308"/>
      <c r="G23" s="308"/>
      <c r="H23" s="308"/>
      <c r="I23" s="308"/>
      <c r="J23" s="308" t="s">
        <v>506</v>
      </c>
      <c r="K23" s="308"/>
      <c r="L23" s="308"/>
      <c r="M23" s="308"/>
      <c r="N23" s="308"/>
      <c r="O23" s="308"/>
      <c r="P23" s="308"/>
    </row>
    <row r="25" spans="1:16" s="158" customFormat="1" ht="12.75" customHeight="1" x14ac:dyDescent="0.2">
      <c r="A25" s="305" t="s">
        <v>446</v>
      </c>
      <c r="B25" s="305"/>
      <c r="C25" s="305"/>
      <c r="D25" s="305"/>
      <c r="E25" s="305" t="s">
        <v>505</v>
      </c>
      <c r="F25" s="305"/>
      <c r="G25" s="305"/>
      <c r="H25" s="305" t="s">
        <v>504</v>
      </c>
      <c r="I25" s="305"/>
      <c r="J25" s="305" t="s">
        <v>448</v>
      </c>
      <c r="K25" s="305"/>
      <c r="L25" s="305" t="s">
        <v>503</v>
      </c>
      <c r="M25" s="305"/>
      <c r="N25" s="305" t="s">
        <v>502</v>
      </c>
      <c r="O25" s="305"/>
      <c r="P25" s="305"/>
    </row>
    <row r="26" spans="1:16" s="158" customFormat="1" ht="12.75" customHeight="1" x14ac:dyDescent="0.2">
      <c r="A26" s="369" t="s">
        <v>501</v>
      </c>
      <c r="B26" s="369"/>
      <c r="C26" s="369"/>
      <c r="D26" s="369"/>
      <c r="E26" s="369" t="s">
        <v>500</v>
      </c>
      <c r="F26" s="369"/>
      <c r="G26" s="369"/>
      <c r="H26" s="369" t="s">
        <v>499</v>
      </c>
      <c r="I26" s="369"/>
      <c r="J26" s="369" t="s">
        <v>498</v>
      </c>
      <c r="K26" s="369"/>
      <c r="L26" s="369" t="s">
        <v>497</v>
      </c>
      <c r="M26" s="369"/>
      <c r="N26" s="369" t="s">
        <v>496</v>
      </c>
      <c r="O26" s="369"/>
      <c r="P26" s="369"/>
    </row>
    <row r="27" spans="1:16" ht="12.75" customHeight="1" x14ac:dyDescent="0.2">
      <c r="A27" s="370" t="s">
        <v>529</v>
      </c>
      <c r="B27" s="371"/>
      <c r="C27" s="371"/>
      <c r="D27" s="371"/>
      <c r="E27" s="233"/>
      <c r="F27" s="234"/>
      <c r="G27" s="235"/>
      <c r="H27" s="233"/>
      <c r="I27" s="235"/>
      <c r="J27" s="177"/>
      <c r="K27" s="178"/>
      <c r="L27" s="233"/>
      <c r="M27" s="235"/>
      <c r="N27" s="362">
        <f>SUM(N28:P29)</f>
        <v>2279</v>
      </c>
      <c r="O27" s="363"/>
      <c r="P27" s="364"/>
    </row>
    <row r="28" spans="1:16" ht="12.75" customHeight="1" x14ac:dyDescent="0.2">
      <c r="A28" s="328"/>
      <c r="B28" s="329"/>
      <c r="C28" s="329"/>
      <c r="D28" s="329"/>
      <c r="E28" s="330" t="s">
        <v>533</v>
      </c>
      <c r="F28" s="331"/>
      <c r="G28" s="310"/>
      <c r="H28" s="332">
        <f>'DELIVERY CHARGE SUMMARY'!$E$9</f>
        <v>2279</v>
      </c>
      <c r="I28" s="310"/>
      <c r="J28" s="332">
        <v>1</v>
      </c>
      <c r="K28" s="333"/>
      <c r="L28" s="309"/>
      <c r="M28" s="310"/>
      <c r="N28" s="311">
        <f>IF(J28&lt;L28,L28*H28,H28*J28)</f>
        <v>2279</v>
      </c>
      <c r="O28" s="311"/>
      <c r="P28" s="312"/>
    </row>
    <row r="29" spans="1:16" ht="12.75" customHeight="1" x14ac:dyDescent="0.2">
      <c r="A29" s="383" t="s">
        <v>530</v>
      </c>
      <c r="B29" s="384"/>
      <c r="C29" s="384"/>
      <c r="D29" s="384"/>
      <c r="E29" s="330"/>
      <c r="F29" s="331"/>
      <c r="G29" s="310"/>
      <c r="H29" s="332"/>
      <c r="I29" s="310"/>
      <c r="J29" s="332"/>
      <c r="K29" s="333"/>
      <c r="L29" s="309"/>
      <c r="M29" s="310"/>
      <c r="N29" s="326"/>
      <c r="O29" s="326"/>
      <c r="P29" s="327"/>
    </row>
    <row r="30" spans="1:16" ht="12.75" customHeight="1" x14ac:dyDescent="0.2">
      <c r="A30" s="365"/>
      <c r="B30" s="366"/>
      <c r="C30" s="366"/>
      <c r="D30" s="366"/>
      <c r="E30" s="227"/>
      <c r="F30" s="228"/>
      <c r="G30" s="226"/>
      <c r="H30" s="227"/>
      <c r="I30" s="226"/>
      <c r="J30" s="230"/>
      <c r="K30" s="231"/>
      <c r="L30" s="227"/>
      <c r="M30" s="226"/>
      <c r="N30" s="323">
        <f>SUM(N31:P32)</f>
        <v>0</v>
      </c>
      <c r="O30" s="324"/>
      <c r="P30" s="325"/>
    </row>
    <row r="31" spans="1:16" ht="12.75" customHeight="1" x14ac:dyDescent="0.2">
      <c r="A31" s="383" t="s">
        <v>531</v>
      </c>
      <c r="B31" s="384"/>
      <c r="C31" s="384"/>
      <c r="D31" s="384"/>
      <c r="E31" s="330"/>
      <c r="F31" s="331"/>
      <c r="G31" s="310"/>
      <c r="H31" s="309"/>
      <c r="I31" s="310"/>
      <c r="J31" s="367"/>
      <c r="K31" s="368"/>
      <c r="L31" s="309"/>
      <c r="M31" s="310"/>
      <c r="N31" s="311">
        <f>IF(J31&lt;L31,L31*H31,H31*J31)</f>
        <v>0</v>
      </c>
      <c r="O31" s="311"/>
      <c r="P31" s="312"/>
    </row>
    <row r="32" spans="1:16" ht="12.75" customHeight="1" x14ac:dyDescent="0.2">
      <c r="A32" s="328"/>
      <c r="B32" s="329"/>
      <c r="C32" s="329"/>
      <c r="D32" s="329"/>
      <c r="E32" s="330"/>
      <c r="F32" s="331"/>
      <c r="G32" s="310"/>
      <c r="H32" s="332"/>
      <c r="I32" s="310"/>
      <c r="J32" s="332"/>
      <c r="K32" s="333"/>
      <c r="L32" s="309"/>
      <c r="M32" s="310"/>
      <c r="N32" s="326">
        <f>IF(J32&lt;L32,L32*H32,H32*J32)</f>
        <v>0</v>
      </c>
      <c r="O32" s="326"/>
      <c r="P32" s="327"/>
    </row>
    <row r="33" spans="1:16" ht="12.75" customHeight="1" x14ac:dyDescent="0.2">
      <c r="A33" s="365" t="s">
        <v>532</v>
      </c>
      <c r="B33" s="366"/>
      <c r="C33" s="366"/>
      <c r="D33" s="366"/>
      <c r="E33" s="184"/>
      <c r="F33" s="185"/>
      <c r="G33" s="186"/>
      <c r="H33" s="184"/>
      <c r="I33" s="186"/>
      <c r="J33" s="187"/>
      <c r="K33" s="188"/>
      <c r="L33" s="184"/>
      <c r="M33" s="186"/>
      <c r="N33" s="323">
        <f>SUM(N34:P36)</f>
        <v>0</v>
      </c>
      <c r="O33" s="324"/>
      <c r="P33" s="325"/>
    </row>
    <row r="34" spans="1:16" ht="12.75" customHeight="1" x14ac:dyDescent="0.2">
      <c r="A34" s="328"/>
      <c r="B34" s="329"/>
      <c r="C34" s="329"/>
      <c r="D34" s="329"/>
      <c r="E34" s="330"/>
      <c r="F34" s="331"/>
      <c r="G34" s="310"/>
      <c r="H34" s="309"/>
      <c r="I34" s="310"/>
      <c r="J34" s="332"/>
      <c r="K34" s="333"/>
      <c r="L34" s="309"/>
      <c r="M34" s="310"/>
      <c r="N34" s="311"/>
      <c r="O34" s="311"/>
      <c r="P34" s="312"/>
    </row>
    <row r="35" spans="1:16" ht="12.75" customHeight="1" x14ac:dyDescent="0.2">
      <c r="A35" s="328"/>
      <c r="B35" s="329"/>
      <c r="C35" s="329"/>
      <c r="D35" s="329"/>
      <c r="E35" s="330"/>
      <c r="F35" s="331"/>
      <c r="G35" s="310"/>
      <c r="H35" s="332"/>
      <c r="I35" s="310"/>
      <c r="J35" s="332"/>
      <c r="K35" s="333"/>
      <c r="L35" s="309"/>
      <c r="M35" s="310"/>
      <c r="N35" s="326"/>
      <c r="O35" s="326"/>
      <c r="P35" s="327"/>
    </row>
    <row r="36" spans="1:16" ht="12.75" customHeight="1" x14ac:dyDescent="0.2">
      <c r="A36" s="328"/>
      <c r="B36" s="329"/>
      <c r="C36" s="329"/>
      <c r="D36" s="329"/>
      <c r="E36" s="330"/>
      <c r="F36" s="331"/>
      <c r="G36" s="310"/>
      <c r="H36" s="332"/>
      <c r="I36" s="310"/>
      <c r="J36" s="332"/>
      <c r="K36" s="333"/>
      <c r="L36" s="309"/>
      <c r="M36" s="310"/>
      <c r="N36" s="326"/>
      <c r="O36" s="326"/>
      <c r="P36" s="327"/>
    </row>
    <row r="37" spans="1:16" ht="12.75" customHeight="1" x14ac:dyDescent="0.2">
      <c r="A37" s="184"/>
      <c r="B37" s="169"/>
      <c r="C37" s="169"/>
      <c r="D37" s="169"/>
      <c r="E37" s="167"/>
      <c r="F37" s="169"/>
      <c r="G37" s="170"/>
      <c r="H37" s="167"/>
      <c r="I37" s="170"/>
      <c r="J37" s="189"/>
      <c r="K37" s="190"/>
      <c r="L37" s="167"/>
      <c r="M37" s="170"/>
      <c r="N37" s="323">
        <f>SUM(N38:P43)</f>
        <v>0</v>
      </c>
      <c r="O37" s="324"/>
      <c r="P37" s="325"/>
    </row>
    <row r="38" spans="1:16" ht="12.75" customHeight="1" x14ac:dyDescent="0.2">
      <c r="A38" s="328"/>
      <c r="B38" s="329"/>
      <c r="C38" s="329"/>
      <c r="D38" s="329"/>
      <c r="E38" s="330"/>
      <c r="F38" s="331"/>
      <c r="G38" s="310"/>
      <c r="H38" s="332"/>
      <c r="I38" s="310"/>
      <c r="J38" s="332"/>
      <c r="K38" s="333"/>
      <c r="L38" s="309"/>
      <c r="M38" s="310"/>
      <c r="N38" s="326">
        <f t="shared" ref="N38:N43" si="0">IF(J38&lt;L38,L38*H38,H38*J38)</f>
        <v>0</v>
      </c>
      <c r="O38" s="326"/>
      <c r="P38" s="327"/>
    </row>
    <row r="39" spans="1:16" ht="12.75" customHeight="1" x14ac:dyDescent="0.2">
      <c r="A39" s="328"/>
      <c r="B39" s="329"/>
      <c r="C39" s="329"/>
      <c r="D39" s="329"/>
      <c r="E39" s="330"/>
      <c r="F39" s="331"/>
      <c r="G39" s="310"/>
      <c r="H39" s="332"/>
      <c r="I39" s="310"/>
      <c r="J39" s="332"/>
      <c r="K39" s="333"/>
      <c r="L39" s="309"/>
      <c r="M39" s="310"/>
      <c r="N39" s="326">
        <f t="shared" si="0"/>
        <v>0</v>
      </c>
      <c r="O39" s="326"/>
      <c r="P39" s="327"/>
    </row>
    <row r="40" spans="1:16" ht="12.75" customHeight="1" x14ac:dyDescent="0.2">
      <c r="A40" s="328"/>
      <c r="B40" s="329"/>
      <c r="C40" s="329"/>
      <c r="D40" s="329"/>
      <c r="E40" s="330"/>
      <c r="F40" s="331"/>
      <c r="G40" s="310"/>
      <c r="H40" s="332"/>
      <c r="I40" s="310"/>
      <c r="J40" s="332"/>
      <c r="K40" s="333"/>
      <c r="L40" s="309"/>
      <c r="M40" s="310"/>
      <c r="N40" s="326">
        <f t="shared" si="0"/>
        <v>0</v>
      </c>
      <c r="O40" s="326"/>
      <c r="P40" s="327"/>
    </row>
    <row r="41" spans="1:16" ht="12.75" customHeight="1" x14ac:dyDescent="0.2">
      <c r="A41" s="328"/>
      <c r="B41" s="329"/>
      <c r="C41" s="329"/>
      <c r="D41" s="329"/>
      <c r="E41" s="330"/>
      <c r="F41" s="331"/>
      <c r="G41" s="310"/>
      <c r="H41" s="332"/>
      <c r="I41" s="310"/>
      <c r="J41" s="332"/>
      <c r="K41" s="333"/>
      <c r="L41" s="309"/>
      <c r="M41" s="310"/>
      <c r="N41" s="326">
        <f t="shared" si="0"/>
        <v>0</v>
      </c>
      <c r="O41" s="326"/>
      <c r="P41" s="327"/>
    </row>
    <row r="42" spans="1:16" ht="12.75" customHeight="1" x14ac:dyDescent="0.2">
      <c r="A42" s="328"/>
      <c r="B42" s="329"/>
      <c r="C42" s="329"/>
      <c r="D42" s="329"/>
      <c r="E42" s="330"/>
      <c r="F42" s="331"/>
      <c r="G42" s="310"/>
      <c r="H42" s="332"/>
      <c r="I42" s="310"/>
      <c r="J42" s="332"/>
      <c r="K42" s="333"/>
      <c r="L42" s="309"/>
      <c r="M42" s="310"/>
      <c r="N42" s="326">
        <f t="shared" si="0"/>
        <v>0</v>
      </c>
      <c r="O42" s="326"/>
      <c r="P42" s="327"/>
    </row>
    <row r="43" spans="1:16" ht="12.75" customHeight="1" x14ac:dyDescent="0.2">
      <c r="A43" s="328"/>
      <c r="B43" s="329"/>
      <c r="C43" s="329"/>
      <c r="D43" s="329"/>
      <c r="E43" s="330"/>
      <c r="F43" s="331"/>
      <c r="G43" s="310"/>
      <c r="H43" s="332"/>
      <c r="I43" s="310"/>
      <c r="J43" s="332"/>
      <c r="K43" s="333"/>
      <c r="L43" s="309"/>
      <c r="M43" s="310"/>
      <c r="N43" s="326">
        <f t="shared" si="0"/>
        <v>0</v>
      </c>
      <c r="O43" s="326"/>
      <c r="P43" s="327"/>
    </row>
    <row r="44" spans="1:16" ht="12.75" customHeight="1" x14ac:dyDescent="0.2">
      <c r="A44" s="232"/>
      <c r="B44" s="229"/>
      <c r="C44" s="229"/>
      <c r="D44" s="229"/>
      <c r="E44" s="227"/>
      <c r="F44" s="228"/>
      <c r="G44" s="226"/>
      <c r="H44" s="230"/>
      <c r="I44" s="226"/>
      <c r="J44" s="230"/>
      <c r="K44" s="231"/>
      <c r="L44" s="225"/>
      <c r="M44" s="226"/>
      <c r="N44" s="323">
        <f>SUM(N45:P47)</f>
        <v>0</v>
      </c>
      <c r="O44" s="324"/>
      <c r="P44" s="325"/>
    </row>
    <row r="45" spans="1:16" ht="12.75" customHeight="1" x14ac:dyDescent="0.2">
      <c r="A45" s="328"/>
      <c r="B45" s="329"/>
      <c r="C45" s="329"/>
      <c r="D45" s="329"/>
      <c r="E45" s="330"/>
      <c r="F45" s="331"/>
      <c r="G45" s="310"/>
      <c r="H45" s="309"/>
      <c r="I45" s="310"/>
      <c r="J45" s="332"/>
      <c r="K45" s="333"/>
      <c r="L45" s="309"/>
      <c r="M45" s="310"/>
      <c r="N45" s="311"/>
      <c r="O45" s="311"/>
      <c r="P45" s="312"/>
    </row>
    <row r="46" spans="1:16" ht="12.75" customHeight="1" x14ac:dyDescent="0.2">
      <c r="A46" s="328"/>
      <c r="B46" s="329"/>
      <c r="C46" s="329"/>
      <c r="D46" s="329"/>
      <c r="E46" s="330"/>
      <c r="F46" s="331"/>
      <c r="G46" s="310"/>
      <c r="H46" s="332"/>
      <c r="I46" s="310"/>
      <c r="J46" s="332"/>
      <c r="K46" s="333"/>
      <c r="L46" s="309"/>
      <c r="M46" s="310"/>
      <c r="N46" s="326"/>
      <c r="O46" s="326"/>
      <c r="P46" s="327"/>
    </row>
    <row r="47" spans="1:16" ht="12.75" customHeight="1" x14ac:dyDescent="0.2">
      <c r="A47" s="313"/>
      <c r="B47" s="314"/>
      <c r="C47" s="314"/>
      <c r="D47" s="314"/>
      <c r="E47" s="315"/>
      <c r="F47" s="316"/>
      <c r="G47" s="317"/>
      <c r="H47" s="318"/>
      <c r="I47" s="317"/>
      <c r="J47" s="318"/>
      <c r="K47" s="319"/>
      <c r="L47" s="320"/>
      <c r="M47" s="317"/>
      <c r="N47" s="321"/>
      <c r="O47" s="321"/>
      <c r="P47" s="322"/>
    </row>
    <row r="48" spans="1:16" s="158" customFormat="1" ht="12.75" customHeight="1" x14ac:dyDescent="0.2">
      <c r="A48" s="194"/>
      <c r="B48" s="195"/>
      <c r="C48" s="195"/>
      <c r="D48" s="195"/>
      <c r="E48" s="195"/>
      <c r="F48" s="195"/>
      <c r="G48" s="195"/>
      <c r="H48" s="346" t="s">
        <v>480</v>
      </c>
      <c r="I48" s="347"/>
      <c r="J48" s="347"/>
      <c r="K48" s="348"/>
      <c r="L48" s="349">
        <f>SUM(N27,N30,N33,N37,N44)</f>
        <v>2279</v>
      </c>
      <c r="M48" s="350"/>
      <c r="N48" s="350"/>
      <c r="O48" s="350"/>
      <c r="P48" s="351"/>
    </row>
    <row r="49" spans="1:16" ht="12.75" customHeight="1" x14ac:dyDescent="0.2">
      <c r="A49" s="167"/>
      <c r="B49" s="169"/>
      <c r="C49" s="169"/>
      <c r="D49" s="169"/>
      <c r="E49" s="169"/>
      <c r="F49" s="169"/>
      <c r="G49" s="169"/>
      <c r="H49" s="346" t="s">
        <v>479</v>
      </c>
      <c r="I49" s="347"/>
      <c r="J49" s="347"/>
      <c r="K49" s="348"/>
      <c r="L49" s="349"/>
      <c r="M49" s="350"/>
      <c r="N49" s="350"/>
      <c r="O49" s="350"/>
      <c r="P49" s="351"/>
    </row>
    <row r="50" spans="1:16" ht="12.75" customHeight="1" x14ac:dyDescent="0.2">
      <c r="A50" s="167"/>
      <c r="B50" s="169"/>
      <c r="C50" s="169"/>
      <c r="D50" s="169" t="s">
        <v>478</v>
      </c>
      <c r="E50" s="169"/>
      <c r="F50" s="169"/>
      <c r="G50" s="169"/>
      <c r="H50" s="346" t="s">
        <v>477</v>
      </c>
      <c r="I50" s="347"/>
      <c r="J50" s="347"/>
      <c r="K50" s="348"/>
      <c r="L50" s="349"/>
      <c r="M50" s="350"/>
      <c r="N50" s="350"/>
      <c r="O50" s="350"/>
      <c r="P50" s="351"/>
    </row>
    <row r="51" spans="1:16" ht="12.75" customHeight="1" x14ac:dyDescent="0.2">
      <c r="A51" s="167"/>
      <c r="B51" s="169"/>
      <c r="C51" s="169"/>
      <c r="D51" s="169"/>
      <c r="E51" s="169"/>
      <c r="F51" s="169"/>
      <c r="G51" s="169"/>
      <c r="H51" s="346" t="s">
        <v>476</v>
      </c>
      <c r="I51" s="347"/>
      <c r="J51" s="347"/>
      <c r="K51" s="348"/>
      <c r="L51" s="349">
        <f>L48-(L49+L50)</f>
        <v>2279</v>
      </c>
      <c r="M51" s="350"/>
      <c r="N51" s="350"/>
      <c r="O51" s="350"/>
      <c r="P51" s="351"/>
    </row>
    <row r="52" spans="1:16" ht="12.75" customHeight="1" x14ac:dyDescent="0.2">
      <c r="A52" s="167"/>
      <c r="B52" s="169"/>
      <c r="C52" s="169"/>
      <c r="D52" s="169"/>
      <c r="E52" s="169"/>
      <c r="F52" s="169"/>
      <c r="G52" s="169"/>
      <c r="H52" s="346" t="s">
        <v>458</v>
      </c>
      <c r="I52" s="347"/>
      <c r="J52" s="347"/>
      <c r="K52" s="197"/>
      <c r="L52" s="349">
        <f>$L$51*K52</f>
        <v>0</v>
      </c>
      <c r="M52" s="350"/>
      <c r="N52" s="350"/>
      <c r="O52" s="350"/>
      <c r="P52" s="351"/>
    </row>
    <row r="53" spans="1:16" ht="12.75" customHeight="1" x14ac:dyDescent="0.2">
      <c r="A53" s="167"/>
      <c r="B53" s="169"/>
      <c r="C53" s="169"/>
      <c r="D53" s="169"/>
      <c r="E53" s="169"/>
      <c r="F53" s="169"/>
      <c r="G53" s="169"/>
      <c r="H53" s="346" t="s">
        <v>475</v>
      </c>
      <c r="I53" s="347"/>
      <c r="J53" s="347"/>
      <c r="K53" s="197">
        <v>0.01</v>
      </c>
      <c r="L53" s="349">
        <f>L51*$K$53</f>
        <v>22.79</v>
      </c>
      <c r="M53" s="350"/>
      <c r="N53" s="350"/>
      <c r="O53" s="350"/>
      <c r="P53" s="351"/>
    </row>
    <row r="54" spans="1:16" s="196" customFormat="1" ht="12.75" customHeight="1" x14ac:dyDescent="0.2">
      <c r="A54" s="355" t="str">
        <f>"-"&amp;BAHTTEXT($L$54)&amp;"-"</f>
        <v>-สองพันสองร้อยห้าสิบหกบาทยี่สิบเอ็ดสตางค์-</v>
      </c>
      <c r="B54" s="356"/>
      <c r="C54" s="356"/>
      <c r="D54" s="356"/>
      <c r="E54" s="356"/>
      <c r="F54" s="356"/>
      <c r="G54" s="357"/>
      <c r="H54" s="352" t="s">
        <v>474</v>
      </c>
      <c r="I54" s="353"/>
      <c r="J54" s="353"/>
      <c r="K54" s="354"/>
      <c r="L54" s="343">
        <f>($L$51+$L$52)-$L$53</f>
        <v>2256.21</v>
      </c>
      <c r="M54" s="344"/>
      <c r="N54" s="344"/>
      <c r="O54" s="344"/>
      <c r="P54" s="345"/>
    </row>
    <row r="55" spans="1:16" ht="12.75" customHeight="1" x14ac:dyDescent="0.2">
      <c r="A55" s="334" t="s">
        <v>473</v>
      </c>
      <c r="B55" s="335"/>
      <c r="C55" s="335"/>
      <c r="D55" s="335"/>
      <c r="E55" s="335"/>
      <c r="F55" s="335"/>
      <c r="G55" s="335"/>
      <c r="H55" s="335"/>
      <c r="I55" s="335"/>
      <c r="J55" s="335"/>
      <c r="K55" s="335"/>
      <c r="L55" s="335"/>
      <c r="M55" s="335"/>
      <c r="N55" s="335"/>
      <c r="O55" s="335"/>
      <c r="P55" s="336"/>
    </row>
    <row r="56" spans="1:16" ht="12.75" customHeight="1" x14ac:dyDescent="0.2">
      <c r="A56" s="337" t="s">
        <v>472</v>
      </c>
      <c r="B56" s="338"/>
      <c r="C56" s="338"/>
      <c r="D56" s="338"/>
      <c r="E56" s="338"/>
      <c r="F56" s="338"/>
      <c r="G56" s="338"/>
      <c r="H56" s="338"/>
      <c r="I56" s="338"/>
      <c r="J56" s="338"/>
      <c r="K56" s="338"/>
      <c r="L56" s="338"/>
      <c r="M56" s="338"/>
      <c r="N56" s="338"/>
      <c r="O56" s="338"/>
      <c r="P56" s="339"/>
    </row>
    <row r="57" spans="1:16" ht="12.75" customHeight="1" x14ac:dyDescent="0.2">
      <c r="A57" s="340"/>
      <c r="B57" s="341"/>
      <c r="C57" s="341"/>
      <c r="D57" s="341"/>
      <c r="E57" s="341"/>
      <c r="F57" s="341"/>
      <c r="G57" s="341"/>
      <c r="H57" s="341"/>
      <c r="I57" s="341"/>
      <c r="J57" s="341"/>
      <c r="K57" s="341"/>
      <c r="L57" s="341"/>
      <c r="M57" s="341"/>
      <c r="N57" s="341"/>
      <c r="O57" s="341"/>
      <c r="P57" s="342"/>
    </row>
    <row r="58" spans="1:16" ht="12.75" customHeight="1" x14ac:dyDescent="0.2">
      <c r="A58" s="340"/>
      <c r="B58" s="341"/>
      <c r="C58" s="341"/>
      <c r="D58" s="341"/>
      <c r="E58" s="341"/>
      <c r="F58" s="341"/>
      <c r="G58" s="341"/>
      <c r="H58" s="341"/>
      <c r="I58" s="341"/>
      <c r="J58" s="341"/>
      <c r="K58" s="341"/>
      <c r="L58" s="341"/>
      <c r="M58" s="341"/>
      <c r="N58" s="341"/>
      <c r="O58" s="341"/>
      <c r="P58" s="342"/>
    </row>
    <row r="59" spans="1:16" ht="12.75" customHeight="1" x14ac:dyDescent="0.2">
      <c r="A59" s="340" t="s">
        <v>471</v>
      </c>
      <c r="B59" s="341"/>
      <c r="C59" s="341"/>
      <c r="D59" s="341"/>
      <c r="E59" s="341"/>
      <c r="F59" s="341"/>
      <c r="G59" s="341"/>
      <c r="H59" s="341"/>
      <c r="I59" s="341"/>
      <c r="J59" s="341"/>
      <c r="K59" s="341"/>
      <c r="L59" s="341"/>
      <c r="M59" s="341"/>
      <c r="N59" s="341"/>
      <c r="O59" s="341"/>
      <c r="P59" s="342"/>
    </row>
    <row r="60" spans="1:16" ht="12.75" customHeight="1" x14ac:dyDescent="0.2">
      <c r="A60" s="340" t="s">
        <v>470</v>
      </c>
      <c r="B60" s="341"/>
      <c r="C60" s="341"/>
      <c r="D60" s="341"/>
      <c r="E60" s="341"/>
      <c r="F60" s="341"/>
      <c r="G60" s="341"/>
      <c r="H60" s="341"/>
      <c r="I60" s="341"/>
      <c r="J60" s="341"/>
      <c r="K60" s="341"/>
      <c r="L60" s="341"/>
      <c r="M60" s="341"/>
      <c r="N60" s="341"/>
      <c r="O60" s="341"/>
      <c r="P60" s="342"/>
    </row>
    <row r="61" spans="1:16" ht="12.75" customHeight="1" x14ac:dyDescent="0.2">
      <c r="A61" s="340"/>
      <c r="B61" s="341"/>
      <c r="C61" s="341"/>
      <c r="D61" s="341"/>
      <c r="E61" s="341"/>
      <c r="F61" s="341"/>
      <c r="G61" s="341"/>
      <c r="H61" s="341"/>
      <c r="I61" s="341"/>
      <c r="J61" s="341"/>
      <c r="K61" s="341"/>
      <c r="L61" s="341"/>
      <c r="M61" s="341"/>
      <c r="N61" s="341"/>
      <c r="O61" s="341"/>
      <c r="P61" s="342"/>
    </row>
    <row r="62" spans="1:16" ht="12.75" customHeight="1" x14ac:dyDescent="0.2">
      <c r="A62" s="340" t="s">
        <v>469</v>
      </c>
      <c r="B62" s="341"/>
      <c r="C62" s="341"/>
      <c r="D62" s="341"/>
      <c r="E62" s="341"/>
      <c r="F62" s="341"/>
      <c r="G62" s="341"/>
      <c r="H62" s="341"/>
      <c r="I62" s="341"/>
      <c r="J62" s="341"/>
      <c r="K62" s="341"/>
      <c r="L62" s="341"/>
      <c r="M62" s="341"/>
      <c r="N62" s="341"/>
      <c r="O62" s="341"/>
      <c r="P62" s="342"/>
    </row>
    <row r="63" spans="1:16" ht="12.75" customHeight="1" x14ac:dyDescent="0.2">
      <c r="A63" s="340"/>
      <c r="B63" s="341"/>
      <c r="C63" s="341"/>
      <c r="D63" s="341"/>
      <c r="E63" s="341"/>
      <c r="F63" s="341"/>
      <c r="G63" s="341"/>
      <c r="H63" s="341"/>
      <c r="I63" s="341"/>
      <c r="J63" s="341"/>
      <c r="K63" s="341"/>
      <c r="L63" s="341"/>
      <c r="M63" s="341"/>
      <c r="N63" s="341"/>
      <c r="O63" s="341"/>
      <c r="P63" s="342"/>
    </row>
    <row r="64" spans="1:16" ht="12.75" customHeight="1" x14ac:dyDescent="0.2">
      <c r="A64" s="171"/>
      <c r="B64" s="172"/>
      <c r="C64" s="172"/>
      <c r="D64" s="172"/>
      <c r="E64" s="172"/>
      <c r="F64" s="172"/>
      <c r="G64" s="172"/>
      <c r="H64" s="172"/>
      <c r="I64" s="172"/>
      <c r="J64" s="172"/>
      <c r="K64" s="172"/>
      <c r="L64" s="172"/>
      <c r="M64" s="172"/>
      <c r="N64" s="172"/>
      <c r="O64" s="172"/>
      <c r="P64" s="173"/>
    </row>
    <row r="65" spans="1:16" ht="12.75" customHeight="1" x14ac:dyDescent="0.2">
      <c r="A65" s="358" t="s">
        <v>401</v>
      </c>
      <c r="B65" s="359"/>
      <c r="C65" s="359"/>
      <c r="D65" s="359"/>
      <c r="E65" s="359"/>
      <c r="F65" s="359"/>
      <c r="G65" s="359"/>
      <c r="H65" s="360"/>
      <c r="I65" s="358" t="str">
        <f>$B$16</f>
        <v>บริษัท เอสซีจี ซิเมนต์ จำกัด</v>
      </c>
      <c r="J65" s="359"/>
      <c r="K65" s="359"/>
      <c r="L65" s="359"/>
      <c r="M65" s="359"/>
      <c r="N65" s="359"/>
      <c r="O65" s="359"/>
      <c r="P65" s="360"/>
    </row>
    <row r="66" spans="1:16" ht="12.75" customHeight="1" x14ac:dyDescent="0.2">
      <c r="A66" s="167"/>
      <c r="B66" s="169"/>
      <c r="C66" s="169"/>
      <c r="D66" s="169"/>
      <c r="E66" s="169"/>
      <c r="F66" s="169"/>
      <c r="G66" s="169"/>
      <c r="H66" s="170"/>
      <c r="I66" s="167"/>
      <c r="J66" s="169"/>
      <c r="K66" s="169"/>
      <c r="L66" s="169"/>
      <c r="M66" s="169"/>
      <c r="N66" s="169"/>
      <c r="O66" s="169"/>
      <c r="P66" s="170"/>
    </row>
    <row r="67" spans="1:16" ht="12.75" customHeight="1" x14ac:dyDescent="0.2">
      <c r="A67" s="167"/>
      <c r="B67" s="169"/>
      <c r="C67" s="169"/>
      <c r="D67" s="169"/>
      <c r="E67" s="169"/>
      <c r="F67" s="169"/>
      <c r="G67" s="169"/>
      <c r="H67" s="170"/>
      <c r="I67" s="167"/>
      <c r="J67" s="169"/>
      <c r="K67" s="169"/>
      <c r="L67" s="169"/>
      <c r="M67" s="169"/>
      <c r="N67" s="169"/>
      <c r="O67" s="169"/>
      <c r="P67" s="170"/>
    </row>
    <row r="68" spans="1:16" ht="12.75" customHeight="1" x14ac:dyDescent="0.2">
      <c r="A68" s="167"/>
      <c r="B68" s="169"/>
      <c r="C68" s="169"/>
      <c r="D68" s="169"/>
      <c r="E68" s="169"/>
      <c r="F68" s="169"/>
      <c r="G68" s="169"/>
      <c r="H68" s="170"/>
      <c r="I68" s="167"/>
      <c r="J68" s="169"/>
      <c r="K68" s="169"/>
      <c r="L68" s="169"/>
      <c r="M68" s="169"/>
      <c r="N68" s="169"/>
      <c r="O68" s="169"/>
      <c r="P68" s="170"/>
    </row>
    <row r="69" spans="1:16" ht="12.75" customHeight="1" x14ac:dyDescent="0.2">
      <c r="A69" s="167" t="s">
        <v>465</v>
      </c>
      <c r="B69" s="169"/>
      <c r="C69" s="169"/>
      <c r="D69" s="169"/>
      <c r="E69" s="169"/>
      <c r="F69" s="169"/>
      <c r="G69" s="169"/>
      <c r="H69" s="170"/>
      <c r="I69" s="167" t="s">
        <v>466</v>
      </c>
      <c r="J69" s="169"/>
      <c r="K69" s="169"/>
      <c r="L69" s="169"/>
      <c r="M69" s="169"/>
      <c r="N69" s="169"/>
      <c r="O69" s="169"/>
      <c r="P69" s="170"/>
    </row>
    <row r="70" spans="1:16" ht="12.75" customHeight="1" x14ac:dyDescent="0.2">
      <c r="A70" s="167" t="s">
        <v>467</v>
      </c>
      <c r="B70" s="169"/>
      <c r="C70" s="169"/>
      <c r="D70" s="169"/>
      <c r="E70" s="169"/>
      <c r="F70" s="169"/>
      <c r="G70" s="169"/>
      <c r="H70" s="170"/>
      <c r="I70" s="167" t="s">
        <v>467</v>
      </c>
      <c r="J70" s="169"/>
      <c r="K70" s="169"/>
      <c r="L70" s="169"/>
      <c r="M70" s="169"/>
      <c r="N70" s="169"/>
      <c r="O70" s="169"/>
      <c r="P70" s="170"/>
    </row>
    <row r="71" spans="1:16" ht="12.75" customHeight="1" x14ac:dyDescent="0.2">
      <c r="A71" s="171"/>
      <c r="B71" s="172"/>
      <c r="C71" s="172"/>
      <c r="D71" s="172"/>
      <c r="E71" s="172"/>
      <c r="F71" s="172"/>
      <c r="G71" s="172"/>
      <c r="H71" s="173"/>
      <c r="I71" s="171"/>
      <c r="J71" s="172"/>
      <c r="K71" s="172"/>
      <c r="L71" s="172"/>
      <c r="M71" s="172"/>
      <c r="N71" s="172"/>
      <c r="O71" s="172"/>
      <c r="P71" s="173"/>
    </row>
  </sheetData>
  <mergeCells count="156">
    <mergeCell ref="A60:P61"/>
    <mergeCell ref="A62:P63"/>
    <mergeCell ref="A65:H65"/>
    <mergeCell ref="I65:P65"/>
    <mergeCell ref="A54:G54"/>
    <mergeCell ref="H54:K54"/>
    <mergeCell ref="L54:P54"/>
    <mergeCell ref="A55:P55"/>
    <mergeCell ref="A56:P58"/>
    <mergeCell ref="A59:P59"/>
    <mergeCell ref="H51:K51"/>
    <mergeCell ref="L51:P51"/>
    <mergeCell ref="H52:J52"/>
    <mergeCell ref="L52:P52"/>
    <mergeCell ref="H53:J53"/>
    <mergeCell ref="L53:P53"/>
    <mergeCell ref="H48:K48"/>
    <mergeCell ref="L48:P48"/>
    <mergeCell ref="H49:K49"/>
    <mergeCell ref="L49:P49"/>
    <mergeCell ref="H50:K50"/>
    <mergeCell ref="L50:P50"/>
    <mergeCell ref="A47:D47"/>
    <mergeCell ref="E47:G47"/>
    <mergeCell ref="H47:I47"/>
    <mergeCell ref="J47:K47"/>
    <mergeCell ref="L47:M47"/>
    <mergeCell ref="N47:P47"/>
    <mergeCell ref="A46:D46"/>
    <mergeCell ref="E46:G46"/>
    <mergeCell ref="H46:I46"/>
    <mergeCell ref="J46:K46"/>
    <mergeCell ref="L46:M46"/>
    <mergeCell ref="N46:P46"/>
    <mergeCell ref="N44:P44"/>
    <mergeCell ref="A45:D45"/>
    <mergeCell ref="E45:G45"/>
    <mergeCell ref="H45:I45"/>
    <mergeCell ref="J45:K45"/>
    <mergeCell ref="L45:M45"/>
    <mergeCell ref="N45:P45"/>
    <mergeCell ref="A43:D43"/>
    <mergeCell ref="E43:G43"/>
    <mergeCell ref="H43:I43"/>
    <mergeCell ref="J43:K43"/>
    <mergeCell ref="L43:M43"/>
    <mergeCell ref="N43:P43"/>
    <mergeCell ref="A42:D42"/>
    <mergeCell ref="E42:G42"/>
    <mergeCell ref="H42:I42"/>
    <mergeCell ref="J42:K42"/>
    <mergeCell ref="L42:M42"/>
    <mergeCell ref="N42:P42"/>
    <mergeCell ref="A41:D41"/>
    <mergeCell ref="E41:G41"/>
    <mergeCell ref="H41:I41"/>
    <mergeCell ref="J41:K41"/>
    <mergeCell ref="L41:M41"/>
    <mergeCell ref="N41:P41"/>
    <mergeCell ref="A40:D40"/>
    <mergeCell ref="E40:G40"/>
    <mergeCell ref="H40:I40"/>
    <mergeCell ref="J40:K40"/>
    <mergeCell ref="L40:M40"/>
    <mergeCell ref="N40:P40"/>
    <mergeCell ref="A39:D39"/>
    <mergeCell ref="E39:G39"/>
    <mergeCell ref="H39:I39"/>
    <mergeCell ref="J39:K39"/>
    <mergeCell ref="L39:M39"/>
    <mergeCell ref="N39:P39"/>
    <mergeCell ref="N37:P37"/>
    <mergeCell ref="A38:D38"/>
    <mergeCell ref="E38:G38"/>
    <mergeCell ref="H38:I38"/>
    <mergeCell ref="J38:K38"/>
    <mergeCell ref="L38:M38"/>
    <mergeCell ref="N38:P38"/>
    <mergeCell ref="A36:D36"/>
    <mergeCell ref="E36:G36"/>
    <mergeCell ref="H36:I36"/>
    <mergeCell ref="J36:K36"/>
    <mergeCell ref="L36:M36"/>
    <mergeCell ref="N36:P36"/>
    <mergeCell ref="A35:D35"/>
    <mergeCell ref="E35:G35"/>
    <mergeCell ref="H35:I35"/>
    <mergeCell ref="J35:K35"/>
    <mergeCell ref="L35:M35"/>
    <mergeCell ref="N35:P35"/>
    <mergeCell ref="A33:D33"/>
    <mergeCell ref="N33:P33"/>
    <mergeCell ref="A34:D34"/>
    <mergeCell ref="E34:G34"/>
    <mergeCell ref="H34:I34"/>
    <mergeCell ref="J34:K34"/>
    <mergeCell ref="L34:M34"/>
    <mergeCell ref="N34:P34"/>
    <mergeCell ref="A32:D32"/>
    <mergeCell ref="E32:G32"/>
    <mergeCell ref="H32:I32"/>
    <mergeCell ref="J32:K32"/>
    <mergeCell ref="L32:M32"/>
    <mergeCell ref="N32:P32"/>
    <mergeCell ref="A30:D30"/>
    <mergeCell ref="N30:P30"/>
    <mergeCell ref="A31:D31"/>
    <mergeCell ref="E31:G31"/>
    <mergeCell ref="H31:I31"/>
    <mergeCell ref="J31:K31"/>
    <mergeCell ref="L31:M31"/>
    <mergeCell ref="N31:P31"/>
    <mergeCell ref="A29:D29"/>
    <mergeCell ref="E29:G29"/>
    <mergeCell ref="H29:I29"/>
    <mergeCell ref="J29:K29"/>
    <mergeCell ref="L29:M29"/>
    <mergeCell ref="N29:P29"/>
    <mergeCell ref="A27:D27"/>
    <mergeCell ref="N27:P27"/>
    <mergeCell ref="A28:D28"/>
    <mergeCell ref="E28:G28"/>
    <mergeCell ref="H28:I28"/>
    <mergeCell ref="J28:K28"/>
    <mergeCell ref="L28:M28"/>
    <mergeCell ref="N28:P28"/>
    <mergeCell ref="A23:C23"/>
    <mergeCell ref="D23:F23"/>
    <mergeCell ref="G23:I23"/>
    <mergeCell ref="J23:L23"/>
    <mergeCell ref="M23:P23"/>
    <mergeCell ref="A26:D26"/>
    <mergeCell ref="E26:G26"/>
    <mergeCell ref="H26:I26"/>
    <mergeCell ref="J26:K26"/>
    <mergeCell ref="L26:M26"/>
    <mergeCell ref="N26:P26"/>
    <mergeCell ref="A25:D25"/>
    <mergeCell ref="E25:G25"/>
    <mergeCell ref="H25:I25"/>
    <mergeCell ref="J25:K25"/>
    <mergeCell ref="L25:M25"/>
    <mergeCell ref="N25:P25"/>
    <mergeCell ref="I10:L10"/>
    <mergeCell ref="A12:P12"/>
    <mergeCell ref="A13:P13"/>
    <mergeCell ref="A21:C21"/>
    <mergeCell ref="D21:F21"/>
    <mergeCell ref="G21:I21"/>
    <mergeCell ref="J21:L21"/>
    <mergeCell ref="M21:P21"/>
    <mergeCell ref="A22:C22"/>
    <mergeCell ref="D22:F22"/>
    <mergeCell ref="G22:I22"/>
    <mergeCell ref="J22:L22"/>
    <mergeCell ref="M22:P22"/>
  </mergeCells>
  <pageMargins left="0.31496062992125984" right="0.31496062992125984" top="0.55118110236220474" bottom="0.35433070866141736" header="0.31496062992125984" footer="0.31496062992125984"/>
  <pageSetup paperSize="9" scale="73"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994"/>
  <sheetViews>
    <sheetView showGridLines="0" tabSelected="1" workbookViewId="0">
      <pane xSplit="3" ySplit="1" topLeftCell="K29" activePane="bottomRight" state="frozen"/>
      <selection activeCell="L48" sqref="L48:P48"/>
      <selection pane="topRight" activeCell="L48" sqref="L48:P48"/>
      <selection pane="bottomLeft" activeCell="L48" sqref="L48:P48"/>
      <selection pane="bottomRight" activeCell="E76" sqref="E76"/>
    </sheetView>
  </sheetViews>
  <sheetFormatPr defaultRowHeight="12.75" x14ac:dyDescent="0.2"/>
  <cols>
    <col min="1" max="1" width="11.85546875" style="237" customWidth="1"/>
    <col min="2" max="2" width="18.7109375" style="204" customWidth="1"/>
    <col min="3" max="3" width="17.7109375" style="204" customWidth="1"/>
    <col min="4" max="4" width="10.42578125" style="199" customWidth="1"/>
    <col min="5" max="5" width="12.28515625" style="157" customWidth="1"/>
    <col min="6" max="6" width="8.85546875" style="157" customWidth="1"/>
    <col min="7" max="7" width="32.42578125" style="157" customWidth="1"/>
    <col min="8" max="8" width="12.7109375" style="157" customWidth="1"/>
    <col min="9" max="9" width="10" style="248" customWidth="1"/>
    <col min="10" max="10" width="39.5703125" style="157" customWidth="1"/>
    <col min="11" max="11" width="17" style="243" customWidth="1"/>
    <col min="12" max="12" width="41.42578125" style="157" customWidth="1"/>
    <col min="13" max="13" width="10.140625" style="157" bestFit="1" customWidth="1"/>
    <col min="14" max="14" width="10.42578125" style="157" bestFit="1" customWidth="1"/>
    <col min="15" max="15" width="7.5703125" style="157" bestFit="1" customWidth="1"/>
    <col min="16" max="16" width="7" style="157" bestFit="1" customWidth="1"/>
    <col min="17" max="17" width="5.5703125" style="157" bestFit="1" customWidth="1"/>
    <col min="18" max="18" width="6.140625" style="157" bestFit="1" customWidth="1"/>
    <col min="19" max="19" width="19.5703125" style="160" bestFit="1" customWidth="1"/>
    <col min="20" max="20" width="14.42578125" style="157" customWidth="1"/>
    <col min="21" max="16384" width="9.140625" style="157"/>
  </cols>
  <sheetData>
    <row r="1" spans="1:20" s="200" customFormat="1" x14ac:dyDescent="0.2">
      <c r="A1" s="215" t="s">
        <v>526</v>
      </c>
      <c r="B1" s="214" t="s">
        <v>527</v>
      </c>
      <c r="C1" s="214" t="s">
        <v>527</v>
      </c>
      <c r="D1" s="215" t="s">
        <v>524</v>
      </c>
      <c r="E1" s="214" t="s">
        <v>523</v>
      </c>
      <c r="F1" s="214" t="s">
        <v>522</v>
      </c>
      <c r="G1" s="214" t="s">
        <v>521</v>
      </c>
      <c r="H1" s="214" t="s">
        <v>520</v>
      </c>
      <c r="I1" s="244" t="s">
        <v>519</v>
      </c>
      <c r="J1" s="214" t="s">
        <v>518</v>
      </c>
      <c r="K1" s="241" t="s">
        <v>517</v>
      </c>
      <c r="L1" s="214" t="s">
        <v>516</v>
      </c>
      <c r="M1" s="214" t="s">
        <v>515</v>
      </c>
      <c r="N1" s="214" t="s">
        <v>514</v>
      </c>
      <c r="O1" s="214" t="s">
        <v>513</v>
      </c>
      <c r="P1" s="214" t="s">
        <v>512</v>
      </c>
      <c r="Q1" s="214" t="s">
        <v>511</v>
      </c>
      <c r="R1" s="214" t="s">
        <v>510</v>
      </c>
      <c r="S1" s="216" t="s">
        <v>509</v>
      </c>
      <c r="T1" s="216" t="s">
        <v>528</v>
      </c>
    </row>
    <row r="2" spans="1:20" s="202" customFormat="1" x14ac:dyDescent="0.2">
      <c r="A2" s="217">
        <v>43892</v>
      </c>
      <c r="B2" s="218" t="s">
        <v>563</v>
      </c>
      <c r="C2" s="218">
        <v>1</v>
      </c>
      <c r="D2" s="217">
        <v>43892</v>
      </c>
      <c r="E2" s="219" t="s">
        <v>592</v>
      </c>
      <c r="F2" s="219" t="s">
        <v>548</v>
      </c>
      <c r="G2" s="219" t="s">
        <v>646</v>
      </c>
      <c r="H2" s="223" t="s">
        <v>647</v>
      </c>
      <c r="I2" s="245">
        <v>1</v>
      </c>
      <c r="J2" s="223" t="s">
        <v>550</v>
      </c>
      <c r="K2" s="242" t="s">
        <v>648</v>
      </c>
      <c r="L2" s="219" t="s">
        <v>649</v>
      </c>
      <c r="M2" s="219">
        <v>10</v>
      </c>
      <c r="N2" s="219" t="s">
        <v>650</v>
      </c>
      <c r="O2" s="219">
        <v>10</v>
      </c>
      <c r="P2" s="219" t="s">
        <v>651</v>
      </c>
      <c r="Q2" s="219"/>
      <c r="R2" s="223" t="s">
        <v>535</v>
      </c>
      <c r="S2" s="220">
        <f>IFERROR(M2/O2,M2)</f>
        <v>1</v>
      </c>
      <c r="T2" s="219" t="str">
        <f>IFERROR(VLOOKUP($B2,'SIZE CALCULATION'!$F$2:$G$100,2,0),"")</f>
        <v>L</v>
      </c>
    </row>
    <row r="3" spans="1:20" s="202" customFormat="1" x14ac:dyDescent="0.2">
      <c r="A3" s="217">
        <v>43892</v>
      </c>
      <c r="B3" s="218" t="s">
        <v>563</v>
      </c>
      <c r="C3" s="218">
        <v>1</v>
      </c>
      <c r="D3" s="217">
        <v>43892</v>
      </c>
      <c r="E3" s="219" t="s">
        <v>592</v>
      </c>
      <c r="F3" s="219" t="s">
        <v>548</v>
      </c>
      <c r="G3" s="219" t="s">
        <v>646</v>
      </c>
      <c r="H3" s="223" t="s">
        <v>647</v>
      </c>
      <c r="I3" s="245">
        <v>1</v>
      </c>
      <c r="J3" s="223" t="s">
        <v>550</v>
      </c>
      <c r="K3" s="242" t="s">
        <v>652</v>
      </c>
      <c r="L3" s="219" t="s">
        <v>653</v>
      </c>
      <c r="M3" s="219">
        <v>10</v>
      </c>
      <c r="N3" s="219" t="s">
        <v>650</v>
      </c>
      <c r="O3" s="219">
        <v>10</v>
      </c>
      <c r="P3" s="219" t="s">
        <v>651</v>
      </c>
      <c r="Q3" s="219"/>
      <c r="R3" s="223" t="s">
        <v>535</v>
      </c>
      <c r="S3" s="220">
        <f t="shared" ref="S3:S62" si="0">IFERROR(M3/O3,M3)</f>
        <v>1</v>
      </c>
      <c r="T3" s="219" t="str">
        <f>IFERROR(VLOOKUP($B3,'SIZE CALCULATION'!$F$2:$G$100,2,0),"")</f>
        <v>L</v>
      </c>
    </row>
    <row r="4" spans="1:20" s="202" customFormat="1" x14ac:dyDescent="0.2">
      <c r="A4" s="217">
        <v>43892</v>
      </c>
      <c r="B4" s="218"/>
      <c r="C4" s="218"/>
      <c r="D4" s="217">
        <v>43892</v>
      </c>
      <c r="E4" s="219" t="s">
        <v>592</v>
      </c>
      <c r="F4" s="219" t="s">
        <v>548</v>
      </c>
      <c r="G4" s="219" t="s">
        <v>646</v>
      </c>
      <c r="H4" s="223" t="s">
        <v>647</v>
      </c>
      <c r="I4" s="245">
        <v>1</v>
      </c>
      <c r="J4" s="223" t="s">
        <v>550</v>
      </c>
      <c r="K4" s="242" t="s">
        <v>654</v>
      </c>
      <c r="L4" s="219" t="s">
        <v>655</v>
      </c>
      <c r="M4" s="219">
        <v>50</v>
      </c>
      <c r="N4" s="219" t="s">
        <v>650</v>
      </c>
      <c r="O4" s="219">
        <v>10</v>
      </c>
      <c r="P4" s="219" t="s">
        <v>651</v>
      </c>
      <c r="Q4" s="219"/>
      <c r="R4" s="223" t="s">
        <v>535</v>
      </c>
      <c r="S4" s="220">
        <f t="shared" si="0"/>
        <v>5</v>
      </c>
      <c r="T4" s="219" t="str">
        <f>IFERROR(VLOOKUP($B4,'SIZE CALCULATION'!$F$2:$G$100,2,0),"")</f>
        <v/>
      </c>
    </row>
    <row r="5" spans="1:20" s="202" customFormat="1" x14ac:dyDescent="0.2">
      <c r="A5" s="217">
        <v>43892</v>
      </c>
      <c r="B5" s="222"/>
      <c r="C5" s="222"/>
      <c r="D5" s="217">
        <v>43892</v>
      </c>
      <c r="E5" s="219" t="s">
        <v>592</v>
      </c>
      <c r="F5" s="219" t="s">
        <v>548</v>
      </c>
      <c r="G5" s="219" t="s">
        <v>646</v>
      </c>
      <c r="H5" s="223" t="s">
        <v>647</v>
      </c>
      <c r="I5" s="245">
        <v>1</v>
      </c>
      <c r="J5" s="223" t="s">
        <v>550</v>
      </c>
      <c r="K5" s="242" t="s">
        <v>656</v>
      </c>
      <c r="L5" s="219" t="s">
        <v>657</v>
      </c>
      <c r="M5" s="219">
        <v>20</v>
      </c>
      <c r="N5" s="219" t="s">
        <v>650</v>
      </c>
      <c r="O5" s="219">
        <v>10</v>
      </c>
      <c r="P5" s="219" t="s">
        <v>651</v>
      </c>
      <c r="Q5" s="219"/>
      <c r="R5" s="223" t="s">
        <v>535</v>
      </c>
      <c r="S5" s="220">
        <f t="shared" si="0"/>
        <v>2</v>
      </c>
      <c r="T5" s="219" t="str">
        <f>IFERROR(VLOOKUP($B5,'SIZE CALCULATION'!$F$2:$G$100,2,0),"")</f>
        <v/>
      </c>
    </row>
    <row r="6" spans="1:20" s="202" customFormat="1" x14ac:dyDescent="0.2">
      <c r="A6" s="217">
        <v>43892</v>
      </c>
      <c r="B6" s="218"/>
      <c r="C6" s="218"/>
      <c r="D6" s="217">
        <v>43892</v>
      </c>
      <c r="E6" s="219" t="s">
        <v>592</v>
      </c>
      <c r="F6" s="219" t="s">
        <v>548</v>
      </c>
      <c r="G6" s="219" t="s">
        <v>646</v>
      </c>
      <c r="H6" s="223" t="s">
        <v>647</v>
      </c>
      <c r="I6" s="245">
        <v>1</v>
      </c>
      <c r="J6" s="223" t="s">
        <v>550</v>
      </c>
      <c r="K6" s="242" t="s">
        <v>658</v>
      </c>
      <c r="L6" s="219" t="s">
        <v>659</v>
      </c>
      <c r="M6" s="219">
        <v>20</v>
      </c>
      <c r="N6" s="219" t="s">
        <v>650</v>
      </c>
      <c r="O6" s="219">
        <v>10</v>
      </c>
      <c r="P6" s="219" t="s">
        <v>651</v>
      </c>
      <c r="Q6" s="219"/>
      <c r="R6" s="223" t="s">
        <v>535</v>
      </c>
      <c r="S6" s="220">
        <f t="shared" si="0"/>
        <v>2</v>
      </c>
      <c r="T6" s="219" t="str">
        <f>IFERROR(VLOOKUP($B6,'SIZE CALCULATION'!$F$2:$G$100,2,0),"")</f>
        <v/>
      </c>
    </row>
    <row r="7" spans="1:20" s="202" customFormat="1" x14ac:dyDescent="0.2">
      <c r="A7" s="217">
        <v>43892</v>
      </c>
      <c r="B7" s="218"/>
      <c r="C7" s="218"/>
      <c r="D7" s="217">
        <v>43892</v>
      </c>
      <c r="E7" s="219" t="s">
        <v>592</v>
      </c>
      <c r="F7" s="219" t="s">
        <v>548</v>
      </c>
      <c r="G7" s="219" t="s">
        <v>646</v>
      </c>
      <c r="H7" s="223" t="s">
        <v>647</v>
      </c>
      <c r="I7" s="245">
        <v>1</v>
      </c>
      <c r="J7" s="223" t="s">
        <v>550</v>
      </c>
      <c r="K7" s="242" t="s">
        <v>660</v>
      </c>
      <c r="L7" s="219" t="s">
        <v>661</v>
      </c>
      <c r="M7" s="219">
        <v>20</v>
      </c>
      <c r="N7" s="219" t="s">
        <v>650</v>
      </c>
      <c r="O7" s="219">
        <v>10</v>
      </c>
      <c r="P7" s="219" t="s">
        <v>651</v>
      </c>
      <c r="Q7" s="219"/>
      <c r="R7" s="223" t="s">
        <v>535</v>
      </c>
      <c r="S7" s="220">
        <f t="shared" si="0"/>
        <v>2</v>
      </c>
      <c r="T7" s="219" t="str">
        <f>IFERROR(VLOOKUP($B7,'SIZE CALCULATION'!$F$2:$G$100,2,0),"")</f>
        <v/>
      </c>
    </row>
    <row r="8" spans="1:20" s="202" customFormat="1" x14ac:dyDescent="0.2">
      <c r="A8" s="217">
        <v>43892</v>
      </c>
      <c r="B8" s="218"/>
      <c r="C8" s="218"/>
      <c r="D8" s="217">
        <v>43892</v>
      </c>
      <c r="E8" s="219" t="s">
        <v>592</v>
      </c>
      <c r="F8" s="219" t="s">
        <v>548</v>
      </c>
      <c r="G8" s="219" t="s">
        <v>646</v>
      </c>
      <c r="H8" s="223" t="s">
        <v>647</v>
      </c>
      <c r="I8" s="245">
        <v>1</v>
      </c>
      <c r="J8" s="223" t="s">
        <v>550</v>
      </c>
      <c r="K8" s="242" t="s">
        <v>662</v>
      </c>
      <c r="L8" s="219" t="s">
        <v>663</v>
      </c>
      <c r="M8" s="219">
        <v>10</v>
      </c>
      <c r="N8" s="219" t="s">
        <v>650</v>
      </c>
      <c r="O8" s="219">
        <v>10</v>
      </c>
      <c r="P8" s="219" t="s">
        <v>651</v>
      </c>
      <c r="Q8" s="219"/>
      <c r="R8" s="223" t="s">
        <v>535</v>
      </c>
      <c r="S8" s="220">
        <f t="shared" si="0"/>
        <v>1</v>
      </c>
      <c r="T8" s="219" t="str">
        <f>IFERROR(VLOOKUP($B8,'SIZE CALCULATION'!$F$2:$G$100,2,0),"")</f>
        <v/>
      </c>
    </row>
    <row r="9" spans="1:20" s="202" customFormat="1" x14ac:dyDescent="0.2">
      <c r="A9" s="217">
        <v>43893</v>
      </c>
      <c r="B9" s="218" t="s">
        <v>563</v>
      </c>
      <c r="C9" s="218">
        <v>1</v>
      </c>
      <c r="D9" s="217">
        <v>43893</v>
      </c>
      <c r="E9" s="219" t="s">
        <v>664</v>
      </c>
      <c r="F9" s="219" t="s">
        <v>548</v>
      </c>
      <c r="G9" s="219" t="s">
        <v>646</v>
      </c>
      <c r="H9" s="223" t="s">
        <v>647</v>
      </c>
      <c r="I9" s="245">
        <v>9999</v>
      </c>
      <c r="J9" s="223" t="s">
        <v>665</v>
      </c>
      <c r="K9" s="242" t="s">
        <v>666</v>
      </c>
      <c r="L9" s="219" t="s">
        <v>667</v>
      </c>
      <c r="M9" s="219">
        <v>10</v>
      </c>
      <c r="N9" s="219" t="s">
        <v>650</v>
      </c>
      <c r="O9" s="219">
        <v>10</v>
      </c>
      <c r="P9" s="219" t="s">
        <v>651</v>
      </c>
      <c r="Q9" s="219"/>
      <c r="R9" s="223" t="s">
        <v>535</v>
      </c>
      <c r="S9" s="220">
        <f t="shared" si="0"/>
        <v>1</v>
      </c>
      <c r="T9" s="219" t="str">
        <f>IFERROR(VLOOKUP($B9,'SIZE CALCULATION'!$F$2:$G$100,2,0),"")</f>
        <v>L</v>
      </c>
    </row>
    <row r="10" spans="1:20" s="202" customFormat="1" x14ac:dyDescent="0.2">
      <c r="A10" s="217">
        <v>43893</v>
      </c>
      <c r="B10" s="218"/>
      <c r="C10" s="218"/>
      <c r="D10" s="217">
        <v>43893</v>
      </c>
      <c r="E10" s="219" t="s">
        <v>664</v>
      </c>
      <c r="F10" s="219" t="s">
        <v>548</v>
      </c>
      <c r="G10" s="219" t="s">
        <v>646</v>
      </c>
      <c r="H10" s="223" t="s">
        <v>647</v>
      </c>
      <c r="I10" s="246">
        <v>9999</v>
      </c>
      <c r="J10" s="219" t="s">
        <v>665</v>
      </c>
      <c r="K10" s="242" t="s">
        <v>668</v>
      </c>
      <c r="L10" s="219" t="s">
        <v>669</v>
      </c>
      <c r="M10" s="219">
        <v>10</v>
      </c>
      <c r="N10" s="219" t="s">
        <v>650</v>
      </c>
      <c r="O10" s="219">
        <v>10</v>
      </c>
      <c r="P10" s="219" t="s">
        <v>651</v>
      </c>
      <c r="Q10" s="219"/>
      <c r="R10" s="223" t="s">
        <v>535</v>
      </c>
      <c r="S10" s="220">
        <f t="shared" si="0"/>
        <v>1</v>
      </c>
      <c r="T10" s="219" t="str">
        <f>IFERROR(VLOOKUP($B10,'SIZE CALCULATION'!$F$2:$G$100,2,0),"")</f>
        <v/>
      </c>
    </row>
    <row r="11" spans="1:20" s="202" customFormat="1" x14ac:dyDescent="0.2">
      <c r="A11" s="217">
        <v>43893</v>
      </c>
      <c r="B11" s="218"/>
      <c r="C11" s="218"/>
      <c r="D11" s="217">
        <v>43893</v>
      </c>
      <c r="E11" s="219" t="s">
        <v>664</v>
      </c>
      <c r="F11" s="219" t="s">
        <v>548</v>
      </c>
      <c r="G11" s="219" t="s">
        <v>646</v>
      </c>
      <c r="H11" s="223" t="s">
        <v>647</v>
      </c>
      <c r="I11" s="246">
        <v>9999</v>
      </c>
      <c r="J11" s="219" t="s">
        <v>665</v>
      </c>
      <c r="K11" s="242" t="s">
        <v>670</v>
      </c>
      <c r="L11" s="219" t="s">
        <v>671</v>
      </c>
      <c r="M11" s="219">
        <v>10</v>
      </c>
      <c r="N11" s="219" t="s">
        <v>650</v>
      </c>
      <c r="O11" s="219">
        <v>1</v>
      </c>
      <c r="P11" s="219" t="s">
        <v>651</v>
      </c>
      <c r="Q11" s="219"/>
      <c r="R11" s="223" t="s">
        <v>535</v>
      </c>
      <c r="S11" s="220">
        <f t="shared" si="0"/>
        <v>10</v>
      </c>
      <c r="T11" s="219" t="str">
        <f>IFERROR(VLOOKUP($B11,'SIZE CALCULATION'!$F$2:$G$100,2,0),"")</f>
        <v/>
      </c>
    </row>
    <row r="12" spans="1:20" s="202" customFormat="1" x14ac:dyDescent="0.2">
      <c r="A12" s="217">
        <v>43893</v>
      </c>
      <c r="B12" s="208"/>
      <c r="C12" s="208"/>
      <c r="D12" s="217">
        <v>43893</v>
      </c>
      <c r="E12" s="219" t="s">
        <v>664</v>
      </c>
      <c r="F12" s="219" t="s">
        <v>548</v>
      </c>
      <c r="G12" s="219" t="s">
        <v>646</v>
      </c>
      <c r="H12" s="223" t="s">
        <v>647</v>
      </c>
      <c r="I12" s="246">
        <v>9999</v>
      </c>
      <c r="J12" s="219" t="s">
        <v>665</v>
      </c>
      <c r="K12" s="242" t="s">
        <v>672</v>
      </c>
      <c r="L12" s="219" t="s">
        <v>673</v>
      </c>
      <c r="M12" s="219">
        <v>10</v>
      </c>
      <c r="N12" s="219" t="s">
        <v>650</v>
      </c>
      <c r="O12" s="219">
        <v>10</v>
      </c>
      <c r="P12" s="219" t="s">
        <v>651</v>
      </c>
      <c r="Q12" s="219"/>
      <c r="R12" s="223" t="s">
        <v>535</v>
      </c>
      <c r="S12" s="220">
        <f t="shared" si="0"/>
        <v>1</v>
      </c>
      <c r="T12" s="219" t="str">
        <f>IFERROR(VLOOKUP($B12,'SIZE CALCULATION'!$F$2:$G$100,2,0),"")</f>
        <v/>
      </c>
    </row>
    <row r="13" spans="1:20" s="202" customFormat="1" x14ac:dyDescent="0.2">
      <c r="A13" s="217">
        <v>43895</v>
      </c>
      <c r="B13" s="218" t="s">
        <v>561</v>
      </c>
      <c r="C13" s="218">
        <v>2</v>
      </c>
      <c r="D13" s="217">
        <v>43895</v>
      </c>
      <c r="E13" s="219" t="s">
        <v>674</v>
      </c>
      <c r="F13" s="219" t="s">
        <v>548</v>
      </c>
      <c r="G13" s="219" t="s">
        <v>646</v>
      </c>
      <c r="H13" s="223" t="s">
        <v>647</v>
      </c>
      <c r="I13" s="246">
        <v>9999</v>
      </c>
      <c r="J13" s="219" t="s">
        <v>665</v>
      </c>
      <c r="K13" s="242" t="s">
        <v>658</v>
      </c>
      <c r="L13" s="219" t="s">
        <v>659</v>
      </c>
      <c r="M13" s="219">
        <v>15</v>
      </c>
      <c r="N13" s="219" t="s">
        <v>650</v>
      </c>
      <c r="O13" s="219">
        <v>10</v>
      </c>
      <c r="P13" s="219" t="s">
        <v>651</v>
      </c>
      <c r="Q13" s="219"/>
      <c r="R13" s="223" t="s">
        <v>535</v>
      </c>
      <c r="S13" s="220">
        <f t="shared" si="0"/>
        <v>1.5</v>
      </c>
      <c r="T13" s="219" t="str">
        <f>IFERROR(VLOOKUP($B13,'SIZE CALCULATION'!$F$2:$G$100,2,0),"")</f>
        <v>M</v>
      </c>
    </row>
    <row r="14" spans="1:20" s="202" customFormat="1" x14ac:dyDescent="0.2">
      <c r="A14" s="217">
        <v>43895</v>
      </c>
      <c r="B14" s="218"/>
      <c r="C14" s="218"/>
      <c r="D14" s="217">
        <v>43895</v>
      </c>
      <c r="E14" s="219" t="s">
        <v>674</v>
      </c>
      <c r="F14" s="219" t="s">
        <v>548</v>
      </c>
      <c r="G14" s="219" t="s">
        <v>646</v>
      </c>
      <c r="H14" s="223" t="s">
        <v>647</v>
      </c>
      <c r="I14" s="246">
        <v>9999</v>
      </c>
      <c r="J14" s="219" t="s">
        <v>665</v>
      </c>
      <c r="K14" s="242" t="s">
        <v>675</v>
      </c>
      <c r="L14" s="219" t="s">
        <v>676</v>
      </c>
      <c r="M14" s="219">
        <v>10</v>
      </c>
      <c r="N14" s="219" t="s">
        <v>650</v>
      </c>
      <c r="O14" s="219">
        <v>10</v>
      </c>
      <c r="P14" s="219" t="s">
        <v>651</v>
      </c>
      <c r="Q14" s="219"/>
      <c r="R14" s="223" t="s">
        <v>535</v>
      </c>
      <c r="S14" s="220">
        <f t="shared" si="0"/>
        <v>1</v>
      </c>
      <c r="T14" s="219" t="str">
        <f>IFERROR(VLOOKUP($B14,'SIZE CALCULATION'!$F$2:$G$100,2,0),"")</f>
        <v/>
      </c>
    </row>
    <row r="15" spans="1:20" s="202" customFormat="1" x14ac:dyDescent="0.2">
      <c r="A15" s="217">
        <v>43895</v>
      </c>
      <c r="B15" s="218"/>
      <c r="C15" s="218"/>
      <c r="D15" s="217">
        <v>43895</v>
      </c>
      <c r="E15" s="219" t="s">
        <v>674</v>
      </c>
      <c r="F15" s="219" t="s">
        <v>548</v>
      </c>
      <c r="G15" s="219" t="s">
        <v>646</v>
      </c>
      <c r="H15" s="223" t="s">
        <v>647</v>
      </c>
      <c r="I15" s="246">
        <v>9999</v>
      </c>
      <c r="J15" s="219" t="s">
        <v>665</v>
      </c>
      <c r="K15" s="242" t="s">
        <v>654</v>
      </c>
      <c r="L15" s="219" t="s">
        <v>655</v>
      </c>
      <c r="M15" s="219">
        <v>60</v>
      </c>
      <c r="N15" s="219" t="s">
        <v>650</v>
      </c>
      <c r="O15" s="219">
        <v>10</v>
      </c>
      <c r="P15" s="219" t="s">
        <v>651</v>
      </c>
      <c r="Q15" s="219"/>
      <c r="R15" s="223" t="s">
        <v>535</v>
      </c>
      <c r="S15" s="220">
        <f t="shared" si="0"/>
        <v>6</v>
      </c>
      <c r="T15" s="219" t="str">
        <f>IFERROR(VLOOKUP($B15,'SIZE CALCULATION'!$F$2:$G$100,2,0),"")</f>
        <v/>
      </c>
    </row>
    <row r="16" spans="1:20" s="202" customFormat="1" x14ac:dyDescent="0.2">
      <c r="A16" s="217">
        <v>43895</v>
      </c>
      <c r="B16" s="218"/>
      <c r="C16" s="218"/>
      <c r="D16" s="217">
        <v>43895</v>
      </c>
      <c r="E16" s="219" t="s">
        <v>674</v>
      </c>
      <c r="F16" s="219" t="s">
        <v>548</v>
      </c>
      <c r="G16" s="219" t="s">
        <v>646</v>
      </c>
      <c r="H16" s="223" t="s">
        <v>647</v>
      </c>
      <c r="I16" s="246">
        <v>9999</v>
      </c>
      <c r="J16" s="219" t="s">
        <v>665</v>
      </c>
      <c r="K16" s="242" t="s">
        <v>677</v>
      </c>
      <c r="L16" s="219" t="s">
        <v>678</v>
      </c>
      <c r="M16" s="219">
        <v>30</v>
      </c>
      <c r="N16" s="219" t="s">
        <v>650</v>
      </c>
      <c r="O16" s="219">
        <v>10</v>
      </c>
      <c r="P16" s="219" t="s">
        <v>651</v>
      </c>
      <c r="Q16" s="219"/>
      <c r="R16" s="223" t="s">
        <v>535</v>
      </c>
      <c r="S16" s="220">
        <f t="shared" si="0"/>
        <v>3</v>
      </c>
      <c r="T16" s="219" t="str">
        <f>IFERROR(VLOOKUP($B16,'SIZE CALCULATION'!$F$2:$G$100,2,0),"")</f>
        <v/>
      </c>
    </row>
    <row r="17" spans="1:20" s="202" customFormat="1" x14ac:dyDescent="0.2">
      <c r="A17" s="217">
        <v>43895</v>
      </c>
      <c r="B17" s="218" t="s">
        <v>562</v>
      </c>
      <c r="C17" s="218">
        <v>1</v>
      </c>
      <c r="D17" s="217">
        <v>43895</v>
      </c>
      <c r="E17" s="219" t="s">
        <v>596</v>
      </c>
      <c r="F17" s="219" t="s">
        <v>548</v>
      </c>
      <c r="G17" s="219" t="s">
        <v>646</v>
      </c>
      <c r="H17" s="223" t="s">
        <v>647</v>
      </c>
      <c r="I17" s="246">
        <v>1</v>
      </c>
      <c r="J17" s="219" t="s">
        <v>550</v>
      </c>
      <c r="K17" s="242" t="s">
        <v>679</v>
      </c>
      <c r="L17" s="219" t="s">
        <v>680</v>
      </c>
      <c r="M17" s="219">
        <v>10</v>
      </c>
      <c r="N17" s="219" t="s">
        <v>650</v>
      </c>
      <c r="O17" s="219">
        <v>10</v>
      </c>
      <c r="P17" s="219" t="s">
        <v>651</v>
      </c>
      <c r="Q17" s="219"/>
      <c r="R17" s="223" t="s">
        <v>535</v>
      </c>
      <c r="S17" s="220">
        <f t="shared" si="0"/>
        <v>1</v>
      </c>
      <c r="T17" s="219" t="str">
        <f>IFERROR(VLOOKUP($B17,'SIZE CALCULATION'!$F$2:$G$100,2,0),"")</f>
        <v>M+</v>
      </c>
    </row>
    <row r="18" spans="1:20" x14ac:dyDescent="0.2">
      <c r="A18" s="224">
        <v>43895</v>
      </c>
      <c r="B18" s="222"/>
      <c r="C18" s="222"/>
      <c r="D18" s="224">
        <v>43895</v>
      </c>
      <c r="E18" s="223" t="s">
        <v>596</v>
      </c>
      <c r="F18" s="219" t="s">
        <v>548</v>
      </c>
      <c r="G18" s="219" t="s">
        <v>646</v>
      </c>
      <c r="H18" s="223" t="s">
        <v>647</v>
      </c>
      <c r="I18" s="247">
        <v>1</v>
      </c>
      <c r="J18" s="223" t="s">
        <v>550</v>
      </c>
      <c r="K18" s="240" t="s">
        <v>681</v>
      </c>
      <c r="L18" s="223" t="s">
        <v>682</v>
      </c>
      <c r="M18" s="223">
        <v>10</v>
      </c>
      <c r="N18" s="223" t="s">
        <v>650</v>
      </c>
      <c r="O18" s="223">
        <v>10</v>
      </c>
      <c r="P18" s="223" t="s">
        <v>651</v>
      </c>
      <c r="Q18" s="223"/>
      <c r="R18" s="223" t="s">
        <v>535</v>
      </c>
      <c r="S18" s="220">
        <f t="shared" si="0"/>
        <v>1</v>
      </c>
      <c r="T18" s="219" t="str">
        <f>IFERROR(VLOOKUP($B18,'SIZE CALCULATION'!$F$2:$G$100,2,0),"")</f>
        <v/>
      </c>
    </row>
    <row r="19" spans="1:20" x14ac:dyDescent="0.2">
      <c r="A19" s="224">
        <v>43895</v>
      </c>
      <c r="B19" s="222"/>
      <c r="C19" s="222"/>
      <c r="D19" s="224">
        <v>43895</v>
      </c>
      <c r="E19" s="223" t="s">
        <v>596</v>
      </c>
      <c r="F19" s="219" t="s">
        <v>548</v>
      </c>
      <c r="G19" s="219" t="s">
        <v>646</v>
      </c>
      <c r="H19" s="223" t="s">
        <v>647</v>
      </c>
      <c r="I19" s="247">
        <v>1</v>
      </c>
      <c r="J19" s="223" t="s">
        <v>550</v>
      </c>
      <c r="K19" s="240" t="s">
        <v>683</v>
      </c>
      <c r="L19" s="223" t="s">
        <v>684</v>
      </c>
      <c r="M19" s="223">
        <v>10</v>
      </c>
      <c r="N19" s="223" t="s">
        <v>650</v>
      </c>
      <c r="O19" s="223">
        <v>10</v>
      </c>
      <c r="P19" s="223" t="s">
        <v>651</v>
      </c>
      <c r="Q19" s="223"/>
      <c r="R19" s="223" t="s">
        <v>535</v>
      </c>
      <c r="S19" s="220">
        <f t="shared" si="0"/>
        <v>1</v>
      </c>
      <c r="T19" s="219" t="str">
        <f>IFERROR(VLOOKUP($B19,'SIZE CALCULATION'!$F$2:$G$100,2,0),"")</f>
        <v/>
      </c>
    </row>
    <row r="20" spans="1:20" x14ac:dyDescent="0.2">
      <c r="A20" s="224">
        <v>43899</v>
      </c>
      <c r="B20" s="222" t="s">
        <v>563</v>
      </c>
      <c r="C20" s="222">
        <v>1</v>
      </c>
      <c r="D20" s="224">
        <v>43899</v>
      </c>
      <c r="E20" s="223" t="s">
        <v>599</v>
      </c>
      <c r="F20" s="219" t="s">
        <v>548</v>
      </c>
      <c r="G20" s="219" t="s">
        <v>646</v>
      </c>
      <c r="H20" s="223" t="s">
        <v>647</v>
      </c>
      <c r="I20" s="247">
        <v>1</v>
      </c>
      <c r="J20" s="223" t="s">
        <v>550</v>
      </c>
      <c r="K20" s="240" t="s">
        <v>660</v>
      </c>
      <c r="L20" s="223" t="s">
        <v>661</v>
      </c>
      <c r="M20" s="223">
        <v>50</v>
      </c>
      <c r="N20" s="223" t="s">
        <v>650</v>
      </c>
      <c r="O20" s="223">
        <v>10</v>
      </c>
      <c r="P20" s="223" t="s">
        <v>651</v>
      </c>
      <c r="Q20" s="223"/>
      <c r="R20" s="223" t="s">
        <v>535</v>
      </c>
      <c r="S20" s="220">
        <f t="shared" si="0"/>
        <v>5</v>
      </c>
      <c r="T20" s="219" t="str">
        <f>IFERROR(VLOOKUP($B20,'SIZE CALCULATION'!$F$2:$G$100,2,0),"")</f>
        <v>L</v>
      </c>
    </row>
    <row r="21" spans="1:20" x14ac:dyDescent="0.2">
      <c r="A21" s="224">
        <v>43899</v>
      </c>
      <c r="B21" s="218"/>
      <c r="C21" s="222"/>
      <c r="D21" s="224">
        <v>43899</v>
      </c>
      <c r="E21" s="223" t="s">
        <v>599</v>
      </c>
      <c r="F21" s="219" t="s">
        <v>548</v>
      </c>
      <c r="G21" s="219" t="s">
        <v>646</v>
      </c>
      <c r="H21" s="223" t="s">
        <v>647</v>
      </c>
      <c r="I21" s="247">
        <v>1</v>
      </c>
      <c r="J21" s="223" t="s">
        <v>550</v>
      </c>
      <c r="K21" s="240" t="s">
        <v>654</v>
      </c>
      <c r="L21" s="223" t="s">
        <v>655</v>
      </c>
      <c r="M21" s="223">
        <v>30</v>
      </c>
      <c r="N21" s="223" t="s">
        <v>650</v>
      </c>
      <c r="O21" s="223">
        <v>10</v>
      </c>
      <c r="P21" s="223" t="s">
        <v>651</v>
      </c>
      <c r="Q21" s="223"/>
      <c r="R21" s="223" t="s">
        <v>535</v>
      </c>
      <c r="S21" s="220">
        <f t="shared" si="0"/>
        <v>3</v>
      </c>
      <c r="T21" s="219" t="str">
        <f>IFERROR(VLOOKUP($B21,'SIZE CALCULATION'!$F$2:$G$100,2,0),"")</f>
        <v/>
      </c>
    </row>
    <row r="22" spans="1:20" x14ac:dyDescent="0.2">
      <c r="A22" s="224">
        <v>43899</v>
      </c>
      <c r="B22" s="208" t="s">
        <v>563</v>
      </c>
      <c r="C22" s="222">
        <v>2</v>
      </c>
      <c r="D22" s="224">
        <v>43899</v>
      </c>
      <c r="E22" s="223" t="s">
        <v>685</v>
      </c>
      <c r="F22" s="219" t="s">
        <v>548</v>
      </c>
      <c r="G22" s="219" t="s">
        <v>646</v>
      </c>
      <c r="H22" s="223" t="s">
        <v>647</v>
      </c>
      <c r="I22" s="247">
        <v>9999</v>
      </c>
      <c r="J22" s="223" t="s">
        <v>665</v>
      </c>
      <c r="K22" s="240" t="s">
        <v>686</v>
      </c>
      <c r="L22" s="223" t="s">
        <v>687</v>
      </c>
      <c r="M22" s="223">
        <v>14</v>
      </c>
      <c r="N22" s="223"/>
      <c r="O22" s="223">
        <v>1</v>
      </c>
      <c r="P22" s="223" t="s">
        <v>651</v>
      </c>
      <c r="Q22" s="223"/>
      <c r="R22" s="223" t="s">
        <v>535</v>
      </c>
      <c r="S22" s="220">
        <f t="shared" si="0"/>
        <v>14</v>
      </c>
      <c r="T22" s="219" t="str">
        <f>IFERROR(VLOOKUP($B22,'SIZE CALCULATION'!$F$2:$G$100,2,0),"")</f>
        <v>L</v>
      </c>
    </row>
    <row r="23" spans="1:20" x14ac:dyDescent="0.2">
      <c r="A23" s="224">
        <v>43899</v>
      </c>
      <c r="B23" s="222"/>
      <c r="C23" s="222"/>
      <c r="D23" s="224">
        <v>43899</v>
      </c>
      <c r="E23" s="223" t="s">
        <v>685</v>
      </c>
      <c r="F23" s="219" t="s">
        <v>548</v>
      </c>
      <c r="G23" s="219" t="s">
        <v>646</v>
      </c>
      <c r="H23" s="223" t="s">
        <v>647</v>
      </c>
      <c r="I23" s="247">
        <v>9999</v>
      </c>
      <c r="J23" s="223" t="s">
        <v>665</v>
      </c>
      <c r="K23" s="240" t="s">
        <v>686</v>
      </c>
      <c r="L23" s="223" t="s">
        <v>687</v>
      </c>
      <c r="M23" s="223">
        <v>6</v>
      </c>
      <c r="N23" s="223"/>
      <c r="O23" s="223">
        <v>1</v>
      </c>
      <c r="P23" s="223" t="s">
        <v>651</v>
      </c>
      <c r="Q23" s="223"/>
      <c r="R23" s="223" t="s">
        <v>535</v>
      </c>
      <c r="S23" s="220">
        <f t="shared" si="0"/>
        <v>6</v>
      </c>
      <c r="T23" s="219" t="str">
        <f>IFERROR(VLOOKUP($B23,'SIZE CALCULATION'!$F$2:$G$100,2,0),"")</f>
        <v/>
      </c>
    </row>
    <row r="24" spans="1:20" x14ac:dyDescent="0.2">
      <c r="A24" s="224">
        <v>43899</v>
      </c>
      <c r="B24" s="222" t="s">
        <v>560</v>
      </c>
      <c r="C24" s="222">
        <v>1</v>
      </c>
      <c r="D24" s="224">
        <v>43899</v>
      </c>
      <c r="E24" s="223" t="s">
        <v>688</v>
      </c>
      <c r="F24" s="219" t="s">
        <v>548</v>
      </c>
      <c r="G24" s="219" t="s">
        <v>646</v>
      </c>
      <c r="H24" s="223" t="s">
        <v>647</v>
      </c>
      <c r="I24" s="247">
        <v>9999</v>
      </c>
      <c r="J24" s="223" t="s">
        <v>665</v>
      </c>
      <c r="K24" s="240" t="s">
        <v>689</v>
      </c>
      <c r="L24" s="223" t="s">
        <v>690</v>
      </c>
      <c r="M24" s="223">
        <v>75</v>
      </c>
      <c r="N24" s="223" t="s">
        <v>650</v>
      </c>
      <c r="O24" s="223" t="s">
        <v>691</v>
      </c>
      <c r="P24" s="223" t="s">
        <v>651</v>
      </c>
      <c r="Q24" s="223"/>
      <c r="R24" s="223" t="s">
        <v>535</v>
      </c>
      <c r="S24" s="220">
        <f t="shared" si="0"/>
        <v>75</v>
      </c>
      <c r="T24" s="219" t="str">
        <f>IFERROR(VLOOKUP($B24,'SIZE CALCULATION'!$F$2:$G$100,2,0),"")</f>
        <v>S</v>
      </c>
    </row>
    <row r="25" spans="1:20" x14ac:dyDescent="0.2">
      <c r="A25" s="224">
        <v>43900</v>
      </c>
      <c r="B25" s="222" t="s">
        <v>561</v>
      </c>
      <c r="C25" s="222">
        <v>1</v>
      </c>
      <c r="D25" s="224">
        <v>43900</v>
      </c>
      <c r="E25" s="223" t="s">
        <v>602</v>
      </c>
      <c r="F25" s="219" t="s">
        <v>548</v>
      </c>
      <c r="G25" s="219" t="s">
        <v>646</v>
      </c>
      <c r="H25" s="223" t="s">
        <v>647</v>
      </c>
      <c r="I25" s="247">
        <v>3</v>
      </c>
      <c r="J25" s="223" t="s">
        <v>589</v>
      </c>
      <c r="K25" s="240" t="s">
        <v>658</v>
      </c>
      <c r="L25" s="223" t="s">
        <v>659</v>
      </c>
      <c r="M25" s="223">
        <v>10</v>
      </c>
      <c r="N25" s="223" t="s">
        <v>650</v>
      </c>
      <c r="O25" s="223">
        <v>10</v>
      </c>
      <c r="P25" s="223" t="s">
        <v>651</v>
      </c>
      <c r="Q25" s="223"/>
      <c r="R25" s="223" t="s">
        <v>535</v>
      </c>
      <c r="S25" s="220">
        <f t="shared" si="0"/>
        <v>1</v>
      </c>
      <c r="T25" s="219" t="str">
        <f>IFERROR(VLOOKUP($B25,'SIZE CALCULATION'!$F$2:$G$100,2,0),"")</f>
        <v>M</v>
      </c>
    </row>
    <row r="26" spans="1:20" x14ac:dyDescent="0.2">
      <c r="A26" s="224">
        <v>43900</v>
      </c>
      <c r="B26" s="222" t="s">
        <v>561</v>
      </c>
      <c r="C26" s="222">
        <v>1</v>
      </c>
      <c r="D26" s="224">
        <v>43900</v>
      </c>
      <c r="E26" s="253" t="s">
        <v>602</v>
      </c>
      <c r="F26" s="219" t="s">
        <v>548</v>
      </c>
      <c r="G26" s="219" t="s">
        <v>646</v>
      </c>
      <c r="H26" s="223" t="s">
        <v>647</v>
      </c>
      <c r="I26" s="247">
        <v>3</v>
      </c>
      <c r="J26" s="223" t="s">
        <v>589</v>
      </c>
      <c r="K26" s="240" t="s">
        <v>660</v>
      </c>
      <c r="L26" s="223" t="s">
        <v>661</v>
      </c>
      <c r="M26" s="223">
        <v>20</v>
      </c>
      <c r="N26" s="223" t="s">
        <v>650</v>
      </c>
      <c r="O26" s="223">
        <v>10</v>
      </c>
      <c r="P26" s="223" t="s">
        <v>651</v>
      </c>
      <c r="Q26" s="223"/>
      <c r="R26" s="223" t="s">
        <v>535</v>
      </c>
      <c r="S26" s="220">
        <f t="shared" si="0"/>
        <v>2</v>
      </c>
      <c r="T26" s="219" t="str">
        <f>IFERROR(VLOOKUP($B26,'SIZE CALCULATION'!$F$2:$G$100,2,0),"")</f>
        <v>M</v>
      </c>
    </row>
    <row r="27" spans="1:20" x14ac:dyDescent="0.2">
      <c r="A27" s="224">
        <v>43900</v>
      </c>
      <c r="B27" s="222" t="s">
        <v>561</v>
      </c>
      <c r="C27" s="222">
        <v>1</v>
      </c>
      <c r="D27" s="224">
        <v>43900</v>
      </c>
      <c r="E27" s="253" t="s">
        <v>602</v>
      </c>
      <c r="F27" s="219" t="s">
        <v>548</v>
      </c>
      <c r="G27" s="219" t="s">
        <v>646</v>
      </c>
      <c r="H27" s="223" t="s">
        <v>647</v>
      </c>
      <c r="I27" s="247">
        <v>3</v>
      </c>
      <c r="J27" s="223" t="s">
        <v>589</v>
      </c>
      <c r="K27" s="240" t="s">
        <v>654</v>
      </c>
      <c r="L27" s="223" t="s">
        <v>655</v>
      </c>
      <c r="M27" s="223">
        <v>20</v>
      </c>
      <c r="N27" s="223" t="s">
        <v>650</v>
      </c>
      <c r="O27" s="223">
        <v>10</v>
      </c>
      <c r="P27" s="223" t="s">
        <v>651</v>
      </c>
      <c r="Q27" s="223"/>
      <c r="R27" s="223" t="s">
        <v>535</v>
      </c>
      <c r="S27" s="220">
        <f t="shared" si="0"/>
        <v>2</v>
      </c>
      <c r="T27" s="219" t="str">
        <f>IFERROR(VLOOKUP($B27,'SIZE CALCULATION'!$F$2:$G$100,2,0),"")</f>
        <v>M</v>
      </c>
    </row>
    <row r="28" spans="1:20" x14ac:dyDescent="0.2">
      <c r="A28" s="224">
        <v>43900</v>
      </c>
      <c r="B28" s="222"/>
      <c r="C28" s="222"/>
      <c r="D28" s="224">
        <v>43900</v>
      </c>
      <c r="E28" s="223" t="s">
        <v>602</v>
      </c>
      <c r="F28" s="219" t="s">
        <v>548</v>
      </c>
      <c r="G28" s="219" t="s">
        <v>646</v>
      </c>
      <c r="H28" s="223" t="s">
        <v>647</v>
      </c>
      <c r="I28" s="247">
        <v>3</v>
      </c>
      <c r="J28" s="223" t="s">
        <v>589</v>
      </c>
      <c r="K28" s="240" t="s">
        <v>692</v>
      </c>
      <c r="L28" s="223" t="s">
        <v>693</v>
      </c>
      <c r="M28" s="223">
        <v>20</v>
      </c>
      <c r="N28" s="223" t="s">
        <v>650</v>
      </c>
      <c r="O28" s="223">
        <v>10</v>
      </c>
      <c r="P28" s="223" t="s">
        <v>651</v>
      </c>
      <c r="Q28" s="223"/>
      <c r="R28" s="223" t="s">
        <v>535</v>
      </c>
      <c r="S28" s="220">
        <f t="shared" si="0"/>
        <v>2</v>
      </c>
      <c r="T28" s="219" t="str">
        <f>IFERROR(VLOOKUP($B28,'SIZE CALCULATION'!$F$2:$G$100,2,0),"")</f>
        <v/>
      </c>
    </row>
    <row r="29" spans="1:20" x14ac:dyDescent="0.2">
      <c r="A29" s="224">
        <v>43900</v>
      </c>
      <c r="B29" s="222"/>
      <c r="C29" s="222"/>
      <c r="D29" s="224">
        <v>43900</v>
      </c>
      <c r="E29" s="223" t="s">
        <v>602</v>
      </c>
      <c r="F29" s="219" t="s">
        <v>548</v>
      </c>
      <c r="G29" s="219" t="s">
        <v>646</v>
      </c>
      <c r="H29" s="223" t="s">
        <v>647</v>
      </c>
      <c r="I29" s="245">
        <v>3</v>
      </c>
      <c r="J29" s="223" t="s">
        <v>589</v>
      </c>
      <c r="K29" s="240" t="s">
        <v>694</v>
      </c>
      <c r="L29" s="223" t="s">
        <v>695</v>
      </c>
      <c r="M29" s="223">
        <v>40</v>
      </c>
      <c r="N29" s="223" t="s">
        <v>650</v>
      </c>
      <c r="O29" s="223">
        <v>10</v>
      </c>
      <c r="P29" s="223" t="s">
        <v>651</v>
      </c>
      <c r="Q29" s="223"/>
      <c r="R29" s="223" t="s">
        <v>535</v>
      </c>
      <c r="S29" s="220">
        <f t="shared" si="0"/>
        <v>4</v>
      </c>
      <c r="T29" s="219" t="str">
        <f>IFERROR(VLOOKUP($B29,'SIZE CALCULATION'!$F$2:$G$100,2,0),"")</f>
        <v/>
      </c>
    </row>
    <row r="30" spans="1:20" x14ac:dyDescent="0.2">
      <c r="A30" s="224">
        <v>43900</v>
      </c>
      <c r="B30" s="222"/>
      <c r="C30" s="222"/>
      <c r="D30" s="224">
        <v>43900</v>
      </c>
      <c r="E30" s="223" t="s">
        <v>602</v>
      </c>
      <c r="F30" s="219" t="s">
        <v>548</v>
      </c>
      <c r="G30" s="219" t="s">
        <v>646</v>
      </c>
      <c r="H30" s="223" t="s">
        <v>647</v>
      </c>
      <c r="I30" s="245">
        <v>3</v>
      </c>
      <c r="J30" s="223" t="s">
        <v>589</v>
      </c>
      <c r="K30" s="240" t="s">
        <v>696</v>
      </c>
      <c r="L30" s="223" t="s">
        <v>697</v>
      </c>
      <c r="M30" s="223">
        <v>20</v>
      </c>
      <c r="N30" s="223" t="s">
        <v>650</v>
      </c>
      <c r="O30" s="223">
        <v>10</v>
      </c>
      <c r="P30" s="223" t="s">
        <v>651</v>
      </c>
      <c r="Q30" s="223"/>
      <c r="R30" s="223" t="s">
        <v>535</v>
      </c>
      <c r="S30" s="220">
        <f t="shared" si="0"/>
        <v>2</v>
      </c>
      <c r="T30" s="219" t="str">
        <f>IFERROR(VLOOKUP($B30,'SIZE CALCULATION'!$F$2:$G$100,2,0),"")</f>
        <v/>
      </c>
    </row>
    <row r="31" spans="1:20" x14ac:dyDescent="0.2">
      <c r="A31" s="224">
        <v>43900</v>
      </c>
      <c r="B31" s="222"/>
      <c r="C31" s="222"/>
      <c r="D31" s="224">
        <v>43900</v>
      </c>
      <c r="E31" s="253" t="s">
        <v>602</v>
      </c>
      <c r="F31" s="219" t="s">
        <v>548</v>
      </c>
      <c r="G31" s="219" t="s">
        <v>646</v>
      </c>
      <c r="H31" s="223" t="s">
        <v>647</v>
      </c>
      <c r="I31" s="245">
        <v>3</v>
      </c>
      <c r="J31" s="223" t="s">
        <v>589</v>
      </c>
      <c r="K31" s="240" t="s">
        <v>698</v>
      </c>
      <c r="L31" s="223" t="s">
        <v>699</v>
      </c>
      <c r="M31" s="223">
        <v>40</v>
      </c>
      <c r="N31" s="223" t="s">
        <v>650</v>
      </c>
      <c r="O31" s="223">
        <v>10</v>
      </c>
      <c r="P31" s="223" t="s">
        <v>651</v>
      </c>
      <c r="Q31" s="223"/>
      <c r="R31" s="223" t="s">
        <v>535</v>
      </c>
      <c r="S31" s="220">
        <f t="shared" si="0"/>
        <v>4</v>
      </c>
      <c r="T31" s="219" t="str">
        <f>IFERROR(VLOOKUP($B31,'SIZE CALCULATION'!$F$2:$G$100,2,0),"")</f>
        <v/>
      </c>
    </row>
    <row r="32" spans="1:20" x14ac:dyDescent="0.2">
      <c r="A32" s="224">
        <v>43902</v>
      </c>
      <c r="B32" s="222" t="s">
        <v>562</v>
      </c>
      <c r="C32" s="222">
        <v>2</v>
      </c>
      <c r="D32" s="224">
        <v>43902</v>
      </c>
      <c r="E32" s="253" t="s">
        <v>700</v>
      </c>
      <c r="F32" s="219" t="s">
        <v>548</v>
      </c>
      <c r="G32" s="219" t="s">
        <v>646</v>
      </c>
      <c r="H32" s="223" t="s">
        <v>647</v>
      </c>
      <c r="I32" s="245">
        <v>9999</v>
      </c>
      <c r="J32" s="223" t="s">
        <v>665</v>
      </c>
      <c r="K32" s="240" t="s">
        <v>701</v>
      </c>
      <c r="L32" s="223" t="s">
        <v>702</v>
      </c>
      <c r="M32" s="223">
        <v>4</v>
      </c>
      <c r="N32" s="223" t="s">
        <v>650</v>
      </c>
      <c r="O32" s="223">
        <v>12</v>
      </c>
      <c r="P32" s="223" t="s">
        <v>651</v>
      </c>
      <c r="Q32" s="223"/>
      <c r="R32" s="223" t="s">
        <v>535</v>
      </c>
      <c r="S32" s="220">
        <f t="shared" si="0"/>
        <v>0.33333333333333331</v>
      </c>
      <c r="T32" s="219" t="str">
        <f>IFERROR(VLOOKUP($B32,'SIZE CALCULATION'!$F$2:$G$100,2,0),"")</f>
        <v>M+</v>
      </c>
    </row>
    <row r="33" spans="1:20" x14ac:dyDescent="0.2">
      <c r="A33" s="224">
        <v>43902</v>
      </c>
      <c r="B33" s="222"/>
      <c r="C33" s="222"/>
      <c r="D33" s="224">
        <v>43902</v>
      </c>
      <c r="E33" s="253" t="s">
        <v>700</v>
      </c>
      <c r="F33" s="219" t="s">
        <v>548</v>
      </c>
      <c r="G33" s="219" t="s">
        <v>646</v>
      </c>
      <c r="H33" s="223" t="s">
        <v>647</v>
      </c>
      <c r="I33" s="245">
        <v>9999</v>
      </c>
      <c r="J33" s="223" t="s">
        <v>665</v>
      </c>
      <c r="K33" s="240" t="s">
        <v>666</v>
      </c>
      <c r="L33" s="223" t="s">
        <v>667</v>
      </c>
      <c r="M33" s="223">
        <v>20</v>
      </c>
      <c r="N33" s="223" t="s">
        <v>650</v>
      </c>
      <c r="O33" s="223">
        <v>10</v>
      </c>
      <c r="P33" s="223" t="s">
        <v>651</v>
      </c>
      <c r="Q33" s="223"/>
      <c r="R33" s="223" t="s">
        <v>535</v>
      </c>
      <c r="S33" s="220">
        <f t="shared" si="0"/>
        <v>2</v>
      </c>
      <c r="T33" s="219" t="str">
        <f>IFERROR(VLOOKUP($B33,'SIZE CALCULATION'!$F$2:$G$100,2,0),"")</f>
        <v/>
      </c>
    </row>
    <row r="34" spans="1:20" x14ac:dyDescent="0.2">
      <c r="A34" s="224">
        <v>43902</v>
      </c>
      <c r="B34" s="222"/>
      <c r="C34" s="222"/>
      <c r="D34" s="224">
        <v>43902</v>
      </c>
      <c r="E34" s="253" t="s">
        <v>700</v>
      </c>
      <c r="F34" s="219" t="s">
        <v>548</v>
      </c>
      <c r="G34" s="219" t="s">
        <v>646</v>
      </c>
      <c r="H34" s="223" t="s">
        <v>647</v>
      </c>
      <c r="I34" s="245">
        <v>9999</v>
      </c>
      <c r="J34" s="223" t="s">
        <v>665</v>
      </c>
      <c r="K34" s="240" t="s">
        <v>703</v>
      </c>
      <c r="L34" s="223" t="s">
        <v>704</v>
      </c>
      <c r="M34" s="223">
        <v>30</v>
      </c>
      <c r="N34" s="223" t="s">
        <v>650</v>
      </c>
      <c r="O34" s="223">
        <v>10</v>
      </c>
      <c r="P34" s="223" t="s">
        <v>651</v>
      </c>
      <c r="Q34" s="223"/>
      <c r="R34" s="223" t="s">
        <v>535</v>
      </c>
      <c r="S34" s="220">
        <f t="shared" si="0"/>
        <v>3</v>
      </c>
      <c r="T34" s="219" t="str">
        <f>IFERROR(VLOOKUP($B34,'SIZE CALCULATION'!$F$2:$G$100,2,0),"")</f>
        <v/>
      </c>
    </row>
    <row r="35" spans="1:20" x14ac:dyDescent="0.2">
      <c r="A35" s="224">
        <v>43902</v>
      </c>
      <c r="B35" s="222" t="s">
        <v>560</v>
      </c>
      <c r="C35" s="222">
        <v>1</v>
      </c>
      <c r="D35" s="224">
        <v>43902</v>
      </c>
      <c r="E35" s="253" t="s">
        <v>705</v>
      </c>
      <c r="F35" s="219" t="s">
        <v>548</v>
      </c>
      <c r="G35" s="219" t="s">
        <v>646</v>
      </c>
      <c r="H35" s="223" t="s">
        <v>647</v>
      </c>
      <c r="I35" s="245">
        <v>9999</v>
      </c>
      <c r="J35" s="223" t="s">
        <v>665</v>
      </c>
      <c r="K35" s="240" t="s">
        <v>706</v>
      </c>
      <c r="L35" s="223" t="s">
        <v>707</v>
      </c>
      <c r="M35" s="223">
        <v>1</v>
      </c>
      <c r="N35" s="223" t="s">
        <v>650</v>
      </c>
      <c r="O35" s="223">
        <v>1</v>
      </c>
      <c r="P35" s="223" t="s">
        <v>651</v>
      </c>
      <c r="Q35" s="223"/>
      <c r="R35" s="223" t="s">
        <v>535</v>
      </c>
      <c r="S35" s="220">
        <f t="shared" si="0"/>
        <v>1</v>
      </c>
      <c r="T35" s="219" t="str">
        <f>IFERROR(VLOOKUP($B35,'SIZE CALCULATION'!$F$2:$G$100,2,0),"")</f>
        <v>S</v>
      </c>
    </row>
    <row r="36" spans="1:20" x14ac:dyDescent="0.2">
      <c r="A36" s="224">
        <v>43902</v>
      </c>
      <c r="B36" s="222"/>
      <c r="C36" s="222"/>
      <c r="D36" s="224">
        <v>43902</v>
      </c>
      <c r="E36" s="253" t="s">
        <v>708</v>
      </c>
      <c r="F36" s="219" t="s">
        <v>548</v>
      </c>
      <c r="G36" s="219" t="s">
        <v>646</v>
      </c>
      <c r="H36" s="223" t="s">
        <v>647</v>
      </c>
      <c r="I36" s="247">
        <v>9999</v>
      </c>
      <c r="J36" s="223" t="s">
        <v>665</v>
      </c>
      <c r="K36" s="240" t="s">
        <v>668</v>
      </c>
      <c r="L36" s="223" t="s">
        <v>669</v>
      </c>
      <c r="M36" s="223">
        <v>100</v>
      </c>
      <c r="N36" s="223" t="s">
        <v>650</v>
      </c>
      <c r="O36" s="223">
        <v>10</v>
      </c>
      <c r="P36" s="223" t="s">
        <v>651</v>
      </c>
      <c r="Q36" s="223"/>
      <c r="R36" s="223" t="s">
        <v>535</v>
      </c>
      <c r="S36" s="220">
        <f t="shared" si="0"/>
        <v>10</v>
      </c>
      <c r="T36" s="219" t="str">
        <f>IFERROR(VLOOKUP($B36,'SIZE CALCULATION'!$F$2:$G$100,2,0),"")</f>
        <v/>
      </c>
    </row>
    <row r="37" spans="1:20" x14ac:dyDescent="0.2">
      <c r="A37" s="224">
        <v>43902</v>
      </c>
      <c r="B37" s="222" t="s">
        <v>563</v>
      </c>
      <c r="C37" s="222">
        <v>5</v>
      </c>
      <c r="D37" s="224">
        <v>43902</v>
      </c>
      <c r="E37" s="253" t="s">
        <v>708</v>
      </c>
      <c r="F37" s="219" t="s">
        <v>548</v>
      </c>
      <c r="G37" s="219" t="s">
        <v>646</v>
      </c>
      <c r="H37" s="223" t="s">
        <v>647</v>
      </c>
      <c r="I37" s="247">
        <v>9999</v>
      </c>
      <c r="J37" s="223" t="s">
        <v>665</v>
      </c>
      <c r="K37" s="240" t="s">
        <v>648</v>
      </c>
      <c r="L37" s="223" t="s">
        <v>649</v>
      </c>
      <c r="M37" s="223">
        <v>10</v>
      </c>
      <c r="N37" s="223" t="s">
        <v>650</v>
      </c>
      <c r="O37" s="223">
        <v>10</v>
      </c>
      <c r="P37" s="223" t="s">
        <v>651</v>
      </c>
      <c r="Q37" s="223"/>
      <c r="R37" s="223" t="s">
        <v>535</v>
      </c>
      <c r="S37" s="220">
        <f t="shared" si="0"/>
        <v>1</v>
      </c>
      <c r="T37" s="219" t="str">
        <f>IFERROR(VLOOKUP($B37,'SIZE CALCULATION'!$F$2:$G$100,2,0),"")</f>
        <v>L</v>
      </c>
    </row>
    <row r="38" spans="1:20" x14ac:dyDescent="0.2">
      <c r="A38" s="224">
        <v>43902</v>
      </c>
      <c r="B38" s="222"/>
      <c r="C38" s="222"/>
      <c r="D38" s="224">
        <v>43902</v>
      </c>
      <c r="E38" s="253" t="s">
        <v>708</v>
      </c>
      <c r="F38" s="219" t="s">
        <v>548</v>
      </c>
      <c r="G38" s="219" t="s">
        <v>646</v>
      </c>
      <c r="H38" s="223" t="s">
        <v>647</v>
      </c>
      <c r="I38" s="247">
        <v>9999</v>
      </c>
      <c r="J38" s="223" t="s">
        <v>665</v>
      </c>
      <c r="K38" s="240" t="s">
        <v>677</v>
      </c>
      <c r="L38" s="223" t="s">
        <v>678</v>
      </c>
      <c r="M38" s="223">
        <v>10</v>
      </c>
      <c r="N38" s="223" t="s">
        <v>650</v>
      </c>
      <c r="O38" s="223">
        <v>10</v>
      </c>
      <c r="P38" s="223" t="s">
        <v>651</v>
      </c>
      <c r="Q38" s="223"/>
      <c r="R38" s="223" t="s">
        <v>535</v>
      </c>
      <c r="S38" s="220">
        <f t="shared" si="0"/>
        <v>1</v>
      </c>
      <c r="T38" s="219" t="str">
        <f>IFERROR(VLOOKUP($B38,'SIZE CALCULATION'!$F$2:$G$100,2,0),"")</f>
        <v/>
      </c>
    </row>
    <row r="39" spans="1:20" x14ac:dyDescent="0.2">
      <c r="A39" s="224">
        <v>43902</v>
      </c>
      <c r="B39" s="222"/>
      <c r="C39" s="222"/>
      <c r="D39" s="224">
        <v>43902</v>
      </c>
      <c r="E39" s="253" t="s">
        <v>708</v>
      </c>
      <c r="F39" s="219" t="s">
        <v>548</v>
      </c>
      <c r="G39" s="219" t="s">
        <v>646</v>
      </c>
      <c r="H39" s="223" t="s">
        <v>647</v>
      </c>
      <c r="I39" s="247">
        <v>9999</v>
      </c>
      <c r="J39" s="223" t="s">
        <v>665</v>
      </c>
      <c r="K39" s="240" t="s">
        <v>654</v>
      </c>
      <c r="L39" s="223" t="s">
        <v>655</v>
      </c>
      <c r="M39" s="223">
        <v>80</v>
      </c>
      <c r="N39" s="223" t="s">
        <v>650</v>
      </c>
      <c r="O39" s="223">
        <v>10</v>
      </c>
      <c r="P39" s="223" t="s">
        <v>651</v>
      </c>
      <c r="Q39" s="223"/>
      <c r="R39" s="223" t="s">
        <v>535</v>
      </c>
      <c r="S39" s="220">
        <f t="shared" si="0"/>
        <v>8</v>
      </c>
      <c r="T39" s="219" t="str">
        <f>IFERROR(VLOOKUP($B39,'SIZE CALCULATION'!$F$2:$G$100,2,0),"")</f>
        <v/>
      </c>
    </row>
    <row r="40" spans="1:20" x14ac:dyDescent="0.2">
      <c r="A40" s="224">
        <v>43902</v>
      </c>
      <c r="B40" s="222"/>
      <c r="C40" s="222"/>
      <c r="D40" s="224">
        <v>43902</v>
      </c>
      <c r="E40" s="253" t="s">
        <v>708</v>
      </c>
      <c r="F40" s="219" t="s">
        <v>548</v>
      </c>
      <c r="G40" s="219" t="s">
        <v>646</v>
      </c>
      <c r="H40" s="223" t="s">
        <v>647</v>
      </c>
      <c r="I40" s="247">
        <v>9999</v>
      </c>
      <c r="J40" s="223" t="s">
        <v>665</v>
      </c>
      <c r="K40" s="240" t="s">
        <v>670</v>
      </c>
      <c r="L40" s="223" t="s">
        <v>671</v>
      </c>
      <c r="M40" s="223">
        <v>34</v>
      </c>
      <c r="N40" s="223" t="s">
        <v>650</v>
      </c>
      <c r="O40" s="223">
        <v>1</v>
      </c>
      <c r="P40" s="223" t="s">
        <v>651</v>
      </c>
      <c r="Q40" s="223"/>
      <c r="R40" s="223" t="s">
        <v>535</v>
      </c>
      <c r="S40" s="220">
        <f t="shared" si="0"/>
        <v>34</v>
      </c>
      <c r="T40" s="219" t="str">
        <f>IFERROR(VLOOKUP($B40,'SIZE CALCULATION'!$F$2:$G$100,2,0),"")</f>
        <v/>
      </c>
    </row>
    <row r="41" spans="1:20" x14ac:dyDescent="0.2">
      <c r="A41" s="224">
        <v>43902</v>
      </c>
      <c r="B41" s="222"/>
      <c r="C41" s="222"/>
      <c r="D41" s="224">
        <v>43902</v>
      </c>
      <c r="E41" s="253" t="s">
        <v>708</v>
      </c>
      <c r="F41" s="219" t="s">
        <v>548</v>
      </c>
      <c r="G41" s="219" t="s">
        <v>646</v>
      </c>
      <c r="H41" s="223" t="s">
        <v>647</v>
      </c>
      <c r="I41" s="247">
        <v>9999</v>
      </c>
      <c r="J41" s="223" t="s">
        <v>665</v>
      </c>
      <c r="K41" s="240" t="s">
        <v>652</v>
      </c>
      <c r="L41" s="223" t="s">
        <v>653</v>
      </c>
      <c r="M41" s="223">
        <v>10</v>
      </c>
      <c r="N41" s="223" t="s">
        <v>650</v>
      </c>
      <c r="O41" s="223">
        <v>10</v>
      </c>
      <c r="P41" s="223" t="s">
        <v>651</v>
      </c>
      <c r="Q41" s="223"/>
      <c r="R41" s="223" t="s">
        <v>535</v>
      </c>
      <c r="S41" s="220">
        <f t="shared" si="0"/>
        <v>1</v>
      </c>
      <c r="T41" s="219" t="str">
        <f>IFERROR(VLOOKUP($B41,'SIZE CALCULATION'!$F$2:$G$100,2,0),"")</f>
        <v/>
      </c>
    </row>
    <row r="42" spans="1:20" x14ac:dyDescent="0.2">
      <c r="A42" s="224">
        <v>43902</v>
      </c>
      <c r="B42" s="222"/>
      <c r="C42" s="222"/>
      <c r="D42" s="224">
        <v>43902</v>
      </c>
      <c r="E42" s="253" t="s">
        <v>708</v>
      </c>
      <c r="F42" s="219" t="s">
        <v>548</v>
      </c>
      <c r="G42" s="219" t="s">
        <v>646</v>
      </c>
      <c r="H42" s="223" t="s">
        <v>647</v>
      </c>
      <c r="I42" s="247">
        <v>9999</v>
      </c>
      <c r="J42" s="223" t="s">
        <v>665</v>
      </c>
      <c r="K42" s="240" t="s">
        <v>675</v>
      </c>
      <c r="L42" s="223" t="s">
        <v>676</v>
      </c>
      <c r="M42" s="223">
        <v>10</v>
      </c>
      <c r="N42" s="223" t="s">
        <v>650</v>
      </c>
      <c r="O42" s="223">
        <v>10</v>
      </c>
      <c r="P42" s="223" t="s">
        <v>651</v>
      </c>
      <c r="Q42" s="223"/>
      <c r="R42" s="223" t="s">
        <v>535</v>
      </c>
      <c r="S42" s="220">
        <f t="shared" si="0"/>
        <v>1</v>
      </c>
      <c r="T42" s="219" t="str">
        <f>IFERROR(VLOOKUP($B42,'SIZE CALCULATION'!$F$2:$G$100,2,0),"")</f>
        <v/>
      </c>
    </row>
    <row r="43" spans="1:20" x14ac:dyDescent="0.2">
      <c r="A43" s="224">
        <v>43902</v>
      </c>
      <c r="B43" s="222"/>
      <c r="C43" s="222"/>
      <c r="D43" s="224">
        <v>43902</v>
      </c>
      <c r="E43" s="223" t="s">
        <v>708</v>
      </c>
      <c r="F43" s="219" t="s">
        <v>548</v>
      </c>
      <c r="G43" s="219" t="s">
        <v>646</v>
      </c>
      <c r="H43" s="223" t="s">
        <v>647</v>
      </c>
      <c r="I43" s="247">
        <v>9999</v>
      </c>
      <c r="J43" s="223" t="s">
        <v>665</v>
      </c>
      <c r="K43" s="240" t="s">
        <v>670</v>
      </c>
      <c r="L43" s="223" t="s">
        <v>671</v>
      </c>
      <c r="M43" s="223">
        <v>66</v>
      </c>
      <c r="N43" s="223" t="s">
        <v>650</v>
      </c>
      <c r="O43" s="223">
        <v>1</v>
      </c>
      <c r="P43" s="223" t="s">
        <v>651</v>
      </c>
      <c r="Q43" s="223"/>
      <c r="R43" s="223" t="s">
        <v>535</v>
      </c>
      <c r="S43" s="220">
        <f t="shared" si="0"/>
        <v>66</v>
      </c>
      <c r="T43" s="219" t="str">
        <f>IFERROR(VLOOKUP($B43,'SIZE CALCULATION'!$F$2:$G$100,2,0),"")</f>
        <v/>
      </c>
    </row>
    <row r="44" spans="1:20" x14ac:dyDescent="0.2">
      <c r="A44" s="224">
        <v>43902</v>
      </c>
      <c r="B44" s="222"/>
      <c r="C44" s="222"/>
      <c r="D44" s="224">
        <v>43902</v>
      </c>
      <c r="E44" s="223" t="s">
        <v>708</v>
      </c>
      <c r="F44" s="219" t="s">
        <v>548</v>
      </c>
      <c r="G44" s="219" t="s">
        <v>646</v>
      </c>
      <c r="H44" s="223" t="s">
        <v>647</v>
      </c>
      <c r="I44" s="247">
        <v>9999</v>
      </c>
      <c r="J44" s="223" t="s">
        <v>665</v>
      </c>
      <c r="K44" s="240" t="s">
        <v>689</v>
      </c>
      <c r="L44" s="223" t="s">
        <v>690</v>
      </c>
      <c r="M44" s="223">
        <v>100</v>
      </c>
      <c r="N44" s="223" t="s">
        <v>650</v>
      </c>
      <c r="O44" s="223">
        <v>25</v>
      </c>
      <c r="P44" s="223" t="s">
        <v>651</v>
      </c>
      <c r="Q44" s="223"/>
      <c r="R44" s="223" t="s">
        <v>535</v>
      </c>
      <c r="S44" s="220">
        <f t="shared" si="0"/>
        <v>4</v>
      </c>
      <c r="T44" s="219" t="str">
        <f>IFERROR(VLOOKUP($B44,'SIZE CALCULATION'!$F$2:$G$100,2,0),"")</f>
        <v/>
      </c>
    </row>
    <row r="45" spans="1:20" x14ac:dyDescent="0.2">
      <c r="A45" s="224">
        <v>43903</v>
      </c>
      <c r="B45" s="222" t="s">
        <v>562</v>
      </c>
      <c r="C45" s="222">
        <v>1</v>
      </c>
      <c r="D45" s="224">
        <v>43903</v>
      </c>
      <c r="E45" s="223" t="s">
        <v>607</v>
      </c>
      <c r="F45" s="219" t="s">
        <v>548</v>
      </c>
      <c r="G45" s="219" t="s">
        <v>646</v>
      </c>
      <c r="H45" s="223" t="s">
        <v>647</v>
      </c>
      <c r="I45" s="247" t="s">
        <v>709</v>
      </c>
      <c r="J45" s="223" t="s">
        <v>609</v>
      </c>
      <c r="K45" s="240" t="s">
        <v>694</v>
      </c>
      <c r="L45" s="223" t="s">
        <v>695</v>
      </c>
      <c r="M45" s="223">
        <v>100</v>
      </c>
      <c r="N45" s="223" t="s">
        <v>650</v>
      </c>
      <c r="O45" s="223">
        <v>10</v>
      </c>
      <c r="P45" s="223" t="s">
        <v>651</v>
      </c>
      <c r="Q45" s="223"/>
      <c r="R45" s="223" t="s">
        <v>535</v>
      </c>
      <c r="S45" s="220">
        <f t="shared" si="0"/>
        <v>10</v>
      </c>
      <c r="T45" s="219" t="str">
        <f>IFERROR(VLOOKUP($B45,'SIZE CALCULATION'!$F$2:$G$100,2,0),"")</f>
        <v>M+</v>
      </c>
    </row>
    <row r="46" spans="1:20" x14ac:dyDescent="0.2">
      <c r="A46" s="224">
        <v>43904</v>
      </c>
      <c r="B46" s="222" t="s">
        <v>563</v>
      </c>
      <c r="C46" s="222">
        <v>10</v>
      </c>
      <c r="D46" s="224">
        <v>43904</v>
      </c>
      <c r="E46" s="223" t="s">
        <v>710</v>
      </c>
      <c r="F46" s="219" t="s">
        <v>548</v>
      </c>
      <c r="G46" s="219" t="s">
        <v>646</v>
      </c>
      <c r="H46" s="223" t="s">
        <v>647</v>
      </c>
      <c r="I46" s="247">
        <v>9999</v>
      </c>
      <c r="J46" s="223" t="s">
        <v>665</v>
      </c>
      <c r="K46" s="240" t="s">
        <v>658</v>
      </c>
      <c r="L46" s="223" t="s">
        <v>659</v>
      </c>
      <c r="M46" s="223">
        <v>500</v>
      </c>
      <c r="N46" s="223" t="s">
        <v>650</v>
      </c>
      <c r="O46" s="223">
        <v>10</v>
      </c>
      <c r="P46" s="223" t="s">
        <v>651</v>
      </c>
      <c r="Q46" s="223"/>
      <c r="R46" s="223" t="s">
        <v>535</v>
      </c>
      <c r="S46" s="220">
        <f t="shared" si="0"/>
        <v>50</v>
      </c>
      <c r="T46" s="219" t="str">
        <f>IFERROR(VLOOKUP($B46,'SIZE CALCULATION'!$F$2:$G$100,2,0),"")</f>
        <v>L</v>
      </c>
    </row>
    <row r="47" spans="1:20" x14ac:dyDescent="0.2">
      <c r="A47" s="224">
        <v>43904</v>
      </c>
      <c r="B47" s="222"/>
      <c r="C47" s="222"/>
      <c r="D47" s="224">
        <v>43904</v>
      </c>
      <c r="E47" s="223" t="s">
        <v>710</v>
      </c>
      <c r="F47" s="219" t="s">
        <v>548</v>
      </c>
      <c r="G47" s="219" t="s">
        <v>646</v>
      </c>
      <c r="H47" s="223" t="s">
        <v>647</v>
      </c>
      <c r="I47" s="247">
        <v>9999</v>
      </c>
      <c r="J47" s="223" t="s">
        <v>665</v>
      </c>
      <c r="K47" s="240" t="s">
        <v>694</v>
      </c>
      <c r="L47" s="223" t="s">
        <v>695</v>
      </c>
      <c r="M47" s="223">
        <v>50</v>
      </c>
      <c r="N47" s="223" t="s">
        <v>650</v>
      </c>
      <c r="O47" s="223">
        <v>10</v>
      </c>
      <c r="P47" s="223" t="s">
        <v>651</v>
      </c>
      <c r="Q47" s="223"/>
      <c r="R47" s="223" t="s">
        <v>535</v>
      </c>
      <c r="S47" s="220">
        <f t="shared" si="0"/>
        <v>5</v>
      </c>
      <c r="T47" s="219" t="str">
        <f>IFERROR(VLOOKUP($B47,'SIZE CALCULATION'!$F$2:$G$100,2,0),"")</f>
        <v/>
      </c>
    </row>
    <row r="48" spans="1:20" x14ac:dyDescent="0.2">
      <c r="A48" s="224">
        <v>43904</v>
      </c>
      <c r="B48" s="222"/>
      <c r="C48" s="222"/>
      <c r="D48" s="224">
        <v>43904</v>
      </c>
      <c r="E48" s="223" t="s">
        <v>710</v>
      </c>
      <c r="F48" s="219" t="s">
        <v>548</v>
      </c>
      <c r="G48" s="219" t="s">
        <v>646</v>
      </c>
      <c r="H48" s="223" t="s">
        <v>647</v>
      </c>
      <c r="I48" s="247">
        <v>9999</v>
      </c>
      <c r="J48" s="223" t="s">
        <v>665</v>
      </c>
      <c r="K48" s="240" t="s">
        <v>694</v>
      </c>
      <c r="L48" s="223" t="s">
        <v>695</v>
      </c>
      <c r="M48" s="223">
        <v>250</v>
      </c>
      <c r="N48" s="223" t="s">
        <v>650</v>
      </c>
      <c r="O48" s="223">
        <v>10</v>
      </c>
      <c r="P48" s="223" t="s">
        <v>651</v>
      </c>
      <c r="Q48" s="223"/>
      <c r="R48" s="223" t="s">
        <v>535</v>
      </c>
      <c r="S48" s="220">
        <f t="shared" si="0"/>
        <v>25</v>
      </c>
      <c r="T48" s="219" t="str">
        <f>IFERROR(VLOOKUP($B48,'SIZE CALCULATION'!$F$2:$G$100,2,0),"")</f>
        <v/>
      </c>
    </row>
    <row r="49" spans="1:20" x14ac:dyDescent="0.2">
      <c r="A49" s="224">
        <v>43904</v>
      </c>
      <c r="B49" s="222"/>
      <c r="C49" s="222"/>
      <c r="D49" s="224">
        <v>43904</v>
      </c>
      <c r="E49" s="223" t="s">
        <v>710</v>
      </c>
      <c r="F49" s="219" t="s">
        <v>548</v>
      </c>
      <c r="G49" s="219" t="s">
        <v>646</v>
      </c>
      <c r="H49" s="223" t="s">
        <v>647</v>
      </c>
      <c r="I49" s="245">
        <v>9999</v>
      </c>
      <c r="J49" s="223" t="s">
        <v>665</v>
      </c>
      <c r="K49" s="240" t="s">
        <v>694</v>
      </c>
      <c r="L49" s="223" t="s">
        <v>695</v>
      </c>
      <c r="M49" s="223">
        <v>250</v>
      </c>
      <c r="N49" s="223" t="s">
        <v>650</v>
      </c>
      <c r="O49" s="223">
        <v>10</v>
      </c>
      <c r="P49" s="223" t="s">
        <v>651</v>
      </c>
      <c r="Q49" s="223"/>
      <c r="R49" s="223" t="s">
        <v>535</v>
      </c>
      <c r="S49" s="220">
        <f t="shared" si="0"/>
        <v>25</v>
      </c>
      <c r="T49" s="219" t="str">
        <f>IFERROR(VLOOKUP($B49,'SIZE CALCULATION'!$F$2:$G$100,2,0),"")</f>
        <v/>
      </c>
    </row>
    <row r="50" spans="1:20" x14ac:dyDescent="0.2">
      <c r="A50" s="224">
        <v>43904</v>
      </c>
      <c r="B50" s="222"/>
      <c r="C50" s="222"/>
      <c r="D50" s="224">
        <v>43904</v>
      </c>
      <c r="E50" s="223" t="s">
        <v>710</v>
      </c>
      <c r="F50" s="219" t="s">
        <v>548</v>
      </c>
      <c r="G50" s="219" t="s">
        <v>646</v>
      </c>
      <c r="H50" s="223" t="s">
        <v>647</v>
      </c>
      <c r="I50" s="245">
        <v>9999</v>
      </c>
      <c r="J50" s="223" t="s">
        <v>665</v>
      </c>
      <c r="K50" s="240" t="s">
        <v>694</v>
      </c>
      <c r="L50" s="223" t="s">
        <v>695</v>
      </c>
      <c r="M50" s="223">
        <v>250</v>
      </c>
      <c r="N50" s="223" t="s">
        <v>650</v>
      </c>
      <c r="O50" s="223">
        <v>10</v>
      </c>
      <c r="P50" s="223" t="s">
        <v>651</v>
      </c>
      <c r="Q50" s="223"/>
      <c r="R50" s="223" t="s">
        <v>535</v>
      </c>
      <c r="S50" s="220">
        <f t="shared" si="0"/>
        <v>25</v>
      </c>
      <c r="T50" s="219" t="str">
        <f>IFERROR(VLOOKUP($B50,'SIZE CALCULATION'!$F$2:$G$100,2,0),"")</f>
        <v/>
      </c>
    </row>
    <row r="51" spans="1:20" x14ac:dyDescent="0.2">
      <c r="A51" s="224">
        <v>43904</v>
      </c>
      <c r="B51" s="222"/>
      <c r="C51" s="222"/>
      <c r="D51" s="224">
        <v>43904</v>
      </c>
      <c r="E51" s="223" t="s">
        <v>710</v>
      </c>
      <c r="F51" s="219" t="s">
        <v>548</v>
      </c>
      <c r="G51" s="219" t="s">
        <v>646</v>
      </c>
      <c r="H51" s="223" t="s">
        <v>647</v>
      </c>
      <c r="I51" s="245">
        <v>9999</v>
      </c>
      <c r="J51" s="223" t="s">
        <v>665</v>
      </c>
      <c r="K51" s="240" t="s">
        <v>694</v>
      </c>
      <c r="L51" s="223" t="s">
        <v>695</v>
      </c>
      <c r="M51" s="223">
        <v>200</v>
      </c>
      <c r="N51" s="223" t="s">
        <v>650</v>
      </c>
      <c r="O51" s="223">
        <v>10</v>
      </c>
      <c r="P51" s="223" t="s">
        <v>651</v>
      </c>
      <c r="Q51" s="223"/>
      <c r="R51" s="223" t="s">
        <v>535</v>
      </c>
      <c r="S51" s="220">
        <f t="shared" si="0"/>
        <v>20</v>
      </c>
      <c r="T51" s="219" t="str">
        <f>IFERROR(VLOOKUP($B51,'SIZE CALCULATION'!$F$2:$G$100,2,0),"")</f>
        <v/>
      </c>
    </row>
    <row r="52" spans="1:20" x14ac:dyDescent="0.2">
      <c r="A52" s="224">
        <v>43904</v>
      </c>
      <c r="B52" s="222"/>
      <c r="C52" s="222"/>
      <c r="D52" s="224">
        <v>43904</v>
      </c>
      <c r="E52" s="253" t="s">
        <v>710</v>
      </c>
      <c r="F52" s="219" t="s">
        <v>548</v>
      </c>
      <c r="G52" s="219" t="s">
        <v>646</v>
      </c>
      <c r="H52" s="223" t="s">
        <v>647</v>
      </c>
      <c r="I52" s="245">
        <v>9999</v>
      </c>
      <c r="J52" s="223" t="s">
        <v>665</v>
      </c>
      <c r="K52" s="240" t="s">
        <v>698</v>
      </c>
      <c r="L52" s="223" t="s">
        <v>699</v>
      </c>
      <c r="M52" s="223">
        <v>282</v>
      </c>
      <c r="N52" s="223" t="s">
        <v>650</v>
      </c>
      <c r="O52" s="223">
        <v>10</v>
      </c>
      <c r="P52" s="223" t="s">
        <v>651</v>
      </c>
      <c r="Q52" s="223"/>
      <c r="R52" s="223" t="s">
        <v>535</v>
      </c>
      <c r="S52" s="220">
        <f t="shared" si="0"/>
        <v>28.2</v>
      </c>
      <c r="T52" s="219" t="str">
        <f>IFERROR(VLOOKUP($B52,'SIZE CALCULATION'!$F$2:$G$100,2,0),"")</f>
        <v/>
      </c>
    </row>
    <row r="53" spans="1:20" x14ac:dyDescent="0.2">
      <c r="A53" s="224">
        <v>43904</v>
      </c>
      <c r="B53" s="222"/>
      <c r="C53" s="222"/>
      <c r="D53" s="224">
        <v>43904</v>
      </c>
      <c r="E53" s="253" t="s">
        <v>710</v>
      </c>
      <c r="F53" s="219" t="s">
        <v>548</v>
      </c>
      <c r="G53" s="219" t="s">
        <v>646</v>
      </c>
      <c r="H53" s="223" t="s">
        <v>647</v>
      </c>
      <c r="I53" s="245">
        <v>9999</v>
      </c>
      <c r="J53" s="223" t="s">
        <v>665</v>
      </c>
      <c r="K53" s="240" t="s">
        <v>698</v>
      </c>
      <c r="L53" s="223" t="s">
        <v>699</v>
      </c>
      <c r="M53" s="223">
        <v>250</v>
      </c>
      <c r="N53" s="223" t="s">
        <v>650</v>
      </c>
      <c r="O53" s="223">
        <v>10</v>
      </c>
      <c r="P53" s="223" t="s">
        <v>651</v>
      </c>
      <c r="Q53" s="223"/>
      <c r="R53" s="223" t="s">
        <v>535</v>
      </c>
      <c r="S53" s="220">
        <f t="shared" si="0"/>
        <v>25</v>
      </c>
      <c r="T53" s="219" t="str">
        <f>IFERROR(VLOOKUP($B53,'SIZE CALCULATION'!$F$2:$G$100,2,0),"")</f>
        <v/>
      </c>
    </row>
    <row r="54" spans="1:20" x14ac:dyDescent="0.2">
      <c r="A54" s="224">
        <v>43904</v>
      </c>
      <c r="B54" s="222"/>
      <c r="C54" s="222"/>
      <c r="D54" s="224">
        <v>43904</v>
      </c>
      <c r="E54" s="223" t="s">
        <v>710</v>
      </c>
      <c r="F54" s="219" t="s">
        <v>548</v>
      </c>
      <c r="G54" s="219" t="s">
        <v>646</v>
      </c>
      <c r="H54" s="223" t="s">
        <v>647</v>
      </c>
      <c r="I54" s="245">
        <v>9999</v>
      </c>
      <c r="J54" s="223" t="s">
        <v>665</v>
      </c>
      <c r="K54" s="240" t="s">
        <v>698</v>
      </c>
      <c r="L54" s="223" t="s">
        <v>699</v>
      </c>
      <c r="M54" s="223">
        <v>200</v>
      </c>
      <c r="N54" s="223" t="s">
        <v>650</v>
      </c>
      <c r="O54" s="223">
        <v>10</v>
      </c>
      <c r="P54" s="223" t="s">
        <v>651</v>
      </c>
      <c r="Q54" s="223"/>
      <c r="R54" s="223" t="s">
        <v>535</v>
      </c>
      <c r="S54" s="220">
        <f t="shared" si="0"/>
        <v>20</v>
      </c>
      <c r="T54" s="219" t="str">
        <f>IFERROR(VLOOKUP($B54,'SIZE CALCULATION'!$F$2:$G$100,2,0),"")</f>
        <v/>
      </c>
    </row>
    <row r="55" spans="1:20" x14ac:dyDescent="0.2">
      <c r="A55" s="224">
        <v>43904</v>
      </c>
      <c r="B55" s="222"/>
      <c r="C55" s="222"/>
      <c r="D55" s="224">
        <v>43904</v>
      </c>
      <c r="E55" s="223" t="s">
        <v>710</v>
      </c>
      <c r="F55" s="219" t="s">
        <v>548</v>
      </c>
      <c r="G55" s="219" t="s">
        <v>646</v>
      </c>
      <c r="H55" s="223" t="s">
        <v>647</v>
      </c>
      <c r="I55" s="245">
        <v>9999</v>
      </c>
      <c r="J55" s="223" t="s">
        <v>665</v>
      </c>
      <c r="K55" s="240" t="s">
        <v>698</v>
      </c>
      <c r="L55" s="223" t="s">
        <v>699</v>
      </c>
      <c r="M55" s="223">
        <v>268</v>
      </c>
      <c r="N55" s="223" t="s">
        <v>650</v>
      </c>
      <c r="O55" s="223">
        <v>10</v>
      </c>
      <c r="P55" s="223" t="s">
        <v>651</v>
      </c>
      <c r="Q55" s="223"/>
      <c r="R55" s="223" t="s">
        <v>535</v>
      </c>
      <c r="S55" s="220">
        <f t="shared" si="0"/>
        <v>26.8</v>
      </c>
      <c r="T55" s="219" t="str">
        <f>IFERROR(VLOOKUP($B55,'SIZE CALCULATION'!$F$2:$G$100,2,0),"")</f>
        <v/>
      </c>
    </row>
    <row r="56" spans="1:20" x14ac:dyDescent="0.2">
      <c r="A56" s="224">
        <v>43904</v>
      </c>
      <c r="B56" s="222" t="s">
        <v>563</v>
      </c>
      <c r="C56" s="222">
        <v>2</v>
      </c>
      <c r="D56" s="224">
        <v>43904</v>
      </c>
      <c r="E56" s="223" t="s">
        <v>711</v>
      </c>
      <c r="F56" s="219" t="s">
        <v>548</v>
      </c>
      <c r="G56" s="219" t="s">
        <v>646</v>
      </c>
      <c r="H56" s="223" t="s">
        <v>647</v>
      </c>
      <c r="I56" s="245">
        <v>9999</v>
      </c>
      <c r="J56" s="223" t="s">
        <v>665</v>
      </c>
      <c r="K56" s="240" t="s">
        <v>654</v>
      </c>
      <c r="L56" s="223" t="s">
        <v>655</v>
      </c>
      <c r="M56" s="223">
        <v>100</v>
      </c>
      <c r="N56" s="223" t="s">
        <v>650</v>
      </c>
      <c r="O56" s="223">
        <v>10</v>
      </c>
      <c r="P56" s="223" t="s">
        <v>651</v>
      </c>
      <c r="Q56" s="223"/>
      <c r="R56" s="223" t="s">
        <v>535</v>
      </c>
      <c r="S56" s="220">
        <f t="shared" si="0"/>
        <v>10</v>
      </c>
      <c r="T56" s="219" t="str">
        <f>IFERROR(VLOOKUP($B56,'SIZE CALCULATION'!$F$2:$G$100,2,0),"")</f>
        <v>L</v>
      </c>
    </row>
    <row r="57" spans="1:20" x14ac:dyDescent="0.2">
      <c r="A57" s="224">
        <v>43904</v>
      </c>
      <c r="B57" s="222"/>
      <c r="C57" s="222"/>
      <c r="D57" s="224">
        <v>43904</v>
      </c>
      <c r="E57" s="223" t="s">
        <v>711</v>
      </c>
      <c r="F57" s="219" t="s">
        <v>548</v>
      </c>
      <c r="G57" s="219" t="s">
        <v>646</v>
      </c>
      <c r="H57" s="223" t="s">
        <v>647</v>
      </c>
      <c r="I57" s="247">
        <v>9999</v>
      </c>
      <c r="J57" s="223" t="s">
        <v>665</v>
      </c>
      <c r="K57" s="240" t="s">
        <v>703</v>
      </c>
      <c r="L57" s="223" t="s">
        <v>704</v>
      </c>
      <c r="M57" s="223">
        <v>50</v>
      </c>
      <c r="N57" s="223" t="s">
        <v>650</v>
      </c>
      <c r="O57" s="223">
        <v>10</v>
      </c>
      <c r="P57" s="223" t="s">
        <v>651</v>
      </c>
      <c r="Q57" s="223"/>
      <c r="R57" s="223" t="s">
        <v>535</v>
      </c>
      <c r="S57" s="220">
        <f t="shared" si="0"/>
        <v>5</v>
      </c>
      <c r="T57" s="219" t="str">
        <f>IFERROR(VLOOKUP($B57,'SIZE CALCULATION'!$F$2:$G$100,2,0),"")</f>
        <v/>
      </c>
    </row>
    <row r="58" spans="1:20" x14ac:dyDescent="0.2">
      <c r="A58" s="224">
        <v>43904</v>
      </c>
      <c r="B58" s="222"/>
      <c r="C58" s="222"/>
      <c r="D58" s="224">
        <v>43904</v>
      </c>
      <c r="E58" s="223" t="s">
        <v>711</v>
      </c>
      <c r="F58" s="219" t="s">
        <v>548</v>
      </c>
      <c r="G58" s="219" t="s">
        <v>646</v>
      </c>
      <c r="H58" s="223" t="s">
        <v>647</v>
      </c>
      <c r="I58" s="247">
        <v>9999</v>
      </c>
      <c r="J58" s="223" t="s">
        <v>665</v>
      </c>
      <c r="K58" s="240" t="s">
        <v>658</v>
      </c>
      <c r="L58" s="223" t="s">
        <v>659</v>
      </c>
      <c r="M58" s="223">
        <v>20</v>
      </c>
      <c r="N58" s="223" t="s">
        <v>650</v>
      </c>
      <c r="O58" s="223">
        <v>10</v>
      </c>
      <c r="P58" s="223" t="s">
        <v>651</v>
      </c>
      <c r="Q58" s="223"/>
      <c r="R58" s="223" t="s">
        <v>535</v>
      </c>
      <c r="S58" s="220">
        <f t="shared" si="0"/>
        <v>2</v>
      </c>
      <c r="T58" s="219" t="str">
        <f>IFERROR(VLOOKUP($B58,'SIZE CALCULATION'!$F$2:$G$100,2,0),"")</f>
        <v/>
      </c>
    </row>
    <row r="59" spans="1:20" x14ac:dyDescent="0.2">
      <c r="A59" s="224">
        <v>43906</v>
      </c>
      <c r="B59" s="222" t="s">
        <v>560</v>
      </c>
      <c r="C59" s="222">
        <v>10</v>
      </c>
      <c r="D59" s="224">
        <v>43906</v>
      </c>
      <c r="E59" s="223" t="s">
        <v>614</v>
      </c>
      <c r="F59" s="219" t="s">
        <v>548</v>
      </c>
      <c r="G59" s="219" t="s">
        <v>646</v>
      </c>
      <c r="H59" s="223" t="s">
        <v>647</v>
      </c>
      <c r="I59" s="247">
        <v>1</v>
      </c>
      <c r="J59" s="223" t="s">
        <v>550</v>
      </c>
      <c r="K59" s="240" t="s">
        <v>712</v>
      </c>
      <c r="L59" s="223" t="s">
        <v>713</v>
      </c>
      <c r="M59" s="223">
        <v>100</v>
      </c>
      <c r="N59" s="223" t="s">
        <v>650</v>
      </c>
      <c r="O59" s="223">
        <v>100</v>
      </c>
      <c r="P59" s="223" t="s">
        <v>651</v>
      </c>
      <c r="Q59" s="223"/>
      <c r="R59" s="223" t="s">
        <v>535</v>
      </c>
      <c r="S59" s="220">
        <f t="shared" si="0"/>
        <v>1</v>
      </c>
      <c r="T59" s="219" t="str">
        <f>IFERROR(VLOOKUP($B59,'SIZE CALCULATION'!$F$2:$G$100,2,0),"")</f>
        <v>S</v>
      </c>
    </row>
    <row r="60" spans="1:20" x14ac:dyDescent="0.2">
      <c r="A60" s="224">
        <v>43906</v>
      </c>
      <c r="B60" s="222"/>
      <c r="C60" s="222"/>
      <c r="D60" s="224">
        <v>43906</v>
      </c>
      <c r="E60" s="223" t="s">
        <v>614</v>
      </c>
      <c r="F60" s="219" t="s">
        <v>548</v>
      </c>
      <c r="G60" s="219" t="s">
        <v>646</v>
      </c>
      <c r="H60" s="223" t="s">
        <v>647</v>
      </c>
      <c r="I60" s="247">
        <v>1</v>
      </c>
      <c r="J60" s="223" t="s">
        <v>550</v>
      </c>
      <c r="K60" s="240" t="s">
        <v>712</v>
      </c>
      <c r="L60" s="223" t="s">
        <v>713</v>
      </c>
      <c r="M60" s="223">
        <v>100</v>
      </c>
      <c r="N60" s="223" t="s">
        <v>650</v>
      </c>
      <c r="O60" s="223">
        <v>100</v>
      </c>
      <c r="P60" s="223" t="s">
        <v>651</v>
      </c>
      <c r="Q60" s="223"/>
      <c r="R60" s="223" t="s">
        <v>535</v>
      </c>
      <c r="S60" s="220">
        <f t="shared" si="0"/>
        <v>1</v>
      </c>
      <c r="T60" s="219" t="str">
        <f>IFERROR(VLOOKUP($B60,'SIZE CALCULATION'!$F$2:$G$100,2,0),"")</f>
        <v/>
      </c>
    </row>
    <row r="61" spans="1:20" x14ac:dyDescent="0.2">
      <c r="A61" s="224">
        <v>43906</v>
      </c>
      <c r="B61" s="222"/>
      <c r="C61" s="222"/>
      <c r="D61" s="224">
        <v>43906</v>
      </c>
      <c r="E61" s="223" t="s">
        <v>614</v>
      </c>
      <c r="F61" s="219" t="s">
        <v>548</v>
      </c>
      <c r="G61" s="219" t="s">
        <v>646</v>
      </c>
      <c r="H61" s="223" t="s">
        <v>647</v>
      </c>
      <c r="I61" s="247">
        <v>1</v>
      </c>
      <c r="J61" s="223" t="s">
        <v>550</v>
      </c>
      <c r="K61" s="240" t="s">
        <v>712</v>
      </c>
      <c r="L61" s="223" t="s">
        <v>713</v>
      </c>
      <c r="M61" s="223">
        <v>100</v>
      </c>
      <c r="N61" s="223" t="s">
        <v>650</v>
      </c>
      <c r="O61" s="223">
        <v>100</v>
      </c>
      <c r="P61" s="223" t="s">
        <v>651</v>
      </c>
      <c r="Q61" s="223"/>
      <c r="R61" s="223" t="s">
        <v>535</v>
      </c>
      <c r="S61" s="220">
        <f t="shared" si="0"/>
        <v>1</v>
      </c>
      <c r="T61" s="219" t="str">
        <f>IFERROR(VLOOKUP($B61,'SIZE CALCULATION'!$F$2:$G$100,2,0),"")</f>
        <v/>
      </c>
    </row>
    <row r="62" spans="1:20" x14ac:dyDescent="0.2">
      <c r="A62" s="224">
        <v>43906</v>
      </c>
      <c r="B62" s="222"/>
      <c r="C62" s="222"/>
      <c r="D62" s="224">
        <v>43906</v>
      </c>
      <c r="E62" s="223" t="s">
        <v>614</v>
      </c>
      <c r="F62" s="219" t="s">
        <v>548</v>
      </c>
      <c r="G62" s="219" t="s">
        <v>646</v>
      </c>
      <c r="H62" s="223" t="s">
        <v>647</v>
      </c>
      <c r="I62" s="247">
        <v>1</v>
      </c>
      <c r="J62" s="223" t="s">
        <v>550</v>
      </c>
      <c r="K62" s="240" t="s">
        <v>712</v>
      </c>
      <c r="L62" s="223" t="s">
        <v>713</v>
      </c>
      <c r="M62" s="223">
        <v>100</v>
      </c>
      <c r="N62" s="223" t="s">
        <v>650</v>
      </c>
      <c r="O62" s="223">
        <v>100</v>
      </c>
      <c r="P62" s="223" t="s">
        <v>651</v>
      </c>
      <c r="Q62" s="223"/>
      <c r="R62" s="223" t="s">
        <v>535</v>
      </c>
      <c r="S62" s="220">
        <f t="shared" si="0"/>
        <v>1</v>
      </c>
      <c r="T62" s="219" t="str">
        <f>IFERROR(VLOOKUP($B62,'SIZE CALCULATION'!$F$2:$G$100,2,0),"")</f>
        <v/>
      </c>
    </row>
    <row r="63" spans="1:20" x14ac:dyDescent="0.2">
      <c r="A63" s="224">
        <v>43906</v>
      </c>
      <c r="B63" s="222"/>
      <c r="C63" s="222"/>
      <c r="D63" s="224">
        <v>43906</v>
      </c>
      <c r="E63" s="223" t="s">
        <v>614</v>
      </c>
      <c r="F63" s="219" t="s">
        <v>548</v>
      </c>
      <c r="G63" s="219" t="s">
        <v>646</v>
      </c>
      <c r="H63" s="223" t="s">
        <v>647</v>
      </c>
      <c r="I63" s="247">
        <v>1</v>
      </c>
      <c r="J63" s="223" t="s">
        <v>550</v>
      </c>
      <c r="K63" s="240" t="s">
        <v>712</v>
      </c>
      <c r="L63" s="223" t="s">
        <v>713</v>
      </c>
      <c r="M63" s="223">
        <v>100</v>
      </c>
      <c r="N63" s="223" t="s">
        <v>650</v>
      </c>
      <c r="O63" s="223">
        <v>100</v>
      </c>
      <c r="P63" s="223" t="s">
        <v>651</v>
      </c>
      <c r="Q63" s="223"/>
      <c r="R63" s="223" t="s">
        <v>535</v>
      </c>
      <c r="S63" s="220">
        <f t="shared" ref="S63:S125" si="1">IFERROR(M63/O63,M63)</f>
        <v>1</v>
      </c>
      <c r="T63" s="219" t="str">
        <f>IFERROR(VLOOKUP($B63,'SIZE CALCULATION'!$F$2:$G$100,2,0),"")</f>
        <v/>
      </c>
    </row>
    <row r="64" spans="1:20" x14ac:dyDescent="0.2">
      <c r="A64" s="224">
        <v>43906</v>
      </c>
      <c r="B64" s="222"/>
      <c r="C64" s="222"/>
      <c r="D64" s="224">
        <v>43906</v>
      </c>
      <c r="E64" s="223" t="s">
        <v>614</v>
      </c>
      <c r="F64" s="219" t="s">
        <v>548</v>
      </c>
      <c r="G64" s="219" t="s">
        <v>646</v>
      </c>
      <c r="H64" s="223" t="s">
        <v>647</v>
      </c>
      <c r="I64" s="247">
        <v>1</v>
      </c>
      <c r="J64" s="223" t="s">
        <v>550</v>
      </c>
      <c r="K64" s="240" t="s">
        <v>712</v>
      </c>
      <c r="L64" s="223" t="s">
        <v>713</v>
      </c>
      <c r="M64" s="223">
        <v>100</v>
      </c>
      <c r="N64" s="223" t="s">
        <v>650</v>
      </c>
      <c r="O64" s="223">
        <v>100</v>
      </c>
      <c r="P64" s="223" t="s">
        <v>651</v>
      </c>
      <c r="Q64" s="223"/>
      <c r="R64" s="223" t="s">
        <v>535</v>
      </c>
      <c r="S64" s="220">
        <f t="shared" si="1"/>
        <v>1</v>
      </c>
      <c r="T64" s="219" t="str">
        <f>IFERROR(VLOOKUP($B64,'SIZE CALCULATION'!$F$2:$G$100,2,0),"")</f>
        <v/>
      </c>
    </row>
    <row r="65" spans="1:20" x14ac:dyDescent="0.2">
      <c r="A65" s="224">
        <v>43906</v>
      </c>
      <c r="B65" s="222"/>
      <c r="C65" s="222"/>
      <c r="D65" s="224">
        <v>43906</v>
      </c>
      <c r="E65" s="223" t="s">
        <v>614</v>
      </c>
      <c r="F65" s="219" t="s">
        <v>548</v>
      </c>
      <c r="G65" s="219" t="s">
        <v>646</v>
      </c>
      <c r="H65" s="223" t="s">
        <v>647</v>
      </c>
      <c r="I65" s="247">
        <v>1</v>
      </c>
      <c r="J65" s="223" t="s">
        <v>550</v>
      </c>
      <c r="K65" s="240" t="s">
        <v>712</v>
      </c>
      <c r="L65" s="223" t="s">
        <v>713</v>
      </c>
      <c r="M65" s="223">
        <v>100</v>
      </c>
      <c r="N65" s="223" t="s">
        <v>650</v>
      </c>
      <c r="O65" s="223">
        <v>100</v>
      </c>
      <c r="P65" s="223" t="s">
        <v>651</v>
      </c>
      <c r="Q65" s="223"/>
      <c r="R65" s="223" t="s">
        <v>535</v>
      </c>
      <c r="S65" s="220">
        <f t="shared" si="1"/>
        <v>1</v>
      </c>
      <c r="T65" s="219" t="str">
        <f>IFERROR(VLOOKUP($B65,'SIZE CALCULATION'!$F$2:$G$100,2,0),"")</f>
        <v/>
      </c>
    </row>
    <row r="66" spans="1:20" x14ac:dyDescent="0.2">
      <c r="A66" s="224">
        <v>43906</v>
      </c>
      <c r="B66" s="222"/>
      <c r="C66" s="222"/>
      <c r="D66" s="224">
        <v>43906</v>
      </c>
      <c r="E66" s="223" t="s">
        <v>614</v>
      </c>
      <c r="F66" s="219" t="s">
        <v>548</v>
      </c>
      <c r="G66" s="219" t="s">
        <v>646</v>
      </c>
      <c r="H66" s="223" t="s">
        <v>647</v>
      </c>
      <c r="I66" s="247">
        <v>1</v>
      </c>
      <c r="J66" s="223" t="s">
        <v>550</v>
      </c>
      <c r="K66" s="240" t="s">
        <v>712</v>
      </c>
      <c r="L66" s="223" t="s">
        <v>713</v>
      </c>
      <c r="M66" s="223">
        <v>100</v>
      </c>
      <c r="N66" s="223" t="s">
        <v>650</v>
      </c>
      <c r="O66" s="223">
        <v>100</v>
      </c>
      <c r="P66" s="223" t="s">
        <v>651</v>
      </c>
      <c r="Q66" s="223"/>
      <c r="R66" s="223" t="s">
        <v>535</v>
      </c>
      <c r="S66" s="220">
        <f t="shared" si="1"/>
        <v>1</v>
      </c>
      <c r="T66" s="219" t="str">
        <f>IFERROR(VLOOKUP($B66,'SIZE CALCULATION'!$F$2:$G$100,2,0),"")</f>
        <v/>
      </c>
    </row>
    <row r="67" spans="1:20" x14ac:dyDescent="0.2">
      <c r="A67" s="224">
        <v>43906</v>
      </c>
      <c r="B67" s="222"/>
      <c r="C67" s="222"/>
      <c r="D67" s="224">
        <v>43906</v>
      </c>
      <c r="E67" s="223" t="s">
        <v>614</v>
      </c>
      <c r="F67" s="219" t="s">
        <v>548</v>
      </c>
      <c r="G67" s="219" t="s">
        <v>646</v>
      </c>
      <c r="H67" s="223" t="s">
        <v>647</v>
      </c>
      <c r="I67" s="247">
        <v>1</v>
      </c>
      <c r="J67" s="223" t="s">
        <v>550</v>
      </c>
      <c r="K67" s="240" t="s">
        <v>712</v>
      </c>
      <c r="L67" s="223" t="s">
        <v>713</v>
      </c>
      <c r="M67" s="223">
        <v>100</v>
      </c>
      <c r="N67" s="223" t="s">
        <v>650</v>
      </c>
      <c r="O67" s="223">
        <v>100</v>
      </c>
      <c r="P67" s="223" t="s">
        <v>651</v>
      </c>
      <c r="Q67" s="223"/>
      <c r="R67" s="223" t="s">
        <v>535</v>
      </c>
      <c r="S67" s="220">
        <f t="shared" si="1"/>
        <v>1</v>
      </c>
      <c r="T67" s="219" t="str">
        <f>IFERROR(VLOOKUP($B67,'SIZE CALCULATION'!$F$2:$G$100,2,0),"")</f>
        <v/>
      </c>
    </row>
    <row r="68" spans="1:20" x14ac:dyDescent="0.2">
      <c r="A68" s="224">
        <v>43906</v>
      </c>
      <c r="B68" s="222"/>
      <c r="C68" s="222"/>
      <c r="D68" s="224">
        <v>43906</v>
      </c>
      <c r="E68" s="223" t="s">
        <v>614</v>
      </c>
      <c r="F68" s="219" t="s">
        <v>548</v>
      </c>
      <c r="G68" s="219" t="s">
        <v>646</v>
      </c>
      <c r="H68" s="223" t="s">
        <v>647</v>
      </c>
      <c r="I68" s="247">
        <v>1</v>
      </c>
      <c r="J68" s="223" t="s">
        <v>550</v>
      </c>
      <c r="K68" s="240" t="s">
        <v>712</v>
      </c>
      <c r="L68" s="223" t="s">
        <v>713</v>
      </c>
      <c r="M68" s="223">
        <v>100</v>
      </c>
      <c r="N68" s="223" t="s">
        <v>650</v>
      </c>
      <c r="O68" s="223">
        <v>100</v>
      </c>
      <c r="P68" s="223" t="s">
        <v>651</v>
      </c>
      <c r="Q68" s="223"/>
      <c r="R68" s="223" t="s">
        <v>535</v>
      </c>
      <c r="S68" s="220">
        <f t="shared" si="1"/>
        <v>1</v>
      </c>
      <c r="T68" s="219" t="str">
        <f>IFERROR(VLOOKUP($B68,'SIZE CALCULATION'!$F$2:$G$100,2,0),"")</f>
        <v/>
      </c>
    </row>
    <row r="69" spans="1:20" x14ac:dyDescent="0.2">
      <c r="A69" s="224">
        <v>43907</v>
      </c>
      <c r="B69" s="222" t="s">
        <v>562</v>
      </c>
      <c r="C69" s="222">
        <v>1</v>
      </c>
      <c r="D69" s="224">
        <v>43907</v>
      </c>
      <c r="E69" s="223" t="s">
        <v>626</v>
      </c>
      <c r="F69" s="219" t="s">
        <v>548</v>
      </c>
      <c r="G69" s="219" t="s">
        <v>646</v>
      </c>
      <c r="H69" s="223" t="s">
        <v>647</v>
      </c>
      <c r="I69" s="247" t="s">
        <v>714</v>
      </c>
      <c r="J69" s="223" t="s">
        <v>628</v>
      </c>
      <c r="K69" s="240" t="s">
        <v>715</v>
      </c>
      <c r="L69" s="223" t="s">
        <v>716</v>
      </c>
      <c r="M69" s="223">
        <v>100</v>
      </c>
      <c r="N69" s="223"/>
      <c r="O69" s="223">
        <v>10</v>
      </c>
      <c r="P69" s="223" t="s">
        <v>651</v>
      </c>
      <c r="Q69" s="223"/>
      <c r="R69" s="223" t="s">
        <v>535</v>
      </c>
      <c r="S69" s="220">
        <f t="shared" si="1"/>
        <v>10</v>
      </c>
      <c r="T69" s="219" t="str">
        <f>IFERROR(VLOOKUP($B69,'SIZE CALCULATION'!$F$2:$G$100,2,0),"")</f>
        <v>M+</v>
      </c>
    </row>
    <row r="70" spans="1:20" x14ac:dyDescent="0.2">
      <c r="A70" s="224">
        <v>43907</v>
      </c>
      <c r="B70" s="222" t="s">
        <v>563</v>
      </c>
      <c r="C70" s="222">
        <v>1</v>
      </c>
      <c r="D70" s="224">
        <v>43907</v>
      </c>
      <c r="E70" s="223" t="s">
        <v>626</v>
      </c>
      <c r="F70" s="219" t="s">
        <v>548</v>
      </c>
      <c r="G70" s="219" t="s">
        <v>646</v>
      </c>
      <c r="H70" s="223" t="s">
        <v>647</v>
      </c>
      <c r="I70" s="247" t="s">
        <v>714</v>
      </c>
      <c r="J70" s="223" t="s">
        <v>628</v>
      </c>
      <c r="K70" s="240" t="s">
        <v>715</v>
      </c>
      <c r="L70" s="223" t="s">
        <v>716</v>
      </c>
      <c r="M70" s="223">
        <v>50</v>
      </c>
      <c r="N70" s="223"/>
      <c r="O70" s="223">
        <v>10</v>
      </c>
      <c r="P70" s="223" t="s">
        <v>651</v>
      </c>
      <c r="Q70" s="223"/>
      <c r="R70" s="223" t="s">
        <v>535</v>
      </c>
      <c r="S70" s="220">
        <f t="shared" si="1"/>
        <v>5</v>
      </c>
      <c r="T70" s="219" t="str">
        <f>IFERROR(VLOOKUP($B70,'SIZE CALCULATION'!$F$2:$G$100,2,0),"")</f>
        <v>L</v>
      </c>
    </row>
    <row r="71" spans="1:20" x14ac:dyDescent="0.2">
      <c r="A71" s="224">
        <v>43907</v>
      </c>
      <c r="B71" s="222" t="s">
        <v>562</v>
      </c>
      <c r="C71" s="222">
        <v>1</v>
      </c>
      <c r="D71" s="224">
        <v>43907</v>
      </c>
      <c r="E71" s="223" t="s">
        <v>634</v>
      </c>
      <c r="F71" s="219" t="s">
        <v>548</v>
      </c>
      <c r="G71" s="219" t="s">
        <v>646</v>
      </c>
      <c r="H71" s="223" t="s">
        <v>647</v>
      </c>
      <c r="I71" s="247">
        <v>2</v>
      </c>
      <c r="J71" s="223" t="s">
        <v>586</v>
      </c>
      <c r="K71" s="240" t="s">
        <v>717</v>
      </c>
      <c r="L71" s="223" t="s">
        <v>718</v>
      </c>
      <c r="M71" s="223">
        <v>100</v>
      </c>
      <c r="N71" s="223" t="s">
        <v>650</v>
      </c>
      <c r="O71" s="223">
        <v>10</v>
      </c>
      <c r="P71" s="223" t="s">
        <v>651</v>
      </c>
      <c r="Q71" s="223"/>
      <c r="R71" s="223" t="s">
        <v>535</v>
      </c>
      <c r="S71" s="220">
        <f t="shared" si="1"/>
        <v>10</v>
      </c>
      <c r="T71" s="219" t="str">
        <f>IFERROR(VLOOKUP($B71,'SIZE CALCULATION'!$F$2:$G$100,2,0),"")</f>
        <v>M+</v>
      </c>
    </row>
    <row r="72" spans="1:20" x14ac:dyDescent="0.2">
      <c r="A72" s="224">
        <v>43907</v>
      </c>
      <c r="B72" s="222" t="s">
        <v>562</v>
      </c>
      <c r="C72" s="222">
        <v>1</v>
      </c>
      <c r="D72" s="224">
        <v>43907</v>
      </c>
      <c r="E72" s="223" t="s">
        <v>634</v>
      </c>
      <c r="F72" s="219" t="s">
        <v>548</v>
      </c>
      <c r="G72" s="219" t="s">
        <v>646</v>
      </c>
      <c r="H72" s="223" t="s">
        <v>647</v>
      </c>
      <c r="I72" s="247">
        <v>2</v>
      </c>
      <c r="J72" s="223" t="s">
        <v>586</v>
      </c>
      <c r="K72" s="240" t="s">
        <v>719</v>
      </c>
      <c r="L72" s="223" t="s">
        <v>720</v>
      </c>
      <c r="M72" s="223">
        <v>100</v>
      </c>
      <c r="N72" s="223" t="s">
        <v>650</v>
      </c>
      <c r="O72" s="223">
        <v>10</v>
      </c>
      <c r="P72" s="223" t="s">
        <v>651</v>
      </c>
      <c r="Q72" s="223"/>
      <c r="R72" s="223" t="s">
        <v>535</v>
      </c>
      <c r="S72" s="220">
        <f t="shared" si="1"/>
        <v>10</v>
      </c>
      <c r="T72" s="219" t="str">
        <f>IFERROR(VLOOKUP($B72,'SIZE CALCULATION'!$F$2:$G$100,2,0),"")</f>
        <v>M+</v>
      </c>
    </row>
    <row r="73" spans="1:20" x14ac:dyDescent="0.2">
      <c r="A73" s="224">
        <v>43907</v>
      </c>
      <c r="B73" s="222" t="s">
        <v>561</v>
      </c>
      <c r="C73" s="222">
        <v>1</v>
      </c>
      <c r="D73" s="224">
        <v>43907</v>
      </c>
      <c r="E73" s="223" t="s">
        <v>637</v>
      </c>
      <c r="F73" s="219" t="s">
        <v>548</v>
      </c>
      <c r="G73" s="219" t="s">
        <v>646</v>
      </c>
      <c r="H73" s="223" t="s">
        <v>647</v>
      </c>
      <c r="I73" s="247" t="s">
        <v>721</v>
      </c>
      <c r="J73" s="223" t="s">
        <v>639</v>
      </c>
      <c r="K73" s="240" t="s">
        <v>722</v>
      </c>
      <c r="L73" s="223" t="s">
        <v>723</v>
      </c>
      <c r="M73" s="223">
        <v>50</v>
      </c>
      <c r="N73" s="223" t="s">
        <v>650</v>
      </c>
      <c r="O73" s="223">
        <v>10</v>
      </c>
      <c r="P73" s="223" t="s">
        <v>651</v>
      </c>
      <c r="Q73" s="223"/>
      <c r="R73" s="223" t="s">
        <v>535</v>
      </c>
      <c r="S73" s="220">
        <f t="shared" si="1"/>
        <v>5</v>
      </c>
      <c r="T73" s="219" t="str">
        <f>IFERROR(VLOOKUP($B73,'SIZE CALCULATION'!$F$2:$G$100,2,0),"")</f>
        <v>M</v>
      </c>
    </row>
    <row r="74" spans="1:20" x14ac:dyDescent="0.2">
      <c r="A74" s="224">
        <v>43907</v>
      </c>
      <c r="B74" s="222" t="s">
        <v>563</v>
      </c>
      <c r="C74" s="222">
        <v>1</v>
      </c>
      <c r="D74" s="224">
        <v>43907</v>
      </c>
      <c r="E74" s="223" t="s">
        <v>637</v>
      </c>
      <c r="F74" s="219" t="s">
        <v>548</v>
      </c>
      <c r="G74" s="219" t="s">
        <v>646</v>
      </c>
      <c r="H74" s="223" t="s">
        <v>647</v>
      </c>
      <c r="I74" s="247" t="s">
        <v>721</v>
      </c>
      <c r="J74" s="223" t="s">
        <v>639</v>
      </c>
      <c r="K74" s="240" t="s">
        <v>722</v>
      </c>
      <c r="L74" s="223" t="s">
        <v>723</v>
      </c>
      <c r="M74" s="223">
        <v>70</v>
      </c>
      <c r="N74" s="223" t="s">
        <v>650</v>
      </c>
      <c r="O74" s="223">
        <v>10</v>
      </c>
      <c r="P74" s="223" t="s">
        <v>651</v>
      </c>
      <c r="Q74" s="223"/>
      <c r="R74" s="223" t="s">
        <v>535</v>
      </c>
      <c r="S74" s="220">
        <f t="shared" si="1"/>
        <v>7</v>
      </c>
      <c r="T74" s="219" t="str">
        <f>IFERROR(VLOOKUP($B74,'SIZE CALCULATION'!$F$2:$G$100,2,0),"")</f>
        <v>L</v>
      </c>
    </row>
    <row r="75" spans="1:20" x14ac:dyDescent="0.2">
      <c r="A75" s="224">
        <v>43907</v>
      </c>
      <c r="B75" s="222" t="s">
        <v>563</v>
      </c>
      <c r="C75" s="222">
        <v>1</v>
      </c>
      <c r="D75" s="224">
        <v>43907</v>
      </c>
      <c r="E75" s="223" t="s">
        <v>637</v>
      </c>
      <c r="F75" s="219" t="s">
        <v>548</v>
      </c>
      <c r="G75" s="219" t="s">
        <v>646</v>
      </c>
      <c r="H75" s="223" t="s">
        <v>647</v>
      </c>
      <c r="I75" s="247" t="s">
        <v>721</v>
      </c>
      <c r="J75" s="223" t="s">
        <v>639</v>
      </c>
      <c r="K75" s="240" t="s">
        <v>722</v>
      </c>
      <c r="L75" s="223" t="s">
        <v>723</v>
      </c>
      <c r="M75" s="223">
        <v>70</v>
      </c>
      <c r="N75" s="223" t="s">
        <v>650</v>
      </c>
      <c r="O75" s="223">
        <v>10</v>
      </c>
      <c r="P75" s="223" t="s">
        <v>651</v>
      </c>
      <c r="Q75" s="223"/>
      <c r="R75" s="223" t="s">
        <v>535</v>
      </c>
      <c r="S75" s="220">
        <f t="shared" si="1"/>
        <v>7</v>
      </c>
      <c r="T75" s="219" t="str">
        <f>IFERROR(VLOOKUP($B75,'SIZE CALCULATION'!$F$2:$G$100,2,0),"")</f>
        <v>L</v>
      </c>
    </row>
    <row r="76" spans="1:20" x14ac:dyDescent="0.2">
      <c r="A76" s="224">
        <v>43907</v>
      </c>
      <c r="B76" s="222" t="s">
        <v>563</v>
      </c>
      <c r="C76" s="222">
        <v>1</v>
      </c>
      <c r="D76" s="224">
        <v>43907</v>
      </c>
      <c r="E76" s="223" t="s">
        <v>637</v>
      </c>
      <c r="F76" s="219" t="s">
        <v>548</v>
      </c>
      <c r="G76" s="219" t="s">
        <v>646</v>
      </c>
      <c r="H76" s="223" t="s">
        <v>647</v>
      </c>
      <c r="I76" s="247" t="s">
        <v>721</v>
      </c>
      <c r="J76" s="223" t="s">
        <v>639</v>
      </c>
      <c r="K76" s="240" t="s">
        <v>722</v>
      </c>
      <c r="L76" s="223" t="s">
        <v>723</v>
      </c>
      <c r="M76" s="223">
        <v>70</v>
      </c>
      <c r="N76" s="223" t="s">
        <v>650</v>
      </c>
      <c r="O76" s="223">
        <v>10</v>
      </c>
      <c r="P76" s="223" t="s">
        <v>651</v>
      </c>
      <c r="Q76" s="223"/>
      <c r="R76" s="223" t="s">
        <v>535</v>
      </c>
      <c r="S76" s="220">
        <f t="shared" si="1"/>
        <v>7</v>
      </c>
      <c r="T76" s="219" t="str">
        <f>IFERROR(VLOOKUP($B76,'SIZE CALCULATION'!$F$2:$G$100,2,0),"")</f>
        <v>L</v>
      </c>
    </row>
    <row r="77" spans="1:20" x14ac:dyDescent="0.2">
      <c r="A77" s="224"/>
      <c r="B77" s="222"/>
      <c r="C77" s="222"/>
      <c r="D77" s="224"/>
      <c r="E77" s="223"/>
      <c r="F77" s="219"/>
      <c r="G77" s="219"/>
      <c r="H77" s="223"/>
      <c r="I77" s="247"/>
      <c r="J77" s="223"/>
      <c r="K77" s="240"/>
      <c r="L77" s="223"/>
      <c r="M77" s="223"/>
      <c r="N77" s="223"/>
      <c r="O77" s="223"/>
      <c r="P77" s="223"/>
      <c r="Q77" s="223"/>
      <c r="R77" s="223" t="s">
        <v>535</v>
      </c>
      <c r="S77" s="220">
        <f t="shared" si="1"/>
        <v>0</v>
      </c>
      <c r="T77" s="219" t="str">
        <f>IFERROR(VLOOKUP($B77,'SIZE CALCULATION'!$F$2:$G$100,2,0),"")</f>
        <v/>
      </c>
    </row>
    <row r="78" spans="1:20" x14ac:dyDescent="0.2">
      <c r="A78" s="224"/>
      <c r="B78" s="222"/>
      <c r="C78" s="222"/>
      <c r="D78" s="224"/>
      <c r="E78" s="223"/>
      <c r="F78" s="219"/>
      <c r="G78" s="219"/>
      <c r="H78" s="223"/>
      <c r="I78" s="247"/>
      <c r="J78" s="223"/>
      <c r="K78" s="240"/>
      <c r="L78" s="223"/>
      <c r="M78" s="223"/>
      <c r="N78" s="223"/>
      <c r="O78" s="223"/>
      <c r="P78" s="223"/>
      <c r="Q78" s="223"/>
      <c r="R78" s="223" t="s">
        <v>535</v>
      </c>
      <c r="S78" s="220">
        <f t="shared" si="1"/>
        <v>0</v>
      </c>
      <c r="T78" s="219" t="str">
        <f>IFERROR(VLOOKUP($B78,'SIZE CALCULATION'!$F$2:$G$100,2,0),"")</f>
        <v/>
      </c>
    </row>
    <row r="79" spans="1:20" x14ac:dyDescent="0.2">
      <c r="A79" s="224"/>
      <c r="B79" s="222"/>
      <c r="C79" s="222"/>
      <c r="D79" s="224"/>
      <c r="E79" s="223"/>
      <c r="F79" s="219"/>
      <c r="G79" s="219"/>
      <c r="H79" s="223"/>
      <c r="I79" s="247"/>
      <c r="J79" s="223"/>
      <c r="K79" s="240"/>
      <c r="L79" s="223"/>
      <c r="M79" s="223"/>
      <c r="N79" s="223"/>
      <c r="O79" s="223"/>
      <c r="P79" s="223"/>
      <c r="Q79" s="223"/>
      <c r="R79" s="223" t="s">
        <v>535</v>
      </c>
      <c r="S79" s="220">
        <f t="shared" si="1"/>
        <v>0</v>
      </c>
      <c r="T79" s="219" t="str">
        <f>IFERROR(VLOOKUP($B79,'SIZE CALCULATION'!$F$2:$G$100,2,0),"")</f>
        <v/>
      </c>
    </row>
    <row r="80" spans="1:20" x14ac:dyDescent="0.2">
      <c r="A80" s="224"/>
      <c r="B80" s="222"/>
      <c r="C80" s="222"/>
      <c r="D80" s="224"/>
      <c r="E80" s="223"/>
      <c r="F80" s="219"/>
      <c r="G80" s="219"/>
      <c r="H80" s="223"/>
      <c r="I80" s="247"/>
      <c r="J80" s="223"/>
      <c r="K80" s="240"/>
      <c r="L80" s="223"/>
      <c r="M80" s="223"/>
      <c r="N80" s="223"/>
      <c r="O80" s="223"/>
      <c r="P80" s="223"/>
      <c r="Q80" s="223"/>
      <c r="R80" s="223" t="s">
        <v>535</v>
      </c>
      <c r="S80" s="220">
        <f t="shared" si="1"/>
        <v>0</v>
      </c>
      <c r="T80" s="219" t="str">
        <f>IFERROR(VLOOKUP($B80,'SIZE CALCULATION'!$F$2:$G$100,2,0),"")</f>
        <v/>
      </c>
    </row>
    <row r="81" spans="1:20" x14ac:dyDescent="0.2">
      <c r="A81" s="224"/>
      <c r="B81" s="222"/>
      <c r="C81" s="222"/>
      <c r="D81" s="224"/>
      <c r="E81" s="223"/>
      <c r="F81" s="219"/>
      <c r="G81" s="219"/>
      <c r="H81" s="223"/>
      <c r="I81" s="247"/>
      <c r="J81" s="223"/>
      <c r="K81" s="240"/>
      <c r="L81" s="223"/>
      <c r="M81" s="223"/>
      <c r="N81" s="223"/>
      <c r="O81" s="223"/>
      <c r="P81" s="223"/>
      <c r="Q81" s="223"/>
      <c r="R81" s="223" t="s">
        <v>535</v>
      </c>
      <c r="S81" s="220">
        <f t="shared" si="1"/>
        <v>0</v>
      </c>
      <c r="T81" s="219" t="str">
        <f>IFERROR(VLOOKUP($B81,'SIZE CALCULATION'!$F$2:$G$100,2,0),"")</f>
        <v/>
      </c>
    </row>
    <row r="82" spans="1:20" x14ac:dyDescent="0.2">
      <c r="A82" s="224"/>
      <c r="B82" s="208"/>
      <c r="C82" s="208"/>
      <c r="D82" s="224"/>
      <c r="E82" s="223"/>
      <c r="F82" s="219"/>
      <c r="G82" s="219"/>
      <c r="H82" s="223"/>
      <c r="I82" s="247"/>
      <c r="J82" s="223"/>
      <c r="K82" s="240"/>
      <c r="L82" s="223"/>
      <c r="M82" s="223"/>
      <c r="N82" s="223"/>
      <c r="O82" s="223"/>
      <c r="P82" s="223"/>
      <c r="Q82" s="223"/>
      <c r="R82" s="223" t="s">
        <v>535</v>
      </c>
      <c r="S82" s="220">
        <f t="shared" si="1"/>
        <v>0</v>
      </c>
      <c r="T82" s="219" t="str">
        <f>IFERROR(VLOOKUP($B82,'SIZE CALCULATION'!$F$2:$G$100,2,0),"")</f>
        <v/>
      </c>
    </row>
    <row r="83" spans="1:20" x14ac:dyDescent="0.2">
      <c r="A83" s="224"/>
      <c r="B83" s="222"/>
      <c r="C83" s="222"/>
      <c r="D83" s="224"/>
      <c r="E83" s="223"/>
      <c r="F83" s="219"/>
      <c r="G83" s="219"/>
      <c r="H83" s="223"/>
      <c r="I83" s="247"/>
      <c r="J83" s="223"/>
      <c r="K83" s="240"/>
      <c r="L83" s="223"/>
      <c r="M83" s="223"/>
      <c r="N83" s="223"/>
      <c r="O83" s="223"/>
      <c r="P83" s="223"/>
      <c r="Q83" s="223"/>
      <c r="R83" s="223" t="s">
        <v>535</v>
      </c>
      <c r="S83" s="220">
        <f t="shared" si="1"/>
        <v>0</v>
      </c>
      <c r="T83" s="219" t="str">
        <f>IFERROR(VLOOKUP($B83,'SIZE CALCULATION'!$F$2:$G$100,2,0),"")</f>
        <v/>
      </c>
    </row>
    <row r="84" spans="1:20" x14ac:dyDescent="0.2">
      <c r="A84" s="224"/>
      <c r="B84" s="222"/>
      <c r="C84" s="222"/>
      <c r="D84" s="224"/>
      <c r="E84" s="223"/>
      <c r="F84" s="219"/>
      <c r="G84" s="219"/>
      <c r="H84" s="223"/>
      <c r="I84" s="247"/>
      <c r="J84" s="223"/>
      <c r="K84" s="240"/>
      <c r="L84" s="223"/>
      <c r="M84" s="223"/>
      <c r="N84" s="223"/>
      <c r="O84" s="223"/>
      <c r="P84" s="223"/>
      <c r="Q84" s="223"/>
      <c r="R84" s="223" t="s">
        <v>535</v>
      </c>
      <c r="S84" s="220">
        <f t="shared" si="1"/>
        <v>0</v>
      </c>
      <c r="T84" s="219" t="str">
        <f>IFERROR(VLOOKUP($B84,'SIZE CALCULATION'!$F$2:$G$100,2,0),"")</f>
        <v/>
      </c>
    </row>
    <row r="85" spans="1:20" x14ac:dyDescent="0.2">
      <c r="A85" s="224"/>
      <c r="B85" s="222"/>
      <c r="C85" s="222"/>
      <c r="D85" s="224"/>
      <c r="E85" s="223"/>
      <c r="F85" s="219"/>
      <c r="G85" s="219"/>
      <c r="H85" s="223"/>
      <c r="I85" s="247"/>
      <c r="J85" s="223"/>
      <c r="K85" s="240"/>
      <c r="L85" s="223"/>
      <c r="M85" s="223"/>
      <c r="N85" s="223"/>
      <c r="O85" s="223"/>
      <c r="P85" s="223"/>
      <c r="Q85" s="223"/>
      <c r="R85" s="223" t="s">
        <v>535</v>
      </c>
      <c r="S85" s="220">
        <f t="shared" si="1"/>
        <v>0</v>
      </c>
      <c r="T85" s="219" t="str">
        <f>IFERROR(VLOOKUP($B85,'SIZE CALCULATION'!$F$2:$G$100,2,0),"")</f>
        <v/>
      </c>
    </row>
    <row r="86" spans="1:20" x14ac:dyDescent="0.2">
      <c r="A86" s="224"/>
      <c r="B86" s="222"/>
      <c r="C86" s="222"/>
      <c r="D86" s="224"/>
      <c r="E86" s="223"/>
      <c r="F86" s="219"/>
      <c r="G86" s="219"/>
      <c r="H86" s="223"/>
      <c r="I86" s="247"/>
      <c r="J86" s="223"/>
      <c r="K86" s="240"/>
      <c r="L86" s="223"/>
      <c r="M86" s="223"/>
      <c r="N86" s="223"/>
      <c r="O86" s="223"/>
      <c r="P86" s="223"/>
      <c r="Q86" s="223"/>
      <c r="R86" s="223" t="s">
        <v>535</v>
      </c>
      <c r="S86" s="220">
        <f t="shared" si="1"/>
        <v>0</v>
      </c>
      <c r="T86" s="219" t="str">
        <f>IFERROR(VLOOKUP($B86,'SIZE CALCULATION'!$F$2:$G$100,2,0),"")</f>
        <v/>
      </c>
    </row>
    <row r="87" spans="1:20" x14ac:dyDescent="0.2">
      <c r="A87" s="224"/>
      <c r="B87" s="222"/>
      <c r="C87" s="222"/>
      <c r="D87" s="224"/>
      <c r="E87" s="223"/>
      <c r="F87" s="219"/>
      <c r="G87" s="219"/>
      <c r="H87" s="223"/>
      <c r="I87" s="247"/>
      <c r="J87" s="223"/>
      <c r="K87" s="240"/>
      <c r="L87" s="223"/>
      <c r="M87" s="223"/>
      <c r="N87" s="223"/>
      <c r="O87" s="223"/>
      <c r="P87" s="223"/>
      <c r="Q87" s="223"/>
      <c r="R87" s="223" t="s">
        <v>535</v>
      </c>
      <c r="S87" s="220">
        <f t="shared" si="1"/>
        <v>0</v>
      </c>
      <c r="T87" s="219" t="str">
        <f>IFERROR(VLOOKUP($B87,'SIZE CALCULATION'!$F$2:$G$100,2,0),"")</f>
        <v/>
      </c>
    </row>
    <row r="88" spans="1:20" x14ac:dyDescent="0.2">
      <c r="A88" s="224"/>
      <c r="B88" s="222"/>
      <c r="C88" s="222"/>
      <c r="D88" s="224"/>
      <c r="E88" s="223"/>
      <c r="F88" s="219"/>
      <c r="G88" s="219"/>
      <c r="H88" s="223"/>
      <c r="I88" s="247"/>
      <c r="J88" s="223"/>
      <c r="K88" s="240"/>
      <c r="L88" s="223"/>
      <c r="M88" s="223"/>
      <c r="N88" s="223"/>
      <c r="O88" s="223"/>
      <c r="P88" s="223"/>
      <c r="Q88" s="223"/>
      <c r="R88" s="223" t="s">
        <v>535</v>
      </c>
      <c r="S88" s="220">
        <f t="shared" si="1"/>
        <v>0</v>
      </c>
      <c r="T88" s="219" t="str">
        <f>IFERROR(VLOOKUP($B88,'SIZE CALCULATION'!$F$2:$G$100,2,0),"")</f>
        <v/>
      </c>
    </row>
    <row r="89" spans="1:20" x14ac:dyDescent="0.2">
      <c r="A89" s="224"/>
      <c r="B89" s="222"/>
      <c r="C89" s="222"/>
      <c r="D89" s="224"/>
      <c r="E89" s="223"/>
      <c r="F89" s="219"/>
      <c r="G89" s="219"/>
      <c r="H89" s="223"/>
      <c r="I89" s="247"/>
      <c r="J89" s="223"/>
      <c r="K89" s="240"/>
      <c r="L89" s="223"/>
      <c r="M89" s="223"/>
      <c r="N89" s="223"/>
      <c r="O89" s="223"/>
      <c r="P89" s="223"/>
      <c r="Q89" s="223"/>
      <c r="R89" s="223" t="s">
        <v>535</v>
      </c>
      <c r="S89" s="220">
        <f t="shared" si="1"/>
        <v>0</v>
      </c>
      <c r="T89" s="219" t="str">
        <f>IFERROR(VLOOKUP($B89,'SIZE CALCULATION'!$F$2:$G$100,2,0),"")</f>
        <v/>
      </c>
    </row>
    <row r="90" spans="1:20" x14ac:dyDescent="0.2">
      <c r="A90" s="224"/>
      <c r="B90" s="222"/>
      <c r="C90" s="222"/>
      <c r="D90" s="224"/>
      <c r="E90" s="223"/>
      <c r="F90" s="219"/>
      <c r="G90" s="219"/>
      <c r="H90" s="223"/>
      <c r="I90" s="247"/>
      <c r="J90" s="223"/>
      <c r="K90" s="240"/>
      <c r="L90" s="223"/>
      <c r="M90" s="223"/>
      <c r="N90" s="223"/>
      <c r="O90" s="223"/>
      <c r="P90" s="223"/>
      <c r="Q90" s="223"/>
      <c r="R90" s="223" t="s">
        <v>535</v>
      </c>
      <c r="S90" s="220">
        <f t="shared" si="1"/>
        <v>0</v>
      </c>
      <c r="T90" s="219" t="str">
        <f>IFERROR(VLOOKUP($B90,'SIZE CALCULATION'!$F$2:$G$100,2,0),"")</f>
        <v/>
      </c>
    </row>
    <row r="91" spans="1:20" x14ac:dyDescent="0.2">
      <c r="A91" s="224"/>
      <c r="B91" s="222"/>
      <c r="C91" s="222"/>
      <c r="D91" s="224"/>
      <c r="E91" s="223"/>
      <c r="F91" s="219"/>
      <c r="G91" s="219"/>
      <c r="H91" s="223"/>
      <c r="I91" s="247"/>
      <c r="J91" s="223"/>
      <c r="K91" s="240"/>
      <c r="L91" s="223"/>
      <c r="M91" s="223"/>
      <c r="N91" s="223"/>
      <c r="O91" s="223"/>
      <c r="P91" s="223"/>
      <c r="Q91" s="223"/>
      <c r="R91" s="223" t="s">
        <v>535</v>
      </c>
      <c r="S91" s="220">
        <f t="shared" si="1"/>
        <v>0</v>
      </c>
      <c r="T91" s="219" t="str">
        <f>IFERROR(VLOOKUP($B91,'SIZE CALCULATION'!$F$2:$G$100,2,0),"")</f>
        <v/>
      </c>
    </row>
    <row r="92" spans="1:20" x14ac:dyDescent="0.2">
      <c r="A92" s="224"/>
      <c r="B92" s="222"/>
      <c r="C92" s="222"/>
      <c r="D92" s="224"/>
      <c r="E92" s="223"/>
      <c r="F92" s="219"/>
      <c r="G92" s="219"/>
      <c r="H92" s="223"/>
      <c r="I92" s="247"/>
      <c r="J92" s="223"/>
      <c r="K92" s="240"/>
      <c r="L92" s="223"/>
      <c r="M92" s="223"/>
      <c r="N92" s="223"/>
      <c r="O92" s="223"/>
      <c r="P92" s="223"/>
      <c r="Q92" s="223"/>
      <c r="R92" s="223" t="s">
        <v>535</v>
      </c>
      <c r="S92" s="220">
        <f t="shared" si="1"/>
        <v>0</v>
      </c>
      <c r="T92" s="219" t="str">
        <f>IFERROR(VLOOKUP($B92,'SIZE CALCULATION'!$F$2:$G$100,2,0),"")</f>
        <v/>
      </c>
    </row>
    <row r="93" spans="1:20" x14ac:dyDescent="0.2">
      <c r="A93" s="224"/>
      <c r="B93" s="222"/>
      <c r="C93" s="222"/>
      <c r="D93" s="224"/>
      <c r="E93" s="275"/>
      <c r="F93" s="219"/>
      <c r="G93" s="219"/>
      <c r="H93" s="223"/>
      <c r="I93" s="247"/>
      <c r="J93" s="223"/>
      <c r="K93" s="240"/>
      <c r="L93" s="223"/>
      <c r="M93" s="223"/>
      <c r="N93" s="223"/>
      <c r="O93" s="223"/>
      <c r="P93" s="223"/>
      <c r="Q93" s="223"/>
      <c r="R93" s="223" t="s">
        <v>535</v>
      </c>
      <c r="S93" s="220">
        <f t="shared" si="1"/>
        <v>0</v>
      </c>
      <c r="T93" s="219" t="str">
        <f>IFERROR(VLOOKUP($B93,'SIZE CALCULATION'!$F$2:$G$100,2,0),"")</f>
        <v/>
      </c>
    </row>
    <row r="94" spans="1:20" x14ac:dyDescent="0.2">
      <c r="A94" s="224"/>
      <c r="B94" s="222"/>
      <c r="C94" s="222"/>
      <c r="D94" s="224"/>
      <c r="E94" s="275"/>
      <c r="F94" s="219"/>
      <c r="G94" s="219"/>
      <c r="H94" s="223"/>
      <c r="I94" s="247"/>
      <c r="J94" s="223"/>
      <c r="K94" s="240"/>
      <c r="L94" s="223"/>
      <c r="M94" s="223"/>
      <c r="N94" s="223"/>
      <c r="O94" s="223"/>
      <c r="P94" s="223"/>
      <c r="Q94" s="223"/>
      <c r="R94" s="223" t="s">
        <v>535</v>
      </c>
      <c r="S94" s="220">
        <f t="shared" si="1"/>
        <v>0</v>
      </c>
      <c r="T94" s="219" t="str">
        <f>IFERROR(VLOOKUP($B94,'SIZE CALCULATION'!$F$2:$G$100,2,0),"")</f>
        <v/>
      </c>
    </row>
    <row r="95" spans="1:20" x14ac:dyDescent="0.2">
      <c r="A95" s="224"/>
      <c r="B95" s="222"/>
      <c r="C95" s="222"/>
      <c r="D95" s="224"/>
      <c r="E95" s="275"/>
      <c r="F95" s="219"/>
      <c r="G95" s="219"/>
      <c r="H95" s="223"/>
      <c r="I95" s="247"/>
      <c r="J95" s="223"/>
      <c r="K95" s="240"/>
      <c r="L95" s="223"/>
      <c r="M95" s="223"/>
      <c r="N95" s="223"/>
      <c r="O95" s="223"/>
      <c r="P95" s="223"/>
      <c r="Q95" s="223"/>
      <c r="R95" s="223" t="s">
        <v>535</v>
      </c>
      <c r="S95" s="220">
        <f t="shared" si="1"/>
        <v>0</v>
      </c>
      <c r="T95" s="219" t="str">
        <f>IFERROR(VLOOKUP($B95,'SIZE CALCULATION'!$F$2:$G$100,2,0),"")</f>
        <v/>
      </c>
    </row>
    <row r="96" spans="1:20" x14ac:dyDescent="0.2">
      <c r="A96" s="224"/>
      <c r="B96" s="222"/>
      <c r="C96" s="222"/>
      <c r="D96" s="224"/>
      <c r="E96" s="275"/>
      <c r="F96" s="219"/>
      <c r="G96" s="219"/>
      <c r="H96" s="223"/>
      <c r="I96" s="247"/>
      <c r="J96" s="223"/>
      <c r="K96" s="240"/>
      <c r="L96" s="223"/>
      <c r="M96" s="223"/>
      <c r="N96" s="223"/>
      <c r="O96" s="223"/>
      <c r="P96" s="223"/>
      <c r="Q96" s="223"/>
      <c r="R96" s="223" t="s">
        <v>535</v>
      </c>
      <c r="S96" s="220">
        <f t="shared" si="1"/>
        <v>0</v>
      </c>
      <c r="T96" s="219" t="str">
        <f>IFERROR(VLOOKUP($B96,'SIZE CALCULATION'!$F$2:$G$100,2,0),"")</f>
        <v/>
      </c>
    </row>
    <row r="97" spans="1:20" x14ac:dyDescent="0.2">
      <c r="A97" s="224"/>
      <c r="B97" s="222"/>
      <c r="C97" s="222"/>
      <c r="D97" s="224"/>
      <c r="E97" s="275"/>
      <c r="F97" s="219"/>
      <c r="G97" s="219"/>
      <c r="H97" s="223"/>
      <c r="I97" s="247"/>
      <c r="J97" s="223"/>
      <c r="K97" s="240"/>
      <c r="L97" s="223"/>
      <c r="M97" s="223"/>
      <c r="N97" s="223"/>
      <c r="O97" s="223"/>
      <c r="P97" s="223"/>
      <c r="Q97" s="223"/>
      <c r="R97" s="223" t="s">
        <v>535</v>
      </c>
      <c r="S97" s="220">
        <f t="shared" si="1"/>
        <v>0</v>
      </c>
      <c r="T97" s="219" t="str">
        <f>IFERROR(VLOOKUP($B97,'SIZE CALCULATION'!$F$2:$G$100,2,0),"")</f>
        <v/>
      </c>
    </row>
    <row r="98" spans="1:20" x14ac:dyDescent="0.2">
      <c r="A98" s="224"/>
      <c r="B98" s="222"/>
      <c r="C98" s="222"/>
      <c r="D98" s="224"/>
      <c r="E98" s="275"/>
      <c r="F98" s="219"/>
      <c r="G98" s="219"/>
      <c r="H98" s="223"/>
      <c r="I98" s="247"/>
      <c r="J98" s="223"/>
      <c r="K98" s="240"/>
      <c r="L98" s="223"/>
      <c r="M98" s="223"/>
      <c r="N98" s="223"/>
      <c r="O98" s="223"/>
      <c r="P98" s="223"/>
      <c r="Q98" s="223"/>
      <c r="R98" s="223" t="s">
        <v>535</v>
      </c>
      <c r="S98" s="220">
        <f t="shared" si="1"/>
        <v>0</v>
      </c>
      <c r="T98" s="219" t="str">
        <f>IFERROR(VLOOKUP($B98,'SIZE CALCULATION'!$F$2:$G$100,2,0),"")</f>
        <v/>
      </c>
    </row>
    <row r="99" spans="1:20" x14ac:dyDescent="0.2">
      <c r="A99" s="224"/>
      <c r="B99" s="222"/>
      <c r="C99" s="222"/>
      <c r="D99" s="224"/>
      <c r="E99" s="223"/>
      <c r="F99" s="219"/>
      <c r="G99" s="219"/>
      <c r="H99" s="223"/>
      <c r="I99" s="247"/>
      <c r="J99" s="223"/>
      <c r="K99" s="240"/>
      <c r="L99" s="223"/>
      <c r="M99" s="223"/>
      <c r="N99" s="223"/>
      <c r="O99" s="223"/>
      <c r="P99" s="223"/>
      <c r="Q99" s="223"/>
      <c r="R99" s="223" t="s">
        <v>535</v>
      </c>
      <c r="S99" s="220">
        <f t="shared" si="1"/>
        <v>0</v>
      </c>
      <c r="T99" s="219" t="str">
        <f>IFERROR(VLOOKUP($B99,'SIZE CALCULATION'!$F$2:$G$100,2,0),"")</f>
        <v/>
      </c>
    </row>
    <row r="100" spans="1:20" x14ac:dyDescent="0.2">
      <c r="A100" s="224"/>
      <c r="B100" s="222"/>
      <c r="C100" s="222"/>
      <c r="D100" s="224"/>
      <c r="E100" s="223"/>
      <c r="F100" s="219"/>
      <c r="G100" s="219"/>
      <c r="H100" s="223"/>
      <c r="I100" s="247"/>
      <c r="J100" s="223"/>
      <c r="K100" s="240"/>
      <c r="L100" s="223"/>
      <c r="M100" s="223"/>
      <c r="N100" s="223"/>
      <c r="O100" s="223"/>
      <c r="P100" s="223"/>
      <c r="Q100" s="223"/>
      <c r="R100" s="223" t="s">
        <v>535</v>
      </c>
      <c r="S100" s="220">
        <f t="shared" si="1"/>
        <v>0</v>
      </c>
      <c r="T100" s="219" t="str">
        <f>IFERROR(VLOOKUP($B100,'SIZE CALCULATION'!$F$2:$G$100,2,0),"")</f>
        <v/>
      </c>
    </row>
    <row r="101" spans="1:20" x14ac:dyDescent="0.2">
      <c r="A101" s="224"/>
      <c r="B101" s="222"/>
      <c r="C101" s="222"/>
      <c r="D101" s="224"/>
      <c r="E101" s="223"/>
      <c r="F101" s="219"/>
      <c r="G101" s="219"/>
      <c r="H101" s="223"/>
      <c r="I101" s="247"/>
      <c r="J101" s="223"/>
      <c r="K101" s="240"/>
      <c r="L101" s="223"/>
      <c r="M101" s="223"/>
      <c r="N101" s="223"/>
      <c r="O101" s="223"/>
      <c r="P101" s="223"/>
      <c r="Q101" s="223"/>
      <c r="R101" s="223" t="s">
        <v>535</v>
      </c>
      <c r="S101" s="220">
        <f t="shared" si="1"/>
        <v>0</v>
      </c>
      <c r="T101" s="219" t="str">
        <f>IFERROR(VLOOKUP($B101,'SIZE CALCULATION'!$F$2:$G$100,2,0),"")</f>
        <v/>
      </c>
    </row>
    <row r="102" spans="1:20" x14ac:dyDescent="0.2">
      <c r="A102" s="224"/>
      <c r="B102" s="222"/>
      <c r="C102" s="222"/>
      <c r="D102" s="224"/>
      <c r="E102" s="223"/>
      <c r="F102" s="219"/>
      <c r="G102" s="219"/>
      <c r="H102" s="223"/>
      <c r="I102" s="247"/>
      <c r="J102" s="223"/>
      <c r="K102" s="240"/>
      <c r="L102" s="223"/>
      <c r="M102" s="223"/>
      <c r="N102" s="223"/>
      <c r="O102" s="223"/>
      <c r="P102" s="223"/>
      <c r="Q102" s="223"/>
      <c r="R102" s="223" t="s">
        <v>535</v>
      </c>
      <c r="S102" s="220">
        <f t="shared" si="1"/>
        <v>0</v>
      </c>
      <c r="T102" s="219" t="str">
        <f>IFERROR(VLOOKUP($B102,'SIZE CALCULATION'!$F$2:$G$100,2,0),"")</f>
        <v/>
      </c>
    </row>
    <row r="103" spans="1:20" x14ac:dyDescent="0.2">
      <c r="A103" s="224"/>
      <c r="B103" s="222"/>
      <c r="C103" s="222"/>
      <c r="D103" s="224"/>
      <c r="E103" s="223"/>
      <c r="F103" s="219"/>
      <c r="G103" s="219"/>
      <c r="H103" s="223"/>
      <c r="I103" s="247"/>
      <c r="J103" s="223"/>
      <c r="K103" s="240"/>
      <c r="L103" s="223"/>
      <c r="M103" s="223"/>
      <c r="N103" s="223"/>
      <c r="O103" s="223"/>
      <c r="P103" s="223"/>
      <c r="Q103" s="223"/>
      <c r="R103" s="223" t="s">
        <v>535</v>
      </c>
      <c r="S103" s="220">
        <f t="shared" si="1"/>
        <v>0</v>
      </c>
      <c r="T103" s="219" t="str">
        <f>IFERROR(VLOOKUP($B103,'SIZE CALCULATION'!$F$2:$G$100,2,0),"")</f>
        <v/>
      </c>
    </row>
    <row r="104" spans="1:20" x14ac:dyDescent="0.2">
      <c r="A104" s="224"/>
      <c r="B104" s="222"/>
      <c r="C104" s="222"/>
      <c r="D104" s="224"/>
      <c r="E104" s="223"/>
      <c r="F104" s="219"/>
      <c r="G104" s="219"/>
      <c r="H104" s="223"/>
      <c r="I104" s="247"/>
      <c r="J104" s="223"/>
      <c r="K104" s="240"/>
      <c r="L104" s="223"/>
      <c r="M104" s="223"/>
      <c r="N104" s="223"/>
      <c r="O104" s="223"/>
      <c r="P104" s="223"/>
      <c r="Q104" s="223"/>
      <c r="R104" s="223" t="s">
        <v>535</v>
      </c>
      <c r="S104" s="220">
        <f t="shared" si="1"/>
        <v>0</v>
      </c>
      <c r="T104" s="219" t="str">
        <f>IFERROR(VLOOKUP($B104,'SIZE CALCULATION'!$F$2:$G$100,2,0),"")</f>
        <v/>
      </c>
    </row>
    <row r="105" spans="1:20" x14ac:dyDescent="0.2">
      <c r="A105" s="224"/>
      <c r="B105" s="222"/>
      <c r="C105" s="222"/>
      <c r="D105" s="224"/>
      <c r="E105" s="223"/>
      <c r="F105" s="219"/>
      <c r="G105" s="219"/>
      <c r="H105" s="223"/>
      <c r="I105" s="247"/>
      <c r="J105" s="223"/>
      <c r="K105" s="240"/>
      <c r="L105" s="223"/>
      <c r="M105" s="223"/>
      <c r="N105" s="223"/>
      <c r="O105" s="223"/>
      <c r="P105" s="223"/>
      <c r="Q105" s="223"/>
      <c r="R105" s="223" t="s">
        <v>535</v>
      </c>
      <c r="S105" s="220">
        <f t="shared" si="1"/>
        <v>0</v>
      </c>
      <c r="T105" s="219" t="str">
        <f>IFERROR(VLOOKUP($B105,'SIZE CALCULATION'!$F$2:$G$100,2,0),"")</f>
        <v/>
      </c>
    </row>
    <row r="106" spans="1:20" x14ac:dyDescent="0.2">
      <c r="A106" s="224"/>
      <c r="B106" s="222"/>
      <c r="C106" s="222"/>
      <c r="D106" s="224"/>
      <c r="E106" s="223"/>
      <c r="F106" s="219"/>
      <c r="G106" s="219"/>
      <c r="H106" s="223"/>
      <c r="I106" s="247"/>
      <c r="J106" s="223"/>
      <c r="K106" s="240"/>
      <c r="L106" s="223"/>
      <c r="M106" s="223"/>
      <c r="N106" s="223"/>
      <c r="O106" s="223"/>
      <c r="P106" s="223"/>
      <c r="Q106" s="223"/>
      <c r="R106" s="223" t="s">
        <v>535</v>
      </c>
      <c r="S106" s="220">
        <f t="shared" si="1"/>
        <v>0</v>
      </c>
      <c r="T106" s="219" t="str">
        <f>IFERROR(VLOOKUP($B106,'SIZE CALCULATION'!$F$2:$G$100,2,0),"")</f>
        <v/>
      </c>
    </row>
    <row r="107" spans="1:20" x14ac:dyDescent="0.2">
      <c r="A107" s="224"/>
      <c r="B107" s="222"/>
      <c r="C107" s="222"/>
      <c r="D107" s="224"/>
      <c r="E107" s="223"/>
      <c r="F107" s="219"/>
      <c r="G107" s="219"/>
      <c r="H107" s="223"/>
      <c r="I107" s="247"/>
      <c r="J107" s="223"/>
      <c r="K107" s="240"/>
      <c r="L107" s="223"/>
      <c r="M107" s="223"/>
      <c r="N107" s="223"/>
      <c r="O107" s="223"/>
      <c r="P107" s="223"/>
      <c r="Q107" s="223"/>
      <c r="R107" s="223" t="s">
        <v>535</v>
      </c>
      <c r="S107" s="220">
        <f t="shared" si="1"/>
        <v>0</v>
      </c>
      <c r="T107" s="219" t="str">
        <f>IFERROR(VLOOKUP($B107,'SIZE CALCULATION'!$F$2:$G$100,2,0),"")</f>
        <v/>
      </c>
    </row>
    <row r="108" spans="1:20" x14ac:dyDescent="0.2">
      <c r="A108" s="224"/>
      <c r="B108" s="222"/>
      <c r="C108" s="222"/>
      <c r="D108" s="224"/>
      <c r="E108" s="223"/>
      <c r="F108" s="219"/>
      <c r="G108" s="219"/>
      <c r="H108" s="223"/>
      <c r="I108" s="247"/>
      <c r="J108" s="223"/>
      <c r="K108" s="240"/>
      <c r="L108" s="223"/>
      <c r="M108" s="223"/>
      <c r="N108" s="223"/>
      <c r="O108" s="223"/>
      <c r="P108" s="223"/>
      <c r="Q108" s="223"/>
      <c r="R108" s="223" t="s">
        <v>535</v>
      </c>
      <c r="S108" s="220">
        <f t="shared" si="1"/>
        <v>0</v>
      </c>
      <c r="T108" s="219" t="str">
        <f>IFERROR(VLOOKUP($B108,'SIZE CALCULATION'!$F$2:$G$100,2,0),"")</f>
        <v/>
      </c>
    </row>
    <row r="109" spans="1:20" x14ac:dyDescent="0.2">
      <c r="A109" s="224"/>
      <c r="B109" s="222"/>
      <c r="C109" s="222"/>
      <c r="D109" s="224"/>
      <c r="E109" s="223"/>
      <c r="F109" s="219"/>
      <c r="G109" s="219"/>
      <c r="H109" s="223"/>
      <c r="I109" s="247"/>
      <c r="J109" s="223"/>
      <c r="K109" s="240"/>
      <c r="L109" s="223"/>
      <c r="M109" s="223"/>
      <c r="N109" s="223"/>
      <c r="O109" s="223"/>
      <c r="P109" s="223"/>
      <c r="Q109" s="223"/>
      <c r="R109" s="223" t="s">
        <v>535</v>
      </c>
      <c r="S109" s="220">
        <f t="shared" si="1"/>
        <v>0</v>
      </c>
      <c r="T109" s="219" t="str">
        <f>IFERROR(VLOOKUP($B109,'SIZE CALCULATION'!$F$2:$G$100,2,0),"")</f>
        <v/>
      </c>
    </row>
    <row r="110" spans="1:20" x14ac:dyDescent="0.2">
      <c r="A110" s="224"/>
      <c r="B110" s="222"/>
      <c r="C110" s="222"/>
      <c r="D110" s="224"/>
      <c r="E110" s="223"/>
      <c r="F110" s="219"/>
      <c r="G110" s="219"/>
      <c r="H110" s="223"/>
      <c r="I110" s="247"/>
      <c r="J110" s="223"/>
      <c r="K110" s="240"/>
      <c r="L110" s="223"/>
      <c r="M110" s="223"/>
      <c r="N110" s="223"/>
      <c r="O110" s="223"/>
      <c r="P110" s="223"/>
      <c r="Q110" s="223"/>
      <c r="R110" s="223" t="s">
        <v>535</v>
      </c>
      <c r="S110" s="220">
        <f t="shared" si="1"/>
        <v>0</v>
      </c>
      <c r="T110" s="219" t="str">
        <f>IFERROR(VLOOKUP($B110,'SIZE CALCULATION'!$F$2:$G$100,2,0),"")</f>
        <v/>
      </c>
    </row>
    <row r="111" spans="1:20" x14ac:dyDescent="0.2">
      <c r="A111" s="224"/>
      <c r="B111" s="222"/>
      <c r="C111" s="222"/>
      <c r="D111" s="224"/>
      <c r="E111" s="223"/>
      <c r="F111" s="219"/>
      <c r="G111" s="219"/>
      <c r="H111" s="223"/>
      <c r="I111" s="247"/>
      <c r="J111" s="223"/>
      <c r="K111" s="240"/>
      <c r="L111" s="223"/>
      <c r="M111" s="223"/>
      <c r="N111" s="223"/>
      <c r="O111" s="223"/>
      <c r="P111" s="223"/>
      <c r="Q111" s="223"/>
      <c r="R111" s="223" t="s">
        <v>535</v>
      </c>
      <c r="S111" s="220">
        <f t="shared" si="1"/>
        <v>0</v>
      </c>
      <c r="T111" s="219" t="str">
        <f>IFERROR(VLOOKUP($B111,'SIZE CALCULATION'!$F$2:$G$100,2,0),"")</f>
        <v/>
      </c>
    </row>
    <row r="112" spans="1:20" x14ac:dyDescent="0.2">
      <c r="A112" s="224"/>
      <c r="B112" s="222"/>
      <c r="C112" s="222"/>
      <c r="D112" s="224"/>
      <c r="E112" s="223"/>
      <c r="F112" s="223"/>
      <c r="G112" s="223"/>
      <c r="H112" s="223"/>
      <c r="I112" s="247"/>
      <c r="J112" s="223"/>
      <c r="K112" s="240"/>
      <c r="L112" s="223"/>
      <c r="M112" s="223"/>
      <c r="N112" s="223"/>
      <c r="O112" s="223"/>
      <c r="P112" s="223"/>
      <c r="Q112" s="223"/>
      <c r="R112" s="223" t="s">
        <v>535</v>
      </c>
      <c r="S112" s="220">
        <f t="shared" si="1"/>
        <v>0</v>
      </c>
      <c r="T112" s="219" t="str">
        <f>IFERROR(VLOOKUP($B112,'SIZE CALCULATION'!$F$2:$G$100,2,0),"")</f>
        <v/>
      </c>
    </row>
    <row r="113" spans="1:20" x14ac:dyDescent="0.2">
      <c r="A113" s="224"/>
      <c r="B113" s="222"/>
      <c r="C113" s="222"/>
      <c r="D113" s="224"/>
      <c r="E113" s="223"/>
      <c r="F113" s="223"/>
      <c r="G113" s="223"/>
      <c r="H113" s="223"/>
      <c r="I113" s="247"/>
      <c r="J113" s="223"/>
      <c r="K113" s="240"/>
      <c r="L113" s="223"/>
      <c r="M113" s="223"/>
      <c r="N113" s="223"/>
      <c r="O113" s="223"/>
      <c r="P113" s="223"/>
      <c r="Q113" s="223"/>
      <c r="R113" s="223" t="s">
        <v>535</v>
      </c>
      <c r="S113" s="220">
        <f t="shared" si="1"/>
        <v>0</v>
      </c>
      <c r="T113" s="219" t="str">
        <f>IFERROR(VLOOKUP($B113,'SIZE CALCULATION'!$F$2:$G$100,2,0),"")</f>
        <v/>
      </c>
    </row>
    <row r="114" spans="1:20" x14ac:dyDescent="0.2">
      <c r="A114" s="224"/>
      <c r="B114" s="222"/>
      <c r="C114" s="222"/>
      <c r="D114" s="224"/>
      <c r="E114" s="223"/>
      <c r="F114" s="223"/>
      <c r="G114" s="223"/>
      <c r="H114" s="223"/>
      <c r="I114" s="247"/>
      <c r="J114" s="223"/>
      <c r="K114" s="240"/>
      <c r="L114" s="223"/>
      <c r="M114" s="223"/>
      <c r="N114" s="223"/>
      <c r="O114" s="223"/>
      <c r="P114" s="223"/>
      <c r="Q114" s="223"/>
      <c r="R114" s="223" t="s">
        <v>535</v>
      </c>
      <c r="S114" s="220">
        <f t="shared" si="1"/>
        <v>0</v>
      </c>
      <c r="T114" s="219" t="str">
        <f>IFERROR(VLOOKUP($B114,'SIZE CALCULATION'!$F$2:$G$100,2,0),"")</f>
        <v/>
      </c>
    </row>
    <row r="115" spans="1:20" x14ac:dyDescent="0.2">
      <c r="A115" s="224"/>
      <c r="B115" s="222"/>
      <c r="C115" s="222"/>
      <c r="D115" s="224"/>
      <c r="E115" s="223"/>
      <c r="F115" s="223"/>
      <c r="G115" s="223"/>
      <c r="H115" s="223"/>
      <c r="I115" s="247"/>
      <c r="J115" s="223"/>
      <c r="K115" s="240"/>
      <c r="L115" s="223"/>
      <c r="M115" s="223"/>
      <c r="N115" s="223"/>
      <c r="O115" s="223"/>
      <c r="P115" s="223"/>
      <c r="Q115" s="223"/>
      <c r="R115" s="223" t="s">
        <v>535</v>
      </c>
      <c r="S115" s="220">
        <f t="shared" si="1"/>
        <v>0</v>
      </c>
      <c r="T115" s="219" t="str">
        <f>IFERROR(VLOOKUP($B115,'SIZE CALCULATION'!$F$2:$G$100,2,0),"")</f>
        <v/>
      </c>
    </row>
    <row r="116" spans="1:20" x14ac:dyDescent="0.2">
      <c r="A116" s="224"/>
      <c r="B116" s="222"/>
      <c r="C116" s="222"/>
      <c r="D116" s="224"/>
      <c r="E116" s="223"/>
      <c r="F116" s="223"/>
      <c r="G116" s="223"/>
      <c r="H116" s="223"/>
      <c r="I116" s="247"/>
      <c r="J116" s="223"/>
      <c r="K116" s="240"/>
      <c r="L116" s="223"/>
      <c r="M116" s="223"/>
      <c r="N116" s="223"/>
      <c r="O116" s="223"/>
      <c r="P116" s="223"/>
      <c r="Q116" s="223"/>
      <c r="R116" s="223" t="s">
        <v>535</v>
      </c>
      <c r="S116" s="220">
        <f t="shared" si="1"/>
        <v>0</v>
      </c>
      <c r="T116" s="219" t="str">
        <f>IFERROR(VLOOKUP($B116,'SIZE CALCULATION'!$F$2:$G$100,2,0),"")</f>
        <v/>
      </c>
    </row>
    <row r="117" spans="1:20" x14ac:dyDescent="0.2">
      <c r="A117" s="224"/>
      <c r="B117" s="222"/>
      <c r="C117" s="222"/>
      <c r="D117" s="224"/>
      <c r="E117" s="223"/>
      <c r="F117" s="223"/>
      <c r="G117" s="223"/>
      <c r="H117" s="223"/>
      <c r="I117" s="247"/>
      <c r="J117" s="223"/>
      <c r="K117" s="240"/>
      <c r="L117" s="223"/>
      <c r="M117" s="223"/>
      <c r="N117" s="223"/>
      <c r="O117" s="223"/>
      <c r="P117" s="223"/>
      <c r="Q117" s="223"/>
      <c r="R117" s="223" t="s">
        <v>535</v>
      </c>
      <c r="S117" s="220">
        <f t="shared" si="1"/>
        <v>0</v>
      </c>
      <c r="T117" s="219" t="str">
        <f>IFERROR(VLOOKUP($B117,'SIZE CALCULATION'!$F$2:$G$100,2,0),"")</f>
        <v/>
      </c>
    </row>
    <row r="118" spans="1:20" x14ac:dyDescent="0.2">
      <c r="A118" s="224"/>
      <c r="B118" s="222"/>
      <c r="C118" s="222"/>
      <c r="D118" s="224"/>
      <c r="E118" s="223"/>
      <c r="F118" s="223"/>
      <c r="G118" s="223"/>
      <c r="H118" s="223"/>
      <c r="I118" s="247"/>
      <c r="J118" s="223"/>
      <c r="K118" s="240"/>
      <c r="L118" s="223"/>
      <c r="M118" s="223"/>
      <c r="N118" s="223"/>
      <c r="O118" s="223"/>
      <c r="P118" s="223"/>
      <c r="Q118" s="223"/>
      <c r="R118" s="223" t="s">
        <v>535</v>
      </c>
      <c r="S118" s="220">
        <f t="shared" si="1"/>
        <v>0</v>
      </c>
      <c r="T118" s="219" t="str">
        <f>IFERROR(VLOOKUP($B118,'SIZE CALCULATION'!$F$2:$G$100,2,0),"")</f>
        <v/>
      </c>
    </row>
    <row r="119" spans="1:20" x14ac:dyDescent="0.2">
      <c r="A119" s="224"/>
      <c r="B119" s="222"/>
      <c r="C119" s="222"/>
      <c r="D119" s="224"/>
      <c r="E119" s="223"/>
      <c r="F119" s="223"/>
      <c r="G119" s="223"/>
      <c r="H119" s="223"/>
      <c r="I119" s="247"/>
      <c r="J119" s="223"/>
      <c r="K119" s="240"/>
      <c r="L119" s="223"/>
      <c r="M119" s="223"/>
      <c r="N119" s="223"/>
      <c r="O119" s="223"/>
      <c r="P119" s="223"/>
      <c r="Q119" s="223"/>
      <c r="R119" s="223" t="s">
        <v>535</v>
      </c>
      <c r="S119" s="220">
        <f t="shared" si="1"/>
        <v>0</v>
      </c>
      <c r="T119" s="219" t="str">
        <f>IFERROR(VLOOKUP($B119,'SIZE CALCULATION'!$F$2:$G$100,2,0),"")</f>
        <v/>
      </c>
    </row>
    <row r="120" spans="1:20" x14ac:dyDescent="0.2">
      <c r="A120" s="224"/>
      <c r="B120" s="222"/>
      <c r="C120" s="222"/>
      <c r="D120" s="224"/>
      <c r="E120" s="223"/>
      <c r="F120" s="223"/>
      <c r="G120" s="223"/>
      <c r="H120" s="223"/>
      <c r="I120" s="247"/>
      <c r="J120" s="223"/>
      <c r="K120" s="240"/>
      <c r="L120" s="223"/>
      <c r="M120" s="223"/>
      <c r="N120" s="223"/>
      <c r="O120" s="223"/>
      <c r="P120" s="223"/>
      <c r="Q120" s="223"/>
      <c r="R120" s="223" t="s">
        <v>535</v>
      </c>
      <c r="S120" s="220">
        <f t="shared" si="1"/>
        <v>0</v>
      </c>
      <c r="T120" s="219" t="str">
        <f>IFERROR(VLOOKUP($B120,'SIZE CALCULATION'!$F$2:$G$100,2,0),"")</f>
        <v/>
      </c>
    </row>
    <row r="121" spans="1:20" x14ac:dyDescent="0.2">
      <c r="A121" s="224"/>
      <c r="B121" s="222"/>
      <c r="C121" s="222"/>
      <c r="D121" s="224"/>
      <c r="E121" s="223"/>
      <c r="F121" s="223"/>
      <c r="G121" s="223"/>
      <c r="H121" s="223"/>
      <c r="I121" s="247"/>
      <c r="J121" s="223"/>
      <c r="K121" s="240"/>
      <c r="L121" s="223"/>
      <c r="M121" s="223"/>
      <c r="N121" s="223"/>
      <c r="O121" s="223"/>
      <c r="P121" s="223"/>
      <c r="Q121" s="223"/>
      <c r="R121" s="223" t="s">
        <v>535</v>
      </c>
      <c r="S121" s="220">
        <f t="shared" si="1"/>
        <v>0</v>
      </c>
      <c r="T121" s="219" t="str">
        <f>IFERROR(VLOOKUP($B121,'SIZE CALCULATION'!$F$2:$G$100,2,0),"")</f>
        <v/>
      </c>
    </row>
    <row r="122" spans="1:20" x14ac:dyDescent="0.2">
      <c r="A122" s="224"/>
      <c r="B122" s="222"/>
      <c r="C122" s="222"/>
      <c r="D122" s="224"/>
      <c r="E122" s="223"/>
      <c r="F122" s="223"/>
      <c r="G122" s="223"/>
      <c r="H122" s="223"/>
      <c r="I122" s="247"/>
      <c r="J122" s="223"/>
      <c r="K122" s="240"/>
      <c r="L122" s="223"/>
      <c r="M122" s="223"/>
      <c r="N122" s="223"/>
      <c r="O122" s="223"/>
      <c r="P122" s="223"/>
      <c r="Q122" s="223"/>
      <c r="R122" s="223" t="s">
        <v>535</v>
      </c>
      <c r="S122" s="220">
        <f t="shared" si="1"/>
        <v>0</v>
      </c>
      <c r="T122" s="219" t="str">
        <f>IFERROR(VLOOKUP($B122,'SIZE CALCULATION'!$F$2:$G$100,2,0),"")</f>
        <v/>
      </c>
    </row>
    <row r="123" spans="1:20" x14ac:dyDescent="0.2">
      <c r="A123" s="224"/>
      <c r="B123" s="222"/>
      <c r="C123" s="222"/>
      <c r="D123" s="224"/>
      <c r="E123" s="223"/>
      <c r="F123" s="223"/>
      <c r="G123" s="223"/>
      <c r="H123" s="223"/>
      <c r="I123" s="247"/>
      <c r="J123" s="223"/>
      <c r="K123" s="240"/>
      <c r="L123" s="223"/>
      <c r="M123" s="223"/>
      <c r="N123" s="223"/>
      <c r="O123" s="223"/>
      <c r="P123" s="223"/>
      <c r="Q123" s="223"/>
      <c r="R123" s="223" t="s">
        <v>535</v>
      </c>
      <c r="S123" s="220">
        <f t="shared" si="1"/>
        <v>0</v>
      </c>
      <c r="T123" s="219" t="str">
        <f>IFERROR(VLOOKUP($B123,'SIZE CALCULATION'!$F$2:$G$100,2,0),"")</f>
        <v/>
      </c>
    </row>
    <row r="124" spans="1:20" x14ac:dyDescent="0.2">
      <c r="A124" s="224"/>
      <c r="B124" s="222"/>
      <c r="C124" s="222"/>
      <c r="D124" s="224"/>
      <c r="E124" s="223"/>
      <c r="F124" s="223"/>
      <c r="G124" s="223"/>
      <c r="H124" s="223"/>
      <c r="I124" s="247"/>
      <c r="J124" s="223"/>
      <c r="K124" s="240"/>
      <c r="L124" s="223"/>
      <c r="M124" s="223"/>
      <c r="N124" s="223"/>
      <c r="O124" s="223"/>
      <c r="P124" s="223"/>
      <c r="Q124" s="223"/>
      <c r="R124" s="223" t="s">
        <v>535</v>
      </c>
      <c r="S124" s="220">
        <f t="shared" si="1"/>
        <v>0</v>
      </c>
      <c r="T124" s="219" t="str">
        <f>IFERROR(VLOOKUP($B124,'SIZE CALCULATION'!$F$2:$G$100,2,0),"")</f>
        <v/>
      </c>
    </row>
    <row r="125" spans="1:20" x14ac:dyDescent="0.2">
      <c r="A125" s="224"/>
      <c r="B125" s="222"/>
      <c r="C125" s="222"/>
      <c r="D125" s="224"/>
      <c r="E125" s="223"/>
      <c r="F125" s="223"/>
      <c r="G125" s="223"/>
      <c r="H125" s="223"/>
      <c r="I125" s="247"/>
      <c r="J125" s="223"/>
      <c r="K125" s="240"/>
      <c r="L125" s="223"/>
      <c r="M125" s="223"/>
      <c r="N125" s="223"/>
      <c r="O125" s="223"/>
      <c r="P125" s="223"/>
      <c r="Q125" s="223"/>
      <c r="R125" s="223" t="s">
        <v>535</v>
      </c>
      <c r="S125" s="220">
        <f t="shared" si="1"/>
        <v>0</v>
      </c>
      <c r="T125" s="219" t="str">
        <f>IFERROR(VLOOKUP($B125,'SIZE CALCULATION'!$F$2:$G$100,2,0),"")</f>
        <v/>
      </c>
    </row>
    <row r="126" spans="1:20" x14ac:dyDescent="0.2">
      <c r="A126" s="224"/>
      <c r="B126" s="222"/>
      <c r="C126" s="222"/>
      <c r="D126" s="224"/>
      <c r="E126" s="223"/>
      <c r="F126" s="223"/>
      <c r="G126" s="223"/>
      <c r="H126" s="223"/>
      <c r="I126" s="247"/>
      <c r="J126" s="223"/>
      <c r="K126" s="240"/>
      <c r="L126" s="223"/>
      <c r="M126" s="223"/>
      <c r="N126" s="223"/>
      <c r="O126" s="223"/>
      <c r="P126" s="223"/>
      <c r="Q126" s="223"/>
      <c r="R126" s="223" t="s">
        <v>535</v>
      </c>
      <c r="S126" s="220">
        <f t="shared" ref="S126:S188" si="2">IFERROR(M126/O126,M126)</f>
        <v>0</v>
      </c>
      <c r="T126" s="219" t="str">
        <f>IFERROR(VLOOKUP($B126,'SIZE CALCULATION'!$F$2:$G$100,2,0),"")</f>
        <v/>
      </c>
    </row>
    <row r="127" spans="1:20" x14ac:dyDescent="0.2">
      <c r="A127" s="224"/>
      <c r="B127" s="222"/>
      <c r="C127" s="222"/>
      <c r="D127" s="224"/>
      <c r="E127" s="223"/>
      <c r="F127" s="223"/>
      <c r="G127" s="223"/>
      <c r="H127" s="223"/>
      <c r="I127" s="247"/>
      <c r="J127" s="223"/>
      <c r="K127" s="240"/>
      <c r="L127" s="223"/>
      <c r="M127" s="223"/>
      <c r="N127" s="223"/>
      <c r="O127" s="223"/>
      <c r="P127" s="223"/>
      <c r="Q127" s="223"/>
      <c r="R127" s="223" t="s">
        <v>535</v>
      </c>
      <c r="S127" s="220">
        <f t="shared" si="2"/>
        <v>0</v>
      </c>
      <c r="T127" s="219" t="str">
        <f>IFERROR(VLOOKUP($B127,'SIZE CALCULATION'!$F$2:$G$100,2,0),"")</f>
        <v/>
      </c>
    </row>
    <row r="128" spans="1:20" x14ac:dyDescent="0.2">
      <c r="A128" s="224"/>
      <c r="B128" s="222"/>
      <c r="C128" s="222"/>
      <c r="D128" s="224"/>
      <c r="E128" s="223"/>
      <c r="F128" s="223"/>
      <c r="G128" s="223"/>
      <c r="H128" s="223"/>
      <c r="I128" s="247"/>
      <c r="J128" s="223"/>
      <c r="K128" s="240"/>
      <c r="L128" s="223"/>
      <c r="M128" s="223"/>
      <c r="N128" s="223"/>
      <c r="O128" s="223"/>
      <c r="P128" s="223"/>
      <c r="Q128" s="223"/>
      <c r="R128" s="223" t="s">
        <v>535</v>
      </c>
      <c r="S128" s="220">
        <f t="shared" si="2"/>
        <v>0</v>
      </c>
      <c r="T128" s="219" t="str">
        <f>IFERROR(VLOOKUP($B128,'SIZE CALCULATION'!$F$2:$G$100,2,0),"")</f>
        <v/>
      </c>
    </row>
    <row r="129" spans="1:20" x14ac:dyDescent="0.2">
      <c r="A129" s="224"/>
      <c r="B129" s="222"/>
      <c r="C129" s="222"/>
      <c r="D129" s="224"/>
      <c r="E129" s="223"/>
      <c r="F129" s="223"/>
      <c r="G129" s="223"/>
      <c r="H129" s="223"/>
      <c r="I129" s="247"/>
      <c r="J129" s="223"/>
      <c r="K129" s="240"/>
      <c r="L129" s="223"/>
      <c r="M129" s="223"/>
      <c r="N129" s="223"/>
      <c r="O129" s="223"/>
      <c r="P129" s="223"/>
      <c r="Q129" s="223"/>
      <c r="R129" s="223" t="s">
        <v>535</v>
      </c>
      <c r="S129" s="220">
        <f t="shared" si="2"/>
        <v>0</v>
      </c>
      <c r="T129" s="219" t="str">
        <f>IFERROR(VLOOKUP($B129,'SIZE CALCULATION'!$F$2:$G$100,2,0),"")</f>
        <v/>
      </c>
    </row>
    <row r="130" spans="1:20" x14ac:dyDescent="0.2">
      <c r="A130" s="224"/>
      <c r="B130" s="222"/>
      <c r="C130" s="222"/>
      <c r="D130" s="224"/>
      <c r="E130" s="223"/>
      <c r="F130" s="223"/>
      <c r="G130" s="223"/>
      <c r="H130" s="223"/>
      <c r="I130" s="247"/>
      <c r="J130" s="223"/>
      <c r="K130" s="240"/>
      <c r="L130" s="223"/>
      <c r="M130" s="223"/>
      <c r="N130" s="223"/>
      <c r="O130" s="223"/>
      <c r="P130" s="223"/>
      <c r="Q130" s="223"/>
      <c r="R130" s="223" t="s">
        <v>535</v>
      </c>
      <c r="S130" s="220">
        <f t="shared" si="2"/>
        <v>0</v>
      </c>
      <c r="T130" s="219" t="str">
        <f>IFERROR(VLOOKUP($B130,'SIZE CALCULATION'!$F$2:$G$100,2,0),"")</f>
        <v/>
      </c>
    </row>
    <row r="131" spans="1:20" x14ac:dyDescent="0.2">
      <c r="A131" s="224"/>
      <c r="B131" s="222"/>
      <c r="C131" s="222"/>
      <c r="D131" s="224"/>
      <c r="E131" s="253"/>
      <c r="F131" s="223"/>
      <c r="G131" s="223"/>
      <c r="H131" s="223"/>
      <c r="I131" s="247"/>
      <c r="J131" s="223"/>
      <c r="K131" s="240"/>
      <c r="L131" s="223"/>
      <c r="M131" s="223"/>
      <c r="N131" s="223"/>
      <c r="O131" s="223"/>
      <c r="P131" s="223"/>
      <c r="Q131" s="223"/>
      <c r="R131" s="223" t="s">
        <v>535</v>
      </c>
      <c r="S131" s="220">
        <f t="shared" si="2"/>
        <v>0</v>
      </c>
      <c r="T131" s="219" t="str">
        <f>IFERROR(VLOOKUP($B131,'SIZE CALCULATION'!$F$2:$G$100,2,0),"")</f>
        <v/>
      </c>
    </row>
    <row r="132" spans="1:20" x14ac:dyDescent="0.2">
      <c r="A132" s="224"/>
      <c r="B132" s="222"/>
      <c r="C132" s="222"/>
      <c r="D132" s="224"/>
      <c r="E132" s="253"/>
      <c r="F132" s="223"/>
      <c r="G132" s="223"/>
      <c r="H132" s="223"/>
      <c r="I132" s="247"/>
      <c r="J132" s="223"/>
      <c r="K132" s="240"/>
      <c r="L132" s="223"/>
      <c r="M132" s="223"/>
      <c r="N132" s="223"/>
      <c r="O132" s="223"/>
      <c r="P132" s="223"/>
      <c r="Q132" s="223"/>
      <c r="R132" s="223" t="s">
        <v>535</v>
      </c>
      <c r="S132" s="220">
        <f t="shared" si="2"/>
        <v>0</v>
      </c>
      <c r="T132" s="219" t="str">
        <f>IFERROR(VLOOKUP($B132,'SIZE CALCULATION'!$F$2:$G$100,2,0),"")</f>
        <v/>
      </c>
    </row>
    <row r="133" spans="1:20" x14ac:dyDescent="0.2">
      <c r="A133" s="224"/>
      <c r="B133" s="222"/>
      <c r="C133" s="222"/>
      <c r="D133" s="224"/>
      <c r="E133" s="253"/>
      <c r="F133" s="223"/>
      <c r="G133" s="223"/>
      <c r="H133" s="223"/>
      <c r="I133" s="247"/>
      <c r="J133" s="223"/>
      <c r="K133" s="240"/>
      <c r="L133" s="223"/>
      <c r="M133" s="223"/>
      <c r="N133" s="223"/>
      <c r="O133" s="223"/>
      <c r="P133" s="223"/>
      <c r="Q133" s="223"/>
      <c r="R133" s="223" t="s">
        <v>535</v>
      </c>
      <c r="S133" s="220">
        <f t="shared" si="2"/>
        <v>0</v>
      </c>
      <c r="T133" s="219" t="str">
        <f>IFERROR(VLOOKUP($B133,'SIZE CALCULATION'!$F$2:$G$100,2,0),"")</f>
        <v/>
      </c>
    </row>
    <row r="134" spans="1:20" x14ac:dyDescent="0.2">
      <c r="A134" s="224"/>
      <c r="B134" s="222"/>
      <c r="C134" s="222"/>
      <c r="D134" s="224"/>
      <c r="E134" s="223"/>
      <c r="F134" s="223"/>
      <c r="G134" s="223"/>
      <c r="H134" s="223"/>
      <c r="I134" s="247"/>
      <c r="J134" s="223"/>
      <c r="K134" s="240"/>
      <c r="L134" s="223"/>
      <c r="M134" s="223"/>
      <c r="N134" s="223"/>
      <c r="O134" s="223"/>
      <c r="P134" s="223"/>
      <c r="Q134" s="223"/>
      <c r="R134" s="223" t="s">
        <v>535</v>
      </c>
      <c r="S134" s="220">
        <f t="shared" si="2"/>
        <v>0</v>
      </c>
      <c r="T134" s="219" t="str">
        <f>IFERROR(VLOOKUP($B134,'SIZE CALCULATION'!$F$2:$G$100,2,0),"")</f>
        <v/>
      </c>
    </row>
    <row r="135" spans="1:20" x14ac:dyDescent="0.2">
      <c r="A135" s="224"/>
      <c r="B135" s="222"/>
      <c r="C135" s="222"/>
      <c r="D135" s="224"/>
      <c r="E135" s="223"/>
      <c r="F135" s="223"/>
      <c r="G135" s="223"/>
      <c r="H135" s="223"/>
      <c r="I135" s="247"/>
      <c r="J135" s="223"/>
      <c r="K135" s="240"/>
      <c r="L135" s="223"/>
      <c r="M135" s="223"/>
      <c r="N135" s="223"/>
      <c r="O135" s="223"/>
      <c r="P135" s="223"/>
      <c r="Q135" s="223"/>
      <c r="R135" s="223" t="s">
        <v>535</v>
      </c>
      <c r="S135" s="220">
        <f t="shared" si="2"/>
        <v>0</v>
      </c>
      <c r="T135" s="219" t="str">
        <f>IFERROR(VLOOKUP($B135,'SIZE CALCULATION'!$F$2:$G$100,2,0),"")</f>
        <v/>
      </c>
    </row>
    <row r="136" spans="1:20" x14ac:dyDescent="0.2">
      <c r="A136" s="224"/>
      <c r="B136" s="222"/>
      <c r="C136" s="222"/>
      <c r="D136" s="224"/>
      <c r="E136" s="223"/>
      <c r="F136" s="223"/>
      <c r="G136" s="223"/>
      <c r="H136" s="223"/>
      <c r="I136" s="247"/>
      <c r="J136" s="223"/>
      <c r="K136" s="240"/>
      <c r="L136" s="223"/>
      <c r="M136" s="223"/>
      <c r="N136" s="223"/>
      <c r="O136" s="223"/>
      <c r="P136" s="223"/>
      <c r="Q136" s="223"/>
      <c r="R136" s="223" t="s">
        <v>535</v>
      </c>
      <c r="S136" s="220">
        <f t="shared" si="2"/>
        <v>0</v>
      </c>
      <c r="T136" s="219" t="str">
        <f>IFERROR(VLOOKUP($B136,'SIZE CALCULATION'!$F$2:$G$100,2,0),"")</f>
        <v/>
      </c>
    </row>
    <row r="137" spans="1:20" x14ac:dyDescent="0.2">
      <c r="A137" s="224"/>
      <c r="B137" s="222"/>
      <c r="C137" s="222"/>
      <c r="D137" s="224"/>
      <c r="E137" s="274"/>
      <c r="F137" s="223"/>
      <c r="G137" s="223"/>
      <c r="H137" s="223"/>
      <c r="I137" s="247"/>
      <c r="J137" s="223"/>
      <c r="K137" s="240"/>
      <c r="L137" s="223"/>
      <c r="M137" s="223"/>
      <c r="N137" s="223"/>
      <c r="O137" s="223"/>
      <c r="P137" s="223"/>
      <c r="Q137" s="223"/>
      <c r="R137" s="223" t="s">
        <v>535</v>
      </c>
      <c r="S137" s="220">
        <f t="shared" si="2"/>
        <v>0</v>
      </c>
      <c r="T137" s="219" t="str">
        <f>IFERROR(VLOOKUP($B137,'SIZE CALCULATION'!$F$2:$G$100,2,0),"")</f>
        <v/>
      </c>
    </row>
    <row r="138" spans="1:20" x14ac:dyDescent="0.2">
      <c r="A138" s="224"/>
      <c r="B138" s="222"/>
      <c r="C138" s="222"/>
      <c r="D138" s="224"/>
      <c r="E138" s="274"/>
      <c r="F138" s="223"/>
      <c r="G138" s="223"/>
      <c r="H138" s="223"/>
      <c r="I138" s="247"/>
      <c r="J138" s="223"/>
      <c r="K138" s="240"/>
      <c r="L138" s="223"/>
      <c r="M138" s="223"/>
      <c r="N138" s="223"/>
      <c r="O138" s="223"/>
      <c r="P138" s="245"/>
      <c r="Q138" s="223"/>
      <c r="R138" s="223" t="s">
        <v>535</v>
      </c>
      <c r="S138" s="220">
        <f t="shared" si="2"/>
        <v>0</v>
      </c>
      <c r="T138" s="219" t="str">
        <f>IFERROR(VLOOKUP($B138,'SIZE CALCULATION'!$F$2:$G$100,2,0),"")</f>
        <v/>
      </c>
    </row>
    <row r="139" spans="1:20" x14ac:dyDescent="0.2">
      <c r="A139" s="224"/>
      <c r="B139" s="222"/>
      <c r="C139" s="222"/>
      <c r="D139" s="224"/>
      <c r="E139" s="274"/>
      <c r="F139" s="223"/>
      <c r="G139" s="223"/>
      <c r="H139" s="223"/>
      <c r="I139" s="247"/>
      <c r="J139" s="223"/>
      <c r="K139" s="240"/>
      <c r="L139" s="223"/>
      <c r="M139" s="223"/>
      <c r="N139" s="223"/>
      <c r="O139" s="223"/>
      <c r="P139" s="245"/>
      <c r="Q139" s="223"/>
      <c r="R139" s="223" t="s">
        <v>535</v>
      </c>
      <c r="S139" s="220">
        <f t="shared" si="2"/>
        <v>0</v>
      </c>
      <c r="T139" s="219" t="str">
        <f>IFERROR(VLOOKUP($B139,'SIZE CALCULATION'!$F$2:$G$100,2,0),"")</f>
        <v/>
      </c>
    </row>
    <row r="140" spans="1:20" x14ac:dyDescent="0.2">
      <c r="A140" s="224"/>
      <c r="B140" s="222"/>
      <c r="C140" s="222"/>
      <c r="D140" s="224"/>
      <c r="E140" s="275"/>
      <c r="F140" s="223"/>
      <c r="G140" s="223"/>
      <c r="H140" s="223"/>
      <c r="I140" s="247"/>
      <c r="J140" s="223"/>
      <c r="K140" s="240"/>
      <c r="L140" s="223"/>
      <c r="M140" s="223"/>
      <c r="N140" s="223"/>
      <c r="O140" s="223"/>
      <c r="P140" s="245"/>
      <c r="Q140" s="223"/>
      <c r="R140" s="223" t="s">
        <v>535</v>
      </c>
      <c r="S140" s="220">
        <f t="shared" si="2"/>
        <v>0</v>
      </c>
      <c r="T140" s="219" t="str">
        <f>IFERROR(VLOOKUP($B140,'SIZE CALCULATION'!$F$2:$G$100,2,0),"")</f>
        <v/>
      </c>
    </row>
    <row r="141" spans="1:20" x14ac:dyDescent="0.2">
      <c r="A141" s="224"/>
      <c r="B141" s="222"/>
      <c r="C141" s="222"/>
      <c r="D141" s="224"/>
      <c r="E141" s="275"/>
      <c r="F141" s="223"/>
      <c r="G141" s="223"/>
      <c r="H141" s="223"/>
      <c r="I141" s="247"/>
      <c r="J141" s="223"/>
      <c r="K141" s="240"/>
      <c r="L141" s="223"/>
      <c r="M141" s="223"/>
      <c r="N141" s="223"/>
      <c r="O141" s="223"/>
      <c r="P141" s="245"/>
      <c r="Q141" s="223"/>
      <c r="R141" s="223" t="s">
        <v>535</v>
      </c>
      <c r="S141" s="220">
        <f t="shared" si="2"/>
        <v>0</v>
      </c>
      <c r="T141" s="219" t="str">
        <f>IFERROR(VLOOKUP($B141,'SIZE CALCULATION'!$F$2:$G$100,2,0),"")</f>
        <v/>
      </c>
    </row>
    <row r="142" spans="1:20" x14ac:dyDescent="0.2">
      <c r="A142" s="224"/>
      <c r="B142" s="222"/>
      <c r="C142" s="222"/>
      <c r="D142" s="224"/>
      <c r="E142" s="275"/>
      <c r="F142" s="223"/>
      <c r="G142" s="223"/>
      <c r="H142" s="223"/>
      <c r="I142" s="247"/>
      <c r="J142" s="223"/>
      <c r="K142" s="240"/>
      <c r="L142" s="223"/>
      <c r="M142" s="223"/>
      <c r="N142" s="223"/>
      <c r="O142" s="223"/>
      <c r="P142" s="245"/>
      <c r="Q142" s="223"/>
      <c r="R142" s="223" t="s">
        <v>535</v>
      </c>
      <c r="S142" s="220">
        <f t="shared" si="2"/>
        <v>0</v>
      </c>
      <c r="T142" s="219" t="str">
        <f>IFERROR(VLOOKUP($B142,'SIZE CALCULATION'!$F$2:$G$100,2,0),"")</f>
        <v/>
      </c>
    </row>
    <row r="143" spans="1:20" x14ac:dyDescent="0.2">
      <c r="A143" s="224"/>
      <c r="B143" s="222"/>
      <c r="C143" s="222"/>
      <c r="D143" s="224"/>
      <c r="E143" s="275"/>
      <c r="F143" s="223"/>
      <c r="G143" s="223"/>
      <c r="H143" s="223"/>
      <c r="I143" s="247"/>
      <c r="J143" s="223"/>
      <c r="K143" s="240"/>
      <c r="L143" s="223"/>
      <c r="M143" s="223"/>
      <c r="N143" s="223"/>
      <c r="O143" s="223"/>
      <c r="P143" s="245"/>
      <c r="Q143" s="223"/>
      <c r="R143" s="223" t="s">
        <v>535</v>
      </c>
      <c r="S143" s="220">
        <f t="shared" si="2"/>
        <v>0</v>
      </c>
      <c r="T143" s="219" t="str">
        <f>IFERROR(VLOOKUP($B143,'SIZE CALCULATION'!$F$2:$G$100,2,0),"")</f>
        <v/>
      </c>
    </row>
    <row r="144" spans="1:20" x14ac:dyDescent="0.2">
      <c r="A144" s="224"/>
      <c r="B144" s="222"/>
      <c r="C144" s="222"/>
      <c r="D144" s="224"/>
      <c r="E144" s="275"/>
      <c r="F144" s="223"/>
      <c r="G144" s="223"/>
      <c r="H144" s="223"/>
      <c r="I144" s="247"/>
      <c r="J144" s="223"/>
      <c r="K144" s="240"/>
      <c r="L144" s="223"/>
      <c r="M144" s="223"/>
      <c r="N144" s="223"/>
      <c r="O144" s="223"/>
      <c r="P144" s="245"/>
      <c r="Q144" s="223"/>
      <c r="R144" s="223" t="s">
        <v>535</v>
      </c>
      <c r="S144" s="220">
        <f t="shared" si="2"/>
        <v>0</v>
      </c>
      <c r="T144" s="219" t="str">
        <f>IFERROR(VLOOKUP($B144,'SIZE CALCULATION'!$F$2:$G$100,2,0),"")</f>
        <v/>
      </c>
    </row>
    <row r="145" spans="1:20" x14ac:dyDescent="0.2">
      <c r="A145" s="224"/>
      <c r="B145" s="222"/>
      <c r="C145" s="222"/>
      <c r="D145" s="224"/>
      <c r="E145" s="275"/>
      <c r="F145" s="223"/>
      <c r="G145" s="223"/>
      <c r="H145" s="223"/>
      <c r="I145" s="247"/>
      <c r="J145" s="223"/>
      <c r="K145" s="240"/>
      <c r="L145" s="223"/>
      <c r="M145" s="223"/>
      <c r="N145" s="223"/>
      <c r="O145" s="223"/>
      <c r="P145" s="245"/>
      <c r="Q145" s="223"/>
      <c r="R145" s="223" t="s">
        <v>535</v>
      </c>
      <c r="S145" s="220">
        <f t="shared" si="2"/>
        <v>0</v>
      </c>
      <c r="T145" s="219" t="str">
        <f>IFERROR(VLOOKUP($B145,'SIZE CALCULATION'!$F$2:$G$100,2,0),"")</f>
        <v/>
      </c>
    </row>
    <row r="146" spans="1:20" x14ac:dyDescent="0.2">
      <c r="A146" s="224"/>
      <c r="B146" s="222"/>
      <c r="C146" s="222"/>
      <c r="D146" s="224"/>
      <c r="E146" s="275"/>
      <c r="F146" s="223"/>
      <c r="G146" s="223"/>
      <c r="H146" s="223"/>
      <c r="I146" s="247"/>
      <c r="J146" s="223"/>
      <c r="K146" s="240"/>
      <c r="L146" s="223"/>
      <c r="M146" s="223"/>
      <c r="N146" s="223"/>
      <c r="O146" s="223"/>
      <c r="P146" s="246"/>
      <c r="Q146" s="223"/>
      <c r="R146" s="223" t="s">
        <v>535</v>
      </c>
      <c r="S146" s="220">
        <f t="shared" si="2"/>
        <v>0</v>
      </c>
      <c r="T146" s="219" t="str">
        <f>IFERROR(VLOOKUP($B146,'SIZE CALCULATION'!$F$2:$G$100,2,0),"")</f>
        <v/>
      </c>
    </row>
    <row r="147" spans="1:20" x14ac:dyDescent="0.2">
      <c r="A147" s="224"/>
      <c r="B147" s="222"/>
      <c r="C147" s="222"/>
      <c r="D147" s="224"/>
      <c r="E147" s="275"/>
      <c r="F147" s="223"/>
      <c r="G147" s="223"/>
      <c r="H147" s="223"/>
      <c r="I147" s="247"/>
      <c r="J147" s="223"/>
      <c r="K147" s="240"/>
      <c r="L147" s="223"/>
      <c r="M147" s="223"/>
      <c r="N147" s="223"/>
      <c r="O147" s="223"/>
      <c r="P147" s="246"/>
      <c r="Q147" s="223"/>
      <c r="R147" s="223" t="s">
        <v>535</v>
      </c>
      <c r="S147" s="220">
        <f t="shared" si="2"/>
        <v>0</v>
      </c>
      <c r="T147" s="219" t="str">
        <f>IFERROR(VLOOKUP($B147,'SIZE CALCULATION'!$F$2:$G$100,2,0),"")</f>
        <v/>
      </c>
    </row>
    <row r="148" spans="1:20" x14ac:dyDescent="0.2">
      <c r="A148" s="224"/>
      <c r="B148" s="222"/>
      <c r="C148" s="222"/>
      <c r="D148" s="224"/>
      <c r="E148" s="275"/>
      <c r="F148" s="223"/>
      <c r="G148" s="223"/>
      <c r="H148" s="223"/>
      <c r="I148" s="247"/>
      <c r="J148" s="223"/>
      <c r="K148" s="240"/>
      <c r="L148" s="223"/>
      <c r="M148" s="223"/>
      <c r="N148" s="223"/>
      <c r="O148" s="223"/>
      <c r="P148" s="246"/>
      <c r="Q148" s="223"/>
      <c r="R148" s="223" t="s">
        <v>535</v>
      </c>
      <c r="S148" s="220">
        <f t="shared" si="2"/>
        <v>0</v>
      </c>
      <c r="T148" s="219" t="str">
        <f>IFERROR(VLOOKUP($B148,'SIZE CALCULATION'!$F$2:$G$100,2,0),"")</f>
        <v/>
      </c>
    </row>
    <row r="149" spans="1:20" x14ac:dyDescent="0.2">
      <c r="A149" s="224"/>
      <c r="B149" s="222"/>
      <c r="C149" s="222"/>
      <c r="D149" s="224"/>
      <c r="E149" s="275"/>
      <c r="F149" s="223"/>
      <c r="G149" s="223"/>
      <c r="H149" s="223"/>
      <c r="I149" s="247"/>
      <c r="J149" s="223"/>
      <c r="K149" s="240"/>
      <c r="L149" s="223"/>
      <c r="M149" s="223"/>
      <c r="N149" s="223"/>
      <c r="O149" s="223"/>
      <c r="P149" s="246"/>
      <c r="Q149" s="223"/>
      <c r="R149" s="223" t="s">
        <v>535</v>
      </c>
      <c r="S149" s="220">
        <f t="shared" si="2"/>
        <v>0</v>
      </c>
      <c r="T149" s="219" t="str">
        <f>IFERROR(VLOOKUP($B149,'SIZE CALCULATION'!$F$2:$G$100,2,0),"")</f>
        <v/>
      </c>
    </row>
    <row r="150" spans="1:20" x14ac:dyDescent="0.2">
      <c r="A150" s="224"/>
      <c r="B150" s="222"/>
      <c r="C150" s="222"/>
      <c r="D150" s="224"/>
      <c r="E150" s="275"/>
      <c r="F150" s="223"/>
      <c r="G150" s="223"/>
      <c r="H150" s="223"/>
      <c r="I150" s="247"/>
      <c r="J150" s="223"/>
      <c r="K150" s="240"/>
      <c r="L150" s="223"/>
      <c r="M150" s="223"/>
      <c r="N150" s="223"/>
      <c r="O150" s="223"/>
      <c r="P150" s="246"/>
      <c r="Q150" s="223"/>
      <c r="R150" s="223" t="s">
        <v>535</v>
      </c>
      <c r="S150" s="220">
        <f t="shared" si="2"/>
        <v>0</v>
      </c>
      <c r="T150" s="219" t="str">
        <f>IFERROR(VLOOKUP($B150,'SIZE CALCULATION'!$F$2:$G$100,2,0),"")</f>
        <v/>
      </c>
    </row>
    <row r="151" spans="1:20" x14ac:dyDescent="0.2">
      <c r="A151" s="224"/>
      <c r="B151" s="222"/>
      <c r="C151" s="222"/>
      <c r="D151" s="224"/>
      <c r="E151" s="223"/>
      <c r="F151" s="223"/>
      <c r="G151" s="223"/>
      <c r="H151" s="223"/>
      <c r="I151" s="247"/>
      <c r="J151" s="223"/>
      <c r="K151" s="240"/>
      <c r="L151" s="223"/>
      <c r="M151" s="223"/>
      <c r="N151" s="223"/>
      <c r="O151" s="223"/>
      <c r="P151" s="246"/>
      <c r="Q151" s="223"/>
      <c r="R151" s="223" t="s">
        <v>535</v>
      </c>
      <c r="S151" s="220">
        <f t="shared" si="2"/>
        <v>0</v>
      </c>
      <c r="T151" s="219" t="str">
        <f>IFERROR(VLOOKUP($B151,'SIZE CALCULATION'!$F$2:$G$100,2,0),"")</f>
        <v/>
      </c>
    </row>
    <row r="152" spans="1:20" x14ac:dyDescent="0.2">
      <c r="A152" s="224"/>
      <c r="B152" s="222"/>
      <c r="C152" s="222"/>
      <c r="D152" s="224"/>
      <c r="E152" s="223"/>
      <c r="F152" s="223"/>
      <c r="G152" s="223"/>
      <c r="H152" s="223"/>
      <c r="I152" s="247"/>
      <c r="J152" s="223"/>
      <c r="K152" s="240"/>
      <c r="L152" s="223"/>
      <c r="M152" s="223"/>
      <c r="N152" s="223"/>
      <c r="O152" s="223"/>
      <c r="P152" s="246"/>
      <c r="Q152" s="223"/>
      <c r="R152" s="223" t="s">
        <v>535</v>
      </c>
      <c r="S152" s="220">
        <f t="shared" si="2"/>
        <v>0</v>
      </c>
      <c r="T152" s="219" t="str">
        <f>IFERROR(VLOOKUP($B152,'SIZE CALCULATION'!$F$2:$G$100,2,0),"")</f>
        <v/>
      </c>
    </row>
    <row r="153" spans="1:20" x14ac:dyDescent="0.2">
      <c r="A153" s="224"/>
      <c r="B153" s="222"/>
      <c r="C153" s="222"/>
      <c r="D153" s="224"/>
      <c r="E153" s="223"/>
      <c r="F153" s="223"/>
      <c r="G153" s="223"/>
      <c r="H153" s="223"/>
      <c r="I153" s="247"/>
      <c r="J153" s="223"/>
      <c r="K153" s="240"/>
      <c r="L153" s="223"/>
      <c r="M153" s="223"/>
      <c r="N153" s="223"/>
      <c r="O153" s="223"/>
      <c r="P153" s="246"/>
      <c r="Q153" s="223"/>
      <c r="R153" s="223" t="s">
        <v>535</v>
      </c>
      <c r="S153" s="220">
        <f t="shared" si="2"/>
        <v>0</v>
      </c>
      <c r="T153" s="219" t="str">
        <f>IFERROR(VLOOKUP($B153,'SIZE CALCULATION'!$F$2:$G$100,2,0),"")</f>
        <v/>
      </c>
    </row>
    <row r="154" spans="1:20" x14ac:dyDescent="0.2">
      <c r="A154" s="224"/>
      <c r="B154" s="222"/>
      <c r="C154" s="222"/>
      <c r="D154" s="224"/>
      <c r="E154" s="275"/>
      <c r="F154" s="223"/>
      <c r="G154" s="223"/>
      <c r="H154" s="223"/>
      <c r="I154" s="247"/>
      <c r="J154" s="223"/>
      <c r="K154" s="240"/>
      <c r="L154" s="223"/>
      <c r="M154" s="223"/>
      <c r="N154" s="223"/>
      <c r="O154" s="223"/>
      <c r="P154" s="247"/>
      <c r="Q154" s="223"/>
      <c r="R154" s="223" t="s">
        <v>535</v>
      </c>
      <c r="S154" s="220">
        <f t="shared" si="2"/>
        <v>0</v>
      </c>
      <c r="T154" s="219" t="str">
        <f>IFERROR(VLOOKUP($B154,'SIZE CALCULATION'!$F$2:$G$100,2,0),"")</f>
        <v/>
      </c>
    </row>
    <row r="155" spans="1:20" x14ac:dyDescent="0.2">
      <c r="A155" s="224"/>
      <c r="B155" s="222"/>
      <c r="C155" s="222"/>
      <c r="D155" s="224"/>
      <c r="E155" s="275"/>
      <c r="F155" s="223"/>
      <c r="G155" s="223"/>
      <c r="H155" s="223"/>
      <c r="I155" s="247"/>
      <c r="J155" s="223"/>
      <c r="K155" s="240"/>
      <c r="L155" s="223"/>
      <c r="M155" s="223"/>
      <c r="N155" s="223"/>
      <c r="O155" s="223"/>
      <c r="P155" s="247"/>
      <c r="Q155" s="223"/>
      <c r="R155" s="223" t="s">
        <v>535</v>
      </c>
      <c r="S155" s="220">
        <f t="shared" si="2"/>
        <v>0</v>
      </c>
      <c r="T155" s="219" t="str">
        <f>IFERROR(VLOOKUP($B155,'SIZE CALCULATION'!$F$2:$G$100,2,0),"")</f>
        <v/>
      </c>
    </row>
    <row r="156" spans="1:20" x14ac:dyDescent="0.2">
      <c r="A156" s="224"/>
      <c r="B156" s="222"/>
      <c r="C156" s="222"/>
      <c r="D156" s="224"/>
      <c r="E156" s="275"/>
      <c r="F156" s="223"/>
      <c r="G156" s="223"/>
      <c r="H156" s="223"/>
      <c r="I156" s="247"/>
      <c r="J156" s="223"/>
      <c r="K156" s="240"/>
      <c r="L156" s="223"/>
      <c r="M156" s="223"/>
      <c r="N156" s="223"/>
      <c r="O156" s="223"/>
      <c r="P156" s="247"/>
      <c r="Q156" s="223"/>
      <c r="R156" s="223" t="s">
        <v>535</v>
      </c>
      <c r="S156" s="220">
        <f t="shared" si="2"/>
        <v>0</v>
      </c>
      <c r="T156" s="219" t="str">
        <f>IFERROR(VLOOKUP($B156,'SIZE CALCULATION'!$F$2:$G$100,2,0),"")</f>
        <v/>
      </c>
    </row>
    <row r="157" spans="1:20" x14ac:dyDescent="0.2">
      <c r="A157" s="224"/>
      <c r="B157" s="222"/>
      <c r="C157" s="222"/>
      <c r="D157" s="224"/>
      <c r="E157" s="275"/>
      <c r="F157" s="223"/>
      <c r="G157" s="223"/>
      <c r="H157" s="223"/>
      <c r="I157" s="247"/>
      <c r="J157" s="223"/>
      <c r="K157" s="240"/>
      <c r="L157" s="223"/>
      <c r="M157" s="223"/>
      <c r="N157" s="223"/>
      <c r="O157" s="223"/>
      <c r="P157" s="247"/>
      <c r="Q157" s="223"/>
      <c r="R157" s="223" t="s">
        <v>535</v>
      </c>
      <c r="S157" s="220">
        <f t="shared" si="2"/>
        <v>0</v>
      </c>
      <c r="T157" s="219" t="str">
        <f>IFERROR(VLOOKUP($B157,'SIZE CALCULATION'!$F$2:$G$100,2,0),"")</f>
        <v/>
      </c>
    </row>
    <row r="158" spans="1:20" x14ac:dyDescent="0.2">
      <c r="A158" s="224"/>
      <c r="B158" s="222"/>
      <c r="C158" s="222"/>
      <c r="D158" s="224"/>
      <c r="E158" s="223"/>
      <c r="F158" s="223"/>
      <c r="G158" s="223"/>
      <c r="H158" s="223"/>
      <c r="I158" s="247"/>
      <c r="J158" s="223"/>
      <c r="K158" s="240"/>
      <c r="L158" s="223"/>
      <c r="M158" s="223"/>
      <c r="N158" s="223"/>
      <c r="O158" s="223"/>
      <c r="P158" s="247"/>
      <c r="Q158" s="223"/>
      <c r="R158" s="223" t="s">
        <v>535</v>
      </c>
      <c r="S158" s="220">
        <f t="shared" si="2"/>
        <v>0</v>
      </c>
      <c r="T158" s="219" t="str">
        <f>IFERROR(VLOOKUP($B158,'SIZE CALCULATION'!$F$2:$G$100,2,0),"")</f>
        <v/>
      </c>
    </row>
    <row r="159" spans="1:20" x14ac:dyDescent="0.2">
      <c r="A159" s="224"/>
      <c r="B159" s="222"/>
      <c r="C159" s="222"/>
      <c r="D159" s="224"/>
      <c r="E159" s="223"/>
      <c r="F159" s="223"/>
      <c r="G159" s="223"/>
      <c r="H159" s="223"/>
      <c r="I159" s="247"/>
      <c r="J159" s="223"/>
      <c r="K159" s="240"/>
      <c r="L159" s="223"/>
      <c r="M159" s="223"/>
      <c r="N159" s="223"/>
      <c r="O159" s="223"/>
      <c r="P159" s="247"/>
      <c r="Q159" s="223"/>
      <c r="R159" s="223" t="s">
        <v>535</v>
      </c>
      <c r="S159" s="220">
        <f t="shared" si="2"/>
        <v>0</v>
      </c>
      <c r="T159" s="219" t="str">
        <f>IFERROR(VLOOKUP($B159,'SIZE CALCULATION'!$F$2:$G$100,2,0),"")</f>
        <v/>
      </c>
    </row>
    <row r="160" spans="1:20" x14ac:dyDescent="0.2">
      <c r="A160" s="224"/>
      <c r="B160" s="222"/>
      <c r="C160" s="222"/>
      <c r="D160" s="224"/>
      <c r="E160" s="223"/>
      <c r="F160" s="223"/>
      <c r="G160" s="223"/>
      <c r="H160" s="223"/>
      <c r="I160" s="247"/>
      <c r="J160" s="223"/>
      <c r="K160" s="240"/>
      <c r="L160" s="223"/>
      <c r="M160" s="223"/>
      <c r="N160" s="223"/>
      <c r="O160" s="223"/>
      <c r="P160" s="247"/>
      <c r="Q160" s="223"/>
      <c r="R160" s="223" t="s">
        <v>535</v>
      </c>
      <c r="S160" s="220">
        <f t="shared" si="2"/>
        <v>0</v>
      </c>
      <c r="T160" s="219" t="str">
        <f>IFERROR(VLOOKUP($B160,'SIZE CALCULATION'!$F$2:$G$100,2,0),"")</f>
        <v/>
      </c>
    </row>
    <row r="161" spans="1:20" x14ac:dyDescent="0.2">
      <c r="A161" s="224"/>
      <c r="B161" s="222"/>
      <c r="C161" s="222"/>
      <c r="D161" s="224"/>
      <c r="E161" s="223"/>
      <c r="F161" s="223"/>
      <c r="G161" s="223"/>
      <c r="H161" s="223"/>
      <c r="I161" s="247"/>
      <c r="J161" s="223"/>
      <c r="K161" s="240"/>
      <c r="L161" s="223"/>
      <c r="M161" s="223"/>
      <c r="N161" s="223"/>
      <c r="O161" s="223"/>
      <c r="P161" s="247"/>
      <c r="Q161" s="223"/>
      <c r="R161" s="223" t="s">
        <v>535</v>
      </c>
      <c r="S161" s="220">
        <f t="shared" si="2"/>
        <v>0</v>
      </c>
      <c r="T161" s="219" t="str">
        <f>IFERROR(VLOOKUP($B161,'SIZE CALCULATION'!$F$2:$G$100,2,0),"")</f>
        <v/>
      </c>
    </row>
    <row r="162" spans="1:20" x14ac:dyDescent="0.2">
      <c r="A162" s="224"/>
      <c r="B162" s="222"/>
      <c r="C162" s="222"/>
      <c r="D162" s="224"/>
      <c r="E162" s="223"/>
      <c r="F162" s="223"/>
      <c r="G162" s="223"/>
      <c r="H162" s="223"/>
      <c r="I162" s="247"/>
      <c r="J162" s="223"/>
      <c r="K162" s="240"/>
      <c r="L162" s="223"/>
      <c r="M162" s="223"/>
      <c r="N162" s="223"/>
      <c r="O162" s="223"/>
      <c r="P162" s="247"/>
      <c r="Q162" s="223"/>
      <c r="R162" s="223" t="s">
        <v>535</v>
      </c>
      <c r="S162" s="220">
        <f t="shared" si="2"/>
        <v>0</v>
      </c>
      <c r="T162" s="219" t="str">
        <f>IFERROR(VLOOKUP($B162,'SIZE CALCULATION'!$F$2:$G$100,2,0),"")</f>
        <v/>
      </c>
    </row>
    <row r="163" spans="1:20" x14ac:dyDescent="0.2">
      <c r="A163" s="224"/>
      <c r="B163" s="222"/>
      <c r="C163" s="222"/>
      <c r="D163" s="224"/>
      <c r="E163" s="223"/>
      <c r="F163" s="223"/>
      <c r="G163" s="223"/>
      <c r="H163" s="223"/>
      <c r="I163" s="247"/>
      <c r="J163" s="223"/>
      <c r="K163" s="240"/>
      <c r="L163" s="223"/>
      <c r="M163" s="223"/>
      <c r="N163" s="223"/>
      <c r="O163" s="223"/>
      <c r="P163" s="247"/>
      <c r="Q163" s="223"/>
      <c r="R163" s="223" t="s">
        <v>535</v>
      </c>
      <c r="S163" s="220">
        <f t="shared" si="2"/>
        <v>0</v>
      </c>
      <c r="T163" s="219" t="str">
        <f>IFERROR(VLOOKUP($B163,'SIZE CALCULATION'!$F$2:$G$100,2,0),"")</f>
        <v/>
      </c>
    </row>
    <row r="164" spans="1:20" x14ac:dyDescent="0.2">
      <c r="A164" s="224"/>
      <c r="B164" s="222"/>
      <c r="C164" s="222"/>
      <c r="D164" s="224"/>
      <c r="E164" s="223"/>
      <c r="F164" s="223"/>
      <c r="G164" s="223"/>
      <c r="H164" s="223"/>
      <c r="I164" s="247"/>
      <c r="J164" s="223"/>
      <c r="K164" s="240"/>
      <c r="L164" s="223"/>
      <c r="M164" s="223"/>
      <c r="N164" s="223"/>
      <c r="O164" s="223"/>
      <c r="P164" s="247"/>
      <c r="Q164" s="223"/>
      <c r="R164" s="223" t="s">
        <v>535</v>
      </c>
      <c r="S164" s="220">
        <f t="shared" si="2"/>
        <v>0</v>
      </c>
      <c r="T164" s="219" t="str">
        <f>IFERROR(VLOOKUP($B164,'SIZE CALCULATION'!$F$2:$G$100,2,0),"")</f>
        <v/>
      </c>
    </row>
    <row r="165" spans="1:20" x14ac:dyDescent="0.2">
      <c r="A165" s="224"/>
      <c r="B165" s="222"/>
      <c r="C165" s="222"/>
      <c r="D165" s="224"/>
      <c r="E165" s="223"/>
      <c r="F165" s="223"/>
      <c r="G165" s="223"/>
      <c r="H165" s="223"/>
      <c r="I165" s="247"/>
      <c r="J165" s="223"/>
      <c r="K165" s="240"/>
      <c r="L165" s="223"/>
      <c r="M165" s="223"/>
      <c r="N165" s="223"/>
      <c r="O165" s="223"/>
      <c r="P165" s="245"/>
      <c r="Q165" s="223"/>
      <c r="R165" s="223" t="s">
        <v>535</v>
      </c>
      <c r="S165" s="220">
        <f t="shared" si="2"/>
        <v>0</v>
      </c>
      <c r="T165" s="219" t="str">
        <f>IFERROR(VLOOKUP($B165,'SIZE CALCULATION'!$F$2:$G$100,2,0),"")</f>
        <v/>
      </c>
    </row>
    <row r="166" spans="1:20" x14ac:dyDescent="0.2">
      <c r="A166" s="224"/>
      <c r="B166" s="222"/>
      <c r="C166" s="222"/>
      <c r="D166" s="224"/>
      <c r="E166" s="223"/>
      <c r="F166" s="223"/>
      <c r="G166" s="223"/>
      <c r="H166" s="223"/>
      <c r="I166" s="247"/>
      <c r="J166" s="223"/>
      <c r="K166" s="240"/>
      <c r="L166" s="223"/>
      <c r="M166" s="223"/>
      <c r="N166" s="223"/>
      <c r="O166" s="223"/>
      <c r="P166" s="245"/>
      <c r="Q166" s="223"/>
      <c r="R166" s="223" t="s">
        <v>535</v>
      </c>
      <c r="S166" s="220">
        <f t="shared" si="2"/>
        <v>0</v>
      </c>
      <c r="T166" s="219" t="str">
        <f>IFERROR(VLOOKUP($B166,'SIZE CALCULATION'!$F$2:$G$100,2,0),"")</f>
        <v/>
      </c>
    </row>
    <row r="167" spans="1:20" x14ac:dyDescent="0.2">
      <c r="A167" s="224"/>
      <c r="B167" s="222"/>
      <c r="C167" s="222"/>
      <c r="D167" s="224"/>
      <c r="E167" s="223"/>
      <c r="F167" s="223"/>
      <c r="G167" s="223"/>
      <c r="H167" s="223"/>
      <c r="I167" s="247"/>
      <c r="J167" s="223"/>
      <c r="K167" s="240"/>
      <c r="L167" s="223"/>
      <c r="M167" s="223"/>
      <c r="N167" s="223"/>
      <c r="O167" s="223"/>
      <c r="P167" s="245"/>
      <c r="Q167" s="223"/>
      <c r="R167" s="223" t="s">
        <v>535</v>
      </c>
      <c r="S167" s="220">
        <f t="shared" si="2"/>
        <v>0</v>
      </c>
      <c r="T167" s="219" t="str">
        <f>IFERROR(VLOOKUP($B167,'SIZE CALCULATION'!$F$2:$G$100,2,0),"")</f>
        <v/>
      </c>
    </row>
    <row r="168" spans="1:20" x14ac:dyDescent="0.2">
      <c r="A168" s="224"/>
      <c r="B168" s="222"/>
      <c r="C168" s="222"/>
      <c r="D168" s="224"/>
      <c r="E168" s="223"/>
      <c r="F168" s="223"/>
      <c r="G168" s="223"/>
      <c r="H168" s="223"/>
      <c r="I168" s="247"/>
      <c r="J168" s="223"/>
      <c r="K168" s="240"/>
      <c r="L168" s="223"/>
      <c r="M168" s="223"/>
      <c r="N168" s="223"/>
      <c r="O168" s="223"/>
      <c r="P168" s="245"/>
      <c r="Q168" s="223"/>
      <c r="R168" s="223" t="s">
        <v>535</v>
      </c>
      <c r="S168" s="220">
        <f t="shared" si="2"/>
        <v>0</v>
      </c>
      <c r="T168" s="219" t="str">
        <f>IFERROR(VLOOKUP($B168,'SIZE CALCULATION'!$F$2:$G$100,2,0),"")</f>
        <v/>
      </c>
    </row>
    <row r="169" spans="1:20" x14ac:dyDescent="0.2">
      <c r="A169" s="224"/>
      <c r="B169" s="222"/>
      <c r="C169" s="222"/>
      <c r="D169" s="224"/>
      <c r="E169" s="223"/>
      <c r="F169" s="223"/>
      <c r="G169" s="223"/>
      <c r="H169" s="223"/>
      <c r="I169" s="247"/>
      <c r="J169" s="223"/>
      <c r="K169" s="240"/>
      <c r="L169" s="223"/>
      <c r="M169" s="223"/>
      <c r="N169" s="223"/>
      <c r="O169" s="223"/>
      <c r="P169" s="245"/>
      <c r="Q169" s="223"/>
      <c r="R169" s="223" t="s">
        <v>535</v>
      </c>
      <c r="S169" s="220">
        <f t="shared" si="2"/>
        <v>0</v>
      </c>
      <c r="T169" s="219" t="str">
        <f>IFERROR(VLOOKUP($B169,'SIZE CALCULATION'!$F$2:$G$100,2,0),"")</f>
        <v/>
      </c>
    </row>
    <row r="170" spans="1:20" x14ac:dyDescent="0.2">
      <c r="A170" s="224"/>
      <c r="B170" s="222"/>
      <c r="C170" s="222"/>
      <c r="D170" s="224"/>
      <c r="E170" s="223"/>
      <c r="F170" s="223"/>
      <c r="G170" s="223"/>
      <c r="H170" s="223"/>
      <c r="I170" s="247"/>
      <c r="J170" s="223"/>
      <c r="K170" s="240"/>
      <c r="L170" s="223"/>
      <c r="M170" s="223"/>
      <c r="N170" s="223"/>
      <c r="O170" s="223"/>
      <c r="P170" s="245"/>
      <c r="Q170" s="223"/>
      <c r="R170" s="223" t="s">
        <v>535</v>
      </c>
      <c r="S170" s="220">
        <f t="shared" si="2"/>
        <v>0</v>
      </c>
      <c r="T170" s="219" t="str">
        <f>IFERROR(VLOOKUP($B170,'SIZE CALCULATION'!$F$2:$G$100,2,0),"")</f>
        <v/>
      </c>
    </row>
    <row r="171" spans="1:20" x14ac:dyDescent="0.2">
      <c r="A171" s="224"/>
      <c r="B171" s="222"/>
      <c r="C171" s="222"/>
      <c r="D171" s="224"/>
      <c r="E171" s="223"/>
      <c r="F171" s="223"/>
      <c r="G171" s="223"/>
      <c r="H171" s="223"/>
      <c r="I171" s="247"/>
      <c r="J171" s="223"/>
      <c r="K171" s="240"/>
      <c r="L171" s="223"/>
      <c r="M171" s="223"/>
      <c r="N171" s="223"/>
      <c r="O171" s="223"/>
      <c r="P171" s="245"/>
      <c r="Q171" s="223"/>
      <c r="R171" s="223" t="s">
        <v>535</v>
      </c>
      <c r="S171" s="220">
        <f t="shared" si="2"/>
        <v>0</v>
      </c>
      <c r="T171" s="219" t="str">
        <f>IFERROR(VLOOKUP($B171,'SIZE CALCULATION'!$F$2:$G$100,2,0),"")</f>
        <v/>
      </c>
    </row>
    <row r="172" spans="1:20" x14ac:dyDescent="0.2">
      <c r="A172" s="224"/>
      <c r="B172" s="222"/>
      <c r="C172" s="222"/>
      <c r="D172" s="224"/>
      <c r="E172" s="223"/>
      <c r="F172" s="223"/>
      <c r="G172" s="223"/>
      <c r="H172" s="223"/>
      <c r="I172" s="247"/>
      <c r="J172" s="223"/>
      <c r="K172" s="240"/>
      <c r="L172" s="223"/>
      <c r="M172" s="223"/>
      <c r="N172" s="223"/>
      <c r="O172" s="223"/>
      <c r="P172" s="247"/>
      <c r="Q172" s="223"/>
      <c r="R172" s="223" t="s">
        <v>535</v>
      </c>
      <c r="S172" s="220">
        <f t="shared" si="2"/>
        <v>0</v>
      </c>
      <c r="T172" s="219" t="str">
        <f>IFERROR(VLOOKUP($B172,'SIZE CALCULATION'!$F$2:$G$100,2,0),"")</f>
        <v/>
      </c>
    </row>
    <row r="173" spans="1:20" x14ac:dyDescent="0.2">
      <c r="A173" s="224"/>
      <c r="B173" s="222"/>
      <c r="C173" s="222"/>
      <c r="D173" s="224"/>
      <c r="E173" s="223"/>
      <c r="F173" s="223"/>
      <c r="G173" s="223"/>
      <c r="H173" s="223"/>
      <c r="I173" s="247"/>
      <c r="J173" s="223"/>
      <c r="K173" s="240"/>
      <c r="L173" s="223"/>
      <c r="M173" s="223"/>
      <c r="N173" s="223"/>
      <c r="O173" s="223"/>
      <c r="P173" s="247"/>
      <c r="Q173" s="223"/>
      <c r="R173" s="223" t="s">
        <v>535</v>
      </c>
      <c r="S173" s="220">
        <f t="shared" si="2"/>
        <v>0</v>
      </c>
      <c r="T173" s="219" t="str">
        <f>IFERROR(VLOOKUP($B173,'SIZE CALCULATION'!$F$2:$G$100,2,0),"")</f>
        <v/>
      </c>
    </row>
    <row r="174" spans="1:20" x14ac:dyDescent="0.2">
      <c r="A174" s="224"/>
      <c r="B174" s="222"/>
      <c r="C174" s="222"/>
      <c r="D174" s="224"/>
      <c r="E174" s="223"/>
      <c r="F174" s="223"/>
      <c r="G174" s="223"/>
      <c r="H174" s="223"/>
      <c r="I174" s="247"/>
      <c r="J174" s="223"/>
      <c r="K174" s="240"/>
      <c r="L174" s="223"/>
      <c r="M174" s="223"/>
      <c r="N174" s="223"/>
      <c r="O174" s="223"/>
      <c r="P174" s="247"/>
      <c r="Q174" s="223"/>
      <c r="R174" s="223" t="s">
        <v>535</v>
      </c>
      <c r="S174" s="220">
        <f t="shared" si="2"/>
        <v>0</v>
      </c>
      <c r="T174" s="219" t="str">
        <f>IFERROR(VLOOKUP($B174,'SIZE CALCULATION'!$F$2:$G$100,2,0),"")</f>
        <v/>
      </c>
    </row>
    <row r="175" spans="1:20" x14ac:dyDescent="0.2">
      <c r="A175" s="224"/>
      <c r="B175" s="222"/>
      <c r="C175" s="222"/>
      <c r="D175" s="224"/>
      <c r="E175" s="223"/>
      <c r="F175" s="223"/>
      <c r="G175" s="223"/>
      <c r="H175" s="223"/>
      <c r="I175" s="247"/>
      <c r="J175" s="223"/>
      <c r="K175" s="240"/>
      <c r="L175" s="223"/>
      <c r="M175" s="223"/>
      <c r="N175" s="223"/>
      <c r="O175" s="223"/>
      <c r="P175" s="247"/>
      <c r="Q175" s="223"/>
      <c r="R175" s="223" t="s">
        <v>535</v>
      </c>
      <c r="S175" s="220">
        <f t="shared" si="2"/>
        <v>0</v>
      </c>
      <c r="T175" s="219" t="str">
        <f>IFERROR(VLOOKUP($B175,'SIZE CALCULATION'!$F$2:$G$100,2,0),"")</f>
        <v/>
      </c>
    </row>
    <row r="176" spans="1:20" x14ac:dyDescent="0.2">
      <c r="A176" s="224"/>
      <c r="B176" s="222"/>
      <c r="C176" s="222"/>
      <c r="D176" s="224"/>
      <c r="E176" s="223"/>
      <c r="F176" s="223"/>
      <c r="G176" s="223"/>
      <c r="H176" s="223"/>
      <c r="I176" s="247"/>
      <c r="J176" s="223"/>
      <c r="K176" s="240"/>
      <c r="L176" s="223"/>
      <c r="M176" s="223"/>
      <c r="N176" s="223"/>
      <c r="O176" s="223"/>
      <c r="P176" s="247"/>
      <c r="Q176" s="223"/>
      <c r="R176" s="223" t="s">
        <v>535</v>
      </c>
      <c r="S176" s="220">
        <f t="shared" si="2"/>
        <v>0</v>
      </c>
      <c r="T176" s="219" t="str">
        <f>IFERROR(VLOOKUP($B176,'SIZE CALCULATION'!$F$2:$G$100,2,0),"")</f>
        <v/>
      </c>
    </row>
    <row r="177" spans="1:20" x14ac:dyDescent="0.2">
      <c r="A177" s="224"/>
      <c r="B177" s="222"/>
      <c r="C177" s="222"/>
      <c r="D177" s="224"/>
      <c r="E177" s="223"/>
      <c r="F177" s="223"/>
      <c r="G177" s="223"/>
      <c r="H177" s="223"/>
      <c r="I177" s="247"/>
      <c r="J177" s="223"/>
      <c r="K177" s="240"/>
      <c r="L177" s="223"/>
      <c r="M177" s="223"/>
      <c r="N177" s="223"/>
      <c r="O177" s="223"/>
      <c r="P177" s="247"/>
      <c r="Q177" s="223"/>
      <c r="R177" s="223" t="s">
        <v>535</v>
      </c>
      <c r="S177" s="220">
        <f t="shared" si="2"/>
        <v>0</v>
      </c>
      <c r="T177" s="219" t="str">
        <f>IFERROR(VLOOKUP($B177,'SIZE CALCULATION'!$F$2:$G$100,2,0),"")</f>
        <v/>
      </c>
    </row>
    <row r="178" spans="1:20" x14ac:dyDescent="0.2">
      <c r="A178" s="224"/>
      <c r="B178" s="222"/>
      <c r="C178" s="222"/>
      <c r="D178" s="224"/>
      <c r="E178" s="223"/>
      <c r="F178" s="223"/>
      <c r="G178" s="223"/>
      <c r="H178" s="223"/>
      <c r="I178" s="247"/>
      <c r="J178" s="223"/>
      <c r="K178" s="240"/>
      <c r="L178" s="223"/>
      <c r="M178" s="223"/>
      <c r="N178" s="223"/>
      <c r="O178" s="223"/>
      <c r="P178" s="247"/>
      <c r="Q178" s="223"/>
      <c r="R178" s="223" t="s">
        <v>535</v>
      </c>
      <c r="S178" s="220">
        <f t="shared" si="2"/>
        <v>0</v>
      </c>
      <c r="T178" s="219" t="str">
        <f>IFERROR(VLOOKUP($B178,'SIZE CALCULATION'!$F$2:$G$100,2,0),"")</f>
        <v/>
      </c>
    </row>
    <row r="179" spans="1:20" x14ac:dyDescent="0.2">
      <c r="A179" s="224"/>
      <c r="B179" s="222"/>
      <c r="C179" s="222"/>
      <c r="D179" s="224"/>
      <c r="E179" s="223"/>
      <c r="F179" s="223"/>
      <c r="G179" s="223"/>
      <c r="H179" s="223"/>
      <c r="I179" s="247"/>
      <c r="J179" s="223"/>
      <c r="K179" s="240"/>
      <c r="L179" s="223"/>
      <c r="M179" s="223"/>
      <c r="N179" s="223"/>
      <c r="O179" s="223"/>
      <c r="P179" s="247"/>
      <c r="Q179" s="223"/>
      <c r="R179" s="223" t="s">
        <v>535</v>
      </c>
      <c r="S179" s="220">
        <f t="shared" si="2"/>
        <v>0</v>
      </c>
      <c r="T179" s="219" t="str">
        <f>IFERROR(VLOOKUP($B179,'SIZE CALCULATION'!$F$2:$G$100,2,0),"")</f>
        <v/>
      </c>
    </row>
    <row r="180" spans="1:20" x14ac:dyDescent="0.2">
      <c r="A180" s="224"/>
      <c r="B180" s="222"/>
      <c r="C180" s="222"/>
      <c r="D180" s="224"/>
      <c r="E180" s="223"/>
      <c r="F180" s="223"/>
      <c r="G180" s="223"/>
      <c r="H180" s="223"/>
      <c r="I180" s="247"/>
      <c r="J180" s="223"/>
      <c r="K180" s="240"/>
      <c r="L180" s="223"/>
      <c r="M180" s="223"/>
      <c r="N180" s="223"/>
      <c r="O180" s="223"/>
      <c r="P180" s="247"/>
      <c r="Q180" s="223"/>
      <c r="R180" s="223" t="s">
        <v>535</v>
      </c>
      <c r="S180" s="220">
        <f t="shared" si="2"/>
        <v>0</v>
      </c>
      <c r="T180" s="219" t="str">
        <f>IFERROR(VLOOKUP($B180,'SIZE CALCULATION'!$F$2:$G$100,2,0),"")</f>
        <v/>
      </c>
    </row>
    <row r="181" spans="1:20" x14ac:dyDescent="0.2">
      <c r="A181" s="224"/>
      <c r="B181" s="222"/>
      <c r="C181" s="222"/>
      <c r="D181" s="224"/>
      <c r="E181" s="223"/>
      <c r="F181" s="223"/>
      <c r="G181" s="223"/>
      <c r="H181" s="223"/>
      <c r="I181" s="247"/>
      <c r="J181" s="223"/>
      <c r="K181" s="240"/>
      <c r="L181" s="223"/>
      <c r="M181" s="223"/>
      <c r="N181" s="223"/>
      <c r="O181" s="223"/>
      <c r="P181" s="247"/>
      <c r="Q181" s="223"/>
      <c r="R181" s="223" t="s">
        <v>535</v>
      </c>
      <c r="S181" s="220">
        <f t="shared" si="2"/>
        <v>0</v>
      </c>
      <c r="T181" s="219" t="str">
        <f>IFERROR(VLOOKUP($B181,'SIZE CALCULATION'!$F$2:$G$100,2,0),"")</f>
        <v/>
      </c>
    </row>
    <row r="182" spans="1:20" x14ac:dyDescent="0.2">
      <c r="A182" s="224"/>
      <c r="B182" s="222"/>
      <c r="C182" s="222"/>
      <c r="D182" s="224"/>
      <c r="E182" s="223"/>
      <c r="F182" s="223"/>
      <c r="G182" s="223"/>
      <c r="H182" s="223"/>
      <c r="I182" s="247"/>
      <c r="J182" s="223"/>
      <c r="K182" s="240"/>
      <c r="L182" s="223"/>
      <c r="M182" s="223"/>
      <c r="N182" s="223"/>
      <c r="O182" s="223"/>
      <c r="P182" s="247"/>
      <c r="Q182" s="223"/>
      <c r="R182" s="223" t="s">
        <v>535</v>
      </c>
      <c r="S182" s="220">
        <f t="shared" si="2"/>
        <v>0</v>
      </c>
      <c r="T182" s="219" t="str">
        <f>IFERROR(VLOOKUP($B182,'SIZE CALCULATION'!$F$2:$G$100,2,0),"")</f>
        <v/>
      </c>
    </row>
    <row r="183" spans="1:20" x14ac:dyDescent="0.2">
      <c r="A183" s="224"/>
      <c r="B183" s="222"/>
      <c r="C183" s="222"/>
      <c r="D183" s="224"/>
      <c r="E183" s="223"/>
      <c r="F183" s="223"/>
      <c r="G183" s="223"/>
      <c r="H183" s="223"/>
      <c r="I183" s="247"/>
      <c r="J183" s="223"/>
      <c r="K183" s="240"/>
      <c r="L183" s="223"/>
      <c r="M183" s="223"/>
      <c r="N183" s="223"/>
      <c r="O183" s="223"/>
      <c r="P183" s="247"/>
      <c r="Q183" s="223"/>
      <c r="R183" s="223" t="s">
        <v>535</v>
      </c>
      <c r="S183" s="220">
        <f t="shared" si="2"/>
        <v>0</v>
      </c>
      <c r="T183" s="219" t="str">
        <f>IFERROR(VLOOKUP($B183,'SIZE CALCULATION'!$F$2:$G$100,2,0),"")</f>
        <v/>
      </c>
    </row>
    <row r="184" spans="1:20" x14ac:dyDescent="0.2">
      <c r="A184" s="224"/>
      <c r="B184" s="222"/>
      <c r="C184" s="222"/>
      <c r="D184" s="224"/>
      <c r="E184" s="223"/>
      <c r="F184" s="223"/>
      <c r="G184" s="223"/>
      <c r="H184" s="223"/>
      <c r="I184" s="247"/>
      <c r="J184" s="223"/>
      <c r="K184" s="240"/>
      <c r="L184" s="223"/>
      <c r="M184" s="223"/>
      <c r="N184" s="223"/>
      <c r="O184" s="223"/>
      <c r="P184" s="247"/>
      <c r="Q184" s="223"/>
      <c r="R184" s="223" t="s">
        <v>535</v>
      </c>
      <c r="S184" s="220">
        <f t="shared" si="2"/>
        <v>0</v>
      </c>
      <c r="T184" s="219" t="str">
        <f>IFERROR(VLOOKUP($B184,'SIZE CALCULATION'!$F$2:$G$100,2,0),"")</f>
        <v/>
      </c>
    </row>
    <row r="185" spans="1:20" x14ac:dyDescent="0.2">
      <c r="A185" s="224"/>
      <c r="B185" s="222"/>
      <c r="C185" s="222"/>
      <c r="D185" s="224"/>
      <c r="E185" s="253"/>
      <c r="F185" s="223"/>
      <c r="G185" s="223"/>
      <c r="H185" s="223"/>
      <c r="I185" s="247"/>
      <c r="J185" s="223"/>
      <c r="K185" s="240"/>
      <c r="L185" s="223"/>
      <c r="M185" s="223"/>
      <c r="N185" s="223"/>
      <c r="O185" s="223"/>
      <c r="P185" s="247"/>
      <c r="Q185" s="223"/>
      <c r="R185" s="223" t="s">
        <v>535</v>
      </c>
      <c r="S185" s="220">
        <f t="shared" si="2"/>
        <v>0</v>
      </c>
      <c r="T185" s="219" t="str">
        <f>IFERROR(VLOOKUP($B185,'SIZE CALCULATION'!$F$2:$G$100,2,0),"")</f>
        <v/>
      </c>
    </row>
    <row r="186" spans="1:20" x14ac:dyDescent="0.2">
      <c r="A186" s="224"/>
      <c r="B186" s="222"/>
      <c r="C186" s="222"/>
      <c r="D186" s="224"/>
      <c r="E186" s="223"/>
      <c r="F186" s="223"/>
      <c r="G186" s="223"/>
      <c r="H186" s="223"/>
      <c r="I186" s="247"/>
      <c r="J186" s="223"/>
      <c r="K186" s="240"/>
      <c r="L186" s="223"/>
      <c r="M186" s="223"/>
      <c r="N186" s="223"/>
      <c r="O186" s="223"/>
      <c r="P186" s="247"/>
      <c r="Q186" s="223"/>
      <c r="R186" s="223" t="s">
        <v>535</v>
      </c>
      <c r="S186" s="220">
        <f t="shared" si="2"/>
        <v>0</v>
      </c>
      <c r="T186" s="219" t="str">
        <f>IFERROR(VLOOKUP($B186,'SIZE CALCULATION'!$F$2:$G$100,2,0),"")</f>
        <v/>
      </c>
    </row>
    <row r="187" spans="1:20" x14ac:dyDescent="0.2">
      <c r="A187" s="224"/>
      <c r="B187" s="222"/>
      <c r="C187" s="222"/>
      <c r="D187" s="224"/>
      <c r="E187" s="223"/>
      <c r="F187" s="223"/>
      <c r="G187" s="223"/>
      <c r="H187" s="223"/>
      <c r="I187" s="247"/>
      <c r="J187" s="223"/>
      <c r="K187" s="240"/>
      <c r="L187" s="223"/>
      <c r="M187" s="223"/>
      <c r="N187" s="223"/>
      <c r="O187" s="223"/>
      <c r="P187" s="247"/>
      <c r="Q187" s="223"/>
      <c r="R187" s="223" t="s">
        <v>535</v>
      </c>
      <c r="S187" s="220">
        <f t="shared" si="2"/>
        <v>0</v>
      </c>
      <c r="T187" s="219" t="str">
        <f>IFERROR(VLOOKUP($B187,'SIZE CALCULATION'!$F$2:$G$100,2,0),"")</f>
        <v/>
      </c>
    </row>
    <row r="188" spans="1:20" x14ac:dyDescent="0.2">
      <c r="A188" s="224"/>
      <c r="B188" s="222"/>
      <c r="C188" s="222"/>
      <c r="D188" s="224"/>
      <c r="E188" s="223"/>
      <c r="F188" s="223"/>
      <c r="G188" s="223"/>
      <c r="H188" s="223"/>
      <c r="I188" s="247"/>
      <c r="J188" s="223"/>
      <c r="K188" s="240"/>
      <c r="L188" s="223"/>
      <c r="M188" s="223"/>
      <c r="N188" s="223"/>
      <c r="O188" s="223"/>
      <c r="P188" s="247"/>
      <c r="Q188" s="223"/>
      <c r="R188" s="223" t="s">
        <v>535</v>
      </c>
      <c r="S188" s="220">
        <f t="shared" si="2"/>
        <v>0</v>
      </c>
      <c r="T188" s="219" t="str">
        <f>IFERROR(VLOOKUP($B188,'SIZE CALCULATION'!$F$2:$G$100,2,0),"")</f>
        <v/>
      </c>
    </row>
    <row r="189" spans="1:20" x14ac:dyDescent="0.2">
      <c r="A189" s="224"/>
      <c r="B189" s="222"/>
      <c r="C189" s="222"/>
      <c r="D189" s="224"/>
      <c r="E189" s="223"/>
      <c r="F189" s="223"/>
      <c r="G189" s="223"/>
      <c r="H189" s="223"/>
      <c r="I189" s="247"/>
      <c r="J189" s="223"/>
      <c r="K189" s="240"/>
      <c r="L189" s="223"/>
      <c r="M189" s="223"/>
      <c r="N189" s="223"/>
      <c r="O189" s="223"/>
      <c r="P189" s="245"/>
      <c r="Q189" s="223"/>
      <c r="R189" s="223" t="s">
        <v>535</v>
      </c>
      <c r="S189" s="220">
        <f t="shared" ref="S189:S252" si="3">IFERROR(M189/O189,M189)</f>
        <v>0</v>
      </c>
      <c r="T189" s="219" t="str">
        <f>IFERROR(VLOOKUP($B189,'SIZE CALCULATION'!$F$2:$G$100,2,0),"")</f>
        <v/>
      </c>
    </row>
    <row r="190" spans="1:20" x14ac:dyDescent="0.2">
      <c r="A190" s="224"/>
      <c r="B190" s="222"/>
      <c r="C190" s="222"/>
      <c r="D190" s="224"/>
      <c r="E190" s="223"/>
      <c r="F190" s="223"/>
      <c r="G190" s="223"/>
      <c r="H190" s="223"/>
      <c r="I190" s="247"/>
      <c r="J190" s="223"/>
      <c r="K190" s="240"/>
      <c r="L190" s="223"/>
      <c r="M190" s="223"/>
      <c r="N190" s="223"/>
      <c r="O190" s="223"/>
      <c r="P190" s="245"/>
      <c r="Q190" s="223"/>
      <c r="R190" s="223" t="s">
        <v>535</v>
      </c>
      <c r="S190" s="220">
        <f t="shared" si="3"/>
        <v>0</v>
      </c>
      <c r="T190" s="219" t="str">
        <f>IFERROR(VLOOKUP($B190,'SIZE CALCULATION'!$F$2:$G$100,2,0),"")</f>
        <v/>
      </c>
    </row>
    <row r="191" spans="1:20" x14ac:dyDescent="0.2">
      <c r="A191" s="224"/>
      <c r="B191" s="208"/>
      <c r="C191" s="208"/>
      <c r="D191" s="224"/>
      <c r="E191" s="223"/>
      <c r="F191" s="223"/>
      <c r="G191" s="223"/>
      <c r="H191" s="223"/>
      <c r="I191" s="247"/>
      <c r="J191" s="223"/>
      <c r="K191" s="240"/>
      <c r="L191" s="223"/>
      <c r="M191" s="223"/>
      <c r="N191" s="223"/>
      <c r="O191" s="223"/>
      <c r="P191" s="245"/>
      <c r="Q191" s="223"/>
      <c r="R191" s="223" t="s">
        <v>535</v>
      </c>
      <c r="S191" s="220">
        <f t="shared" si="3"/>
        <v>0</v>
      </c>
      <c r="T191" s="219" t="str">
        <f>IFERROR(VLOOKUP($B191,'SIZE CALCULATION'!$F$2:$G$100,2,0),"")</f>
        <v/>
      </c>
    </row>
    <row r="192" spans="1:20" x14ac:dyDescent="0.2">
      <c r="A192" s="224"/>
      <c r="B192" s="222"/>
      <c r="C192" s="222"/>
      <c r="D192" s="224"/>
      <c r="E192" s="223"/>
      <c r="F192" s="223"/>
      <c r="G192" s="223"/>
      <c r="H192" s="223"/>
      <c r="I192" s="247"/>
      <c r="J192" s="223"/>
      <c r="K192" s="240"/>
      <c r="L192" s="223"/>
      <c r="M192" s="223"/>
      <c r="N192" s="223"/>
      <c r="O192" s="223"/>
      <c r="P192" s="245"/>
      <c r="Q192" s="223"/>
      <c r="R192" s="223" t="s">
        <v>535</v>
      </c>
      <c r="S192" s="220">
        <f t="shared" si="3"/>
        <v>0</v>
      </c>
      <c r="T192" s="219" t="str">
        <f>IFERROR(VLOOKUP($B192,'SIZE CALCULATION'!$F$2:$G$100,2,0),"")</f>
        <v/>
      </c>
    </row>
    <row r="193" spans="1:20" x14ac:dyDescent="0.2">
      <c r="A193" s="224"/>
      <c r="B193" s="222"/>
      <c r="C193" s="222"/>
      <c r="D193" s="224"/>
      <c r="E193" s="223"/>
      <c r="F193" s="223"/>
      <c r="G193" s="223"/>
      <c r="H193" s="223"/>
      <c r="I193" s="247"/>
      <c r="J193" s="223"/>
      <c r="K193" s="240"/>
      <c r="L193" s="223"/>
      <c r="M193" s="223"/>
      <c r="N193" s="223"/>
      <c r="O193" s="223"/>
      <c r="P193" s="223"/>
      <c r="Q193" s="223"/>
      <c r="R193" s="223" t="s">
        <v>535</v>
      </c>
      <c r="S193" s="220">
        <f t="shared" si="3"/>
        <v>0</v>
      </c>
      <c r="T193" s="219" t="str">
        <f>IFERROR(VLOOKUP($B193,'SIZE CALCULATION'!$F$2:$G$100,2,0),"")</f>
        <v/>
      </c>
    </row>
    <row r="194" spans="1:20" x14ac:dyDescent="0.2">
      <c r="A194" s="224"/>
      <c r="B194" s="222"/>
      <c r="C194" s="222"/>
      <c r="D194" s="224"/>
      <c r="E194" s="223"/>
      <c r="F194" s="223"/>
      <c r="G194" s="223"/>
      <c r="H194" s="223"/>
      <c r="I194" s="247"/>
      <c r="J194" s="223"/>
      <c r="K194" s="240"/>
      <c r="L194" s="223"/>
      <c r="M194" s="223"/>
      <c r="N194" s="223"/>
      <c r="O194" s="223"/>
      <c r="P194" s="223"/>
      <c r="Q194" s="223"/>
      <c r="R194" s="223" t="s">
        <v>535</v>
      </c>
      <c r="S194" s="220">
        <f t="shared" si="3"/>
        <v>0</v>
      </c>
      <c r="T194" s="219" t="str">
        <f>IFERROR(VLOOKUP($B194,'SIZE CALCULATION'!$F$2:$G$100,2,0),"")</f>
        <v/>
      </c>
    </row>
    <row r="195" spans="1:20" x14ac:dyDescent="0.2">
      <c r="A195" s="224"/>
      <c r="B195" s="222"/>
      <c r="C195" s="222"/>
      <c r="D195" s="224"/>
      <c r="E195" s="223"/>
      <c r="F195" s="223"/>
      <c r="G195" s="223"/>
      <c r="H195" s="223"/>
      <c r="I195" s="247"/>
      <c r="J195" s="223"/>
      <c r="K195" s="240"/>
      <c r="L195" s="223"/>
      <c r="M195" s="223"/>
      <c r="N195" s="223"/>
      <c r="O195" s="223"/>
      <c r="P195" s="223"/>
      <c r="Q195" s="223"/>
      <c r="R195" s="223" t="s">
        <v>535</v>
      </c>
      <c r="S195" s="220">
        <f t="shared" si="3"/>
        <v>0</v>
      </c>
      <c r="T195" s="219" t="str">
        <f>IFERROR(VLOOKUP($B195,'SIZE CALCULATION'!$F$2:$G$100,2,0),"")</f>
        <v/>
      </c>
    </row>
    <row r="196" spans="1:20" x14ac:dyDescent="0.2">
      <c r="A196" s="224"/>
      <c r="B196" s="222"/>
      <c r="C196" s="222"/>
      <c r="D196" s="224"/>
      <c r="E196" s="223"/>
      <c r="F196" s="223"/>
      <c r="G196" s="223"/>
      <c r="H196" s="223"/>
      <c r="I196" s="247"/>
      <c r="J196" s="223"/>
      <c r="K196" s="240"/>
      <c r="L196" s="223"/>
      <c r="M196" s="223"/>
      <c r="N196" s="223"/>
      <c r="O196" s="223"/>
      <c r="P196" s="223"/>
      <c r="Q196" s="223"/>
      <c r="R196" s="223" t="s">
        <v>535</v>
      </c>
      <c r="S196" s="220">
        <f t="shared" si="3"/>
        <v>0</v>
      </c>
      <c r="T196" s="219" t="str">
        <f>IFERROR(VLOOKUP($B196,'SIZE CALCULATION'!$F$2:$G$100,2,0),"")</f>
        <v/>
      </c>
    </row>
    <row r="197" spans="1:20" x14ac:dyDescent="0.2">
      <c r="A197" s="224"/>
      <c r="B197" s="222"/>
      <c r="C197" s="222"/>
      <c r="D197" s="224"/>
      <c r="E197" s="223"/>
      <c r="F197" s="223"/>
      <c r="G197" s="223"/>
      <c r="H197" s="223"/>
      <c r="I197" s="247"/>
      <c r="J197" s="223"/>
      <c r="K197" s="240"/>
      <c r="L197" s="223"/>
      <c r="M197" s="223"/>
      <c r="N197" s="223"/>
      <c r="O197" s="223"/>
      <c r="P197" s="223"/>
      <c r="Q197" s="223"/>
      <c r="R197" s="223" t="s">
        <v>535</v>
      </c>
      <c r="S197" s="220">
        <f t="shared" si="3"/>
        <v>0</v>
      </c>
      <c r="T197" s="219" t="str">
        <f>IFERROR(VLOOKUP($B197,'SIZE CALCULATION'!$F$2:$G$100,2,0),"")</f>
        <v/>
      </c>
    </row>
    <row r="198" spans="1:20" x14ac:dyDescent="0.2">
      <c r="A198" s="224"/>
      <c r="B198" s="222"/>
      <c r="C198" s="222"/>
      <c r="D198" s="224"/>
      <c r="E198" s="223"/>
      <c r="F198" s="223"/>
      <c r="G198" s="223"/>
      <c r="H198" s="223"/>
      <c r="I198" s="247"/>
      <c r="J198" s="223"/>
      <c r="K198" s="240"/>
      <c r="L198" s="223"/>
      <c r="M198" s="223"/>
      <c r="N198" s="223"/>
      <c r="O198" s="223"/>
      <c r="P198" s="223"/>
      <c r="Q198" s="223"/>
      <c r="R198" s="223" t="s">
        <v>535</v>
      </c>
      <c r="S198" s="220">
        <f t="shared" si="3"/>
        <v>0</v>
      </c>
      <c r="T198" s="219" t="str">
        <f>IFERROR(VLOOKUP($B198,'SIZE CALCULATION'!$F$2:$G$100,2,0),"")</f>
        <v/>
      </c>
    </row>
    <row r="199" spans="1:20" x14ac:dyDescent="0.2">
      <c r="A199" s="224"/>
      <c r="B199" s="222"/>
      <c r="C199" s="222"/>
      <c r="D199" s="224"/>
      <c r="E199" s="223"/>
      <c r="F199" s="223"/>
      <c r="G199" s="223"/>
      <c r="H199" s="223"/>
      <c r="I199" s="247"/>
      <c r="J199" s="223"/>
      <c r="K199" s="240"/>
      <c r="L199" s="223"/>
      <c r="M199" s="223"/>
      <c r="N199" s="223"/>
      <c r="O199" s="223"/>
      <c r="P199" s="223"/>
      <c r="Q199" s="223"/>
      <c r="R199" s="223" t="s">
        <v>535</v>
      </c>
      <c r="S199" s="220">
        <f t="shared" si="3"/>
        <v>0</v>
      </c>
      <c r="T199" s="219" t="str">
        <f>IFERROR(VLOOKUP($B199,'SIZE CALCULATION'!$F$2:$G$100,2,0),"")</f>
        <v/>
      </c>
    </row>
    <row r="200" spans="1:20" x14ac:dyDescent="0.2">
      <c r="A200" s="224"/>
      <c r="B200" s="222"/>
      <c r="C200" s="222"/>
      <c r="D200" s="224"/>
      <c r="E200" s="223"/>
      <c r="F200" s="223"/>
      <c r="G200" s="223"/>
      <c r="H200" s="223"/>
      <c r="I200" s="247"/>
      <c r="J200" s="223"/>
      <c r="K200" s="240"/>
      <c r="L200" s="223"/>
      <c r="M200" s="223"/>
      <c r="N200" s="223"/>
      <c r="O200" s="223"/>
      <c r="P200" s="223"/>
      <c r="Q200" s="223"/>
      <c r="R200" s="223" t="s">
        <v>535</v>
      </c>
      <c r="S200" s="220">
        <f t="shared" si="3"/>
        <v>0</v>
      </c>
      <c r="T200" s="219" t="str">
        <f>IFERROR(VLOOKUP($B200,'SIZE CALCULATION'!$F$2:$G$100,2,0),"")</f>
        <v/>
      </c>
    </row>
    <row r="201" spans="1:20" x14ac:dyDescent="0.2">
      <c r="A201" s="224"/>
      <c r="B201" s="222"/>
      <c r="C201" s="222"/>
      <c r="D201" s="224"/>
      <c r="E201" s="223"/>
      <c r="F201" s="223"/>
      <c r="G201" s="223"/>
      <c r="H201" s="223"/>
      <c r="I201" s="247"/>
      <c r="J201" s="223"/>
      <c r="K201" s="240"/>
      <c r="L201" s="223"/>
      <c r="M201" s="223"/>
      <c r="N201" s="223"/>
      <c r="O201" s="223"/>
      <c r="P201" s="223"/>
      <c r="Q201" s="223"/>
      <c r="R201" s="223" t="s">
        <v>535</v>
      </c>
      <c r="S201" s="220">
        <f t="shared" si="3"/>
        <v>0</v>
      </c>
      <c r="T201" s="219" t="str">
        <f>IFERROR(VLOOKUP($B201,'SIZE CALCULATION'!$F$2:$G$100,2,0),"")</f>
        <v/>
      </c>
    </row>
    <row r="202" spans="1:20" x14ac:dyDescent="0.2">
      <c r="A202" s="224"/>
      <c r="B202" s="222"/>
      <c r="C202" s="222"/>
      <c r="D202" s="224"/>
      <c r="E202" s="223"/>
      <c r="F202" s="223"/>
      <c r="G202" s="223"/>
      <c r="H202" s="223"/>
      <c r="I202" s="247"/>
      <c r="J202" s="223"/>
      <c r="K202" s="240"/>
      <c r="L202" s="223"/>
      <c r="M202" s="223"/>
      <c r="N202" s="223"/>
      <c r="O202" s="223"/>
      <c r="P202" s="223"/>
      <c r="Q202" s="223"/>
      <c r="R202" s="223" t="s">
        <v>535</v>
      </c>
      <c r="S202" s="220">
        <f t="shared" si="3"/>
        <v>0</v>
      </c>
      <c r="T202" s="219" t="str">
        <f>IFERROR(VLOOKUP($B202,'SIZE CALCULATION'!$F$2:$G$100,2,0),"")</f>
        <v/>
      </c>
    </row>
    <row r="203" spans="1:20" x14ac:dyDescent="0.2">
      <c r="A203" s="224"/>
      <c r="B203" s="222"/>
      <c r="C203" s="222"/>
      <c r="D203" s="224"/>
      <c r="E203" s="223"/>
      <c r="F203" s="223"/>
      <c r="G203" s="223"/>
      <c r="H203" s="223"/>
      <c r="I203" s="247"/>
      <c r="J203" s="223"/>
      <c r="K203" s="240"/>
      <c r="L203" s="223"/>
      <c r="M203" s="223"/>
      <c r="N203" s="223"/>
      <c r="O203" s="223"/>
      <c r="P203" s="223"/>
      <c r="Q203" s="223"/>
      <c r="R203" s="223" t="s">
        <v>535</v>
      </c>
      <c r="S203" s="220">
        <f t="shared" si="3"/>
        <v>0</v>
      </c>
      <c r="T203" s="219" t="str">
        <f>IFERROR(VLOOKUP($B203,'SIZE CALCULATION'!$F$2:$G$100,2,0),"")</f>
        <v/>
      </c>
    </row>
    <row r="204" spans="1:20" x14ac:dyDescent="0.2">
      <c r="A204" s="224"/>
      <c r="B204" s="222"/>
      <c r="C204" s="222"/>
      <c r="D204" s="224"/>
      <c r="E204" s="223"/>
      <c r="F204" s="223"/>
      <c r="G204" s="223"/>
      <c r="H204" s="223"/>
      <c r="I204" s="247"/>
      <c r="J204" s="223"/>
      <c r="K204" s="240"/>
      <c r="L204" s="223"/>
      <c r="M204" s="223"/>
      <c r="N204" s="223"/>
      <c r="O204" s="223"/>
      <c r="P204" s="223"/>
      <c r="Q204" s="223"/>
      <c r="R204" s="223" t="s">
        <v>535</v>
      </c>
      <c r="S204" s="220">
        <f t="shared" si="3"/>
        <v>0</v>
      </c>
      <c r="T204" s="219" t="str">
        <f>IFERROR(VLOOKUP($B204,'SIZE CALCULATION'!$F$2:$G$100,2,0),"")</f>
        <v/>
      </c>
    </row>
    <row r="205" spans="1:20" x14ac:dyDescent="0.2">
      <c r="A205" s="224"/>
      <c r="B205" s="222"/>
      <c r="C205" s="222"/>
      <c r="D205" s="224"/>
      <c r="E205" s="223"/>
      <c r="F205" s="223"/>
      <c r="G205" s="223"/>
      <c r="H205" s="223"/>
      <c r="I205" s="247"/>
      <c r="J205" s="223"/>
      <c r="K205" s="240"/>
      <c r="L205" s="223"/>
      <c r="M205" s="223"/>
      <c r="N205" s="223"/>
      <c r="O205" s="223"/>
      <c r="P205" s="223"/>
      <c r="Q205" s="223"/>
      <c r="R205" s="223" t="s">
        <v>535</v>
      </c>
      <c r="S205" s="220">
        <f t="shared" si="3"/>
        <v>0</v>
      </c>
      <c r="T205" s="219" t="str">
        <f>IFERROR(VLOOKUP($B205,'SIZE CALCULATION'!$F$2:$G$100,2,0),"")</f>
        <v/>
      </c>
    </row>
    <row r="206" spans="1:20" x14ac:dyDescent="0.2">
      <c r="A206" s="224"/>
      <c r="B206" s="222"/>
      <c r="C206" s="222"/>
      <c r="D206" s="224"/>
      <c r="E206" s="223"/>
      <c r="F206" s="223"/>
      <c r="G206" s="223"/>
      <c r="H206" s="223"/>
      <c r="I206" s="247"/>
      <c r="J206" s="223"/>
      <c r="K206" s="240"/>
      <c r="L206" s="223"/>
      <c r="M206" s="223"/>
      <c r="N206" s="223"/>
      <c r="O206" s="223"/>
      <c r="P206" s="223"/>
      <c r="Q206" s="223"/>
      <c r="R206" s="223" t="s">
        <v>535</v>
      </c>
      <c r="S206" s="220">
        <f t="shared" si="3"/>
        <v>0</v>
      </c>
      <c r="T206" s="219" t="str">
        <f>IFERROR(VLOOKUP($B206,'SIZE CALCULATION'!$F$2:$G$100,2,0),"")</f>
        <v/>
      </c>
    </row>
    <row r="207" spans="1:20" x14ac:dyDescent="0.2">
      <c r="A207" s="224"/>
      <c r="B207" s="222"/>
      <c r="C207" s="222"/>
      <c r="D207" s="224"/>
      <c r="E207" s="223"/>
      <c r="F207" s="223"/>
      <c r="G207" s="223"/>
      <c r="H207" s="223"/>
      <c r="I207" s="247"/>
      <c r="J207" s="223"/>
      <c r="K207" s="240"/>
      <c r="L207" s="223"/>
      <c r="M207" s="223"/>
      <c r="N207" s="223"/>
      <c r="O207" s="223"/>
      <c r="P207" s="223"/>
      <c r="Q207" s="223"/>
      <c r="R207" s="223" t="s">
        <v>535</v>
      </c>
      <c r="S207" s="220">
        <f t="shared" si="3"/>
        <v>0</v>
      </c>
      <c r="T207" s="219" t="str">
        <f>IFERROR(VLOOKUP($B207,'SIZE CALCULATION'!$F$2:$G$100,2,0),"")</f>
        <v/>
      </c>
    </row>
    <row r="208" spans="1:20" x14ac:dyDescent="0.2">
      <c r="A208" s="224"/>
      <c r="B208" s="222"/>
      <c r="C208" s="222"/>
      <c r="D208" s="224"/>
      <c r="E208" s="223"/>
      <c r="F208" s="223"/>
      <c r="G208" s="223"/>
      <c r="H208" s="223"/>
      <c r="I208" s="247"/>
      <c r="J208" s="223"/>
      <c r="K208" s="240"/>
      <c r="L208" s="223"/>
      <c r="M208" s="223"/>
      <c r="N208" s="223"/>
      <c r="O208" s="223"/>
      <c r="P208" s="223"/>
      <c r="Q208" s="223"/>
      <c r="R208" s="223" t="s">
        <v>535</v>
      </c>
      <c r="S208" s="220">
        <f t="shared" si="3"/>
        <v>0</v>
      </c>
      <c r="T208" s="219" t="str">
        <f>IFERROR(VLOOKUP($B208,'SIZE CALCULATION'!$F$2:$G$100,2,0),"")</f>
        <v/>
      </c>
    </row>
    <row r="209" spans="1:20" x14ac:dyDescent="0.2">
      <c r="A209" s="224"/>
      <c r="B209" s="222"/>
      <c r="C209" s="222"/>
      <c r="D209" s="224"/>
      <c r="E209" s="223"/>
      <c r="F209" s="223"/>
      <c r="G209" s="223"/>
      <c r="H209" s="223"/>
      <c r="I209" s="247"/>
      <c r="J209" s="223"/>
      <c r="K209" s="240"/>
      <c r="L209" s="223"/>
      <c r="M209" s="223"/>
      <c r="N209" s="223"/>
      <c r="O209" s="223"/>
      <c r="P209" s="223"/>
      <c r="Q209" s="223"/>
      <c r="R209" s="223" t="s">
        <v>535</v>
      </c>
      <c r="S209" s="220">
        <f t="shared" si="3"/>
        <v>0</v>
      </c>
      <c r="T209" s="219" t="str">
        <f>IFERROR(VLOOKUP($B209,'SIZE CALCULATION'!$F$2:$G$100,2,0),"")</f>
        <v/>
      </c>
    </row>
    <row r="210" spans="1:20" x14ac:dyDescent="0.2">
      <c r="A210" s="224"/>
      <c r="B210" s="222"/>
      <c r="C210" s="222"/>
      <c r="D210" s="224"/>
      <c r="E210" s="223"/>
      <c r="F210" s="223"/>
      <c r="G210" s="223"/>
      <c r="H210" s="223"/>
      <c r="I210" s="247"/>
      <c r="J210" s="223"/>
      <c r="K210" s="240"/>
      <c r="L210" s="223"/>
      <c r="M210" s="223"/>
      <c r="N210" s="223"/>
      <c r="O210" s="223"/>
      <c r="P210" s="223"/>
      <c r="Q210" s="223"/>
      <c r="R210" s="223" t="s">
        <v>535</v>
      </c>
      <c r="S210" s="220">
        <f t="shared" si="3"/>
        <v>0</v>
      </c>
      <c r="T210" s="219" t="str">
        <f>IFERROR(VLOOKUP($B210,'SIZE CALCULATION'!$F$2:$G$100,2,0),"")</f>
        <v/>
      </c>
    </row>
    <row r="211" spans="1:20" x14ac:dyDescent="0.2">
      <c r="A211" s="224"/>
      <c r="B211" s="222"/>
      <c r="C211" s="222"/>
      <c r="D211" s="224"/>
      <c r="E211" s="223"/>
      <c r="F211" s="223"/>
      <c r="G211" s="223"/>
      <c r="H211" s="223"/>
      <c r="I211" s="247"/>
      <c r="J211" s="223"/>
      <c r="K211" s="240"/>
      <c r="L211" s="223"/>
      <c r="M211" s="223"/>
      <c r="N211" s="223"/>
      <c r="O211" s="223"/>
      <c r="P211" s="223"/>
      <c r="Q211" s="223"/>
      <c r="R211" s="223" t="s">
        <v>535</v>
      </c>
      <c r="S211" s="220">
        <f t="shared" si="3"/>
        <v>0</v>
      </c>
      <c r="T211" s="219" t="str">
        <f>IFERROR(VLOOKUP($B211,'SIZE CALCULATION'!$F$2:$G$100,2,0),"")</f>
        <v/>
      </c>
    </row>
    <row r="212" spans="1:20" x14ac:dyDescent="0.2">
      <c r="A212" s="224"/>
      <c r="B212" s="222"/>
      <c r="C212" s="222"/>
      <c r="D212" s="224"/>
      <c r="E212" s="275"/>
      <c r="F212" s="223"/>
      <c r="G212" s="223"/>
      <c r="H212" s="223"/>
      <c r="I212" s="247"/>
      <c r="J212" s="223"/>
      <c r="K212" s="240"/>
      <c r="L212" s="223"/>
      <c r="M212" s="223"/>
      <c r="N212" s="223"/>
      <c r="O212" s="223"/>
      <c r="P212" s="223"/>
      <c r="Q212" s="223"/>
      <c r="R212" s="223" t="s">
        <v>535</v>
      </c>
      <c r="S212" s="220">
        <f t="shared" si="3"/>
        <v>0</v>
      </c>
      <c r="T212" s="219" t="str">
        <f>IFERROR(VLOOKUP($B212,'SIZE CALCULATION'!$F$2:$G$100,2,0),"")</f>
        <v/>
      </c>
    </row>
    <row r="213" spans="1:20" x14ac:dyDescent="0.2">
      <c r="A213" s="224"/>
      <c r="B213" s="222"/>
      <c r="C213" s="222"/>
      <c r="D213" s="224"/>
      <c r="E213" s="275"/>
      <c r="F213" s="223"/>
      <c r="G213" s="223"/>
      <c r="H213" s="223"/>
      <c r="I213" s="247"/>
      <c r="J213" s="223"/>
      <c r="K213" s="240"/>
      <c r="L213" s="223"/>
      <c r="M213" s="223"/>
      <c r="N213" s="223"/>
      <c r="O213" s="223"/>
      <c r="P213" s="223"/>
      <c r="Q213" s="223"/>
      <c r="R213" s="223" t="s">
        <v>535</v>
      </c>
      <c r="S213" s="220">
        <f t="shared" si="3"/>
        <v>0</v>
      </c>
      <c r="T213" s="219" t="str">
        <f>IFERROR(VLOOKUP($B213,'SIZE CALCULATION'!$F$2:$G$100,2,0),"")</f>
        <v/>
      </c>
    </row>
    <row r="214" spans="1:20" x14ac:dyDescent="0.2">
      <c r="A214" s="224"/>
      <c r="B214" s="222"/>
      <c r="C214" s="222"/>
      <c r="D214" s="224"/>
      <c r="E214" s="275"/>
      <c r="F214" s="223"/>
      <c r="G214" s="223"/>
      <c r="H214" s="223"/>
      <c r="I214" s="247"/>
      <c r="J214" s="223"/>
      <c r="K214" s="240"/>
      <c r="L214" s="223"/>
      <c r="M214" s="223"/>
      <c r="N214" s="223"/>
      <c r="O214" s="223"/>
      <c r="P214" s="223"/>
      <c r="Q214" s="223"/>
      <c r="R214" s="223" t="s">
        <v>535</v>
      </c>
      <c r="S214" s="220">
        <f t="shared" si="3"/>
        <v>0</v>
      </c>
      <c r="T214" s="219" t="str">
        <f>IFERROR(VLOOKUP($B214,'SIZE CALCULATION'!$F$2:$G$100,2,0),"")</f>
        <v/>
      </c>
    </row>
    <row r="215" spans="1:20" x14ac:dyDescent="0.2">
      <c r="A215" s="224"/>
      <c r="B215" s="222"/>
      <c r="C215" s="222"/>
      <c r="D215" s="224"/>
      <c r="E215" s="223"/>
      <c r="F215" s="223"/>
      <c r="G215" s="223"/>
      <c r="H215" s="223"/>
      <c r="I215" s="247"/>
      <c r="J215" s="223"/>
      <c r="K215" s="240"/>
      <c r="L215" s="223"/>
      <c r="M215" s="223"/>
      <c r="N215" s="223"/>
      <c r="O215" s="223"/>
      <c r="P215" s="223"/>
      <c r="Q215" s="223"/>
      <c r="R215" s="223" t="s">
        <v>535</v>
      </c>
      <c r="S215" s="220">
        <f t="shared" si="3"/>
        <v>0</v>
      </c>
      <c r="T215" s="219" t="str">
        <f>IFERROR(VLOOKUP($B215,'SIZE CALCULATION'!$F$2:$G$100,2,0),"")</f>
        <v/>
      </c>
    </row>
    <row r="216" spans="1:20" x14ac:dyDescent="0.2">
      <c r="A216" s="224"/>
      <c r="B216" s="222"/>
      <c r="C216" s="222"/>
      <c r="D216" s="224"/>
      <c r="E216" s="223"/>
      <c r="F216" s="223"/>
      <c r="G216" s="223"/>
      <c r="H216" s="223"/>
      <c r="I216" s="247"/>
      <c r="J216" s="223"/>
      <c r="K216" s="240"/>
      <c r="L216" s="223"/>
      <c r="M216" s="223"/>
      <c r="N216" s="223"/>
      <c r="O216" s="223"/>
      <c r="P216" s="223"/>
      <c r="Q216" s="223"/>
      <c r="R216" s="223" t="s">
        <v>535</v>
      </c>
      <c r="S216" s="220">
        <f t="shared" si="3"/>
        <v>0</v>
      </c>
      <c r="T216" s="219" t="str">
        <f>IFERROR(VLOOKUP($B216,'SIZE CALCULATION'!$F$2:$G$100,2,0),"")</f>
        <v/>
      </c>
    </row>
    <row r="217" spans="1:20" x14ac:dyDescent="0.2">
      <c r="A217" s="224"/>
      <c r="B217" s="222"/>
      <c r="C217" s="222"/>
      <c r="D217" s="224"/>
      <c r="E217" s="223"/>
      <c r="F217" s="223"/>
      <c r="G217" s="223"/>
      <c r="H217" s="223"/>
      <c r="I217" s="247"/>
      <c r="J217" s="223"/>
      <c r="K217" s="240"/>
      <c r="L217" s="223"/>
      <c r="M217" s="223"/>
      <c r="N217" s="223"/>
      <c r="O217" s="223"/>
      <c r="P217" s="223"/>
      <c r="Q217" s="223"/>
      <c r="R217" s="223" t="s">
        <v>535</v>
      </c>
      <c r="S217" s="220">
        <f t="shared" si="3"/>
        <v>0</v>
      </c>
      <c r="T217" s="219" t="str">
        <f>IFERROR(VLOOKUP($B217,'SIZE CALCULATION'!$F$2:$G$100,2,0),"")</f>
        <v/>
      </c>
    </row>
    <row r="218" spans="1:20" x14ac:dyDescent="0.2">
      <c r="A218" s="224"/>
      <c r="B218" s="222"/>
      <c r="C218" s="222"/>
      <c r="D218" s="224"/>
      <c r="E218" s="223"/>
      <c r="F218" s="223"/>
      <c r="G218" s="223"/>
      <c r="H218" s="223"/>
      <c r="I218" s="247"/>
      <c r="J218" s="223"/>
      <c r="K218" s="240"/>
      <c r="L218" s="223"/>
      <c r="M218" s="223"/>
      <c r="N218" s="223"/>
      <c r="O218" s="223"/>
      <c r="P218" s="223"/>
      <c r="Q218" s="223"/>
      <c r="R218" s="223" t="s">
        <v>535</v>
      </c>
      <c r="S218" s="220">
        <f t="shared" si="3"/>
        <v>0</v>
      </c>
      <c r="T218" s="219" t="str">
        <f>IFERROR(VLOOKUP($B218,'SIZE CALCULATION'!$F$2:$G$100,2,0),"")</f>
        <v/>
      </c>
    </row>
    <row r="219" spans="1:20" x14ac:dyDescent="0.2">
      <c r="A219" s="224"/>
      <c r="B219" s="222"/>
      <c r="C219" s="222"/>
      <c r="D219" s="224"/>
      <c r="E219" s="223"/>
      <c r="F219" s="223"/>
      <c r="G219" s="223"/>
      <c r="H219" s="223"/>
      <c r="I219" s="247"/>
      <c r="J219" s="223"/>
      <c r="K219" s="240"/>
      <c r="L219" s="223"/>
      <c r="M219" s="223"/>
      <c r="N219" s="223"/>
      <c r="O219" s="223"/>
      <c r="P219" s="223"/>
      <c r="Q219" s="223"/>
      <c r="R219" s="223" t="s">
        <v>535</v>
      </c>
      <c r="S219" s="220">
        <f t="shared" si="3"/>
        <v>0</v>
      </c>
      <c r="T219" s="219" t="str">
        <f>IFERROR(VLOOKUP($B219,'SIZE CALCULATION'!$F$2:$G$100,2,0),"")</f>
        <v/>
      </c>
    </row>
    <row r="220" spans="1:20" x14ac:dyDescent="0.2">
      <c r="A220" s="224"/>
      <c r="B220" s="222"/>
      <c r="C220" s="222"/>
      <c r="D220" s="224"/>
      <c r="E220" s="223"/>
      <c r="F220" s="223"/>
      <c r="G220" s="223"/>
      <c r="H220" s="223"/>
      <c r="I220" s="247"/>
      <c r="J220" s="223"/>
      <c r="K220" s="240"/>
      <c r="L220" s="223"/>
      <c r="M220" s="223"/>
      <c r="N220" s="223"/>
      <c r="O220" s="223"/>
      <c r="P220" s="223"/>
      <c r="Q220" s="223"/>
      <c r="R220" s="223" t="s">
        <v>535</v>
      </c>
      <c r="S220" s="220">
        <f t="shared" si="3"/>
        <v>0</v>
      </c>
      <c r="T220" s="219" t="str">
        <f>IFERROR(VLOOKUP($B220,'SIZE CALCULATION'!$F$2:$G$100,2,0),"")</f>
        <v/>
      </c>
    </row>
    <row r="221" spans="1:20" x14ac:dyDescent="0.2">
      <c r="A221" s="224"/>
      <c r="B221" s="222"/>
      <c r="C221" s="222"/>
      <c r="D221" s="224"/>
      <c r="E221" s="223"/>
      <c r="F221" s="223"/>
      <c r="G221" s="223"/>
      <c r="H221" s="223"/>
      <c r="I221" s="247"/>
      <c r="J221" s="223"/>
      <c r="K221" s="240"/>
      <c r="L221" s="223"/>
      <c r="M221" s="223"/>
      <c r="N221" s="223"/>
      <c r="O221" s="223"/>
      <c r="P221" s="223"/>
      <c r="Q221" s="223"/>
      <c r="R221" s="223" t="s">
        <v>535</v>
      </c>
      <c r="S221" s="220">
        <f t="shared" si="3"/>
        <v>0</v>
      </c>
      <c r="T221" s="219" t="str">
        <f>IFERROR(VLOOKUP($B221,'SIZE CALCULATION'!$F$2:$G$100,2,0),"")</f>
        <v/>
      </c>
    </row>
    <row r="222" spans="1:20" x14ac:dyDescent="0.2">
      <c r="A222" s="224"/>
      <c r="B222" s="222"/>
      <c r="C222" s="222"/>
      <c r="D222" s="224"/>
      <c r="E222" s="223"/>
      <c r="F222" s="223"/>
      <c r="G222" s="223"/>
      <c r="H222" s="223"/>
      <c r="I222" s="247"/>
      <c r="J222" s="223"/>
      <c r="K222" s="240"/>
      <c r="L222" s="223"/>
      <c r="M222" s="223"/>
      <c r="N222" s="223"/>
      <c r="O222" s="223"/>
      <c r="P222" s="223"/>
      <c r="Q222" s="223"/>
      <c r="R222" s="223" t="s">
        <v>535</v>
      </c>
      <c r="S222" s="220">
        <f t="shared" si="3"/>
        <v>0</v>
      </c>
      <c r="T222" s="219" t="str">
        <f>IFERROR(VLOOKUP($B222,'SIZE CALCULATION'!$F$2:$G$100,2,0),"")</f>
        <v/>
      </c>
    </row>
    <row r="223" spans="1:20" x14ac:dyDescent="0.2">
      <c r="A223" s="224"/>
      <c r="B223" s="222"/>
      <c r="C223" s="222"/>
      <c r="D223" s="224"/>
      <c r="E223" s="223"/>
      <c r="F223" s="223"/>
      <c r="G223" s="223"/>
      <c r="H223" s="223"/>
      <c r="I223" s="247"/>
      <c r="J223" s="223"/>
      <c r="K223" s="240"/>
      <c r="L223" s="223"/>
      <c r="M223" s="223"/>
      <c r="N223" s="223"/>
      <c r="O223" s="223"/>
      <c r="P223" s="223"/>
      <c r="Q223" s="223"/>
      <c r="R223" s="223" t="s">
        <v>535</v>
      </c>
      <c r="S223" s="220">
        <f t="shared" si="3"/>
        <v>0</v>
      </c>
      <c r="T223" s="219" t="str">
        <f>IFERROR(VLOOKUP($B223,'SIZE CALCULATION'!$F$2:$G$100,2,0),"")</f>
        <v/>
      </c>
    </row>
    <row r="224" spans="1:20" x14ac:dyDescent="0.2">
      <c r="A224" s="224"/>
      <c r="B224" s="222"/>
      <c r="C224" s="222"/>
      <c r="D224" s="224"/>
      <c r="E224" s="223"/>
      <c r="F224" s="223"/>
      <c r="G224" s="223"/>
      <c r="H224" s="223"/>
      <c r="I224" s="247"/>
      <c r="J224" s="223"/>
      <c r="K224" s="240"/>
      <c r="L224" s="223"/>
      <c r="M224" s="223"/>
      <c r="N224" s="223"/>
      <c r="O224" s="223"/>
      <c r="P224" s="223"/>
      <c r="Q224" s="223"/>
      <c r="R224" s="223" t="s">
        <v>535</v>
      </c>
      <c r="S224" s="220">
        <f t="shared" si="3"/>
        <v>0</v>
      </c>
      <c r="T224" s="219" t="str">
        <f>IFERROR(VLOOKUP($B224,'SIZE CALCULATION'!$F$2:$G$100,2,0),"")</f>
        <v/>
      </c>
    </row>
    <row r="225" spans="1:20" x14ac:dyDescent="0.2">
      <c r="A225" s="224"/>
      <c r="B225" s="222"/>
      <c r="C225" s="222"/>
      <c r="D225" s="224"/>
      <c r="E225" s="223"/>
      <c r="F225" s="223"/>
      <c r="G225" s="223"/>
      <c r="H225" s="223"/>
      <c r="I225" s="247"/>
      <c r="J225" s="223"/>
      <c r="K225" s="240"/>
      <c r="L225" s="223"/>
      <c r="M225" s="223"/>
      <c r="N225" s="223"/>
      <c r="O225" s="223"/>
      <c r="P225" s="223"/>
      <c r="Q225" s="223"/>
      <c r="R225" s="223" t="s">
        <v>535</v>
      </c>
      <c r="S225" s="220">
        <f t="shared" si="3"/>
        <v>0</v>
      </c>
      <c r="T225" s="219" t="str">
        <f>IFERROR(VLOOKUP($B225,'SIZE CALCULATION'!$F$2:$G$100,2,0),"")</f>
        <v/>
      </c>
    </row>
    <row r="226" spans="1:20" x14ac:dyDescent="0.2">
      <c r="A226" s="224"/>
      <c r="B226" s="222"/>
      <c r="C226" s="222"/>
      <c r="D226" s="224"/>
      <c r="E226" s="223"/>
      <c r="F226" s="223"/>
      <c r="G226" s="223"/>
      <c r="H226" s="223"/>
      <c r="I226" s="247"/>
      <c r="J226" s="223"/>
      <c r="K226" s="240"/>
      <c r="L226" s="223"/>
      <c r="M226" s="223"/>
      <c r="N226" s="223"/>
      <c r="O226" s="223"/>
      <c r="P226" s="223"/>
      <c r="Q226" s="223"/>
      <c r="R226" s="223" t="s">
        <v>535</v>
      </c>
      <c r="S226" s="220">
        <f t="shared" si="3"/>
        <v>0</v>
      </c>
      <c r="T226" s="219" t="str">
        <f>IFERROR(VLOOKUP($B226,'SIZE CALCULATION'!$F$2:$G$100,2,0),"")</f>
        <v/>
      </c>
    </row>
    <row r="227" spans="1:20" x14ac:dyDescent="0.2">
      <c r="A227" s="224"/>
      <c r="B227" s="222"/>
      <c r="C227" s="222"/>
      <c r="D227" s="224"/>
      <c r="E227" s="223"/>
      <c r="F227" s="223"/>
      <c r="G227" s="223"/>
      <c r="H227" s="223"/>
      <c r="I227" s="247"/>
      <c r="J227" s="223"/>
      <c r="K227" s="240"/>
      <c r="L227" s="223"/>
      <c r="M227" s="223"/>
      <c r="N227" s="223"/>
      <c r="O227" s="223"/>
      <c r="P227" s="223"/>
      <c r="Q227" s="223"/>
      <c r="R227" s="223" t="s">
        <v>535</v>
      </c>
      <c r="S227" s="220">
        <f t="shared" si="3"/>
        <v>0</v>
      </c>
      <c r="T227" s="219" t="str">
        <f>IFERROR(VLOOKUP($B227,'SIZE CALCULATION'!$F$2:$G$100,2,0),"")</f>
        <v/>
      </c>
    </row>
    <row r="228" spans="1:20" x14ac:dyDescent="0.2">
      <c r="A228" s="224"/>
      <c r="B228" s="222"/>
      <c r="C228" s="222"/>
      <c r="D228" s="224"/>
      <c r="E228" s="223"/>
      <c r="F228" s="223"/>
      <c r="G228" s="223"/>
      <c r="H228" s="223"/>
      <c r="I228" s="247"/>
      <c r="J228" s="223"/>
      <c r="K228" s="240"/>
      <c r="L228" s="223"/>
      <c r="M228" s="223"/>
      <c r="N228" s="223"/>
      <c r="O228" s="223"/>
      <c r="P228" s="223"/>
      <c r="Q228" s="223"/>
      <c r="R228" s="223" t="s">
        <v>535</v>
      </c>
      <c r="S228" s="220">
        <f t="shared" si="3"/>
        <v>0</v>
      </c>
      <c r="T228" s="219" t="str">
        <f>IFERROR(VLOOKUP($B228,'SIZE CALCULATION'!$F$2:$G$100,2,0),"")</f>
        <v/>
      </c>
    </row>
    <row r="229" spans="1:20" x14ac:dyDescent="0.2">
      <c r="A229" s="224"/>
      <c r="B229" s="222"/>
      <c r="C229" s="222"/>
      <c r="D229" s="224"/>
      <c r="E229" s="223"/>
      <c r="F229" s="223"/>
      <c r="G229" s="223"/>
      <c r="H229" s="223"/>
      <c r="I229" s="247"/>
      <c r="J229" s="223"/>
      <c r="K229" s="240"/>
      <c r="L229" s="223"/>
      <c r="M229" s="223"/>
      <c r="N229" s="223"/>
      <c r="O229" s="223"/>
      <c r="P229" s="223"/>
      <c r="Q229" s="223"/>
      <c r="R229" s="223" t="s">
        <v>535</v>
      </c>
      <c r="S229" s="220">
        <f t="shared" si="3"/>
        <v>0</v>
      </c>
      <c r="T229" s="219" t="str">
        <f>IFERROR(VLOOKUP($B229,'SIZE CALCULATION'!$F$2:$G$100,2,0),"")</f>
        <v/>
      </c>
    </row>
    <row r="230" spans="1:20" x14ac:dyDescent="0.2">
      <c r="A230" s="224"/>
      <c r="B230" s="222"/>
      <c r="C230" s="222"/>
      <c r="D230" s="224"/>
      <c r="E230" s="223"/>
      <c r="F230" s="223"/>
      <c r="G230" s="223"/>
      <c r="H230" s="223"/>
      <c r="I230" s="247"/>
      <c r="J230" s="223"/>
      <c r="K230" s="240"/>
      <c r="L230" s="223"/>
      <c r="M230" s="223"/>
      <c r="N230" s="223"/>
      <c r="O230" s="223"/>
      <c r="P230" s="223"/>
      <c r="Q230" s="223"/>
      <c r="R230" s="223" t="s">
        <v>535</v>
      </c>
      <c r="S230" s="220">
        <f t="shared" si="3"/>
        <v>0</v>
      </c>
      <c r="T230" s="219" t="str">
        <f>IFERROR(VLOOKUP($B230,'SIZE CALCULATION'!$F$2:$G$100,2,0),"")</f>
        <v/>
      </c>
    </row>
    <row r="231" spans="1:20" x14ac:dyDescent="0.2">
      <c r="A231" s="224"/>
      <c r="B231" s="222"/>
      <c r="C231" s="222"/>
      <c r="D231" s="224"/>
      <c r="E231" s="223"/>
      <c r="F231" s="223"/>
      <c r="G231" s="223"/>
      <c r="H231" s="223"/>
      <c r="I231" s="247"/>
      <c r="J231" s="223"/>
      <c r="K231" s="240"/>
      <c r="L231" s="223"/>
      <c r="M231" s="223"/>
      <c r="N231" s="223"/>
      <c r="O231" s="223"/>
      <c r="P231" s="223"/>
      <c r="Q231" s="223"/>
      <c r="R231" s="223" t="s">
        <v>535</v>
      </c>
      <c r="S231" s="220">
        <f t="shared" si="3"/>
        <v>0</v>
      </c>
      <c r="T231" s="219" t="str">
        <f>IFERROR(VLOOKUP($B231,'SIZE CALCULATION'!$F$2:$G$100,2,0),"")</f>
        <v/>
      </c>
    </row>
    <row r="232" spans="1:20" x14ac:dyDescent="0.2">
      <c r="A232" s="224"/>
      <c r="B232" s="222"/>
      <c r="C232" s="222"/>
      <c r="D232" s="224"/>
      <c r="E232" s="223"/>
      <c r="F232" s="223"/>
      <c r="G232" s="223"/>
      <c r="H232" s="223"/>
      <c r="I232" s="247"/>
      <c r="J232" s="223"/>
      <c r="K232" s="240"/>
      <c r="L232" s="223"/>
      <c r="M232" s="223"/>
      <c r="N232" s="223"/>
      <c r="O232" s="223"/>
      <c r="P232" s="223"/>
      <c r="Q232" s="223"/>
      <c r="R232" s="223" t="s">
        <v>535</v>
      </c>
      <c r="S232" s="220">
        <f t="shared" si="3"/>
        <v>0</v>
      </c>
      <c r="T232" s="219" t="str">
        <f>IFERROR(VLOOKUP($B232,'SIZE CALCULATION'!$F$2:$G$100,2,0),"")</f>
        <v/>
      </c>
    </row>
    <row r="233" spans="1:20" x14ac:dyDescent="0.2">
      <c r="A233" s="224"/>
      <c r="B233" s="222"/>
      <c r="C233" s="222"/>
      <c r="D233" s="224"/>
      <c r="E233" s="223"/>
      <c r="F233" s="223"/>
      <c r="G233" s="223"/>
      <c r="H233" s="223"/>
      <c r="I233" s="247"/>
      <c r="J233" s="223"/>
      <c r="K233" s="240"/>
      <c r="L233" s="223"/>
      <c r="M233" s="223"/>
      <c r="N233" s="223"/>
      <c r="O233" s="223"/>
      <c r="P233" s="223"/>
      <c r="Q233" s="223"/>
      <c r="R233" s="223" t="s">
        <v>535</v>
      </c>
      <c r="S233" s="220">
        <f t="shared" si="3"/>
        <v>0</v>
      </c>
      <c r="T233" s="219" t="str">
        <f>IFERROR(VLOOKUP($B233,'SIZE CALCULATION'!$F$2:$G$100,2,0),"")</f>
        <v/>
      </c>
    </row>
    <row r="234" spans="1:20" x14ac:dyDescent="0.2">
      <c r="A234" s="224"/>
      <c r="B234" s="222"/>
      <c r="C234" s="222"/>
      <c r="D234" s="224"/>
      <c r="E234" s="223"/>
      <c r="F234" s="223"/>
      <c r="G234" s="223"/>
      <c r="H234" s="223"/>
      <c r="I234" s="247"/>
      <c r="J234" s="223"/>
      <c r="K234" s="240"/>
      <c r="L234" s="223"/>
      <c r="M234" s="223"/>
      <c r="N234" s="223"/>
      <c r="O234" s="223"/>
      <c r="P234" s="223"/>
      <c r="Q234" s="223"/>
      <c r="R234" s="223" t="s">
        <v>535</v>
      </c>
      <c r="S234" s="220">
        <f t="shared" si="3"/>
        <v>0</v>
      </c>
      <c r="T234" s="219" t="str">
        <f>IFERROR(VLOOKUP($B234,'SIZE CALCULATION'!$F$2:$G$100,2,0),"")</f>
        <v/>
      </c>
    </row>
    <row r="235" spans="1:20" x14ac:dyDescent="0.2">
      <c r="A235" s="224"/>
      <c r="B235" s="222"/>
      <c r="C235" s="222"/>
      <c r="D235" s="224"/>
      <c r="E235" s="223"/>
      <c r="F235" s="223"/>
      <c r="G235" s="223"/>
      <c r="H235" s="223"/>
      <c r="I235" s="247"/>
      <c r="J235" s="223"/>
      <c r="K235" s="240"/>
      <c r="L235" s="223"/>
      <c r="M235" s="223"/>
      <c r="N235" s="223"/>
      <c r="O235" s="223"/>
      <c r="P235" s="223"/>
      <c r="Q235" s="223"/>
      <c r="R235" s="223" t="s">
        <v>535</v>
      </c>
      <c r="S235" s="220">
        <f t="shared" si="3"/>
        <v>0</v>
      </c>
      <c r="T235" s="219" t="str">
        <f>IFERROR(VLOOKUP($B235,'SIZE CALCULATION'!$F$2:$G$100,2,0),"")</f>
        <v/>
      </c>
    </row>
    <row r="236" spans="1:20" x14ac:dyDescent="0.2">
      <c r="A236" s="224"/>
      <c r="B236" s="222"/>
      <c r="C236" s="222"/>
      <c r="D236" s="224"/>
      <c r="E236" s="223"/>
      <c r="F236" s="223"/>
      <c r="G236" s="223"/>
      <c r="H236" s="223"/>
      <c r="I236" s="247"/>
      <c r="J236" s="223"/>
      <c r="K236" s="240"/>
      <c r="L236" s="223"/>
      <c r="M236" s="223"/>
      <c r="N236" s="223"/>
      <c r="O236" s="223"/>
      <c r="P236" s="223"/>
      <c r="Q236" s="223"/>
      <c r="R236" s="223" t="s">
        <v>535</v>
      </c>
      <c r="S236" s="220">
        <f t="shared" si="3"/>
        <v>0</v>
      </c>
      <c r="T236" s="219" t="str">
        <f>IFERROR(VLOOKUP($B236,'SIZE CALCULATION'!$F$2:$G$100,2,0),"")</f>
        <v/>
      </c>
    </row>
    <row r="237" spans="1:20" x14ac:dyDescent="0.2">
      <c r="A237" s="224"/>
      <c r="B237" s="222"/>
      <c r="C237" s="222"/>
      <c r="D237" s="224"/>
      <c r="E237" s="223"/>
      <c r="F237" s="223"/>
      <c r="G237" s="223"/>
      <c r="H237" s="223"/>
      <c r="I237" s="247"/>
      <c r="J237" s="223"/>
      <c r="K237" s="240"/>
      <c r="L237" s="223"/>
      <c r="M237" s="223"/>
      <c r="N237" s="223"/>
      <c r="O237" s="223"/>
      <c r="P237" s="223"/>
      <c r="Q237" s="223"/>
      <c r="R237" s="223" t="s">
        <v>535</v>
      </c>
      <c r="S237" s="220">
        <f t="shared" si="3"/>
        <v>0</v>
      </c>
      <c r="T237" s="219" t="str">
        <f>IFERROR(VLOOKUP($B237,'SIZE CALCULATION'!$F$2:$G$100,2,0),"")</f>
        <v/>
      </c>
    </row>
    <row r="238" spans="1:20" x14ac:dyDescent="0.2">
      <c r="A238" s="224"/>
      <c r="B238" s="222"/>
      <c r="C238" s="222"/>
      <c r="D238" s="224"/>
      <c r="E238" s="223"/>
      <c r="F238" s="223"/>
      <c r="G238" s="223"/>
      <c r="H238" s="223"/>
      <c r="I238" s="247"/>
      <c r="J238" s="223"/>
      <c r="K238" s="240"/>
      <c r="L238" s="223"/>
      <c r="M238" s="223"/>
      <c r="N238" s="223"/>
      <c r="O238" s="223"/>
      <c r="P238" s="223"/>
      <c r="Q238" s="223"/>
      <c r="R238" s="223" t="s">
        <v>535</v>
      </c>
      <c r="S238" s="220">
        <f t="shared" si="3"/>
        <v>0</v>
      </c>
      <c r="T238" s="219" t="str">
        <f>IFERROR(VLOOKUP($B238,'SIZE CALCULATION'!$F$2:$G$100,2,0),"")</f>
        <v/>
      </c>
    </row>
    <row r="239" spans="1:20" x14ac:dyDescent="0.2">
      <c r="A239" s="224"/>
      <c r="B239" s="222"/>
      <c r="C239" s="222"/>
      <c r="D239" s="224"/>
      <c r="E239" s="223"/>
      <c r="F239" s="223"/>
      <c r="G239" s="223"/>
      <c r="H239" s="223"/>
      <c r="I239" s="247"/>
      <c r="J239" s="223"/>
      <c r="K239" s="240"/>
      <c r="L239" s="223"/>
      <c r="M239" s="223"/>
      <c r="N239" s="223"/>
      <c r="O239" s="223"/>
      <c r="P239" s="223"/>
      <c r="Q239" s="223"/>
      <c r="R239" s="223" t="s">
        <v>535</v>
      </c>
      <c r="S239" s="220">
        <f t="shared" si="3"/>
        <v>0</v>
      </c>
      <c r="T239" s="219" t="str">
        <f>IFERROR(VLOOKUP($B239,'SIZE CALCULATION'!$F$2:$G$100,2,0),"")</f>
        <v/>
      </c>
    </row>
    <row r="240" spans="1:20" x14ac:dyDescent="0.2">
      <c r="A240" s="224"/>
      <c r="B240" s="222"/>
      <c r="C240" s="222"/>
      <c r="D240" s="224"/>
      <c r="E240" s="223"/>
      <c r="F240" s="223"/>
      <c r="G240" s="223"/>
      <c r="H240" s="223"/>
      <c r="I240" s="247"/>
      <c r="J240" s="223"/>
      <c r="K240" s="240"/>
      <c r="L240" s="223"/>
      <c r="M240" s="223"/>
      <c r="N240" s="223"/>
      <c r="O240" s="223"/>
      <c r="P240" s="223"/>
      <c r="Q240" s="223"/>
      <c r="R240" s="223" t="s">
        <v>535</v>
      </c>
      <c r="S240" s="220">
        <f t="shared" si="3"/>
        <v>0</v>
      </c>
      <c r="T240" s="219" t="str">
        <f>IFERROR(VLOOKUP($B240,'SIZE CALCULATION'!$F$2:$G$100,2,0),"")</f>
        <v/>
      </c>
    </row>
    <row r="241" spans="1:20" x14ac:dyDescent="0.2">
      <c r="A241" s="224"/>
      <c r="B241" s="222"/>
      <c r="C241" s="222"/>
      <c r="D241" s="224"/>
      <c r="E241" s="223"/>
      <c r="F241" s="223"/>
      <c r="G241" s="223"/>
      <c r="H241" s="223"/>
      <c r="I241" s="247"/>
      <c r="J241" s="223"/>
      <c r="K241" s="240"/>
      <c r="L241" s="223"/>
      <c r="M241" s="223"/>
      <c r="N241" s="223"/>
      <c r="O241" s="223"/>
      <c r="P241" s="223"/>
      <c r="Q241" s="223"/>
      <c r="R241" s="223" t="s">
        <v>535</v>
      </c>
      <c r="S241" s="220">
        <f t="shared" si="3"/>
        <v>0</v>
      </c>
      <c r="T241" s="219" t="str">
        <f>IFERROR(VLOOKUP($B241,'SIZE CALCULATION'!$F$2:$G$100,2,0),"")</f>
        <v/>
      </c>
    </row>
    <row r="242" spans="1:20" x14ac:dyDescent="0.2">
      <c r="A242" s="224"/>
      <c r="B242" s="222"/>
      <c r="C242" s="222"/>
      <c r="D242" s="224"/>
      <c r="E242" s="223"/>
      <c r="F242" s="223"/>
      <c r="G242" s="223"/>
      <c r="H242" s="223"/>
      <c r="I242" s="247"/>
      <c r="J242" s="223"/>
      <c r="K242" s="240"/>
      <c r="L242" s="223"/>
      <c r="M242" s="223"/>
      <c r="N242" s="223"/>
      <c r="O242" s="223"/>
      <c r="P242" s="223"/>
      <c r="Q242" s="223"/>
      <c r="R242" s="223" t="s">
        <v>535</v>
      </c>
      <c r="S242" s="220">
        <f t="shared" si="3"/>
        <v>0</v>
      </c>
      <c r="T242" s="219" t="str">
        <f>IFERROR(VLOOKUP($B242,'SIZE CALCULATION'!$F$2:$G$100,2,0),"")</f>
        <v/>
      </c>
    </row>
    <row r="243" spans="1:20" x14ac:dyDescent="0.2">
      <c r="A243" s="224"/>
      <c r="B243" s="222"/>
      <c r="C243" s="222"/>
      <c r="D243" s="224"/>
      <c r="E243" s="223"/>
      <c r="F243" s="223"/>
      <c r="G243" s="223"/>
      <c r="H243" s="223"/>
      <c r="I243" s="247"/>
      <c r="J243" s="223"/>
      <c r="K243" s="240"/>
      <c r="L243" s="223"/>
      <c r="M243" s="223"/>
      <c r="N243" s="223"/>
      <c r="O243" s="223"/>
      <c r="P243" s="223"/>
      <c r="Q243" s="223"/>
      <c r="R243" s="223" t="s">
        <v>535</v>
      </c>
      <c r="S243" s="220">
        <f t="shared" si="3"/>
        <v>0</v>
      </c>
      <c r="T243" s="219" t="str">
        <f>IFERROR(VLOOKUP($B243,'SIZE CALCULATION'!$F$2:$G$100,2,0),"")</f>
        <v/>
      </c>
    </row>
    <row r="244" spans="1:20" x14ac:dyDescent="0.2">
      <c r="A244" s="224"/>
      <c r="B244" s="222"/>
      <c r="C244" s="222"/>
      <c r="D244" s="224"/>
      <c r="E244" s="223"/>
      <c r="F244" s="223"/>
      <c r="G244" s="223"/>
      <c r="H244" s="223"/>
      <c r="I244" s="247"/>
      <c r="J244" s="223"/>
      <c r="K244" s="240"/>
      <c r="L244" s="223"/>
      <c r="M244" s="223"/>
      <c r="N244" s="223"/>
      <c r="O244" s="223"/>
      <c r="P244" s="223"/>
      <c r="Q244" s="223"/>
      <c r="R244" s="223" t="s">
        <v>535</v>
      </c>
      <c r="S244" s="220">
        <f t="shared" si="3"/>
        <v>0</v>
      </c>
      <c r="T244" s="219" t="str">
        <f>IFERROR(VLOOKUP($B244,'SIZE CALCULATION'!$F$2:$G$100,2,0),"")</f>
        <v/>
      </c>
    </row>
    <row r="245" spans="1:20" x14ac:dyDescent="0.2">
      <c r="A245" s="224"/>
      <c r="B245" s="222"/>
      <c r="C245" s="222"/>
      <c r="D245" s="224"/>
      <c r="E245" s="223"/>
      <c r="F245" s="223"/>
      <c r="G245" s="223"/>
      <c r="H245" s="223"/>
      <c r="I245" s="247"/>
      <c r="J245" s="223"/>
      <c r="K245" s="240"/>
      <c r="L245" s="223"/>
      <c r="M245" s="223"/>
      <c r="N245" s="223"/>
      <c r="O245" s="223"/>
      <c r="P245" s="223"/>
      <c r="Q245" s="223"/>
      <c r="R245" s="223" t="s">
        <v>535</v>
      </c>
      <c r="S245" s="220">
        <f t="shared" si="3"/>
        <v>0</v>
      </c>
      <c r="T245" s="219" t="str">
        <f>IFERROR(VLOOKUP($B245,'SIZE CALCULATION'!$F$2:$G$100,2,0),"")</f>
        <v/>
      </c>
    </row>
    <row r="246" spans="1:20" x14ac:dyDescent="0.2">
      <c r="A246" s="224"/>
      <c r="B246" s="222"/>
      <c r="C246" s="222"/>
      <c r="D246" s="224"/>
      <c r="E246" s="223"/>
      <c r="F246" s="223"/>
      <c r="G246" s="223"/>
      <c r="H246" s="223"/>
      <c r="I246" s="247"/>
      <c r="J246" s="223"/>
      <c r="K246" s="240"/>
      <c r="L246" s="223"/>
      <c r="M246" s="223"/>
      <c r="N246" s="223"/>
      <c r="O246" s="223"/>
      <c r="P246" s="223"/>
      <c r="Q246" s="223"/>
      <c r="R246" s="223" t="s">
        <v>535</v>
      </c>
      <c r="S246" s="220">
        <f t="shared" si="3"/>
        <v>0</v>
      </c>
      <c r="T246" s="219" t="str">
        <f>IFERROR(VLOOKUP($B246,'SIZE CALCULATION'!$F$2:$G$100,2,0),"")</f>
        <v/>
      </c>
    </row>
    <row r="247" spans="1:20" x14ac:dyDescent="0.2">
      <c r="A247" s="224"/>
      <c r="B247" s="222"/>
      <c r="C247" s="222"/>
      <c r="D247" s="224"/>
      <c r="E247" s="223"/>
      <c r="F247" s="223"/>
      <c r="G247" s="223"/>
      <c r="H247" s="223"/>
      <c r="I247" s="247"/>
      <c r="J247" s="223"/>
      <c r="K247" s="240"/>
      <c r="L247" s="223"/>
      <c r="M247" s="223"/>
      <c r="N247" s="223"/>
      <c r="O247" s="223"/>
      <c r="P247" s="223"/>
      <c r="Q247" s="223"/>
      <c r="R247" s="223" t="s">
        <v>535</v>
      </c>
      <c r="S247" s="220">
        <f t="shared" si="3"/>
        <v>0</v>
      </c>
      <c r="T247" s="219" t="str">
        <f>IFERROR(VLOOKUP($B247,'SIZE CALCULATION'!$F$2:$G$100,2,0),"")</f>
        <v/>
      </c>
    </row>
    <row r="248" spans="1:20" x14ac:dyDescent="0.2">
      <c r="A248" s="224"/>
      <c r="B248" s="222"/>
      <c r="C248" s="222"/>
      <c r="D248" s="224"/>
      <c r="E248" s="223"/>
      <c r="F248" s="223"/>
      <c r="G248" s="223"/>
      <c r="H248" s="223"/>
      <c r="I248" s="247"/>
      <c r="J248" s="223"/>
      <c r="K248" s="240"/>
      <c r="L248" s="223"/>
      <c r="M248" s="223"/>
      <c r="N248" s="223"/>
      <c r="O248" s="223"/>
      <c r="P248" s="223"/>
      <c r="Q248" s="223"/>
      <c r="R248" s="223" t="s">
        <v>535</v>
      </c>
      <c r="S248" s="220">
        <f t="shared" si="3"/>
        <v>0</v>
      </c>
      <c r="T248" s="219" t="str">
        <f>IFERROR(VLOOKUP($B248,'SIZE CALCULATION'!$F$2:$G$100,2,0),"")</f>
        <v/>
      </c>
    </row>
    <row r="249" spans="1:20" x14ac:dyDescent="0.2">
      <c r="A249" s="224"/>
      <c r="B249" s="222"/>
      <c r="C249" s="222"/>
      <c r="D249" s="224"/>
      <c r="E249" s="223"/>
      <c r="F249" s="223"/>
      <c r="G249" s="223"/>
      <c r="H249" s="223"/>
      <c r="I249" s="247"/>
      <c r="J249" s="223"/>
      <c r="K249" s="240"/>
      <c r="L249" s="223"/>
      <c r="M249" s="223"/>
      <c r="N249" s="223"/>
      <c r="O249" s="223"/>
      <c r="P249" s="223"/>
      <c r="Q249" s="223"/>
      <c r="R249" s="223" t="s">
        <v>535</v>
      </c>
      <c r="S249" s="220">
        <f t="shared" si="3"/>
        <v>0</v>
      </c>
      <c r="T249" s="219" t="str">
        <f>IFERROR(VLOOKUP($B249,'SIZE CALCULATION'!$F$2:$G$100,2,0),"")</f>
        <v/>
      </c>
    </row>
    <row r="250" spans="1:20" x14ac:dyDescent="0.2">
      <c r="A250" s="224"/>
      <c r="B250" s="222"/>
      <c r="C250" s="222"/>
      <c r="D250" s="224"/>
      <c r="E250" s="223"/>
      <c r="F250" s="223"/>
      <c r="G250" s="223"/>
      <c r="H250" s="223"/>
      <c r="I250" s="247"/>
      <c r="J250" s="223"/>
      <c r="K250" s="240"/>
      <c r="L250" s="223"/>
      <c r="M250" s="223"/>
      <c r="N250" s="223"/>
      <c r="O250" s="223"/>
      <c r="P250" s="223"/>
      <c r="Q250" s="223"/>
      <c r="R250" s="223" t="s">
        <v>535</v>
      </c>
      <c r="S250" s="220">
        <f t="shared" si="3"/>
        <v>0</v>
      </c>
      <c r="T250" s="219" t="str">
        <f>IFERROR(VLOOKUP($B250,'SIZE CALCULATION'!$F$2:$G$100,2,0),"")</f>
        <v/>
      </c>
    </row>
    <row r="251" spans="1:20" x14ac:dyDescent="0.2">
      <c r="A251" s="224"/>
      <c r="B251" s="222"/>
      <c r="C251" s="222"/>
      <c r="D251" s="224"/>
      <c r="E251" s="223"/>
      <c r="F251" s="223"/>
      <c r="G251" s="223"/>
      <c r="H251" s="223"/>
      <c r="I251" s="247"/>
      <c r="J251" s="223"/>
      <c r="K251" s="240"/>
      <c r="L251" s="223"/>
      <c r="M251" s="223"/>
      <c r="N251" s="223"/>
      <c r="O251" s="223"/>
      <c r="P251" s="223"/>
      <c r="Q251" s="223"/>
      <c r="R251" s="223" t="s">
        <v>535</v>
      </c>
      <c r="S251" s="220">
        <f t="shared" si="3"/>
        <v>0</v>
      </c>
      <c r="T251" s="219" t="str">
        <f>IFERROR(VLOOKUP($B251,'SIZE CALCULATION'!$F$2:$G$100,2,0),"")</f>
        <v/>
      </c>
    </row>
    <row r="252" spans="1:20" x14ac:dyDescent="0.2">
      <c r="A252" s="224"/>
      <c r="B252" s="222"/>
      <c r="C252" s="222"/>
      <c r="D252" s="224"/>
      <c r="E252" s="223"/>
      <c r="F252" s="223"/>
      <c r="G252" s="223"/>
      <c r="H252" s="223"/>
      <c r="I252" s="247"/>
      <c r="J252" s="223"/>
      <c r="K252" s="240"/>
      <c r="L252" s="223"/>
      <c r="M252" s="223"/>
      <c r="N252" s="223"/>
      <c r="O252" s="223"/>
      <c r="P252" s="223"/>
      <c r="Q252" s="223"/>
      <c r="R252" s="223" t="s">
        <v>535</v>
      </c>
      <c r="S252" s="220">
        <f t="shared" si="3"/>
        <v>0</v>
      </c>
      <c r="T252" s="219" t="str">
        <f>IFERROR(VLOOKUP($B252,'SIZE CALCULATION'!$F$2:$G$100,2,0),"")</f>
        <v/>
      </c>
    </row>
    <row r="253" spans="1:20" x14ac:dyDescent="0.2">
      <c r="A253" s="224"/>
      <c r="B253" s="222"/>
      <c r="C253" s="222"/>
      <c r="D253" s="224"/>
      <c r="E253" s="223"/>
      <c r="F253" s="223"/>
      <c r="G253" s="223"/>
      <c r="H253" s="223"/>
      <c r="I253" s="247"/>
      <c r="J253" s="223"/>
      <c r="K253" s="240"/>
      <c r="L253" s="223"/>
      <c r="M253" s="223"/>
      <c r="N253" s="223"/>
      <c r="O253" s="223"/>
      <c r="P253" s="223"/>
      <c r="Q253" s="223"/>
      <c r="R253" s="223" t="s">
        <v>535</v>
      </c>
      <c r="S253" s="220">
        <f t="shared" ref="S253:S316" si="4">IFERROR(M253/O253,M253)</f>
        <v>0</v>
      </c>
      <c r="T253" s="219" t="str">
        <f>IFERROR(VLOOKUP($B253,'SIZE CALCULATION'!$F$2:$G$100,2,0),"")</f>
        <v/>
      </c>
    </row>
    <row r="254" spans="1:20" x14ac:dyDescent="0.2">
      <c r="A254" s="224"/>
      <c r="B254" s="222"/>
      <c r="C254" s="222"/>
      <c r="D254" s="224"/>
      <c r="E254" s="223"/>
      <c r="F254" s="223"/>
      <c r="G254" s="223"/>
      <c r="H254" s="223"/>
      <c r="I254" s="247"/>
      <c r="J254" s="223"/>
      <c r="K254" s="240"/>
      <c r="L254" s="223"/>
      <c r="M254" s="223"/>
      <c r="N254" s="223"/>
      <c r="O254" s="223"/>
      <c r="P254" s="223"/>
      <c r="Q254" s="223"/>
      <c r="R254" s="223" t="s">
        <v>535</v>
      </c>
      <c r="S254" s="220">
        <f t="shared" si="4"/>
        <v>0</v>
      </c>
      <c r="T254" s="219" t="str">
        <f>IFERROR(VLOOKUP($B254,'SIZE CALCULATION'!$F$2:$G$100,2,0),"")</f>
        <v/>
      </c>
    </row>
    <row r="255" spans="1:20" x14ac:dyDescent="0.2">
      <c r="A255" s="224"/>
      <c r="B255" s="222"/>
      <c r="C255" s="222"/>
      <c r="D255" s="224"/>
      <c r="E255" s="223"/>
      <c r="F255" s="223"/>
      <c r="G255" s="223"/>
      <c r="H255" s="223"/>
      <c r="I255" s="247"/>
      <c r="J255" s="223"/>
      <c r="K255" s="240"/>
      <c r="L255" s="223"/>
      <c r="M255" s="223"/>
      <c r="N255" s="223"/>
      <c r="O255" s="223"/>
      <c r="P255" s="223"/>
      <c r="Q255" s="223"/>
      <c r="R255" s="223" t="s">
        <v>535</v>
      </c>
      <c r="S255" s="220">
        <f t="shared" si="4"/>
        <v>0</v>
      </c>
      <c r="T255" s="219" t="str">
        <f>IFERROR(VLOOKUP($B255,'SIZE CALCULATION'!$F$2:$G$100,2,0),"")</f>
        <v/>
      </c>
    </row>
    <row r="256" spans="1:20" x14ac:dyDescent="0.2">
      <c r="A256" s="224"/>
      <c r="B256" s="222"/>
      <c r="C256" s="222"/>
      <c r="D256" s="224"/>
      <c r="E256" s="223"/>
      <c r="F256" s="223"/>
      <c r="G256" s="223"/>
      <c r="H256" s="223"/>
      <c r="I256" s="247"/>
      <c r="J256" s="223"/>
      <c r="K256" s="240"/>
      <c r="L256" s="223"/>
      <c r="M256" s="223"/>
      <c r="N256" s="223"/>
      <c r="O256" s="223"/>
      <c r="P256" s="223"/>
      <c r="Q256" s="223"/>
      <c r="R256" s="223" t="s">
        <v>535</v>
      </c>
      <c r="S256" s="220">
        <f t="shared" si="4"/>
        <v>0</v>
      </c>
      <c r="T256" s="219" t="str">
        <f>IFERROR(VLOOKUP($B256,'SIZE CALCULATION'!$F$2:$G$100,2,0),"")</f>
        <v/>
      </c>
    </row>
    <row r="257" spans="1:20" x14ac:dyDescent="0.2">
      <c r="A257" s="224"/>
      <c r="B257" s="222"/>
      <c r="C257" s="222"/>
      <c r="D257" s="224"/>
      <c r="E257" s="223"/>
      <c r="F257" s="223"/>
      <c r="G257" s="223"/>
      <c r="H257" s="223"/>
      <c r="I257" s="247"/>
      <c r="J257" s="223"/>
      <c r="K257" s="240"/>
      <c r="L257" s="223"/>
      <c r="M257" s="223"/>
      <c r="N257" s="223"/>
      <c r="O257" s="223"/>
      <c r="P257" s="223"/>
      <c r="Q257" s="223"/>
      <c r="R257" s="223" t="s">
        <v>535</v>
      </c>
      <c r="S257" s="220">
        <f t="shared" si="4"/>
        <v>0</v>
      </c>
      <c r="T257" s="219" t="str">
        <f>IFERROR(VLOOKUP($B257,'SIZE CALCULATION'!$F$2:$G$100,2,0),"")</f>
        <v/>
      </c>
    </row>
    <row r="258" spans="1:20" x14ac:dyDescent="0.2">
      <c r="A258" s="224"/>
      <c r="B258" s="222"/>
      <c r="C258" s="222"/>
      <c r="D258" s="224"/>
      <c r="E258" s="223"/>
      <c r="F258" s="223"/>
      <c r="G258" s="223"/>
      <c r="H258" s="223"/>
      <c r="I258" s="247"/>
      <c r="J258" s="223"/>
      <c r="K258" s="240"/>
      <c r="L258" s="223"/>
      <c r="M258" s="223"/>
      <c r="N258" s="223"/>
      <c r="O258" s="223"/>
      <c r="P258" s="223"/>
      <c r="Q258" s="223"/>
      <c r="R258" s="223" t="s">
        <v>535</v>
      </c>
      <c r="S258" s="220">
        <f t="shared" si="4"/>
        <v>0</v>
      </c>
      <c r="T258" s="219" t="str">
        <f>IFERROR(VLOOKUP($B258,'SIZE CALCULATION'!$F$2:$G$100,2,0),"")</f>
        <v/>
      </c>
    </row>
    <row r="259" spans="1:20" x14ac:dyDescent="0.2">
      <c r="A259" s="224"/>
      <c r="B259" s="222"/>
      <c r="C259" s="222"/>
      <c r="D259" s="224"/>
      <c r="E259" s="223"/>
      <c r="F259" s="223"/>
      <c r="G259" s="223"/>
      <c r="H259" s="223"/>
      <c r="I259" s="247"/>
      <c r="J259" s="223"/>
      <c r="K259" s="240"/>
      <c r="L259" s="223"/>
      <c r="M259" s="223"/>
      <c r="N259" s="223"/>
      <c r="O259" s="223"/>
      <c r="P259" s="223"/>
      <c r="Q259" s="223"/>
      <c r="R259" s="223" t="s">
        <v>535</v>
      </c>
      <c r="S259" s="220">
        <f t="shared" si="4"/>
        <v>0</v>
      </c>
      <c r="T259" s="219" t="str">
        <f>IFERROR(VLOOKUP($B259,'SIZE CALCULATION'!$F$2:$G$100,2,0),"")</f>
        <v/>
      </c>
    </row>
    <row r="260" spans="1:20" x14ac:dyDescent="0.2">
      <c r="A260" s="224"/>
      <c r="B260" s="222"/>
      <c r="C260" s="222"/>
      <c r="D260" s="224"/>
      <c r="E260" s="223"/>
      <c r="F260" s="223"/>
      <c r="G260" s="223"/>
      <c r="H260" s="223"/>
      <c r="I260" s="247"/>
      <c r="J260" s="223"/>
      <c r="K260" s="240"/>
      <c r="L260" s="223"/>
      <c r="M260" s="223"/>
      <c r="N260" s="223"/>
      <c r="O260" s="223"/>
      <c r="P260" s="223"/>
      <c r="Q260" s="223"/>
      <c r="R260" s="223" t="s">
        <v>535</v>
      </c>
      <c r="S260" s="220">
        <f t="shared" si="4"/>
        <v>0</v>
      </c>
      <c r="T260" s="219" t="str">
        <f>IFERROR(VLOOKUP($B260,'SIZE CALCULATION'!$F$2:$G$100,2,0),"")</f>
        <v/>
      </c>
    </row>
    <row r="261" spans="1:20" x14ac:dyDescent="0.2">
      <c r="A261" s="224"/>
      <c r="B261" s="222"/>
      <c r="C261" s="222"/>
      <c r="D261" s="224"/>
      <c r="E261" s="223"/>
      <c r="F261" s="223"/>
      <c r="G261" s="223"/>
      <c r="H261" s="223"/>
      <c r="I261" s="247"/>
      <c r="J261" s="223"/>
      <c r="K261" s="240"/>
      <c r="L261" s="223"/>
      <c r="M261" s="223"/>
      <c r="N261" s="223"/>
      <c r="O261" s="223"/>
      <c r="P261" s="223"/>
      <c r="Q261" s="223"/>
      <c r="R261" s="223" t="s">
        <v>535</v>
      </c>
      <c r="S261" s="220">
        <f t="shared" si="4"/>
        <v>0</v>
      </c>
      <c r="T261" s="219" t="str">
        <f>IFERROR(VLOOKUP($B261,'SIZE CALCULATION'!$F$2:$G$100,2,0),"")</f>
        <v/>
      </c>
    </row>
    <row r="262" spans="1:20" x14ac:dyDescent="0.2">
      <c r="A262" s="224"/>
      <c r="B262" s="222"/>
      <c r="C262" s="222"/>
      <c r="D262" s="224"/>
      <c r="E262" s="223"/>
      <c r="F262" s="223"/>
      <c r="G262" s="223"/>
      <c r="H262" s="223"/>
      <c r="I262" s="247"/>
      <c r="J262" s="223"/>
      <c r="K262" s="240"/>
      <c r="L262" s="223"/>
      <c r="M262" s="223"/>
      <c r="N262" s="223"/>
      <c r="O262" s="223"/>
      <c r="P262" s="223"/>
      <c r="Q262" s="223"/>
      <c r="R262" s="223" t="s">
        <v>535</v>
      </c>
      <c r="S262" s="220">
        <f t="shared" si="4"/>
        <v>0</v>
      </c>
      <c r="T262" s="219" t="str">
        <f>IFERROR(VLOOKUP($B262,'SIZE CALCULATION'!$F$2:$G$100,2,0),"")</f>
        <v/>
      </c>
    </row>
    <row r="263" spans="1:20" x14ac:dyDescent="0.2">
      <c r="A263" s="224"/>
      <c r="B263" s="222"/>
      <c r="C263" s="222"/>
      <c r="D263" s="224"/>
      <c r="E263" s="223"/>
      <c r="F263" s="223"/>
      <c r="G263" s="223"/>
      <c r="H263" s="223"/>
      <c r="I263" s="247"/>
      <c r="J263" s="223"/>
      <c r="K263" s="240"/>
      <c r="L263" s="223"/>
      <c r="M263" s="223"/>
      <c r="N263" s="223"/>
      <c r="O263" s="223"/>
      <c r="P263" s="223"/>
      <c r="Q263" s="223"/>
      <c r="R263" s="223" t="s">
        <v>535</v>
      </c>
      <c r="S263" s="220">
        <f t="shared" si="4"/>
        <v>0</v>
      </c>
      <c r="T263" s="219" t="str">
        <f>IFERROR(VLOOKUP($B263,'SIZE CALCULATION'!$F$2:$G$100,2,0),"")</f>
        <v/>
      </c>
    </row>
    <row r="264" spans="1:20" x14ac:dyDescent="0.2">
      <c r="A264" s="224"/>
      <c r="B264" s="222"/>
      <c r="C264" s="222"/>
      <c r="D264" s="224"/>
      <c r="E264" s="223"/>
      <c r="F264" s="223"/>
      <c r="G264" s="223"/>
      <c r="H264" s="223"/>
      <c r="I264" s="247"/>
      <c r="J264" s="223"/>
      <c r="K264" s="240"/>
      <c r="L264" s="223"/>
      <c r="M264" s="223"/>
      <c r="N264" s="223"/>
      <c r="O264" s="223"/>
      <c r="P264" s="223"/>
      <c r="Q264" s="223"/>
      <c r="R264" s="223" t="s">
        <v>535</v>
      </c>
      <c r="S264" s="220">
        <f t="shared" si="4"/>
        <v>0</v>
      </c>
      <c r="T264" s="219" t="str">
        <f>IFERROR(VLOOKUP($B264,'SIZE CALCULATION'!$F$2:$G$100,2,0),"")</f>
        <v/>
      </c>
    </row>
    <row r="265" spans="1:20" x14ac:dyDescent="0.2">
      <c r="A265" s="224"/>
      <c r="B265" s="222"/>
      <c r="C265" s="222"/>
      <c r="D265" s="224"/>
      <c r="E265" s="223"/>
      <c r="F265" s="223"/>
      <c r="G265" s="223"/>
      <c r="H265" s="223"/>
      <c r="I265" s="247"/>
      <c r="J265" s="223"/>
      <c r="K265" s="240"/>
      <c r="L265" s="223"/>
      <c r="M265" s="223"/>
      <c r="N265" s="223"/>
      <c r="O265" s="223"/>
      <c r="P265" s="223"/>
      <c r="Q265" s="223"/>
      <c r="R265" s="223" t="s">
        <v>535</v>
      </c>
      <c r="S265" s="220">
        <f t="shared" si="4"/>
        <v>0</v>
      </c>
      <c r="T265" s="219" t="str">
        <f>IFERROR(VLOOKUP($B265,'SIZE CALCULATION'!$F$2:$G$100,2,0),"")</f>
        <v/>
      </c>
    </row>
    <row r="266" spans="1:20" x14ac:dyDescent="0.2">
      <c r="A266" s="224"/>
      <c r="B266" s="222"/>
      <c r="C266" s="222"/>
      <c r="D266" s="224"/>
      <c r="E266" s="223"/>
      <c r="F266" s="223"/>
      <c r="G266" s="223"/>
      <c r="H266" s="223"/>
      <c r="I266" s="247"/>
      <c r="J266" s="223"/>
      <c r="K266" s="240"/>
      <c r="L266" s="223"/>
      <c r="M266" s="223"/>
      <c r="N266" s="223"/>
      <c r="O266" s="223"/>
      <c r="P266" s="223"/>
      <c r="Q266" s="223"/>
      <c r="R266" s="223" t="s">
        <v>535</v>
      </c>
      <c r="S266" s="220">
        <f t="shared" si="4"/>
        <v>0</v>
      </c>
      <c r="T266" s="219" t="str">
        <f>IFERROR(VLOOKUP($B266,'SIZE CALCULATION'!$F$2:$G$100,2,0),"")</f>
        <v/>
      </c>
    </row>
    <row r="267" spans="1:20" x14ac:dyDescent="0.2">
      <c r="A267" s="224"/>
      <c r="B267" s="222"/>
      <c r="C267" s="222"/>
      <c r="D267" s="224"/>
      <c r="E267" s="223"/>
      <c r="F267" s="223"/>
      <c r="G267" s="223"/>
      <c r="H267" s="223"/>
      <c r="I267" s="247"/>
      <c r="J267" s="223"/>
      <c r="K267" s="240"/>
      <c r="L267" s="223"/>
      <c r="M267" s="223"/>
      <c r="N267" s="223"/>
      <c r="O267" s="223"/>
      <c r="P267" s="223"/>
      <c r="Q267" s="223"/>
      <c r="R267" s="223" t="s">
        <v>535</v>
      </c>
      <c r="S267" s="220">
        <f t="shared" si="4"/>
        <v>0</v>
      </c>
      <c r="T267" s="219" t="str">
        <f>IFERROR(VLOOKUP($B267,'SIZE CALCULATION'!$F$2:$G$100,2,0),"")</f>
        <v/>
      </c>
    </row>
    <row r="268" spans="1:20" x14ac:dyDescent="0.2">
      <c r="A268" s="224"/>
      <c r="B268" s="222"/>
      <c r="C268" s="222"/>
      <c r="D268" s="224"/>
      <c r="E268" s="223"/>
      <c r="F268" s="223"/>
      <c r="G268" s="223"/>
      <c r="H268" s="223"/>
      <c r="I268" s="247"/>
      <c r="J268" s="223"/>
      <c r="K268" s="240"/>
      <c r="L268" s="223"/>
      <c r="M268" s="223"/>
      <c r="N268" s="223"/>
      <c r="O268" s="223"/>
      <c r="P268" s="223"/>
      <c r="Q268" s="223"/>
      <c r="R268" s="223" t="s">
        <v>535</v>
      </c>
      <c r="S268" s="220">
        <f t="shared" si="4"/>
        <v>0</v>
      </c>
      <c r="T268" s="219" t="str">
        <f>IFERROR(VLOOKUP($B268,'SIZE CALCULATION'!$F$2:$G$100,2,0),"")</f>
        <v/>
      </c>
    </row>
    <row r="269" spans="1:20" x14ac:dyDescent="0.2">
      <c r="A269" s="224"/>
      <c r="B269" s="222"/>
      <c r="C269" s="222"/>
      <c r="D269" s="224"/>
      <c r="E269" s="223"/>
      <c r="F269" s="223"/>
      <c r="G269" s="223"/>
      <c r="H269" s="223"/>
      <c r="I269" s="247"/>
      <c r="J269" s="223"/>
      <c r="K269" s="240"/>
      <c r="L269" s="223"/>
      <c r="M269" s="223"/>
      <c r="N269" s="223"/>
      <c r="O269" s="223"/>
      <c r="P269" s="223"/>
      <c r="Q269" s="223"/>
      <c r="R269" s="223" t="s">
        <v>535</v>
      </c>
      <c r="S269" s="220">
        <f t="shared" si="4"/>
        <v>0</v>
      </c>
      <c r="T269" s="219" t="str">
        <f>IFERROR(VLOOKUP($B269,'SIZE CALCULATION'!$F$2:$G$100,2,0),"")</f>
        <v/>
      </c>
    </row>
    <row r="270" spans="1:20" x14ac:dyDescent="0.2">
      <c r="A270" s="224"/>
      <c r="B270" s="222"/>
      <c r="C270" s="222"/>
      <c r="D270" s="224"/>
      <c r="E270" s="223"/>
      <c r="F270" s="223"/>
      <c r="G270" s="223"/>
      <c r="H270" s="223"/>
      <c r="I270" s="247"/>
      <c r="J270" s="223"/>
      <c r="K270" s="240"/>
      <c r="L270" s="223"/>
      <c r="M270" s="223"/>
      <c r="N270" s="223"/>
      <c r="O270" s="223"/>
      <c r="P270" s="223"/>
      <c r="Q270" s="223"/>
      <c r="R270" s="223" t="s">
        <v>535</v>
      </c>
      <c r="S270" s="220">
        <f t="shared" si="4"/>
        <v>0</v>
      </c>
      <c r="T270" s="219" t="str">
        <f>IFERROR(VLOOKUP($B270,'SIZE CALCULATION'!$F$2:$G$100,2,0),"")</f>
        <v/>
      </c>
    </row>
    <row r="271" spans="1:20" x14ac:dyDescent="0.2">
      <c r="A271" s="224"/>
      <c r="B271" s="222"/>
      <c r="C271" s="222"/>
      <c r="D271" s="224"/>
      <c r="E271" s="223"/>
      <c r="F271" s="223"/>
      <c r="G271" s="223"/>
      <c r="H271" s="223"/>
      <c r="I271" s="247"/>
      <c r="J271" s="223"/>
      <c r="K271" s="240"/>
      <c r="L271" s="223"/>
      <c r="M271" s="223"/>
      <c r="N271" s="223"/>
      <c r="O271" s="223"/>
      <c r="P271" s="223"/>
      <c r="Q271" s="223"/>
      <c r="R271" s="223" t="s">
        <v>535</v>
      </c>
      <c r="S271" s="220">
        <f t="shared" si="4"/>
        <v>0</v>
      </c>
      <c r="T271" s="219" t="str">
        <f>IFERROR(VLOOKUP($B271,'SIZE CALCULATION'!$F$2:$G$100,2,0),"")</f>
        <v/>
      </c>
    </row>
    <row r="272" spans="1:20" x14ac:dyDescent="0.2">
      <c r="A272" s="224"/>
      <c r="B272" s="222"/>
      <c r="C272" s="222"/>
      <c r="D272" s="224"/>
      <c r="E272" s="223"/>
      <c r="F272" s="223"/>
      <c r="G272" s="223"/>
      <c r="H272" s="223"/>
      <c r="I272" s="247"/>
      <c r="J272" s="223"/>
      <c r="K272" s="240"/>
      <c r="L272" s="223"/>
      <c r="M272" s="223"/>
      <c r="N272" s="223"/>
      <c r="O272" s="223"/>
      <c r="P272" s="223"/>
      <c r="Q272" s="223"/>
      <c r="R272" s="223" t="s">
        <v>535</v>
      </c>
      <c r="S272" s="220">
        <f t="shared" si="4"/>
        <v>0</v>
      </c>
      <c r="T272" s="219" t="str">
        <f>IFERROR(VLOOKUP($B272,'SIZE CALCULATION'!$F$2:$G$100,2,0),"")</f>
        <v/>
      </c>
    </row>
    <row r="273" spans="1:20" x14ac:dyDescent="0.2">
      <c r="A273" s="224"/>
      <c r="B273" s="222"/>
      <c r="C273" s="222"/>
      <c r="D273" s="224"/>
      <c r="E273" s="223"/>
      <c r="F273" s="223"/>
      <c r="G273" s="223"/>
      <c r="H273" s="223"/>
      <c r="I273" s="247"/>
      <c r="J273" s="223"/>
      <c r="K273" s="240"/>
      <c r="L273" s="223"/>
      <c r="M273" s="223"/>
      <c r="N273" s="223"/>
      <c r="O273" s="223"/>
      <c r="P273" s="223"/>
      <c r="Q273" s="223"/>
      <c r="R273" s="223" t="s">
        <v>535</v>
      </c>
      <c r="S273" s="220">
        <f t="shared" si="4"/>
        <v>0</v>
      </c>
      <c r="T273" s="219" t="str">
        <f>IFERROR(VLOOKUP($B273,'SIZE CALCULATION'!$F$2:$G$100,2,0),"")</f>
        <v/>
      </c>
    </row>
    <row r="274" spans="1:20" x14ac:dyDescent="0.2">
      <c r="A274" s="224"/>
      <c r="B274" s="222"/>
      <c r="C274" s="222"/>
      <c r="D274" s="224"/>
      <c r="E274" s="223"/>
      <c r="F274" s="223"/>
      <c r="G274" s="223"/>
      <c r="H274" s="223"/>
      <c r="I274" s="247"/>
      <c r="J274" s="223"/>
      <c r="K274" s="240"/>
      <c r="L274" s="223"/>
      <c r="M274" s="223"/>
      <c r="N274" s="223"/>
      <c r="O274" s="223"/>
      <c r="P274" s="223"/>
      <c r="Q274" s="223"/>
      <c r="R274" s="223" t="s">
        <v>535</v>
      </c>
      <c r="S274" s="220">
        <f t="shared" si="4"/>
        <v>0</v>
      </c>
      <c r="T274" s="219" t="str">
        <f>IFERROR(VLOOKUP($B274,'SIZE CALCULATION'!$F$2:$G$100,2,0),"")</f>
        <v/>
      </c>
    </row>
    <row r="275" spans="1:20" x14ac:dyDescent="0.2">
      <c r="A275" s="224"/>
      <c r="B275" s="222"/>
      <c r="C275" s="222"/>
      <c r="D275" s="224"/>
      <c r="E275" s="223"/>
      <c r="F275" s="223"/>
      <c r="G275" s="223"/>
      <c r="H275" s="223"/>
      <c r="I275" s="247"/>
      <c r="J275" s="223"/>
      <c r="K275" s="240"/>
      <c r="L275" s="223"/>
      <c r="M275" s="223"/>
      <c r="N275" s="223"/>
      <c r="O275" s="223"/>
      <c r="P275" s="223"/>
      <c r="Q275" s="223"/>
      <c r="R275" s="223" t="s">
        <v>535</v>
      </c>
      <c r="S275" s="220">
        <f t="shared" si="4"/>
        <v>0</v>
      </c>
      <c r="T275" s="219" t="str">
        <f>IFERROR(VLOOKUP($B275,'SIZE CALCULATION'!$F$2:$G$100,2,0),"")</f>
        <v/>
      </c>
    </row>
    <row r="276" spans="1:20" x14ac:dyDescent="0.2">
      <c r="A276" s="236"/>
      <c r="B276" s="222"/>
      <c r="C276" s="222"/>
      <c r="D276" s="224"/>
      <c r="E276" s="223"/>
      <c r="F276" s="223"/>
      <c r="G276" s="223"/>
      <c r="H276" s="223"/>
      <c r="I276" s="247"/>
      <c r="J276" s="223"/>
      <c r="K276" s="240"/>
      <c r="L276" s="223"/>
      <c r="M276" s="223"/>
      <c r="N276" s="223"/>
      <c r="O276" s="223"/>
      <c r="P276" s="223"/>
      <c r="Q276" s="223"/>
      <c r="R276" s="223" t="s">
        <v>535</v>
      </c>
      <c r="S276" s="220">
        <f t="shared" si="4"/>
        <v>0</v>
      </c>
      <c r="T276" s="219" t="str">
        <f>IFERROR(VLOOKUP($B276,'SIZE CALCULATION'!$F$2:$G$100,2,0),"")</f>
        <v/>
      </c>
    </row>
    <row r="277" spans="1:20" x14ac:dyDescent="0.2">
      <c r="A277" s="236"/>
      <c r="B277" s="222"/>
      <c r="C277" s="222"/>
      <c r="D277" s="224"/>
      <c r="E277" s="223"/>
      <c r="F277" s="223"/>
      <c r="G277" s="223"/>
      <c r="H277" s="223"/>
      <c r="I277" s="247"/>
      <c r="J277" s="223"/>
      <c r="K277" s="240"/>
      <c r="L277" s="223"/>
      <c r="M277" s="223"/>
      <c r="N277" s="223"/>
      <c r="O277" s="223"/>
      <c r="P277" s="223"/>
      <c r="Q277" s="223"/>
      <c r="R277" s="223" t="s">
        <v>535</v>
      </c>
      <c r="S277" s="220">
        <f t="shared" si="4"/>
        <v>0</v>
      </c>
      <c r="T277" s="219" t="str">
        <f>IFERROR(VLOOKUP($B277,'SIZE CALCULATION'!$F$2:$G$100,2,0),"")</f>
        <v/>
      </c>
    </row>
    <row r="278" spans="1:20" x14ac:dyDescent="0.2">
      <c r="A278" s="236"/>
      <c r="B278" s="222"/>
      <c r="C278" s="222"/>
      <c r="D278" s="224"/>
      <c r="E278" s="223"/>
      <c r="F278" s="223"/>
      <c r="G278" s="223"/>
      <c r="H278" s="223"/>
      <c r="I278" s="247"/>
      <c r="J278" s="223"/>
      <c r="K278" s="240"/>
      <c r="L278" s="223"/>
      <c r="M278" s="223"/>
      <c r="N278" s="223"/>
      <c r="O278" s="223"/>
      <c r="P278" s="223"/>
      <c r="Q278" s="223"/>
      <c r="R278" s="223" t="s">
        <v>535</v>
      </c>
      <c r="S278" s="220">
        <f t="shared" si="4"/>
        <v>0</v>
      </c>
      <c r="T278" s="219" t="str">
        <f>IFERROR(VLOOKUP($B278,'SIZE CALCULATION'!$F$2:$G$100,2,0),"")</f>
        <v/>
      </c>
    </row>
    <row r="279" spans="1:20" x14ac:dyDescent="0.2">
      <c r="A279" s="236"/>
      <c r="B279" s="222"/>
      <c r="C279" s="222"/>
      <c r="D279" s="224"/>
      <c r="E279" s="223"/>
      <c r="F279" s="223"/>
      <c r="G279" s="223"/>
      <c r="H279" s="223"/>
      <c r="I279" s="247"/>
      <c r="J279" s="223"/>
      <c r="K279" s="240"/>
      <c r="L279" s="223"/>
      <c r="M279" s="223"/>
      <c r="N279" s="223"/>
      <c r="O279" s="223"/>
      <c r="P279" s="223"/>
      <c r="Q279" s="223"/>
      <c r="R279" s="223" t="s">
        <v>535</v>
      </c>
      <c r="S279" s="220">
        <f t="shared" si="4"/>
        <v>0</v>
      </c>
      <c r="T279" s="219" t="str">
        <f>IFERROR(VLOOKUP($B279,'SIZE CALCULATION'!$F$2:$G$100,2,0),"")</f>
        <v/>
      </c>
    </row>
    <row r="280" spans="1:20" x14ac:dyDescent="0.2">
      <c r="A280" s="236"/>
      <c r="B280" s="222"/>
      <c r="C280" s="222"/>
      <c r="D280" s="224"/>
      <c r="E280" s="223"/>
      <c r="F280" s="223"/>
      <c r="G280" s="223"/>
      <c r="H280" s="223"/>
      <c r="I280" s="247"/>
      <c r="J280" s="223"/>
      <c r="K280" s="240"/>
      <c r="L280" s="223"/>
      <c r="M280" s="223"/>
      <c r="N280" s="223"/>
      <c r="O280" s="223"/>
      <c r="P280" s="223"/>
      <c r="Q280" s="223"/>
      <c r="R280" s="223" t="s">
        <v>535</v>
      </c>
      <c r="S280" s="220">
        <f t="shared" si="4"/>
        <v>0</v>
      </c>
      <c r="T280" s="219" t="str">
        <f>IFERROR(VLOOKUP($B280,'SIZE CALCULATION'!$F$2:$G$100,2,0),"")</f>
        <v/>
      </c>
    </row>
    <row r="281" spans="1:20" x14ac:dyDescent="0.2">
      <c r="A281" s="236"/>
      <c r="B281" s="222"/>
      <c r="C281" s="222"/>
      <c r="D281" s="224"/>
      <c r="E281" s="223"/>
      <c r="F281" s="223"/>
      <c r="G281" s="223"/>
      <c r="H281" s="223"/>
      <c r="I281" s="247"/>
      <c r="J281" s="223"/>
      <c r="K281" s="240"/>
      <c r="L281" s="223"/>
      <c r="M281" s="223"/>
      <c r="N281" s="223"/>
      <c r="O281" s="223"/>
      <c r="P281" s="223"/>
      <c r="Q281" s="223"/>
      <c r="R281" s="223" t="s">
        <v>535</v>
      </c>
      <c r="S281" s="220">
        <f t="shared" si="4"/>
        <v>0</v>
      </c>
      <c r="T281" s="219" t="str">
        <f>IFERROR(VLOOKUP($B281,'SIZE CALCULATION'!$F$2:$G$100,2,0),"")</f>
        <v/>
      </c>
    </row>
    <row r="282" spans="1:20" x14ac:dyDescent="0.2">
      <c r="A282" s="236"/>
      <c r="B282" s="222"/>
      <c r="C282" s="222"/>
      <c r="D282" s="224"/>
      <c r="E282" s="223"/>
      <c r="F282" s="223"/>
      <c r="G282" s="223"/>
      <c r="H282" s="223"/>
      <c r="I282" s="247"/>
      <c r="J282" s="223"/>
      <c r="K282" s="240"/>
      <c r="L282" s="223"/>
      <c r="M282" s="223"/>
      <c r="N282" s="223"/>
      <c r="O282" s="223"/>
      <c r="P282" s="223"/>
      <c r="Q282" s="223"/>
      <c r="R282" s="223" t="s">
        <v>535</v>
      </c>
      <c r="S282" s="220">
        <f t="shared" si="4"/>
        <v>0</v>
      </c>
      <c r="T282" s="219" t="str">
        <f>IFERROR(VLOOKUP($B282,'SIZE CALCULATION'!$F$2:$G$100,2,0),"")</f>
        <v/>
      </c>
    </row>
    <row r="283" spans="1:20" x14ac:dyDescent="0.2">
      <c r="A283" s="236"/>
      <c r="B283" s="222"/>
      <c r="C283" s="222"/>
      <c r="D283" s="224"/>
      <c r="E283" s="223"/>
      <c r="F283" s="223"/>
      <c r="G283" s="223"/>
      <c r="H283" s="223"/>
      <c r="I283" s="247"/>
      <c r="J283" s="223"/>
      <c r="K283" s="240"/>
      <c r="L283" s="223"/>
      <c r="M283" s="223"/>
      <c r="N283" s="223"/>
      <c r="O283" s="223"/>
      <c r="P283" s="223"/>
      <c r="Q283" s="223"/>
      <c r="R283" s="223" t="s">
        <v>535</v>
      </c>
      <c r="S283" s="220">
        <f t="shared" si="4"/>
        <v>0</v>
      </c>
      <c r="T283" s="219" t="str">
        <f>IFERROR(VLOOKUP($B283,'SIZE CALCULATION'!$F$2:$G$100,2,0),"")</f>
        <v/>
      </c>
    </row>
    <row r="284" spans="1:20" x14ac:dyDescent="0.2">
      <c r="A284" s="236"/>
      <c r="B284" s="222"/>
      <c r="C284" s="222"/>
      <c r="D284" s="224"/>
      <c r="E284" s="223"/>
      <c r="F284" s="223"/>
      <c r="G284" s="223"/>
      <c r="H284" s="223"/>
      <c r="I284" s="247"/>
      <c r="J284" s="223"/>
      <c r="K284" s="240"/>
      <c r="L284" s="223"/>
      <c r="M284" s="223"/>
      <c r="N284" s="223"/>
      <c r="O284" s="223"/>
      <c r="P284" s="223"/>
      <c r="Q284" s="223"/>
      <c r="R284" s="223" t="s">
        <v>535</v>
      </c>
      <c r="S284" s="220">
        <f t="shared" si="4"/>
        <v>0</v>
      </c>
      <c r="T284" s="219" t="str">
        <f>IFERROR(VLOOKUP($B284,'SIZE CALCULATION'!$F$2:$G$100,2,0),"")</f>
        <v/>
      </c>
    </row>
    <row r="285" spans="1:20" x14ac:dyDescent="0.2">
      <c r="A285" s="236"/>
      <c r="B285" s="222"/>
      <c r="C285" s="222"/>
      <c r="D285" s="224"/>
      <c r="E285" s="223"/>
      <c r="F285" s="223"/>
      <c r="G285" s="223"/>
      <c r="H285" s="223"/>
      <c r="I285" s="247"/>
      <c r="J285" s="223"/>
      <c r="K285" s="240"/>
      <c r="L285" s="223"/>
      <c r="M285" s="223"/>
      <c r="N285" s="223"/>
      <c r="O285" s="223"/>
      <c r="P285" s="223"/>
      <c r="Q285" s="223"/>
      <c r="R285" s="223" t="s">
        <v>535</v>
      </c>
      <c r="S285" s="220">
        <f t="shared" si="4"/>
        <v>0</v>
      </c>
      <c r="T285" s="219" t="str">
        <f>IFERROR(VLOOKUP($B285,'SIZE CALCULATION'!$F$2:$G$100,2,0),"")</f>
        <v/>
      </c>
    </row>
    <row r="286" spans="1:20" x14ac:dyDescent="0.2">
      <c r="A286" s="236"/>
      <c r="B286" s="222"/>
      <c r="C286" s="222"/>
      <c r="D286" s="224"/>
      <c r="E286" s="223"/>
      <c r="F286" s="223"/>
      <c r="G286" s="223"/>
      <c r="H286" s="223"/>
      <c r="I286" s="247"/>
      <c r="J286" s="223"/>
      <c r="K286" s="240"/>
      <c r="L286" s="223"/>
      <c r="M286" s="223"/>
      <c r="N286" s="223"/>
      <c r="O286" s="223"/>
      <c r="P286" s="223"/>
      <c r="Q286" s="223"/>
      <c r="R286" s="223" t="s">
        <v>535</v>
      </c>
      <c r="S286" s="220">
        <f t="shared" si="4"/>
        <v>0</v>
      </c>
      <c r="T286" s="219" t="str">
        <f>IFERROR(VLOOKUP($B286,'SIZE CALCULATION'!$F$2:$G$100,2,0),"")</f>
        <v/>
      </c>
    </row>
    <row r="287" spans="1:20" x14ac:dyDescent="0.2">
      <c r="A287" s="236"/>
      <c r="B287" s="222"/>
      <c r="C287" s="222"/>
      <c r="D287" s="224"/>
      <c r="E287" s="223"/>
      <c r="F287" s="223"/>
      <c r="G287" s="223"/>
      <c r="H287" s="223"/>
      <c r="I287" s="247"/>
      <c r="J287" s="223"/>
      <c r="K287" s="240"/>
      <c r="L287" s="223"/>
      <c r="M287" s="223"/>
      <c r="N287" s="223"/>
      <c r="O287" s="223"/>
      <c r="P287" s="223"/>
      <c r="Q287" s="223"/>
      <c r="R287" s="223" t="s">
        <v>535</v>
      </c>
      <c r="S287" s="220">
        <f t="shared" si="4"/>
        <v>0</v>
      </c>
      <c r="T287" s="219" t="str">
        <f>IFERROR(VLOOKUP($B287,'SIZE CALCULATION'!$F$2:$G$100,2,0),"")</f>
        <v/>
      </c>
    </row>
    <row r="288" spans="1:20" x14ac:dyDescent="0.2">
      <c r="A288" s="236"/>
      <c r="B288" s="222"/>
      <c r="C288" s="222"/>
      <c r="D288" s="224"/>
      <c r="E288" s="223"/>
      <c r="F288" s="223"/>
      <c r="G288" s="223"/>
      <c r="H288" s="223"/>
      <c r="I288" s="247"/>
      <c r="J288" s="223"/>
      <c r="K288" s="240"/>
      <c r="L288" s="223"/>
      <c r="M288" s="223"/>
      <c r="N288" s="223"/>
      <c r="O288" s="223"/>
      <c r="P288" s="223"/>
      <c r="Q288" s="223"/>
      <c r="R288" s="223" t="s">
        <v>535</v>
      </c>
      <c r="S288" s="220">
        <f t="shared" si="4"/>
        <v>0</v>
      </c>
      <c r="T288" s="219" t="str">
        <f>IFERROR(VLOOKUP($B288,'SIZE CALCULATION'!$F$2:$G$100,2,0),"")</f>
        <v/>
      </c>
    </row>
    <row r="289" spans="1:20" x14ac:dyDescent="0.2">
      <c r="A289" s="236"/>
      <c r="B289" s="222"/>
      <c r="C289" s="222"/>
      <c r="D289" s="224"/>
      <c r="E289" s="223"/>
      <c r="F289" s="223"/>
      <c r="G289" s="223"/>
      <c r="H289" s="223"/>
      <c r="I289" s="247"/>
      <c r="J289" s="223"/>
      <c r="K289" s="240"/>
      <c r="L289" s="223"/>
      <c r="M289" s="223"/>
      <c r="N289" s="223"/>
      <c r="O289" s="223"/>
      <c r="P289" s="223"/>
      <c r="Q289" s="223"/>
      <c r="R289" s="223" t="s">
        <v>535</v>
      </c>
      <c r="S289" s="220">
        <f t="shared" si="4"/>
        <v>0</v>
      </c>
      <c r="T289" s="219" t="str">
        <f>IFERROR(VLOOKUP($B289,'SIZE CALCULATION'!$F$2:$G$100,2,0),"")</f>
        <v/>
      </c>
    </row>
    <row r="290" spans="1:20" x14ac:dyDescent="0.2">
      <c r="A290" s="236"/>
      <c r="B290" s="222"/>
      <c r="C290" s="222"/>
      <c r="D290" s="224"/>
      <c r="E290" s="223"/>
      <c r="F290" s="223"/>
      <c r="G290" s="223"/>
      <c r="H290" s="223"/>
      <c r="I290" s="247"/>
      <c r="J290" s="223"/>
      <c r="K290" s="240"/>
      <c r="L290" s="223"/>
      <c r="M290" s="223"/>
      <c r="N290" s="223"/>
      <c r="O290" s="223"/>
      <c r="P290" s="223"/>
      <c r="Q290" s="223"/>
      <c r="R290" s="223" t="s">
        <v>535</v>
      </c>
      <c r="S290" s="220">
        <f t="shared" si="4"/>
        <v>0</v>
      </c>
      <c r="T290" s="219" t="str">
        <f>IFERROR(VLOOKUP($B290,'SIZE CALCULATION'!$F$2:$G$100,2,0),"")</f>
        <v/>
      </c>
    </row>
    <row r="291" spans="1:20" x14ac:dyDescent="0.2">
      <c r="A291" s="236"/>
      <c r="B291" s="222"/>
      <c r="C291" s="222"/>
      <c r="D291" s="224"/>
      <c r="E291" s="223"/>
      <c r="F291" s="223"/>
      <c r="G291" s="223"/>
      <c r="H291" s="223"/>
      <c r="I291" s="247"/>
      <c r="J291" s="223"/>
      <c r="K291" s="240"/>
      <c r="L291" s="223"/>
      <c r="M291" s="223"/>
      <c r="N291" s="223"/>
      <c r="O291" s="223"/>
      <c r="P291" s="223"/>
      <c r="Q291" s="223"/>
      <c r="R291" s="223" t="s">
        <v>535</v>
      </c>
      <c r="S291" s="220">
        <f t="shared" si="4"/>
        <v>0</v>
      </c>
      <c r="T291" s="219" t="str">
        <f>IFERROR(VLOOKUP($B291,'SIZE CALCULATION'!$F$2:$G$100,2,0),"")</f>
        <v/>
      </c>
    </row>
    <row r="292" spans="1:20" x14ac:dyDescent="0.2">
      <c r="A292" s="236"/>
      <c r="B292" s="222"/>
      <c r="C292" s="222"/>
      <c r="D292" s="224"/>
      <c r="E292" s="223"/>
      <c r="F292" s="223"/>
      <c r="G292" s="223"/>
      <c r="H292" s="223"/>
      <c r="I292" s="247"/>
      <c r="J292" s="223"/>
      <c r="K292" s="240"/>
      <c r="L292" s="223"/>
      <c r="M292" s="223"/>
      <c r="N292" s="223"/>
      <c r="O292" s="223"/>
      <c r="P292" s="223"/>
      <c r="Q292" s="223"/>
      <c r="R292" s="223" t="s">
        <v>535</v>
      </c>
      <c r="S292" s="220">
        <f t="shared" si="4"/>
        <v>0</v>
      </c>
      <c r="T292" s="219" t="str">
        <f>IFERROR(VLOOKUP($B292,'SIZE CALCULATION'!$F$2:$G$100,2,0),"")</f>
        <v/>
      </c>
    </row>
    <row r="293" spans="1:20" x14ac:dyDescent="0.2">
      <c r="A293" s="236"/>
      <c r="B293" s="222"/>
      <c r="C293" s="222"/>
      <c r="D293" s="224"/>
      <c r="E293" s="223"/>
      <c r="F293" s="223"/>
      <c r="G293" s="223"/>
      <c r="H293" s="223"/>
      <c r="I293" s="247"/>
      <c r="J293" s="223"/>
      <c r="K293" s="240"/>
      <c r="L293" s="223"/>
      <c r="M293" s="223"/>
      <c r="N293" s="223"/>
      <c r="O293" s="223"/>
      <c r="P293" s="223"/>
      <c r="Q293" s="223"/>
      <c r="R293" s="223" t="s">
        <v>535</v>
      </c>
      <c r="S293" s="220">
        <f t="shared" si="4"/>
        <v>0</v>
      </c>
      <c r="T293" s="219" t="str">
        <f>IFERROR(VLOOKUP($B293,'SIZE CALCULATION'!$F$2:$G$100,2,0),"")</f>
        <v/>
      </c>
    </row>
    <row r="294" spans="1:20" x14ac:dyDescent="0.2">
      <c r="A294" s="236"/>
      <c r="B294" s="222"/>
      <c r="C294" s="222"/>
      <c r="D294" s="224"/>
      <c r="E294" s="223"/>
      <c r="F294" s="223"/>
      <c r="G294" s="223"/>
      <c r="H294" s="223"/>
      <c r="I294" s="247"/>
      <c r="J294" s="223"/>
      <c r="K294" s="240"/>
      <c r="L294" s="223"/>
      <c r="M294" s="223"/>
      <c r="N294" s="223"/>
      <c r="O294" s="223"/>
      <c r="P294" s="223"/>
      <c r="Q294" s="223"/>
      <c r="R294" s="223" t="s">
        <v>535</v>
      </c>
      <c r="S294" s="220">
        <f t="shared" si="4"/>
        <v>0</v>
      </c>
      <c r="T294" s="219" t="str">
        <f>IFERROR(VLOOKUP($B294,'SIZE CALCULATION'!$F$2:$G$100,2,0),"")</f>
        <v/>
      </c>
    </row>
    <row r="295" spans="1:20" x14ac:dyDescent="0.2">
      <c r="A295" s="236"/>
      <c r="B295" s="222"/>
      <c r="C295" s="222"/>
      <c r="D295" s="224"/>
      <c r="E295" s="223"/>
      <c r="F295" s="223"/>
      <c r="G295" s="223"/>
      <c r="H295" s="223"/>
      <c r="I295" s="247"/>
      <c r="J295" s="223"/>
      <c r="K295" s="240"/>
      <c r="L295" s="223"/>
      <c r="M295" s="223"/>
      <c r="N295" s="223"/>
      <c r="O295" s="223"/>
      <c r="P295" s="223"/>
      <c r="Q295" s="223"/>
      <c r="R295" s="223" t="s">
        <v>535</v>
      </c>
      <c r="S295" s="220">
        <f t="shared" si="4"/>
        <v>0</v>
      </c>
      <c r="T295" s="219" t="str">
        <f>IFERROR(VLOOKUP($B295,'SIZE CALCULATION'!$F$2:$G$100,2,0),"")</f>
        <v/>
      </c>
    </row>
    <row r="296" spans="1:20" x14ac:dyDescent="0.2">
      <c r="A296" s="236"/>
      <c r="B296" s="222"/>
      <c r="C296" s="222"/>
      <c r="D296" s="224"/>
      <c r="E296" s="223"/>
      <c r="F296" s="223"/>
      <c r="G296" s="223"/>
      <c r="H296" s="223"/>
      <c r="I296" s="247"/>
      <c r="J296" s="223"/>
      <c r="K296" s="240"/>
      <c r="L296" s="223"/>
      <c r="M296" s="223"/>
      <c r="N296" s="223"/>
      <c r="O296" s="223"/>
      <c r="P296" s="223"/>
      <c r="Q296" s="223"/>
      <c r="R296" s="223" t="s">
        <v>535</v>
      </c>
      <c r="S296" s="220">
        <f t="shared" si="4"/>
        <v>0</v>
      </c>
      <c r="T296" s="219" t="str">
        <f>IFERROR(VLOOKUP($B296,'SIZE CALCULATION'!$F$2:$G$100,2,0),"")</f>
        <v/>
      </c>
    </row>
    <row r="297" spans="1:20" x14ac:dyDescent="0.2">
      <c r="A297" s="236"/>
      <c r="B297" s="222"/>
      <c r="C297" s="222"/>
      <c r="D297" s="224"/>
      <c r="E297" s="223"/>
      <c r="F297" s="223"/>
      <c r="G297" s="223"/>
      <c r="H297" s="223"/>
      <c r="I297" s="247"/>
      <c r="J297" s="223"/>
      <c r="K297" s="240"/>
      <c r="L297" s="223"/>
      <c r="M297" s="223"/>
      <c r="N297" s="223"/>
      <c r="O297" s="223"/>
      <c r="P297" s="223"/>
      <c r="Q297" s="223"/>
      <c r="R297" s="223" t="s">
        <v>535</v>
      </c>
      <c r="S297" s="220">
        <f t="shared" si="4"/>
        <v>0</v>
      </c>
      <c r="T297" s="219" t="str">
        <f>IFERROR(VLOOKUP($B297,'SIZE CALCULATION'!$F$2:$G$100,2,0),"")</f>
        <v/>
      </c>
    </row>
    <row r="298" spans="1:20" x14ac:dyDescent="0.2">
      <c r="A298" s="236"/>
      <c r="B298" s="222"/>
      <c r="C298" s="222"/>
      <c r="D298" s="224"/>
      <c r="E298" s="223"/>
      <c r="F298" s="223"/>
      <c r="G298" s="223"/>
      <c r="H298" s="223"/>
      <c r="I298" s="247"/>
      <c r="J298" s="223"/>
      <c r="K298" s="240"/>
      <c r="L298" s="223"/>
      <c r="M298" s="223"/>
      <c r="N298" s="223"/>
      <c r="O298" s="223"/>
      <c r="P298" s="223"/>
      <c r="Q298" s="223"/>
      <c r="R298" s="223" t="s">
        <v>535</v>
      </c>
      <c r="S298" s="220">
        <f t="shared" si="4"/>
        <v>0</v>
      </c>
      <c r="T298" s="219" t="str">
        <f>IFERROR(VLOOKUP($B298,'SIZE CALCULATION'!$F$2:$G$100,2,0),"")</f>
        <v/>
      </c>
    </row>
    <row r="299" spans="1:20" x14ac:dyDescent="0.2">
      <c r="A299" s="236"/>
      <c r="B299" s="222"/>
      <c r="C299" s="222"/>
      <c r="D299" s="224"/>
      <c r="E299" s="223"/>
      <c r="F299" s="223"/>
      <c r="G299" s="223"/>
      <c r="H299" s="223"/>
      <c r="I299" s="247"/>
      <c r="J299" s="223"/>
      <c r="K299" s="240"/>
      <c r="L299" s="223"/>
      <c r="M299" s="223"/>
      <c r="N299" s="223"/>
      <c r="O299" s="223"/>
      <c r="P299" s="223"/>
      <c r="Q299" s="223"/>
      <c r="R299" s="223" t="s">
        <v>535</v>
      </c>
      <c r="S299" s="220">
        <f t="shared" si="4"/>
        <v>0</v>
      </c>
      <c r="T299" s="219" t="str">
        <f>IFERROR(VLOOKUP($B299,'SIZE CALCULATION'!$F$2:$G$100,2,0),"")</f>
        <v/>
      </c>
    </row>
    <row r="300" spans="1:20" x14ac:dyDescent="0.2">
      <c r="A300" s="236"/>
      <c r="B300" s="222"/>
      <c r="C300" s="222"/>
      <c r="D300" s="224"/>
      <c r="E300" s="223"/>
      <c r="F300" s="223"/>
      <c r="G300" s="223"/>
      <c r="H300" s="223"/>
      <c r="I300" s="247"/>
      <c r="J300" s="223"/>
      <c r="K300" s="240"/>
      <c r="L300" s="223"/>
      <c r="M300" s="223"/>
      <c r="N300" s="223"/>
      <c r="O300" s="223"/>
      <c r="P300" s="223"/>
      <c r="Q300" s="223"/>
      <c r="R300" s="223" t="s">
        <v>535</v>
      </c>
      <c r="S300" s="220">
        <f t="shared" si="4"/>
        <v>0</v>
      </c>
      <c r="T300" s="219" t="str">
        <f>IFERROR(VLOOKUP($B300,'SIZE CALCULATION'!$F$2:$G$100,2,0),"")</f>
        <v/>
      </c>
    </row>
    <row r="301" spans="1:20" x14ac:dyDescent="0.2">
      <c r="A301" s="236"/>
      <c r="B301" s="222"/>
      <c r="C301" s="222"/>
      <c r="D301" s="224"/>
      <c r="E301" s="223"/>
      <c r="F301" s="223"/>
      <c r="G301" s="223"/>
      <c r="H301" s="223"/>
      <c r="I301" s="247"/>
      <c r="J301" s="223"/>
      <c r="K301" s="240"/>
      <c r="L301" s="223"/>
      <c r="M301" s="223"/>
      <c r="N301" s="223"/>
      <c r="O301" s="223"/>
      <c r="P301" s="223"/>
      <c r="Q301" s="223"/>
      <c r="R301" s="223" t="s">
        <v>535</v>
      </c>
      <c r="S301" s="220">
        <f t="shared" si="4"/>
        <v>0</v>
      </c>
      <c r="T301" s="219" t="str">
        <f>IFERROR(VLOOKUP($B301,'SIZE CALCULATION'!$F$2:$G$100,2,0),"")</f>
        <v/>
      </c>
    </row>
    <row r="302" spans="1:20" x14ac:dyDescent="0.2">
      <c r="A302" s="236"/>
      <c r="B302" s="222"/>
      <c r="C302" s="222"/>
      <c r="D302" s="224"/>
      <c r="E302" s="223"/>
      <c r="F302" s="223"/>
      <c r="G302" s="223"/>
      <c r="H302" s="223"/>
      <c r="I302" s="247"/>
      <c r="J302" s="223"/>
      <c r="K302" s="240"/>
      <c r="L302" s="223"/>
      <c r="M302" s="223"/>
      <c r="N302" s="223"/>
      <c r="O302" s="223"/>
      <c r="P302" s="223"/>
      <c r="Q302" s="223"/>
      <c r="R302" s="223" t="s">
        <v>535</v>
      </c>
      <c r="S302" s="220">
        <f t="shared" si="4"/>
        <v>0</v>
      </c>
      <c r="T302" s="219" t="str">
        <f>IFERROR(VLOOKUP($B302,'SIZE CALCULATION'!$F$2:$G$100,2,0),"")</f>
        <v/>
      </c>
    </row>
    <row r="303" spans="1:20" x14ac:dyDescent="0.2">
      <c r="A303" s="236"/>
      <c r="B303" s="222"/>
      <c r="C303" s="222"/>
      <c r="D303" s="224"/>
      <c r="E303" s="223"/>
      <c r="F303" s="223"/>
      <c r="G303" s="223"/>
      <c r="H303" s="223"/>
      <c r="I303" s="247"/>
      <c r="J303" s="223"/>
      <c r="K303" s="240"/>
      <c r="L303" s="223"/>
      <c r="M303" s="223"/>
      <c r="N303" s="223"/>
      <c r="O303" s="223"/>
      <c r="P303" s="223"/>
      <c r="Q303" s="223"/>
      <c r="R303" s="223" t="s">
        <v>535</v>
      </c>
      <c r="S303" s="220">
        <f t="shared" si="4"/>
        <v>0</v>
      </c>
      <c r="T303" s="219" t="str">
        <f>IFERROR(VLOOKUP($B303,'SIZE CALCULATION'!$F$2:$G$100,2,0),"")</f>
        <v/>
      </c>
    </row>
    <row r="304" spans="1:20" x14ac:dyDescent="0.2">
      <c r="A304" s="236"/>
      <c r="B304" s="222"/>
      <c r="C304" s="222"/>
      <c r="D304" s="224"/>
      <c r="E304" s="223"/>
      <c r="F304" s="223"/>
      <c r="G304" s="223"/>
      <c r="H304" s="223"/>
      <c r="I304" s="247"/>
      <c r="J304" s="223"/>
      <c r="K304" s="240"/>
      <c r="L304" s="223"/>
      <c r="M304" s="223"/>
      <c r="N304" s="223"/>
      <c r="O304" s="223"/>
      <c r="P304" s="223"/>
      <c r="Q304" s="223"/>
      <c r="R304" s="223" t="s">
        <v>535</v>
      </c>
      <c r="S304" s="220">
        <f t="shared" si="4"/>
        <v>0</v>
      </c>
      <c r="T304" s="219" t="str">
        <f>IFERROR(VLOOKUP($B304,'SIZE CALCULATION'!$F$2:$G$100,2,0),"")</f>
        <v/>
      </c>
    </row>
    <row r="305" spans="1:20" x14ac:dyDescent="0.2">
      <c r="A305" s="236"/>
      <c r="B305" s="222"/>
      <c r="C305" s="222"/>
      <c r="D305" s="224"/>
      <c r="E305" s="223"/>
      <c r="F305" s="223"/>
      <c r="G305" s="223"/>
      <c r="H305" s="223"/>
      <c r="I305" s="247"/>
      <c r="J305" s="223"/>
      <c r="K305" s="240"/>
      <c r="L305" s="223"/>
      <c r="M305" s="223"/>
      <c r="N305" s="223"/>
      <c r="O305" s="223"/>
      <c r="P305" s="223"/>
      <c r="Q305" s="223"/>
      <c r="R305" s="223" t="s">
        <v>535</v>
      </c>
      <c r="S305" s="220">
        <f t="shared" si="4"/>
        <v>0</v>
      </c>
      <c r="T305" s="219" t="str">
        <f>IFERROR(VLOOKUP($B305,'SIZE CALCULATION'!$F$2:$G$100,2,0),"")</f>
        <v/>
      </c>
    </row>
    <row r="306" spans="1:20" x14ac:dyDescent="0.2">
      <c r="A306" s="236"/>
      <c r="B306" s="222"/>
      <c r="C306" s="222"/>
      <c r="D306" s="224"/>
      <c r="E306" s="223"/>
      <c r="F306" s="223"/>
      <c r="G306" s="223"/>
      <c r="H306" s="223"/>
      <c r="I306" s="247"/>
      <c r="J306" s="223"/>
      <c r="K306" s="240"/>
      <c r="L306" s="223"/>
      <c r="M306" s="223"/>
      <c r="N306" s="223"/>
      <c r="O306" s="223"/>
      <c r="P306" s="223"/>
      <c r="Q306" s="223"/>
      <c r="R306" s="223" t="s">
        <v>535</v>
      </c>
      <c r="S306" s="220">
        <f t="shared" si="4"/>
        <v>0</v>
      </c>
      <c r="T306" s="219" t="str">
        <f>IFERROR(VLOOKUP($B306,'SIZE CALCULATION'!$F$2:$G$100,2,0),"")</f>
        <v/>
      </c>
    </row>
    <row r="307" spans="1:20" x14ac:dyDescent="0.2">
      <c r="A307" s="236"/>
      <c r="B307" s="222"/>
      <c r="C307" s="222"/>
      <c r="D307" s="224"/>
      <c r="E307" s="223"/>
      <c r="F307" s="223"/>
      <c r="G307" s="223"/>
      <c r="H307" s="223"/>
      <c r="I307" s="247"/>
      <c r="J307" s="223"/>
      <c r="K307" s="240"/>
      <c r="L307" s="223"/>
      <c r="M307" s="223"/>
      <c r="N307" s="223"/>
      <c r="O307" s="223"/>
      <c r="P307" s="223"/>
      <c r="Q307" s="223"/>
      <c r="R307" s="223" t="s">
        <v>535</v>
      </c>
      <c r="S307" s="220">
        <f t="shared" si="4"/>
        <v>0</v>
      </c>
      <c r="T307" s="219" t="str">
        <f>IFERROR(VLOOKUP($B307,'SIZE CALCULATION'!$F$2:$G$100,2,0),"")</f>
        <v/>
      </c>
    </row>
    <row r="308" spans="1:20" x14ac:dyDescent="0.2">
      <c r="A308" s="236"/>
      <c r="B308" s="222"/>
      <c r="C308" s="222"/>
      <c r="D308" s="224"/>
      <c r="E308" s="223"/>
      <c r="F308" s="223"/>
      <c r="G308" s="223"/>
      <c r="H308" s="223"/>
      <c r="I308" s="247"/>
      <c r="J308" s="223"/>
      <c r="K308" s="240"/>
      <c r="L308" s="223"/>
      <c r="M308" s="223"/>
      <c r="N308" s="223"/>
      <c r="O308" s="223"/>
      <c r="P308" s="223"/>
      <c r="Q308" s="223"/>
      <c r="R308" s="223" t="s">
        <v>535</v>
      </c>
      <c r="S308" s="220">
        <f t="shared" si="4"/>
        <v>0</v>
      </c>
      <c r="T308" s="219" t="str">
        <f>IFERROR(VLOOKUP($B308,'SIZE CALCULATION'!$F$2:$G$100,2,0),"")</f>
        <v/>
      </c>
    </row>
    <row r="309" spans="1:20" x14ac:dyDescent="0.2">
      <c r="A309" s="236"/>
      <c r="B309" s="222"/>
      <c r="C309" s="222"/>
      <c r="D309" s="224"/>
      <c r="E309" s="223"/>
      <c r="F309" s="223"/>
      <c r="G309" s="223"/>
      <c r="H309" s="223"/>
      <c r="I309" s="247"/>
      <c r="J309" s="223"/>
      <c r="K309" s="240"/>
      <c r="L309" s="223"/>
      <c r="M309" s="223"/>
      <c r="N309" s="223"/>
      <c r="O309" s="223"/>
      <c r="P309" s="223"/>
      <c r="Q309" s="223"/>
      <c r="R309" s="223" t="s">
        <v>535</v>
      </c>
      <c r="S309" s="220">
        <f t="shared" si="4"/>
        <v>0</v>
      </c>
      <c r="T309" s="219" t="str">
        <f>IFERROR(VLOOKUP($B309,'SIZE CALCULATION'!$F$2:$G$100,2,0),"")</f>
        <v/>
      </c>
    </row>
    <row r="310" spans="1:20" x14ac:dyDescent="0.2">
      <c r="A310" s="236"/>
      <c r="B310" s="222"/>
      <c r="C310" s="222"/>
      <c r="D310" s="224"/>
      <c r="E310" s="223"/>
      <c r="F310" s="223"/>
      <c r="G310" s="223"/>
      <c r="H310" s="223"/>
      <c r="I310" s="247"/>
      <c r="J310" s="223"/>
      <c r="K310" s="240"/>
      <c r="L310" s="223"/>
      <c r="M310" s="223"/>
      <c r="N310" s="223"/>
      <c r="O310" s="223"/>
      <c r="P310" s="223"/>
      <c r="Q310" s="223"/>
      <c r="R310" s="223" t="s">
        <v>535</v>
      </c>
      <c r="S310" s="220">
        <f t="shared" si="4"/>
        <v>0</v>
      </c>
      <c r="T310" s="219" t="str">
        <f>IFERROR(VLOOKUP($B310,'SIZE CALCULATION'!$F$2:$G$100,2,0),"")</f>
        <v/>
      </c>
    </row>
    <row r="311" spans="1:20" x14ac:dyDescent="0.2">
      <c r="A311" s="236"/>
      <c r="B311" s="222"/>
      <c r="C311" s="222"/>
      <c r="D311" s="224"/>
      <c r="E311" s="223"/>
      <c r="F311" s="223"/>
      <c r="G311" s="223"/>
      <c r="H311" s="223"/>
      <c r="I311" s="247"/>
      <c r="J311" s="223"/>
      <c r="K311" s="240"/>
      <c r="L311" s="223"/>
      <c r="M311" s="223"/>
      <c r="N311" s="223"/>
      <c r="O311" s="223"/>
      <c r="P311" s="223"/>
      <c r="Q311" s="223"/>
      <c r="R311" s="223" t="s">
        <v>535</v>
      </c>
      <c r="S311" s="220">
        <f t="shared" si="4"/>
        <v>0</v>
      </c>
      <c r="T311" s="219" t="str">
        <f>IFERROR(VLOOKUP($B311,'SIZE CALCULATION'!$F$2:$G$100,2,0),"")</f>
        <v/>
      </c>
    </row>
    <row r="312" spans="1:20" x14ac:dyDescent="0.2">
      <c r="A312" s="236"/>
      <c r="B312" s="222"/>
      <c r="C312" s="222"/>
      <c r="D312" s="224"/>
      <c r="E312" s="223"/>
      <c r="F312" s="223"/>
      <c r="G312" s="223"/>
      <c r="H312" s="223"/>
      <c r="I312" s="247"/>
      <c r="J312" s="223"/>
      <c r="K312" s="240"/>
      <c r="L312" s="223"/>
      <c r="M312" s="223"/>
      <c r="N312" s="223"/>
      <c r="O312" s="223"/>
      <c r="P312" s="223"/>
      <c r="Q312" s="223"/>
      <c r="R312" s="223" t="s">
        <v>535</v>
      </c>
      <c r="S312" s="220">
        <f t="shared" si="4"/>
        <v>0</v>
      </c>
      <c r="T312" s="219" t="str">
        <f>IFERROR(VLOOKUP($B312,'SIZE CALCULATION'!$F$2:$G$100,2,0),"")</f>
        <v/>
      </c>
    </row>
    <row r="313" spans="1:20" x14ac:dyDescent="0.2">
      <c r="A313" s="236"/>
      <c r="B313" s="222"/>
      <c r="C313" s="222"/>
      <c r="D313" s="224"/>
      <c r="E313" s="223"/>
      <c r="F313" s="223"/>
      <c r="G313" s="223"/>
      <c r="H313" s="223"/>
      <c r="I313" s="247"/>
      <c r="J313" s="223"/>
      <c r="K313" s="240"/>
      <c r="L313" s="223"/>
      <c r="M313" s="223"/>
      <c r="N313" s="223"/>
      <c r="O313" s="223"/>
      <c r="P313" s="223"/>
      <c r="Q313" s="223"/>
      <c r="R313" s="223" t="s">
        <v>535</v>
      </c>
      <c r="S313" s="220">
        <f t="shared" si="4"/>
        <v>0</v>
      </c>
      <c r="T313" s="219" t="str">
        <f>IFERROR(VLOOKUP($B313,'SIZE CALCULATION'!$F$2:$G$100,2,0),"")</f>
        <v/>
      </c>
    </row>
    <row r="314" spans="1:20" x14ac:dyDescent="0.2">
      <c r="A314" s="236"/>
      <c r="B314" s="222"/>
      <c r="C314" s="222"/>
      <c r="D314" s="224"/>
      <c r="E314" s="223"/>
      <c r="F314" s="223"/>
      <c r="G314" s="223"/>
      <c r="H314" s="223"/>
      <c r="I314" s="247"/>
      <c r="J314" s="223"/>
      <c r="K314" s="240"/>
      <c r="L314" s="223"/>
      <c r="M314" s="223"/>
      <c r="N314" s="223"/>
      <c r="O314" s="223"/>
      <c r="P314" s="223"/>
      <c r="Q314" s="223"/>
      <c r="R314" s="223" t="s">
        <v>535</v>
      </c>
      <c r="S314" s="220">
        <f t="shared" si="4"/>
        <v>0</v>
      </c>
      <c r="T314" s="219" t="str">
        <f>IFERROR(VLOOKUP($B314,'SIZE CALCULATION'!$F$2:$G$100,2,0),"")</f>
        <v/>
      </c>
    </row>
    <row r="315" spans="1:20" x14ac:dyDescent="0.2">
      <c r="A315" s="236"/>
      <c r="B315" s="222"/>
      <c r="C315" s="222"/>
      <c r="D315" s="224"/>
      <c r="E315" s="223"/>
      <c r="F315" s="223"/>
      <c r="G315" s="223"/>
      <c r="H315" s="223"/>
      <c r="I315" s="247"/>
      <c r="J315" s="223"/>
      <c r="K315" s="240"/>
      <c r="L315" s="223"/>
      <c r="M315" s="223"/>
      <c r="N315" s="223"/>
      <c r="O315" s="223"/>
      <c r="P315" s="223"/>
      <c r="Q315" s="223"/>
      <c r="R315" s="223" t="s">
        <v>535</v>
      </c>
      <c r="S315" s="220">
        <f t="shared" si="4"/>
        <v>0</v>
      </c>
      <c r="T315" s="219" t="str">
        <f>IFERROR(VLOOKUP($B315,'SIZE CALCULATION'!$F$2:$G$100,2,0),"")</f>
        <v/>
      </c>
    </row>
    <row r="316" spans="1:20" x14ac:dyDescent="0.2">
      <c r="A316" s="236"/>
      <c r="B316" s="222"/>
      <c r="C316" s="222"/>
      <c r="D316" s="224"/>
      <c r="E316" s="223"/>
      <c r="F316" s="223"/>
      <c r="G316" s="223"/>
      <c r="H316" s="223"/>
      <c r="I316" s="247"/>
      <c r="J316" s="223"/>
      <c r="K316" s="240"/>
      <c r="L316" s="223"/>
      <c r="M316" s="223"/>
      <c r="N316" s="223"/>
      <c r="O316" s="223"/>
      <c r="P316" s="223"/>
      <c r="Q316" s="223"/>
      <c r="R316" s="223" t="s">
        <v>535</v>
      </c>
      <c r="S316" s="220">
        <f t="shared" si="4"/>
        <v>0</v>
      </c>
      <c r="T316" s="219" t="str">
        <f>IFERROR(VLOOKUP($B316,'SIZE CALCULATION'!$F$2:$G$100,2,0),"")</f>
        <v/>
      </c>
    </row>
    <row r="317" spans="1:20" x14ac:dyDescent="0.2">
      <c r="A317" s="236"/>
      <c r="B317" s="222"/>
      <c r="C317" s="222"/>
      <c r="D317" s="224"/>
      <c r="E317" s="223"/>
      <c r="F317" s="223"/>
      <c r="G317" s="223"/>
      <c r="H317" s="223"/>
      <c r="I317" s="247"/>
      <c r="J317" s="223"/>
      <c r="K317" s="240"/>
      <c r="L317" s="223"/>
      <c r="M317" s="223"/>
      <c r="N317" s="223"/>
      <c r="O317" s="223"/>
      <c r="P317" s="223"/>
      <c r="Q317" s="223"/>
      <c r="R317" s="223" t="s">
        <v>535</v>
      </c>
      <c r="S317" s="220">
        <f t="shared" ref="S317:S380" si="5">IFERROR(M317/O317,M317)</f>
        <v>0</v>
      </c>
      <c r="T317" s="219" t="str">
        <f>IFERROR(VLOOKUP($B317,'SIZE CALCULATION'!$F$2:$G$100,2,0),"")</f>
        <v/>
      </c>
    </row>
    <row r="318" spans="1:20" x14ac:dyDescent="0.2">
      <c r="A318" s="236"/>
      <c r="B318" s="222"/>
      <c r="C318" s="222"/>
      <c r="D318" s="224"/>
      <c r="E318" s="223"/>
      <c r="F318" s="223"/>
      <c r="G318" s="223"/>
      <c r="H318" s="223"/>
      <c r="I318" s="247"/>
      <c r="J318" s="223"/>
      <c r="K318" s="240"/>
      <c r="L318" s="223"/>
      <c r="M318" s="223"/>
      <c r="N318" s="223"/>
      <c r="O318" s="223"/>
      <c r="P318" s="223"/>
      <c r="Q318" s="223"/>
      <c r="R318" s="223" t="s">
        <v>535</v>
      </c>
      <c r="S318" s="220">
        <f t="shared" si="5"/>
        <v>0</v>
      </c>
      <c r="T318" s="219" t="str">
        <f>IFERROR(VLOOKUP($B318,'SIZE CALCULATION'!$F$2:$G$100,2,0),"")</f>
        <v/>
      </c>
    </row>
    <row r="319" spans="1:20" x14ac:dyDescent="0.2">
      <c r="A319" s="236"/>
      <c r="B319" s="222"/>
      <c r="C319" s="222"/>
      <c r="D319" s="224"/>
      <c r="E319" s="223"/>
      <c r="F319" s="223"/>
      <c r="G319" s="223"/>
      <c r="H319" s="223"/>
      <c r="I319" s="247"/>
      <c r="J319" s="223"/>
      <c r="K319" s="240"/>
      <c r="L319" s="223"/>
      <c r="M319" s="223"/>
      <c r="N319" s="223"/>
      <c r="O319" s="223"/>
      <c r="P319" s="223"/>
      <c r="Q319" s="223"/>
      <c r="R319" s="223" t="s">
        <v>535</v>
      </c>
      <c r="S319" s="220">
        <f t="shared" si="5"/>
        <v>0</v>
      </c>
      <c r="T319" s="219" t="str">
        <f>IFERROR(VLOOKUP($B319,'SIZE CALCULATION'!$F$2:$G$100,2,0),"")</f>
        <v/>
      </c>
    </row>
    <row r="320" spans="1:20" x14ac:dyDescent="0.2">
      <c r="A320" s="236"/>
      <c r="B320" s="222"/>
      <c r="C320" s="222"/>
      <c r="D320" s="224"/>
      <c r="E320" s="223"/>
      <c r="F320" s="223"/>
      <c r="G320" s="223"/>
      <c r="H320" s="223"/>
      <c r="I320" s="247"/>
      <c r="J320" s="223"/>
      <c r="K320" s="240"/>
      <c r="L320" s="223"/>
      <c r="M320" s="223"/>
      <c r="N320" s="223"/>
      <c r="O320" s="223"/>
      <c r="P320" s="223"/>
      <c r="Q320" s="223"/>
      <c r="R320" s="223" t="s">
        <v>535</v>
      </c>
      <c r="S320" s="220">
        <f t="shared" si="5"/>
        <v>0</v>
      </c>
      <c r="T320" s="219" t="str">
        <f>IFERROR(VLOOKUP($B320,'SIZE CALCULATION'!$F$2:$G$100,2,0),"")</f>
        <v/>
      </c>
    </row>
    <row r="321" spans="1:20" x14ac:dyDescent="0.2">
      <c r="A321" s="236"/>
      <c r="B321" s="222"/>
      <c r="C321" s="222"/>
      <c r="D321" s="224"/>
      <c r="E321" s="223"/>
      <c r="F321" s="223"/>
      <c r="G321" s="223"/>
      <c r="H321" s="223"/>
      <c r="I321" s="247"/>
      <c r="J321" s="223"/>
      <c r="K321" s="240"/>
      <c r="L321" s="223"/>
      <c r="M321" s="223"/>
      <c r="N321" s="223"/>
      <c r="O321" s="223"/>
      <c r="P321" s="223"/>
      <c r="Q321" s="223"/>
      <c r="R321" s="223" t="s">
        <v>535</v>
      </c>
      <c r="S321" s="220">
        <f t="shared" si="5"/>
        <v>0</v>
      </c>
      <c r="T321" s="219" t="str">
        <f>IFERROR(VLOOKUP($B321,'SIZE CALCULATION'!$F$2:$G$100,2,0),"")</f>
        <v/>
      </c>
    </row>
    <row r="322" spans="1:20" x14ac:dyDescent="0.2">
      <c r="A322" s="236"/>
      <c r="B322" s="222"/>
      <c r="C322" s="222"/>
      <c r="D322" s="224"/>
      <c r="E322" s="223"/>
      <c r="F322" s="223"/>
      <c r="G322" s="223"/>
      <c r="H322" s="223"/>
      <c r="I322" s="247"/>
      <c r="J322" s="223"/>
      <c r="K322" s="240"/>
      <c r="L322" s="223"/>
      <c r="M322" s="223"/>
      <c r="N322" s="223"/>
      <c r="O322" s="223"/>
      <c r="P322" s="223"/>
      <c r="Q322" s="223"/>
      <c r="R322" s="223" t="s">
        <v>535</v>
      </c>
      <c r="S322" s="220">
        <f t="shared" si="5"/>
        <v>0</v>
      </c>
      <c r="T322" s="219" t="str">
        <f>IFERROR(VLOOKUP($B322,'SIZE CALCULATION'!$F$2:$G$100,2,0),"")</f>
        <v/>
      </c>
    </row>
    <row r="323" spans="1:20" x14ac:dyDescent="0.2">
      <c r="A323" s="236"/>
      <c r="B323" s="222"/>
      <c r="C323" s="222"/>
      <c r="D323" s="224"/>
      <c r="E323" s="223"/>
      <c r="F323" s="223"/>
      <c r="G323" s="223"/>
      <c r="H323" s="223"/>
      <c r="I323" s="247"/>
      <c r="J323" s="223"/>
      <c r="K323" s="240"/>
      <c r="L323" s="223"/>
      <c r="M323" s="223"/>
      <c r="N323" s="223"/>
      <c r="O323" s="223"/>
      <c r="P323" s="223"/>
      <c r="Q323" s="223"/>
      <c r="R323" s="223" t="s">
        <v>535</v>
      </c>
      <c r="S323" s="220">
        <f t="shared" si="5"/>
        <v>0</v>
      </c>
      <c r="T323" s="219" t="str">
        <f>IFERROR(VLOOKUP($B323,'SIZE CALCULATION'!$F$2:$G$100,2,0),"")</f>
        <v/>
      </c>
    </row>
    <row r="324" spans="1:20" x14ac:dyDescent="0.2">
      <c r="A324" s="236"/>
      <c r="B324" s="222"/>
      <c r="C324" s="222"/>
      <c r="D324" s="224"/>
      <c r="E324" s="223"/>
      <c r="F324" s="223"/>
      <c r="G324" s="223"/>
      <c r="H324" s="223"/>
      <c r="I324" s="247"/>
      <c r="J324" s="223"/>
      <c r="K324" s="240"/>
      <c r="L324" s="223"/>
      <c r="M324" s="223"/>
      <c r="N324" s="223"/>
      <c r="O324" s="223"/>
      <c r="P324" s="223"/>
      <c r="Q324" s="223"/>
      <c r="R324" s="223" t="s">
        <v>535</v>
      </c>
      <c r="S324" s="220">
        <f t="shared" si="5"/>
        <v>0</v>
      </c>
      <c r="T324" s="219" t="str">
        <f>IFERROR(VLOOKUP($B324,'SIZE CALCULATION'!$F$2:$G$100,2,0),"")</f>
        <v/>
      </c>
    </row>
    <row r="325" spans="1:20" x14ac:dyDescent="0.2">
      <c r="A325" s="236"/>
      <c r="B325" s="222"/>
      <c r="C325" s="222"/>
      <c r="D325" s="224"/>
      <c r="E325" s="223"/>
      <c r="F325" s="223"/>
      <c r="G325" s="223"/>
      <c r="H325" s="223"/>
      <c r="I325" s="247"/>
      <c r="J325" s="223"/>
      <c r="K325" s="240"/>
      <c r="L325" s="223"/>
      <c r="M325" s="223"/>
      <c r="N325" s="223"/>
      <c r="O325" s="223"/>
      <c r="P325" s="223"/>
      <c r="Q325" s="223"/>
      <c r="R325" s="223" t="s">
        <v>535</v>
      </c>
      <c r="S325" s="220">
        <f t="shared" si="5"/>
        <v>0</v>
      </c>
      <c r="T325" s="219" t="str">
        <f>IFERROR(VLOOKUP($B325,'SIZE CALCULATION'!$F$2:$G$100,2,0),"")</f>
        <v/>
      </c>
    </row>
    <row r="326" spans="1:20" x14ac:dyDescent="0.2">
      <c r="A326" s="236"/>
      <c r="B326" s="222"/>
      <c r="C326" s="222"/>
      <c r="D326" s="224"/>
      <c r="E326" s="223"/>
      <c r="F326" s="223"/>
      <c r="G326" s="223"/>
      <c r="H326" s="223"/>
      <c r="I326" s="247"/>
      <c r="J326" s="223"/>
      <c r="K326" s="240"/>
      <c r="L326" s="223"/>
      <c r="M326" s="223"/>
      <c r="N326" s="223"/>
      <c r="O326" s="223"/>
      <c r="P326" s="223"/>
      <c r="Q326" s="223"/>
      <c r="R326" s="223" t="s">
        <v>535</v>
      </c>
      <c r="S326" s="220">
        <f t="shared" si="5"/>
        <v>0</v>
      </c>
      <c r="T326" s="219" t="str">
        <f>IFERROR(VLOOKUP($B326,'SIZE CALCULATION'!$F$2:$G$100,2,0),"")</f>
        <v/>
      </c>
    </row>
    <row r="327" spans="1:20" x14ac:dyDescent="0.2">
      <c r="A327" s="236"/>
      <c r="B327" s="222"/>
      <c r="C327" s="222"/>
      <c r="D327" s="224"/>
      <c r="E327" s="223"/>
      <c r="F327" s="223"/>
      <c r="G327" s="223"/>
      <c r="H327" s="223"/>
      <c r="I327" s="247"/>
      <c r="J327" s="223"/>
      <c r="K327" s="240"/>
      <c r="L327" s="223"/>
      <c r="M327" s="223"/>
      <c r="N327" s="223"/>
      <c r="O327" s="223"/>
      <c r="P327" s="223"/>
      <c r="Q327" s="223"/>
      <c r="R327" s="223" t="s">
        <v>535</v>
      </c>
      <c r="S327" s="220">
        <f t="shared" si="5"/>
        <v>0</v>
      </c>
      <c r="T327" s="219" t="str">
        <f>IFERROR(VLOOKUP($B327,'SIZE CALCULATION'!$F$2:$G$100,2,0),"")</f>
        <v/>
      </c>
    </row>
    <row r="328" spans="1:20" x14ac:dyDescent="0.2">
      <c r="A328" s="236"/>
      <c r="B328" s="222"/>
      <c r="C328" s="222"/>
      <c r="D328" s="224"/>
      <c r="E328" s="223"/>
      <c r="F328" s="223"/>
      <c r="G328" s="223"/>
      <c r="H328" s="223"/>
      <c r="I328" s="247"/>
      <c r="J328" s="223"/>
      <c r="K328" s="240"/>
      <c r="L328" s="223"/>
      <c r="M328" s="223"/>
      <c r="N328" s="223"/>
      <c r="O328" s="223"/>
      <c r="P328" s="223"/>
      <c r="Q328" s="223"/>
      <c r="R328" s="223" t="s">
        <v>535</v>
      </c>
      <c r="S328" s="220">
        <f t="shared" si="5"/>
        <v>0</v>
      </c>
      <c r="T328" s="219" t="str">
        <f>IFERROR(VLOOKUP($B328,'SIZE CALCULATION'!$F$2:$G$100,2,0),"")</f>
        <v/>
      </c>
    </row>
    <row r="329" spans="1:20" x14ac:dyDescent="0.2">
      <c r="A329" s="236"/>
      <c r="B329" s="222"/>
      <c r="C329" s="222"/>
      <c r="D329" s="224"/>
      <c r="E329" s="223"/>
      <c r="F329" s="223"/>
      <c r="G329" s="223"/>
      <c r="H329" s="223"/>
      <c r="I329" s="247"/>
      <c r="J329" s="223"/>
      <c r="K329" s="240"/>
      <c r="L329" s="223"/>
      <c r="M329" s="223"/>
      <c r="N329" s="223"/>
      <c r="O329" s="223"/>
      <c r="P329" s="223"/>
      <c r="Q329" s="223"/>
      <c r="R329" s="223" t="s">
        <v>535</v>
      </c>
      <c r="S329" s="220">
        <f t="shared" si="5"/>
        <v>0</v>
      </c>
      <c r="T329" s="219" t="str">
        <f>IFERROR(VLOOKUP($B329,'SIZE CALCULATION'!$F$2:$G$100,2,0),"")</f>
        <v/>
      </c>
    </row>
    <row r="330" spans="1:20" x14ac:dyDescent="0.2">
      <c r="A330" s="236"/>
      <c r="B330" s="222"/>
      <c r="C330" s="222"/>
      <c r="D330" s="224"/>
      <c r="E330" s="223"/>
      <c r="F330" s="223"/>
      <c r="G330" s="223"/>
      <c r="H330" s="223"/>
      <c r="I330" s="247"/>
      <c r="J330" s="223"/>
      <c r="K330" s="240"/>
      <c r="L330" s="223"/>
      <c r="M330" s="223"/>
      <c r="N330" s="223"/>
      <c r="O330" s="223"/>
      <c r="P330" s="223"/>
      <c r="Q330" s="223"/>
      <c r="R330" s="223" t="s">
        <v>535</v>
      </c>
      <c r="S330" s="220">
        <f t="shared" si="5"/>
        <v>0</v>
      </c>
      <c r="T330" s="219" t="str">
        <f>IFERROR(VLOOKUP($B330,'SIZE CALCULATION'!$F$2:$G$100,2,0),"")</f>
        <v/>
      </c>
    </row>
    <row r="331" spans="1:20" x14ac:dyDescent="0.2">
      <c r="A331" s="236"/>
      <c r="B331" s="222"/>
      <c r="C331" s="222"/>
      <c r="D331" s="224"/>
      <c r="E331" s="223"/>
      <c r="F331" s="223"/>
      <c r="G331" s="223"/>
      <c r="H331" s="223"/>
      <c r="I331" s="247"/>
      <c r="J331" s="223"/>
      <c r="K331" s="240"/>
      <c r="L331" s="223"/>
      <c r="M331" s="223"/>
      <c r="N331" s="223"/>
      <c r="O331" s="223"/>
      <c r="P331" s="223"/>
      <c r="Q331" s="223"/>
      <c r="R331" s="223" t="s">
        <v>535</v>
      </c>
      <c r="S331" s="220">
        <f t="shared" si="5"/>
        <v>0</v>
      </c>
      <c r="T331" s="219" t="str">
        <f>IFERROR(VLOOKUP($B331,'SIZE CALCULATION'!$F$2:$G$100,2,0),"")</f>
        <v/>
      </c>
    </row>
    <row r="332" spans="1:20" x14ac:dyDescent="0.2">
      <c r="A332" s="236"/>
      <c r="B332" s="222"/>
      <c r="C332" s="222"/>
      <c r="D332" s="224"/>
      <c r="E332" s="223"/>
      <c r="F332" s="223"/>
      <c r="G332" s="223"/>
      <c r="H332" s="223"/>
      <c r="I332" s="247"/>
      <c r="J332" s="223"/>
      <c r="K332" s="240"/>
      <c r="L332" s="223"/>
      <c r="M332" s="223"/>
      <c r="N332" s="223"/>
      <c r="O332" s="223"/>
      <c r="P332" s="223"/>
      <c r="Q332" s="223"/>
      <c r="R332" s="223" t="s">
        <v>535</v>
      </c>
      <c r="S332" s="220">
        <f t="shared" si="5"/>
        <v>0</v>
      </c>
      <c r="T332" s="219" t="str">
        <f>IFERROR(VLOOKUP($B332,'SIZE CALCULATION'!$F$2:$G$100,2,0),"")</f>
        <v/>
      </c>
    </row>
    <row r="333" spans="1:20" x14ac:dyDescent="0.2">
      <c r="A333" s="236"/>
      <c r="B333" s="222"/>
      <c r="C333" s="222"/>
      <c r="D333" s="224"/>
      <c r="E333" s="223"/>
      <c r="F333" s="223"/>
      <c r="G333" s="223"/>
      <c r="H333" s="223"/>
      <c r="I333" s="247"/>
      <c r="J333" s="223"/>
      <c r="K333" s="240"/>
      <c r="L333" s="223"/>
      <c r="M333" s="223"/>
      <c r="N333" s="223"/>
      <c r="O333" s="223"/>
      <c r="P333" s="223"/>
      <c r="Q333" s="223"/>
      <c r="R333" s="223" t="s">
        <v>535</v>
      </c>
      <c r="S333" s="220">
        <f t="shared" si="5"/>
        <v>0</v>
      </c>
      <c r="T333" s="219" t="str">
        <f>IFERROR(VLOOKUP($B333,'SIZE CALCULATION'!$F$2:$G$100,2,0),"")</f>
        <v/>
      </c>
    </row>
    <row r="334" spans="1:20" x14ac:dyDescent="0.2">
      <c r="A334" s="236"/>
      <c r="B334" s="222"/>
      <c r="C334" s="222"/>
      <c r="D334" s="224"/>
      <c r="E334" s="223"/>
      <c r="F334" s="223"/>
      <c r="G334" s="223"/>
      <c r="H334" s="223"/>
      <c r="I334" s="247"/>
      <c r="J334" s="223"/>
      <c r="K334" s="240"/>
      <c r="L334" s="223"/>
      <c r="M334" s="223"/>
      <c r="N334" s="223"/>
      <c r="O334" s="223"/>
      <c r="P334" s="223"/>
      <c r="Q334" s="223"/>
      <c r="R334" s="223" t="s">
        <v>535</v>
      </c>
      <c r="S334" s="220">
        <f t="shared" si="5"/>
        <v>0</v>
      </c>
      <c r="T334" s="219" t="str">
        <f>IFERROR(VLOOKUP($B334,'SIZE CALCULATION'!$F$2:$G$100,2,0),"")</f>
        <v/>
      </c>
    </row>
    <row r="335" spans="1:20" x14ac:dyDescent="0.2">
      <c r="A335" s="236"/>
      <c r="B335" s="222"/>
      <c r="C335" s="222"/>
      <c r="D335" s="224"/>
      <c r="E335" s="223"/>
      <c r="F335" s="223"/>
      <c r="G335" s="223"/>
      <c r="H335" s="223"/>
      <c r="I335" s="247"/>
      <c r="J335" s="223"/>
      <c r="K335" s="240"/>
      <c r="L335" s="223"/>
      <c r="M335" s="223"/>
      <c r="N335" s="223"/>
      <c r="O335" s="223"/>
      <c r="P335" s="223"/>
      <c r="Q335" s="223"/>
      <c r="R335" s="223" t="s">
        <v>535</v>
      </c>
      <c r="S335" s="220">
        <f t="shared" si="5"/>
        <v>0</v>
      </c>
      <c r="T335" s="219" t="str">
        <f>IFERROR(VLOOKUP($B335,'SIZE CALCULATION'!$F$2:$G$100,2,0),"")</f>
        <v/>
      </c>
    </row>
    <row r="336" spans="1:20" x14ac:dyDescent="0.2">
      <c r="A336" s="236"/>
      <c r="B336" s="222"/>
      <c r="C336" s="222"/>
      <c r="D336" s="224"/>
      <c r="E336" s="223"/>
      <c r="F336" s="223"/>
      <c r="G336" s="223"/>
      <c r="H336" s="223"/>
      <c r="I336" s="247"/>
      <c r="J336" s="223"/>
      <c r="K336" s="240"/>
      <c r="L336" s="223"/>
      <c r="M336" s="223"/>
      <c r="N336" s="223"/>
      <c r="O336" s="223"/>
      <c r="P336" s="223"/>
      <c r="Q336" s="223"/>
      <c r="R336" s="223" t="s">
        <v>535</v>
      </c>
      <c r="S336" s="220">
        <f t="shared" si="5"/>
        <v>0</v>
      </c>
      <c r="T336" s="219" t="str">
        <f>IFERROR(VLOOKUP($B336,'SIZE CALCULATION'!$F$2:$G$100,2,0),"")</f>
        <v/>
      </c>
    </row>
    <row r="337" spans="1:20" x14ac:dyDescent="0.2">
      <c r="A337" s="236"/>
      <c r="B337" s="222"/>
      <c r="C337" s="222"/>
      <c r="D337" s="224"/>
      <c r="E337" s="223"/>
      <c r="F337" s="223"/>
      <c r="G337" s="223"/>
      <c r="H337" s="223"/>
      <c r="I337" s="247"/>
      <c r="J337" s="223"/>
      <c r="K337" s="240"/>
      <c r="L337" s="223"/>
      <c r="M337" s="223"/>
      <c r="N337" s="223"/>
      <c r="O337" s="223"/>
      <c r="P337" s="223"/>
      <c r="Q337" s="223"/>
      <c r="R337" s="223" t="s">
        <v>535</v>
      </c>
      <c r="S337" s="220">
        <f t="shared" si="5"/>
        <v>0</v>
      </c>
      <c r="T337" s="219" t="str">
        <f>IFERROR(VLOOKUP($B337,'SIZE CALCULATION'!$F$2:$G$100,2,0),"")</f>
        <v/>
      </c>
    </row>
    <row r="338" spans="1:20" x14ac:dyDescent="0.2">
      <c r="A338" s="236"/>
      <c r="B338" s="222"/>
      <c r="C338" s="222"/>
      <c r="D338" s="224"/>
      <c r="E338" s="223"/>
      <c r="F338" s="223"/>
      <c r="G338" s="223"/>
      <c r="H338" s="223"/>
      <c r="I338" s="247"/>
      <c r="J338" s="223"/>
      <c r="K338" s="240"/>
      <c r="L338" s="223"/>
      <c r="M338" s="223"/>
      <c r="N338" s="223"/>
      <c r="O338" s="223"/>
      <c r="P338" s="223"/>
      <c r="Q338" s="223"/>
      <c r="R338" s="223" t="s">
        <v>535</v>
      </c>
      <c r="S338" s="220">
        <f t="shared" si="5"/>
        <v>0</v>
      </c>
      <c r="T338" s="219" t="str">
        <f>IFERROR(VLOOKUP($B338,'SIZE CALCULATION'!$F$2:$G$100,2,0),"")</f>
        <v/>
      </c>
    </row>
    <row r="339" spans="1:20" x14ac:dyDescent="0.2">
      <c r="A339" s="236"/>
      <c r="B339" s="222"/>
      <c r="C339" s="222"/>
      <c r="D339" s="224"/>
      <c r="E339" s="223"/>
      <c r="F339" s="223"/>
      <c r="G339" s="223"/>
      <c r="H339" s="223"/>
      <c r="I339" s="247"/>
      <c r="J339" s="223"/>
      <c r="K339" s="240"/>
      <c r="L339" s="223"/>
      <c r="M339" s="223"/>
      <c r="N339" s="223"/>
      <c r="O339" s="223"/>
      <c r="P339" s="223"/>
      <c r="Q339" s="223"/>
      <c r="R339" s="223" t="s">
        <v>535</v>
      </c>
      <c r="S339" s="220">
        <f t="shared" si="5"/>
        <v>0</v>
      </c>
      <c r="T339" s="219" t="str">
        <f>IFERROR(VLOOKUP($B339,'SIZE CALCULATION'!$F$2:$G$100,2,0),"")</f>
        <v/>
      </c>
    </row>
    <row r="340" spans="1:20" x14ac:dyDescent="0.2">
      <c r="A340" s="236"/>
      <c r="B340" s="222"/>
      <c r="C340" s="222"/>
      <c r="D340" s="224"/>
      <c r="E340" s="223"/>
      <c r="F340" s="223"/>
      <c r="G340" s="223"/>
      <c r="H340" s="223"/>
      <c r="I340" s="247"/>
      <c r="J340" s="223"/>
      <c r="K340" s="240"/>
      <c r="L340" s="223"/>
      <c r="M340" s="223"/>
      <c r="N340" s="223"/>
      <c r="O340" s="223"/>
      <c r="P340" s="223"/>
      <c r="Q340" s="223"/>
      <c r="R340" s="223" t="s">
        <v>535</v>
      </c>
      <c r="S340" s="220">
        <f t="shared" si="5"/>
        <v>0</v>
      </c>
      <c r="T340" s="219" t="str">
        <f>IFERROR(VLOOKUP($B340,'SIZE CALCULATION'!$F$2:$G$100,2,0),"")</f>
        <v/>
      </c>
    </row>
    <row r="341" spans="1:20" x14ac:dyDescent="0.2">
      <c r="A341" s="236"/>
      <c r="B341" s="222"/>
      <c r="C341" s="222"/>
      <c r="D341" s="224"/>
      <c r="E341" s="223"/>
      <c r="F341" s="223"/>
      <c r="G341" s="223"/>
      <c r="H341" s="223"/>
      <c r="I341" s="247"/>
      <c r="J341" s="223"/>
      <c r="K341" s="240"/>
      <c r="L341" s="223"/>
      <c r="M341" s="223"/>
      <c r="N341" s="223"/>
      <c r="O341" s="223"/>
      <c r="P341" s="223"/>
      <c r="Q341" s="223"/>
      <c r="R341" s="223" t="s">
        <v>535</v>
      </c>
      <c r="S341" s="220">
        <f t="shared" si="5"/>
        <v>0</v>
      </c>
      <c r="T341" s="219" t="str">
        <f>IFERROR(VLOOKUP($B341,'SIZE CALCULATION'!$F$2:$G$100,2,0),"")</f>
        <v/>
      </c>
    </row>
    <row r="342" spans="1:20" x14ac:dyDescent="0.2">
      <c r="A342" s="236"/>
      <c r="B342" s="222"/>
      <c r="C342" s="222"/>
      <c r="D342" s="224"/>
      <c r="E342" s="223"/>
      <c r="F342" s="223"/>
      <c r="G342" s="223"/>
      <c r="H342" s="223"/>
      <c r="I342" s="247"/>
      <c r="J342" s="223"/>
      <c r="K342" s="240"/>
      <c r="L342" s="223"/>
      <c r="M342" s="223"/>
      <c r="N342" s="223"/>
      <c r="O342" s="223"/>
      <c r="P342" s="223"/>
      <c r="Q342" s="223"/>
      <c r="R342" s="223" t="s">
        <v>535</v>
      </c>
      <c r="S342" s="220">
        <f t="shared" si="5"/>
        <v>0</v>
      </c>
      <c r="T342" s="219" t="str">
        <f>IFERROR(VLOOKUP($B342,'SIZE CALCULATION'!$F$2:$G$100,2,0),"")</f>
        <v/>
      </c>
    </row>
    <row r="343" spans="1:20" x14ac:dyDescent="0.2">
      <c r="A343" s="236"/>
      <c r="B343" s="222"/>
      <c r="C343" s="222"/>
      <c r="D343" s="224"/>
      <c r="E343" s="223"/>
      <c r="F343" s="223"/>
      <c r="G343" s="223"/>
      <c r="H343" s="223"/>
      <c r="I343" s="247"/>
      <c r="J343" s="223"/>
      <c r="K343" s="240"/>
      <c r="L343" s="223"/>
      <c r="M343" s="223"/>
      <c r="N343" s="223"/>
      <c r="O343" s="223"/>
      <c r="P343" s="223"/>
      <c r="Q343" s="223"/>
      <c r="R343" s="223" t="s">
        <v>535</v>
      </c>
      <c r="S343" s="220">
        <f t="shared" si="5"/>
        <v>0</v>
      </c>
      <c r="T343" s="219" t="str">
        <f>IFERROR(VLOOKUP($B343,'SIZE CALCULATION'!$F$2:$G$100,2,0),"")</f>
        <v/>
      </c>
    </row>
    <row r="344" spans="1:20" x14ac:dyDescent="0.2">
      <c r="A344" s="236"/>
      <c r="B344" s="222"/>
      <c r="C344" s="222"/>
      <c r="D344" s="224"/>
      <c r="E344" s="223"/>
      <c r="F344" s="223"/>
      <c r="G344" s="223"/>
      <c r="H344" s="223"/>
      <c r="I344" s="247"/>
      <c r="J344" s="223"/>
      <c r="K344" s="240"/>
      <c r="L344" s="223"/>
      <c r="M344" s="223"/>
      <c r="N344" s="223"/>
      <c r="O344" s="223"/>
      <c r="P344" s="223"/>
      <c r="Q344" s="223"/>
      <c r="R344" s="223" t="s">
        <v>535</v>
      </c>
      <c r="S344" s="220">
        <f t="shared" si="5"/>
        <v>0</v>
      </c>
      <c r="T344" s="219" t="str">
        <f>IFERROR(VLOOKUP($B344,'SIZE CALCULATION'!$F$2:$G$100,2,0),"")</f>
        <v/>
      </c>
    </row>
    <row r="345" spans="1:20" x14ac:dyDescent="0.2">
      <c r="A345" s="236"/>
      <c r="B345" s="222"/>
      <c r="C345" s="222"/>
      <c r="D345" s="224"/>
      <c r="E345" s="223"/>
      <c r="F345" s="223"/>
      <c r="G345" s="223"/>
      <c r="H345" s="223"/>
      <c r="I345" s="247"/>
      <c r="J345" s="223"/>
      <c r="K345" s="240"/>
      <c r="L345" s="223"/>
      <c r="M345" s="223"/>
      <c r="N345" s="223"/>
      <c r="O345" s="223"/>
      <c r="P345" s="223"/>
      <c r="Q345" s="223"/>
      <c r="R345" s="223" t="s">
        <v>535</v>
      </c>
      <c r="S345" s="220">
        <f t="shared" si="5"/>
        <v>0</v>
      </c>
      <c r="T345" s="219" t="str">
        <f>IFERROR(VLOOKUP($B345,'SIZE CALCULATION'!$F$2:$G$100,2,0),"")</f>
        <v/>
      </c>
    </row>
    <row r="346" spans="1:20" x14ac:dyDescent="0.2">
      <c r="A346" s="236"/>
      <c r="B346" s="222"/>
      <c r="C346" s="222"/>
      <c r="D346" s="224"/>
      <c r="E346" s="223"/>
      <c r="F346" s="223"/>
      <c r="G346" s="223"/>
      <c r="H346" s="223"/>
      <c r="I346" s="247"/>
      <c r="J346" s="223"/>
      <c r="K346" s="240"/>
      <c r="L346" s="223"/>
      <c r="M346" s="223"/>
      <c r="N346" s="223"/>
      <c r="O346" s="223"/>
      <c r="P346" s="223"/>
      <c r="Q346" s="223"/>
      <c r="R346" s="223" t="s">
        <v>535</v>
      </c>
      <c r="S346" s="220">
        <f t="shared" si="5"/>
        <v>0</v>
      </c>
      <c r="T346" s="219" t="str">
        <f>IFERROR(VLOOKUP($B346,'SIZE CALCULATION'!$F$2:$G$100,2,0),"")</f>
        <v/>
      </c>
    </row>
    <row r="347" spans="1:20" x14ac:dyDescent="0.2">
      <c r="A347" s="236"/>
      <c r="B347" s="222"/>
      <c r="C347" s="222"/>
      <c r="D347" s="224"/>
      <c r="E347" s="223"/>
      <c r="F347" s="223"/>
      <c r="G347" s="223"/>
      <c r="H347" s="223"/>
      <c r="I347" s="247"/>
      <c r="J347" s="223"/>
      <c r="K347" s="240"/>
      <c r="L347" s="223"/>
      <c r="M347" s="223"/>
      <c r="N347" s="223"/>
      <c r="O347" s="223"/>
      <c r="P347" s="223"/>
      <c r="Q347" s="223"/>
      <c r="R347" s="223" t="s">
        <v>535</v>
      </c>
      <c r="S347" s="220">
        <f t="shared" si="5"/>
        <v>0</v>
      </c>
      <c r="T347" s="219" t="str">
        <f>IFERROR(VLOOKUP($B347,'SIZE CALCULATION'!$F$2:$G$100,2,0),"")</f>
        <v/>
      </c>
    </row>
    <row r="348" spans="1:20" x14ac:dyDescent="0.2">
      <c r="A348" s="236"/>
      <c r="B348" s="222"/>
      <c r="C348" s="222"/>
      <c r="D348" s="224"/>
      <c r="E348" s="223"/>
      <c r="F348" s="223"/>
      <c r="G348" s="223"/>
      <c r="H348" s="223"/>
      <c r="I348" s="247"/>
      <c r="J348" s="223"/>
      <c r="K348" s="240"/>
      <c r="L348" s="223"/>
      <c r="M348" s="223"/>
      <c r="N348" s="223"/>
      <c r="O348" s="223"/>
      <c r="P348" s="223"/>
      <c r="Q348" s="223"/>
      <c r="R348" s="223" t="s">
        <v>535</v>
      </c>
      <c r="S348" s="220">
        <f t="shared" si="5"/>
        <v>0</v>
      </c>
      <c r="T348" s="219" t="str">
        <f>IFERROR(VLOOKUP($B348,'SIZE CALCULATION'!$F$2:$G$100,2,0),"")</f>
        <v/>
      </c>
    </row>
    <row r="349" spans="1:20" x14ac:dyDescent="0.2">
      <c r="A349" s="236"/>
      <c r="B349" s="222"/>
      <c r="C349" s="222"/>
      <c r="D349" s="224"/>
      <c r="E349" s="223"/>
      <c r="F349" s="223"/>
      <c r="G349" s="223"/>
      <c r="H349" s="223"/>
      <c r="I349" s="247"/>
      <c r="J349" s="223"/>
      <c r="K349" s="240"/>
      <c r="L349" s="223"/>
      <c r="M349" s="223"/>
      <c r="N349" s="223"/>
      <c r="O349" s="223"/>
      <c r="P349" s="223"/>
      <c r="Q349" s="223"/>
      <c r="R349" s="223" t="s">
        <v>535</v>
      </c>
      <c r="S349" s="220">
        <f t="shared" si="5"/>
        <v>0</v>
      </c>
      <c r="T349" s="219" t="str">
        <f>IFERROR(VLOOKUP($B349,'SIZE CALCULATION'!$F$2:$G$100,2,0),"")</f>
        <v/>
      </c>
    </row>
    <row r="350" spans="1:20" x14ac:dyDescent="0.2">
      <c r="A350" s="236"/>
      <c r="B350" s="222"/>
      <c r="C350" s="222"/>
      <c r="D350" s="224"/>
      <c r="E350" s="223"/>
      <c r="F350" s="223"/>
      <c r="G350" s="223"/>
      <c r="H350" s="223"/>
      <c r="I350" s="247"/>
      <c r="J350" s="223"/>
      <c r="K350" s="240"/>
      <c r="L350" s="223"/>
      <c r="M350" s="223"/>
      <c r="N350" s="223"/>
      <c r="O350" s="223"/>
      <c r="P350" s="223"/>
      <c r="Q350" s="223"/>
      <c r="R350" s="223" t="s">
        <v>535</v>
      </c>
      <c r="S350" s="220">
        <f t="shared" si="5"/>
        <v>0</v>
      </c>
      <c r="T350" s="219" t="str">
        <f>IFERROR(VLOOKUP($B350,'SIZE CALCULATION'!$F$2:$G$100,2,0),"")</f>
        <v/>
      </c>
    </row>
    <row r="351" spans="1:20" x14ac:dyDescent="0.2">
      <c r="A351" s="236"/>
      <c r="B351" s="222"/>
      <c r="C351" s="222"/>
      <c r="D351" s="224"/>
      <c r="E351" s="223"/>
      <c r="F351" s="223"/>
      <c r="G351" s="223"/>
      <c r="H351" s="223"/>
      <c r="I351" s="247"/>
      <c r="J351" s="223"/>
      <c r="K351" s="240"/>
      <c r="L351" s="223"/>
      <c r="M351" s="223"/>
      <c r="N351" s="223"/>
      <c r="O351" s="223"/>
      <c r="P351" s="223"/>
      <c r="Q351" s="223"/>
      <c r="R351" s="223" t="s">
        <v>535</v>
      </c>
      <c r="S351" s="220">
        <f t="shared" si="5"/>
        <v>0</v>
      </c>
      <c r="T351" s="219" t="str">
        <f>IFERROR(VLOOKUP($B351,'SIZE CALCULATION'!$F$2:$G$100,2,0),"")</f>
        <v/>
      </c>
    </row>
    <row r="352" spans="1:20" x14ac:dyDescent="0.2">
      <c r="A352" s="236"/>
      <c r="B352" s="222"/>
      <c r="C352" s="222"/>
      <c r="D352" s="224"/>
      <c r="E352" s="223"/>
      <c r="F352" s="223"/>
      <c r="G352" s="223"/>
      <c r="H352" s="223"/>
      <c r="I352" s="247"/>
      <c r="J352" s="223"/>
      <c r="K352" s="240"/>
      <c r="L352" s="223"/>
      <c r="M352" s="223"/>
      <c r="N352" s="223"/>
      <c r="O352" s="223"/>
      <c r="P352" s="223"/>
      <c r="Q352" s="223"/>
      <c r="R352" s="223" t="s">
        <v>535</v>
      </c>
      <c r="S352" s="220">
        <f t="shared" si="5"/>
        <v>0</v>
      </c>
      <c r="T352" s="219" t="str">
        <f>IFERROR(VLOOKUP($B352,'SIZE CALCULATION'!$F$2:$G$100,2,0),"")</f>
        <v/>
      </c>
    </row>
    <row r="353" spans="1:20" x14ac:dyDescent="0.2">
      <c r="A353" s="236"/>
      <c r="B353" s="222"/>
      <c r="C353" s="222"/>
      <c r="D353" s="224"/>
      <c r="E353" s="223"/>
      <c r="F353" s="223"/>
      <c r="G353" s="223"/>
      <c r="H353" s="223"/>
      <c r="I353" s="247"/>
      <c r="J353" s="223"/>
      <c r="K353" s="240"/>
      <c r="L353" s="223"/>
      <c r="M353" s="223"/>
      <c r="N353" s="223"/>
      <c r="O353" s="223"/>
      <c r="P353" s="223"/>
      <c r="Q353" s="223"/>
      <c r="R353" s="223" t="s">
        <v>535</v>
      </c>
      <c r="S353" s="220">
        <f t="shared" si="5"/>
        <v>0</v>
      </c>
      <c r="T353" s="219" t="str">
        <f>IFERROR(VLOOKUP($B353,'SIZE CALCULATION'!$F$2:$G$100,2,0),"")</f>
        <v/>
      </c>
    </row>
    <row r="354" spans="1:20" x14ac:dyDescent="0.2">
      <c r="A354" s="236"/>
      <c r="B354" s="222"/>
      <c r="C354" s="222"/>
      <c r="D354" s="224"/>
      <c r="E354" s="223"/>
      <c r="F354" s="223"/>
      <c r="G354" s="223"/>
      <c r="H354" s="223"/>
      <c r="I354" s="247"/>
      <c r="J354" s="223"/>
      <c r="K354" s="240"/>
      <c r="L354" s="223"/>
      <c r="M354" s="223"/>
      <c r="N354" s="223"/>
      <c r="O354" s="223"/>
      <c r="P354" s="223"/>
      <c r="Q354" s="223"/>
      <c r="R354" s="223" t="s">
        <v>535</v>
      </c>
      <c r="S354" s="220">
        <f t="shared" si="5"/>
        <v>0</v>
      </c>
      <c r="T354" s="219" t="str">
        <f>IFERROR(VLOOKUP($B354,'SIZE CALCULATION'!$F$2:$G$100,2,0),"")</f>
        <v/>
      </c>
    </row>
    <row r="355" spans="1:20" x14ac:dyDescent="0.2">
      <c r="A355" s="236"/>
      <c r="B355" s="222"/>
      <c r="C355" s="222"/>
      <c r="D355" s="224"/>
      <c r="E355" s="223"/>
      <c r="F355" s="223"/>
      <c r="G355" s="223"/>
      <c r="H355" s="223"/>
      <c r="I355" s="247"/>
      <c r="J355" s="223"/>
      <c r="K355" s="240"/>
      <c r="L355" s="223"/>
      <c r="M355" s="223"/>
      <c r="N355" s="223"/>
      <c r="O355" s="223"/>
      <c r="P355" s="223"/>
      <c r="Q355" s="223"/>
      <c r="R355" s="223" t="s">
        <v>535</v>
      </c>
      <c r="S355" s="220">
        <f t="shared" si="5"/>
        <v>0</v>
      </c>
      <c r="T355" s="219" t="str">
        <f>IFERROR(VLOOKUP($B355,'SIZE CALCULATION'!$F$2:$G$100,2,0),"")</f>
        <v/>
      </c>
    </row>
    <row r="356" spans="1:20" x14ac:dyDescent="0.2">
      <c r="A356" s="236"/>
      <c r="B356" s="222"/>
      <c r="C356" s="222"/>
      <c r="D356" s="224"/>
      <c r="E356" s="223"/>
      <c r="F356" s="223"/>
      <c r="G356" s="223"/>
      <c r="H356" s="223"/>
      <c r="I356" s="247"/>
      <c r="J356" s="223"/>
      <c r="K356" s="240"/>
      <c r="L356" s="223"/>
      <c r="M356" s="223"/>
      <c r="N356" s="223"/>
      <c r="O356" s="223"/>
      <c r="P356" s="223"/>
      <c r="Q356" s="223"/>
      <c r="R356" s="223" t="s">
        <v>535</v>
      </c>
      <c r="S356" s="220">
        <f t="shared" si="5"/>
        <v>0</v>
      </c>
      <c r="T356" s="219" t="str">
        <f>IFERROR(VLOOKUP($B356,'SIZE CALCULATION'!$F$2:$G$100,2,0),"")</f>
        <v/>
      </c>
    </row>
    <row r="357" spans="1:20" x14ac:dyDescent="0.2">
      <c r="A357" s="236"/>
      <c r="B357" s="222"/>
      <c r="C357" s="222"/>
      <c r="D357" s="224"/>
      <c r="E357" s="223"/>
      <c r="F357" s="223"/>
      <c r="G357" s="223"/>
      <c r="H357" s="223"/>
      <c r="I357" s="247"/>
      <c r="J357" s="223"/>
      <c r="K357" s="240"/>
      <c r="L357" s="223"/>
      <c r="M357" s="223"/>
      <c r="N357" s="223"/>
      <c r="O357" s="223"/>
      <c r="P357" s="223"/>
      <c r="Q357" s="223"/>
      <c r="R357" s="223" t="s">
        <v>535</v>
      </c>
      <c r="S357" s="220">
        <f t="shared" si="5"/>
        <v>0</v>
      </c>
      <c r="T357" s="219" t="str">
        <f>IFERROR(VLOOKUP($B357,'SIZE CALCULATION'!$F$2:$G$100,2,0),"")</f>
        <v/>
      </c>
    </row>
    <row r="358" spans="1:20" x14ac:dyDescent="0.2">
      <c r="A358" s="236"/>
      <c r="B358" s="222"/>
      <c r="C358" s="222"/>
      <c r="D358" s="224"/>
      <c r="E358" s="223"/>
      <c r="F358" s="223"/>
      <c r="G358" s="223"/>
      <c r="H358" s="223"/>
      <c r="I358" s="247"/>
      <c r="J358" s="223"/>
      <c r="K358" s="240"/>
      <c r="L358" s="223"/>
      <c r="M358" s="223"/>
      <c r="N358" s="223"/>
      <c r="O358" s="223"/>
      <c r="P358" s="223"/>
      <c r="Q358" s="223"/>
      <c r="R358" s="223" t="s">
        <v>535</v>
      </c>
      <c r="S358" s="220">
        <f t="shared" si="5"/>
        <v>0</v>
      </c>
      <c r="T358" s="219" t="str">
        <f>IFERROR(VLOOKUP($B358,'SIZE CALCULATION'!$F$2:$G$100,2,0),"")</f>
        <v/>
      </c>
    </row>
    <row r="359" spans="1:20" x14ac:dyDescent="0.2">
      <c r="A359" s="236"/>
      <c r="B359" s="222"/>
      <c r="C359" s="222"/>
      <c r="D359" s="224"/>
      <c r="E359" s="223"/>
      <c r="F359" s="223"/>
      <c r="G359" s="223"/>
      <c r="H359" s="223"/>
      <c r="I359" s="247"/>
      <c r="J359" s="223"/>
      <c r="K359" s="240"/>
      <c r="L359" s="223"/>
      <c r="M359" s="223"/>
      <c r="N359" s="223"/>
      <c r="O359" s="223"/>
      <c r="P359" s="223"/>
      <c r="Q359" s="223"/>
      <c r="R359" s="223" t="s">
        <v>535</v>
      </c>
      <c r="S359" s="220">
        <f t="shared" si="5"/>
        <v>0</v>
      </c>
      <c r="T359" s="219" t="str">
        <f>IFERROR(VLOOKUP($B359,'SIZE CALCULATION'!$F$2:$G$100,2,0),"")</f>
        <v/>
      </c>
    </row>
    <row r="360" spans="1:20" x14ac:dyDescent="0.2">
      <c r="A360" s="236"/>
      <c r="B360" s="222"/>
      <c r="C360" s="222"/>
      <c r="D360" s="224"/>
      <c r="E360" s="223"/>
      <c r="F360" s="223"/>
      <c r="G360" s="223"/>
      <c r="H360" s="223"/>
      <c r="I360" s="247"/>
      <c r="J360" s="223"/>
      <c r="K360" s="240"/>
      <c r="L360" s="223"/>
      <c r="M360" s="223"/>
      <c r="N360" s="223"/>
      <c r="O360" s="223"/>
      <c r="P360" s="223"/>
      <c r="Q360" s="223"/>
      <c r="R360" s="223" t="s">
        <v>535</v>
      </c>
      <c r="S360" s="220">
        <f t="shared" si="5"/>
        <v>0</v>
      </c>
      <c r="T360" s="219" t="str">
        <f>IFERROR(VLOOKUP($B360,'SIZE CALCULATION'!$F$2:$G$100,2,0),"")</f>
        <v/>
      </c>
    </row>
    <row r="361" spans="1:20" x14ac:dyDescent="0.2">
      <c r="A361" s="236"/>
      <c r="B361" s="222"/>
      <c r="C361" s="222"/>
      <c r="D361" s="224"/>
      <c r="E361" s="223"/>
      <c r="F361" s="223"/>
      <c r="G361" s="223"/>
      <c r="H361" s="223"/>
      <c r="I361" s="247"/>
      <c r="J361" s="223"/>
      <c r="K361" s="240"/>
      <c r="L361" s="223"/>
      <c r="M361" s="223"/>
      <c r="N361" s="223"/>
      <c r="O361" s="223"/>
      <c r="P361" s="223"/>
      <c r="Q361" s="223"/>
      <c r="R361" s="223" t="s">
        <v>535</v>
      </c>
      <c r="S361" s="220">
        <f t="shared" si="5"/>
        <v>0</v>
      </c>
      <c r="T361" s="219" t="str">
        <f>IFERROR(VLOOKUP($B361,'SIZE CALCULATION'!$F$2:$G$100,2,0),"")</f>
        <v/>
      </c>
    </row>
    <row r="362" spans="1:20" x14ac:dyDescent="0.2">
      <c r="A362" s="236"/>
      <c r="B362" s="222"/>
      <c r="C362" s="222"/>
      <c r="D362" s="224"/>
      <c r="E362" s="223"/>
      <c r="F362" s="223"/>
      <c r="G362" s="223"/>
      <c r="H362" s="223"/>
      <c r="I362" s="247"/>
      <c r="J362" s="223"/>
      <c r="K362" s="240"/>
      <c r="L362" s="223"/>
      <c r="M362" s="223"/>
      <c r="N362" s="223"/>
      <c r="O362" s="223"/>
      <c r="P362" s="223"/>
      <c r="Q362" s="223"/>
      <c r="R362" s="223" t="s">
        <v>535</v>
      </c>
      <c r="S362" s="220">
        <f t="shared" si="5"/>
        <v>0</v>
      </c>
      <c r="T362" s="219" t="str">
        <f>IFERROR(VLOOKUP($B362,'SIZE CALCULATION'!$F$2:$G$100,2,0),"")</f>
        <v/>
      </c>
    </row>
    <row r="363" spans="1:20" x14ac:dyDescent="0.2">
      <c r="A363" s="224"/>
      <c r="B363" s="222"/>
      <c r="C363" s="222"/>
      <c r="D363" s="224"/>
      <c r="E363" s="223"/>
      <c r="F363" s="223"/>
      <c r="G363" s="223"/>
      <c r="H363" s="223"/>
      <c r="I363" s="247"/>
      <c r="J363" s="223"/>
      <c r="K363" s="240"/>
      <c r="L363" s="223"/>
      <c r="M363" s="223"/>
      <c r="N363" s="223"/>
      <c r="O363" s="223"/>
      <c r="P363" s="223"/>
      <c r="Q363" s="223"/>
      <c r="R363" s="223" t="s">
        <v>535</v>
      </c>
      <c r="S363" s="220">
        <f t="shared" si="5"/>
        <v>0</v>
      </c>
      <c r="T363" s="219" t="str">
        <f>IFERROR(VLOOKUP($B363,'SIZE CALCULATION'!$F$2:$G$100,2,0),"")</f>
        <v/>
      </c>
    </row>
    <row r="364" spans="1:20" x14ac:dyDescent="0.2">
      <c r="A364" s="224"/>
      <c r="B364" s="222"/>
      <c r="C364" s="222"/>
      <c r="D364" s="224"/>
      <c r="E364" s="223"/>
      <c r="F364" s="223"/>
      <c r="G364" s="223"/>
      <c r="H364" s="223"/>
      <c r="I364" s="247"/>
      <c r="J364" s="223"/>
      <c r="K364" s="240"/>
      <c r="L364" s="223"/>
      <c r="M364" s="223"/>
      <c r="N364" s="223"/>
      <c r="O364" s="223"/>
      <c r="P364" s="223"/>
      <c r="Q364" s="223"/>
      <c r="R364" s="223" t="s">
        <v>535</v>
      </c>
      <c r="S364" s="220">
        <f t="shared" si="5"/>
        <v>0</v>
      </c>
      <c r="T364" s="219" t="str">
        <f>IFERROR(VLOOKUP($B364,'SIZE CALCULATION'!$F$2:$G$100,2,0),"")</f>
        <v/>
      </c>
    </row>
    <row r="365" spans="1:20" x14ac:dyDescent="0.2">
      <c r="A365" s="224"/>
      <c r="B365" s="222"/>
      <c r="C365" s="222"/>
      <c r="D365" s="224"/>
      <c r="E365" s="223"/>
      <c r="F365" s="223"/>
      <c r="G365" s="223"/>
      <c r="H365" s="223"/>
      <c r="I365" s="247"/>
      <c r="J365" s="223"/>
      <c r="K365" s="240"/>
      <c r="L365" s="223"/>
      <c r="M365" s="223"/>
      <c r="N365" s="223"/>
      <c r="O365" s="223"/>
      <c r="P365" s="223"/>
      <c r="Q365" s="223"/>
      <c r="R365" s="223" t="s">
        <v>535</v>
      </c>
      <c r="S365" s="220">
        <f t="shared" si="5"/>
        <v>0</v>
      </c>
      <c r="T365" s="219" t="str">
        <f>IFERROR(VLOOKUP($B365,'SIZE CALCULATION'!$F$2:$G$100,2,0),"")</f>
        <v/>
      </c>
    </row>
    <row r="366" spans="1:20" x14ac:dyDescent="0.2">
      <c r="A366" s="224"/>
      <c r="B366" s="222"/>
      <c r="C366" s="222"/>
      <c r="D366" s="224"/>
      <c r="E366" s="223"/>
      <c r="F366" s="223"/>
      <c r="G366" s="223"/>
      <c r="H366" s="223"/>
      <c r="I366" s="247"/>
      <c r="J366" s="223"/>
      <c r="K366" s="240"/>
      <c r="L366" s="223"/>
      <c r="M366" s="223"/>
      <c r="N366" s="223"/>
      <c r="O366" s="223"/>
      <c r="P366" s="223"/>
      <c r="Q366" s="223"/>
      <c r="R366" s="223" t="s">
        <v>535</v>
      </c>
      <c r="S366" s="220">
        <f t="shared" si="5"/>
        <v>0</v>
      </c>
      <c r="T366" s="219" t="str">
        <f>IFERROR(VLOOKUP($B366,'SIZE CALCULATION'!$F$2:$G$100,2,0),"")</f>
        <v/>
      </c>
    </row>
    <row r="367" spans="1:20" x14ac:dyDescent="0.2">
      <c r="A367" s="224"/>
      <c r="B367" s="222"/>
      <c r="C367" s="222"/>
      <c r="D367" s="224"/>
      <c r="E367" s="223"/>
      <c r="F367" s="223"/>
      <c r="G367" s="223"/>
      <c r="H367" s="223"/>
      <c r="I367" s="247"/>
      <c r="J367" s="223"/>
      <c r="K367" s="240"/>
      <c r="L367" s="223"/>
      <c r="M367" s="223"/>
      <c r="N367" s="223"/>
      <c r="O367" s="223"/>
      <c r="P367" s="223"/>
      <c r="Q367" s="223"/>
      <c r="R367" s="223" t="s">
        <v>535</v>
      </c>
      <c r="S367" s="220">
        <f t="shared" si="5"/>
        <v>0</v>
      </c>
      <c r="T367" s="219" t="str">
        <f>IFERROR(VLOOKUP($B367,'SIZE CALCULATION'!$F$2:$G$100,2,0),"")</f>
        <v/>
      </c>
    </row>
    <row r="368" spans="1:20" x14ac:dyDescent="0.2">
      <c r="A368" s="224"/>
      <c r="B368" s="222"/>
      <c r="C368" s="222"/>
      <c r="D368" s="224"/>
      <c r="E368" s="223"/>
      <c r="F368" s="223"/>
      <c r="G368" s="223"/>
      <c r="H368" s="223"/>
      <c r="I368" s="247"/>
      <c r="J368" s="223"/>
      <c r="K368" s="240"/>
      <c r="L368" s="223"/>
      <c r="M368" s="223"/>
      <c r="N368" s="223"/>
      <c r="O368" s="223"/>
      <c r="P368" s="223"/>
      <c r="Q368" s="223"/>
      <c r="R368" s="223" t="s">
        <v>535</v>
      </c>
      <c r="S368" s="220">
        <f t="shared" si="5"/>
        <v>0</v>
      </c>
      <c r="T368" s="219" t="str">
        <f>IFERROR(VLOOKUP($B368,'SIZE CALCULATION'!$F$2:$G$100,2,0),"")</f>
        <v/>
      </c>
    </row>
    <row r="369" spans="1:20" x14ac:dyDescent="0.2">
      <c r="A369" s="224"/>
      <c r="B369" s="222"/>
      <c r="C369" s="222"/>
      <c r="D369" s="224"/>
      <c r="E369" s="223"/>
      <c r="F369" s="223"/>
      <c r="G369" s="223"/>
      <c r="H369" s="223"/>
      <c r="I369" s="247"/>
      <c r="J369" s="223"/>
      <c r="K369" s="240"/>
      <c r="L369" s="223"/>
      <c r="M369" s="223"/>
      <c r="N369" s="223"/>
      <c r="O369" s="223"/>
      <c r="P369" s="223"/>
      <c r="Q369" s="223"/>
      <c r="R369" s="223" t="s">
        <v>535</v>
      </c>
      <c r="S369" s="220">
        <f t="shared" si="5"/>
        <v>0</v>
      </c>
      <c r="T369" s="219" t="str">
        <f>IFERROR(VLOOKUP($B369,'SIZE CALCULATION'!$F$2:$G$100,2,0),"")</f>
        <v/>
      </c>
    </row>
    <row r="370" spans="1:20" x14ac:dyDescent="0.2">
      <c r="A370" s="224"/>
      <c r="B370" s="222"/>
      <c r="C370" s="222"/>
      <c r="D370" s="224"/>
      <c r="E370" s="223"/>
      <c r="F370" s="223"/>
      <c r="G370" s="223"/>
      <c r="H370" s="223"/>
      <c r="I370" s="247"/>
      <c r="J370" s="223"/>
      <c r="K370" s="240"/>
      <c r="L370" s="223"/>
      <c r="M370" s="223"/>
      <c r="N370" s="223"/>
      <c r="O370" s="223"/>
      <c r="P370" s="223"/>
      <c r="Q370" s="223"/>
      <c r="R370" s="223" t="s">
        <v>535</v>
      </c>
      <c r="S370" s="220">
        <f t="shared" si="5"/>
        <v>0</v>
      </c>
      <c r="T370" s="219" t="str">
        <f>IFERROR(VLOOKUP($B370,'SIZE CALCULATION'!$F$2:$G$100,2,0),"")</f>
        <v/>
      </c>
    </row>
    <row r="371" spans="1:20" x14ac:dyDescent="0.2">
      <c r="A371" s="224"/>
      <c r="B371" s="222"/>
      <c r="C371" s="222"/>
      <c r="D371" s="224"/>
      <c r="E371" s="223"/>
      <c r="F371" s="223"/>
      <c r="G371" s="223"/>
      <c r="H371" s="223"/>
      <c r="I371" s="247"/>
      <c r="J371" s="223"/>
      <c r="K371" s="240"/>
      <c r="L371" s="223"/>
      <c r="M371" s="223"/>
      <c r="N371" s="223"/>
      <c r="O371" s="223"/>
      <c r="P371" s="223"/>
      <c r="Q371" s="223"/>
      <c r="R371" s="223" t="s">
        <v>535</v>
      </c>
      <c r="S371" s="220">
        <f t="shared" si="5"/>
        <v>0</v>
      </c>
      <c r="T371" s="219" t="str">
        <f>IFERROR(VLOOKUP($B371,'SIZE CALCULATION'!$F$2:$G$100,2,0),"")</f>
        <v/>
      </c>
    </row>
    <row r="372" spans="1:20" x14ac:dyDescent="0.2">
      <c r="A372" s="224"/>
      <c r="B372" s="222"/>
      <c r="C372" s="222"/>
      <c r="D372" s="224"/>
      <c r="E372" s="223"/>
      <c r="F372" s="223"/>
      <c r="G372" s="223"/>
      <c r="H372" s="223"/>
      <c r="I372" s="247"/>
      <c r="J372" s="223"/>
      <c r="K372" s="240"/>
      <c r="L372" s="223"/>
      <c r="M372" s="223"/>
      <c r="N372" s="223"/>
      <c r="O372" s="223"/>
      <c r="P372" s="223"/>
      <c r="Q372" s="223"/>
      <c r="R372" s="223" t="s">
        <v>535</v>
      </c>
      <c r="S372" s="220">
        <f t="shared" si="5"/>
        <v>0</v>
      </c>
      <c r="T372" s="219" t="str">
        <f>IFERROR(VLOOKUP($B372,'SIZE CALCULATION'!$F$2:$G$100,2,0),"")</f>
        <v/>
      </c>
    </row>
    <row r="373" spans="1:20" x14ac:dyDescent="0.2">
      <c r="A373" s="224"/>
      <c r="B373" s="222"/>
      <c r="C373" s="222"/>
      <c r="D373" s="224"/>
      <c r="E373" s="223"/>
      <c r="F373" s="223"/>
      <c r="G373" s="223"/>
      <c r="H373" s="223"/>
      <c r="I373" s="247"/>
      <c r="J373" s="223"/>
      <c r="K373" s="240"/>
      <c r="L373" s="223"/>
      <c r="M373" s="223"/>
      <c r="N373" s="223"/>
      <c r="O373" s="223"/>
      <c r="P373" s="223"/>
      <c r="Q373" s="223"/>
      <c r="R373" s="223" t="s">
        <v>535</v>
      </c>
      <c r="S373" s="220">
        <f t="shared" si="5"/>
        <v>0</v>
      </c>
      <c r="T373" s="219" t="str">
        <f>IFERROR(VLOOKUP($B373,'SIZE CALCULATION'!$F$2:$G$100,2,0),"")</f>
        <v/>
      </c>
    </row>
    <row r="374" spans="1:20" x14ac:dyDescent="0.2">
      <c r="A374" s="224"/>
      <c r="B374" s="222"/>
      <c r="C374" s="222"/>
      <c r="D374" s="224"/>
      <c r="E374" s="223"/>
      <c r="F374" s="223"/>
      <c r="G374" s="223"/>
      <c r="H374" s="223"/>
      <c r="I374" s="247"/>
      <c r="J374" s="223"/>
      <c r="K374" s="240"/>
      <c r="L374" s="223"/>
      <c r="M374" s="223"/>
      <c r="N374" s="223"/>
      <c r="O374" s="223"/>
      <c r="P374" s="223"/>
      <c r="Q374" s="223"/>
      <c r="R374" s="223" t="s">
        <v>535</v>
      </c>
      <c r="S374" s="220">
        <f t="shared" si="5"/>
        <v>0</v>
      </c>
      <c r="T374" s="219" t="str">
        <f>IFERROR(VLOOKUP($B374,'SIZE CALCULATION'!$F$2:$G$100,2,0),"")</f>
        <v/>
      </c>
    </row>
    <row r="375" spans="1:20" x14ac:dyDescent="0.2">
      <c r="A375" s="224"/>
      <c r="B375" s="222"/>
      <c r="C375" s="222"/>
      <c r="D375" s="224"/>
      <c r="E375" s="223"/>
      <c r="F375" s="223"/>
      <c r="G375" s="223"/>
      <c r="H375" s="223"/>
      <c r="I375" s="247"/>
      <c r="J375" s="223"/>
      <c r="K375" s="240"/>
      <c r="L375" s="223"/>
      <c r="M375" s="223"/>
      <c r="N375" s="223"/>
      <c r="O375" s="223"/>
      <c r="P375" s="223"/>
      <c r="Q375" s="223"/>
      <c r="R375" s="223" t="s">
        <v>535</v>
      </c>
      <c r="S375" s="220">
        <f t="shared" si="5"/>
        <v>0</v>
      </c>
      <c r="T375" s="219" t="str">
        <f>IFERROR(VLOOKUP($B375,'SIZE CALCULATION'!$F$2:$G$100,2,0),"")</f>
        <v/>
      </c>
    </row>
    <row r="376" spans="1:20" x14ac:dyDescent="0.2">
      <c r="A376" s="224"/>
      <c r="B376" s="222"/>
      <c r="C376" s="222"/>
      <c r="D376" s="224"/>
      <c r="E376" s="223"/>
      <c r="F376" s="223"/>
      <c r="G376" s="223"/>
      <c r="H376" s="223"/>
      <c r="I376" s="247"/>
      <c r="J376" s="223"/>
      <c r="K376" s="240"/>
      <c r="L376" s="223"/>
      <c r="M376" s="223"/>
      <c r="N376" s="223"/>
      <c r="O376" s="223"/>
      <c r="P376" s="223"/>
      <c r="Q376" s="223"/>
      <c r="R376" s="223" t="s">
        <v>535</v>
      </c>
      <c r="S376" s="220">
        <f t="shared" si="5"/>
        <v>0</v>
      </c>
      <c r="T376" s="219" t="str">
        <f>IFERROR(VLOOKUP($B376,'SIZE CALCULATION'!$F$2:$G$100,2,0),"")</f>
        <v/>
      </c>
    </row>
    <row r="377" spans="1:20" x14ac:dyDescent="0.2">
      <c r="A377" s="236"/>
      <c r="B377" s="222"/>
      <c r="C377" s="222"/>
      <c r="D377" s="224"/>
      <c r="E377" s="223"/>
      <c r="F377" s="223"/>
      <c r="G377" s="223"/>
      <c r="H377" s="223"/>
      <c r="I377" s="247"/>
      <c r="J377" s="223"/>
      <c r="K377" s="240"/>
      <c r="L377" s="223"/>
      <c r="M377" s="223"/>
      <c r="N377" s="223"/>
      <c r="O377" s="223"/>
      <c r="P377" s="223"/>
      <c r="Q377" s="223"/>
      <c r="R377" s="223" t="s">
        <v>535</v>
      </c>
      <c r="S377" s="220">
        <f t="shared" si="5"/>
        <v>0</v>
      </c>
      <c r="T377" s="219" t="str">
        <f>IFERROR(VLOOKUP($B377,'SIZE CALCULATION'!$F$2:$G$100,2,0),"")</f>
        <v/>
      </c>
    </row>
    <row r="378" spans="1:20" x14ac:dyDescent="0.2">
      <c r="A378" s="236"/>
      <c r="B378" s="222"/>
      <c r="C378" s="222"/>
      <c r="D378" s="224"/>
      <c r="E378" s="223"/>
      <c r="F378" s="223"/>
      <c r="G378" s="223"/>
      <c r="H378" s="223"/>
      <c r="I378" s="247"/>
      <c r="J378" s="223"/>
      <c r="K378" s="240"/>
      <c r="L378" s="223"/>
      <c r="M378" s="223"/>
      <c r="N378" s="223"/>
      <c r="O378" s="223"/>
      <c r="P378" s="223"/>
      <c r="Q378" s="223"/>
      <c r="R378" s="223" t="s">
        <v>535</v>
      </c>
      <c r="S378" s="220">
        <f t="shared" si="5"/>
        <v>0</v>
      </c>
      <c r="T378" s="219" t="str">
        <f>IFERROR(VLOOKUP($B378,'SIZE CALCULATION'!$F$2:$G$100,2,0),"")</f>
        <v/>
      </c>
    </row>
    <row r="379" spans="1:20" x14ac:dyDescent="0.2">
      <c r="A379" s="236"/>
      <c r="B379" s="222"/>
      <c r="C379" s="222"/>
      <c r="D379" s="224"/>
      <c r="E379" s="223"/>
      <c r="F379" s="223"/>
      <c r="G379" s="223"/>
      <c r="H379" s="223"/>
      <c r="I379" s="247"/>
      <c r="J379" s="223"/>
      <c r="K379" s="240"/>
      <c r="L379" s="223"/>
      <c r="M379" s="223"/>
      <c r="N379" s="223"/>
      <c r="O379" s="223"/>
      <c r="P379" s="223"/>
      <c r="Q379" s="223"/>
      <c r="R379" s="223" t="s">
        <v>535</v>
      </c>
      <c r="S379" s="220">
        <f t="shared" si="5"/>
        <v>0</v>
      </c>
      <c r="T379" s="219" t="str">
        <f>IFERROR(VLOOKUP($B379,'SIZE CALCULATION'!$F$2:$G$100,2,0),"")</f>
        <v/>
      </c>
    </row>
    <row r="380" spans="1:20" x14ac:dyDescent="0.2">
      <c r="A380" s="236"/>
      <c r="B380" s="222"/>
      <c r="C380" s="222"/>
      <c r="D380" s="224"/>
      <c r="E380" s="223"/>
      <c r="F380" s="223"/>
      <c r="G380" s="223"/>
      <c r="H380" s="223"/>
      <c r="I380" s="247"/>
      <c r="J380" s="223"/>
      <c r="K380" s="240"/>
      <c r="L380" s="223"/>
      <c r="M380" s="223"/>
      <c r="N380" s="223"/>
      <c r="O380" s="223"/>
      <c r="P380" s="223"/>
      <c r="Q380" s="223"/>
      <c r="R380" s="223" t="s">
        <v>535</v>
      </c>
      <c r="S380" s="220">
        <f t="shared" si="5"/>
        <v>0</v>
      </c>
      <c r="T380" s="219" t="str">
        <f>IFERROR(VLOOKUP($B380,'SIZE CALCULATION'!$F$2:$G$100,2,0),"")</f>
        <v/>
      </c>
    </row>
    <row r="381" spans="1:20" x14ac:dyDescent="0.2">
      <c r="A381" s="236"/>
      <c r="B381" s="222"/>
      <c r="C381" s="222"/>
      <c r="D381" s="224"/>
      <c r="E381" s="223"/>
      <c r="F381" s="223"/>
      <c r="G381" s="223"/>
      <c r="H381" s="223"/>
      <c r="I381" s="247"/>
      <c r="J381" s="223"/>
      <c r="K381" s="240"/>
      <c r="L381" s="223"/>
      <c r="M381" s="223"/>
      <c r="N381" s="223"/>
      <c r="O381" s="223"/>
      <c r="P381" s="223"/>
      <c r="Q381" s="223"/>
      <c r="R381" s="223" t="s">
        <v>535</v>
      </c>
      <c r="S381" s="220">
        <f t="shared" ref="S381:S444" si="6">IFERROR(M381/O381,M381)</f>
        <v>0</v>
      </c>
      <c r="T381" s="219" t="str">
        <f>IFERROR(VLOOKUP($B381,'SIZE CALCULATION'!$F$2:$G$100,2,0),"")</f>
        <v/>
      </c>
    </row>
    <row r="382" spans="1:20" x14ac:dyDescent="0.2">
      <c r="A382" s="236"/>
      <c r="B382" s="222"/>
      <c r="C382" s="222"/>
      <c r="D382" s="224"/>
      <c r="E382" s="223"/>
      <c r="F382" s="223"/>
      <c r="G382" s="223"/>
      <c r="H382" s="223"/>
      <c r="I382" s="247"/>
      <c r="J382" s="223"/>
      <c r="K382" s="240"/>
      <c r="L382" s="223"/>
      <c r="M382" s="223"/>
      <c r="N382" s="223"/>
      <c r="O382" s="223"/>
      <c r="P382" s="223"/>
      <c r="Q382" s="223"/>
      <c r="R382" s="223" t="s">
        <v>535</v>
      </c>
      <c r="S382" s="220">
        <f t="shared" si="6"/>
        <v>0</v>
      </c>
      <c r="T382" s="219" t="str">
        <f>IFERROR(VLOOKUP($B382,'SIZE CALCULATION'!$F$2:$G$100,2,0),"")</f>
        <v/>
      </c>
    </row>
    <row r="383" spans="1:20" x14ac:dyDescent="0.2">
      <c r="A383" s="236"/>
      <c r="B383" s="222"/>
      <c r="C383" s="222"/>
      <c r="D383" s="224"/>
      <c r="E383" s="272"/>
      <c r="F383" s="223"/>
      <c r="G383" s="223"/>
      <c r="H383" s="223"/>
      <c r="I383" s="247"/>
      <c r="J383" s="223"/>
      <c r="K383" s="240"/>
      <c r="L383" s="223"/>
      <c r="M383" s="223"/>
      <c r="N383" s="223"/>
      <c r="O383" s="223"/>
      <c r="P383" s="223"/>
      <c r="Q383" s="223"/>
      <c r="R383" s="223" t="s">
        <v>535</v>
      </c>
      <c r="S383" s="220">
        <f t="shared" si="6"/>
        <v>0</v>
      </c>
      <c r="T383" s="219" t="str">
        <f>IFERROR(VLOOKUP($B383,'SIZE CALCULATION'!$F$2:$G$100,2,0),"")</f>
        <v/>
      </c>
    </row>
    <row r="384" spans="1:20" x14ac:dyDescent="0.2">
      <c r="A384" s="236"/>
      <c r="B384" s="222"/>
      <c r="C384" s="222"/>
      <c r="D384" s="224"/>
      <c r="E384" s="223"/>
      <c r="F384" s="223"/>
      <c r="G384" s="223"/>
      <c r="H384" s="223"/>
      <c r="I384" s="247"/>
      <c r="J384" s="223"/>
      <c r="K384" s="240"/>
      <c r="L384" s="223"/>
      <c r="M384" s="223"/>
      <c r="N384" s="223"/>
      <c r="O384" s="223"/>
      <c r="P384" s="223"/>
      <c r="Q384" s="223"/>
      <c r="R384" s="223" t="s">
        <v>535</v>
      </c>
      <c r="S384" s="220">
        <f t="shared" si="6"/>
        <v>0</v>
      </c>
      <c r="T384" s="219" t="str">
        <f>IFERROR(VLOOKUP($B384,'SIZE CALCULATION'!$F$2:$G$100,2,0),"")</f>
        <v/>
      </c>
    </row>
    <row r="385" spans="1:20" x14ac:dyDescent="0.2">
      <c r="A385" s="236"/>
      <c r="B385" s="222"/>
      <c r="C385" s="222"/>
      <c r="D385" s="224"/>
      <c r="E385" s="223"/>
      <c r="F385" s="223"/>
      <c r="G385" s="223"/>
      <c r="H385" s="223"/>
      <c r="I385" s="247"/>
      <c r="J385" s="223"/>
      <c r="K385" s="240"/>
      <c r="L385" s="223"/>
      <c r="M385" s="223"/>
      <c r="N385" s="223"/>
      <c r="O385" s="223"/>
      <c r="P385" s="223"/>
      <c r="Q385" s="223"/>
      <c r="R385" s="223" t="s">
        <v>535</v>
      </c>
      <c r="S385" s="220">
        <f t="shared" si="6"/>
        <v>0</v>
      </c>
      <c r="T385" s="219" t="str">
        <f>IFERROR(VLOOKUP($B385,'SIZE CALCULATION'!$F$2:$G$100,2,0),"")</f>
        <v/>
      </c>
    </row>
    <row r="386" spans="1:20" x14ac:dyDescent="0.2">
      <c r="A386" s="236"/>
      <c r="B386" s="222"/>
      <c r="C386" s="222"/>
      <c r="D386" s="224"/>
      <c r="E386" s="223"/>
      <c r="F386" s="223"/>
      <c r="G386" s="223"/>
      <c r="H386" s="223"/>
      <c r="I386" s="247"/>
      <c r="J386" s="223"/>
      <c r="K386" s="240"/>
      <c r="L386" s="223"/>
      <c r="M386" s="223"/>
      <c r="N386" s="223"/>
      <c r="O386" s="223"/>
      <c r="P386" s="223"/>
      <c r="Q386" s="223"/>
      <c r="R386" s="223" t="s">
        <v>535</v>
      </c>
      <c r="S386" s="220">
        <f t="shared" si="6"/>
        <v>0</v>
      </c>
      <c r="T386" s="219" t="str">
        <f>IFERROR(VLOOKUP($B386,'SIZE CALCULATION'!$F$2:$G$100,2,0),"")</f>
        <v/>
      </c>
    </row>
    <row r="387" spans="1:20" x14ac:dyDescent="0.2">
      <c r="A387" s="236"/>
      <c r="B387" s="222"/>
      <c r="C387" s="222"/>
      <c r="D387" s="224"/>
      <c r="E387" s="223"/>
      <c r="F387" s="223"/>
      <c r="G387" s="223"/>
      <c r="H387" s="223"/>
      <c r="I387" s="247"/>
      <c r="J387" s="223"/>
      <c r="K387" s="240"/>
      <c r="L387" s="223"/>
      <c r="M387" s="223"/>
      <c r="N387" s="223"/>
      <c r="O387" s="223"/>
      <c r="P387" s="223"/>
      <c r="Q387" s="223"/>
      <c r="R387" s="223" t="s">
        <v>535</v>
      </c>
      <c r="S387" s="220">
        <f t="shared" si="6"/>
        <v>0</v>
      </c>
      <c r="T387" s="219" t="str">
        <f>IFERROR(VLOOKUP($B387,'SIZE CALCULATION'!$F$2:$G$100,2,0),"")</f>
        <v/>
      </c>
    </row>
    <row r="388" spans="1:20" x14ac:dyDescent="0.2">
      <c r="A388" s="236"/>
      <c r="B388" s="222"/>
      <c r="C388" s="222"/>
      <c r="D388" s="224"/>
      <c r="E388" s="223"/>
      <c r="F388" s="223"/>
      <c r="G388" s="223"/>
      <c r="H388" s="223"/>
      <c r="I388" s="247"/>
      <c r="J388" s="223"/>
      <c r="K388" s="240"/>
      <c r="L388" s="223"/>
      <c r="M388" s="223"/>
      <c r="N388" s="223"/>
      <c r="O388" s="223"/>
      <c r="P388" s="223"/>
      <c r="Q388" s="223"/>
      <c r="R388" s="223" t="s">
        <v>535</v>
      </c>
      <c r="S388" s="220">
        <f t="shared" si="6"/>
        <v>0</v>
      </c>
      <c r="T388" s="219" t="str">
        <f>IFERROR(VLOOKUP($B388,'SIZE CALCULATION'!$F$2:$G$100,2,0),"")</f>
        <v/>
      </c>
    </row>
    <row r="389" spans="1:20" x14ac:dyDescent="0.2">
      <c r="A389" s="236"/>
      <c r="B389" s="222"/>
      <c r="C389" s="222"/>
      <c r="D389" s="224"/>
      <c r="E389" s="223"/>
      <c r="F389" s="223"/>
      <c r="G389" s="223"/>
      <c r="H389" s="223"/>
      <c r="I389" s="247"/>
      <c r="J389" s="223"/>
      <c r="K389" s="240"/>
      <c r="L389" s="223"/>
      <c r="M389" s="223"/>
      <c r="N389" s="223"/>
      <c r="O389" s="223"/>
      <c r="P389" s="223"/>
      <c r="Q389" s="223"/>
      <c r="R389" s="223" t="s">
        <v>535</v>
      </c>
      <c r="S389" s="220">
        <f t="shared" si="6"/>
        <v>0</v>
      </c>
      <c r="T389" s="219" t="str">
        <f>IFERROR(VLOOKUP($B389,'SIZE CALCULATION'!$F$2:$G$100,2,0),"")</f>
        <v/>
      </c>
    </row>
    <row r="390" spans="1:20" x14ac:dyDescent="0.2">
      <c r="A390" s="236"/>
      <c r="B390" s="221"/>
      <c r="C390" s="222"/>
      <c r="D390" s="224"/>
      <c r="E390" s="223"/>
      <c r="F390" s="223"/>
      <c r="G390" s="223"/>
      <c r="H390" s="223"/>
      <c r="I390" s="247"/>
      <c r="J390" s="223"/>
      <c r="K390" s="240"/>
      <c r="L390" s="223"/>
      <c r="M390" s="223"/>
      <c r="N390" s="223"/>
      <c r="O390" s="223"/>
      <c r="P390" s="223"/>
      <c r="Q390" s="223"/>
      <c r="R390" s="223" t="s">
        <v>535</v>
      </c>
      <c r="S390" s="220">
        <f t="shared" si="6"/>
        <v>0</v>
      </c>
      <c r="T390" s="219" t="str">
        <f>IFERROR(VLOOKUP($B390,'SIZE CALCULATION'!$F$2:$G$100,2,0),"")</f>
        <v/>
      </c>
    </row>
    <row r="391" spans="1:20" x14ac:dyDescent="0.2">
      <c r="A391" s="236"/>
      <c r="B391" s="222"/>
      <c r="C391" s="222"/>
      <c r="D391" s="224"/>
      <c r="E391" s="223"/>
      <c r="F391" s="223"/>
      <c r="G391" s="223"/>
      <c r="H391" s="223"/>
      <c r="I391" s="247"/>
      <c r="J391" s="223"/>
      <c r="K391" s="240"/>
      <c r="L391" s="223"/>
      <c r="M391" s="223"/>
      <c r="N391" s="223"/>
      <c r="O391" s="223"/>
      <c r="P391" s="223"/>
      <c r="Q391" s="223"/>
      <c r="R391" s="223" t="s">
        <v>535</v>
      </c>
      <c r="S391" s="220">
        <f t="shared" si="6"/>
        <v>0</v>
      </c>
      <c r="T391" s="219" t="str">
        <f>IFERROR(VLOOKUP($B391,'SIZE CALCULATION'!$F$2:$G$100,2,0),"")</f>
        <v/>
      </c>
    </row>
    <row r="392" spans="1:20" x14ac:dyDescent="0.2">
      <c r="A392" s="236"/>
      <c r="B392" s="222"/>
      <c r="C392" s="222"/>
      <c r="D392" s="224"/>
      <c r="E392" s="223"/>
      <c r="F392" s="223"/>
      <c r="G392" s="223"/>
      <c r="H392" s="223"/>
      <c r="I392" s="247"/>
      <c r="J392" s="223"/>
      <c r="K392" s="240"/>
      <c r="L392" s="223"/>
      <c r="M392" s="223"/>
      <c r="N392" s="223"/>
      <c r="O392" s="223"/>
      <c r="P392" s="223"/>
      <c r="Q392" s="223"/>
      <c r="R392" s="223" t="s">
        <v>535</v>
      </c>
      <c r="S392" s="220">
        <f t="shared" si="6"/>
        <v>0</v>
      </c>
      <c r="T392" s="219" t="str">
        <f>IFERROR(VLOOKUP($B392,'SIZE CALCULATION'!$F$2:$G$100,2,0),"")</f>
        <v/>
      </c>
    </row>
    <row r="393" spans="1:20" x14ac:dyDescent="0.2">
      <c r="A393" s="236"/>
      <c r="B393" s="222"/>
      <c r="C393" s="222"/>
      <c r="D393" s="224"/>
      <c r="E393" s="223"/>
      <c r="F393" s="223"/>
      <c r="G393" s="223"/>
      <c r="H393" s="223"/>
      <c r="I393" s="247"/>
      <c r="J393" s="223"/>
      <c r="K393" s="240"/>
      <c r="L393" s="223"/>
      <c r="M393" s="223"/>
      <c r="N393" s="223"/>
      <c r="O393" s="223"/>
      <c r="P393" s="223"/>
      <c r="Q393" s="223"/>
      <c r="R393" s="223" t="s">
        <v>535</v>
      </c>
      <c r="S393" s="220">
        <f t="shared" si="6"/>
        <v>0</v>
      </c>
      <c r="T393" s="219" t="str">
        <f>IFERROR(VLOOKUP($B393,'SIZE CALCULATION'!$F$2:$G$100,2,0),"")</f>
        <v/>
      </c>
    </row>
    <row r="394" spans="1:20" x14ac:dyDescent="0.2">
      <c r="A394" s="236"/>
      <c r="B394" s="222"/>
      <c r="C394" s="222"/>
      <c r="D394" s="224"/>
      <c r="E394" s="223"/>
      <c r="F394" s="223"/>
      <c r="G394" s="223"/>
      <c r="H394" s="223"/>
      <c r="I394" s="247"/>
      <c r="J394" s="223"/>
      <c r="K394" s="240"/>
      <c r="L394" s="223"/>
      <c r="M394" s="223"/>
      <c r="N394" s="223"/>
      <c r="O394" s="223"/>
      <c r="P394" s="223"/>
      <c r="Q394" s="223"/>
      <c r="R394" s="223" t="s">
        <v>535</v>
      </c>
      <c r="S394" s="220">
        <f t="shared" si="6"/>
        <v>0</v>
      </c>
      <c r="T394" s="219" t="str">
        <f>IFERROR(VLOOKUP($B394,'SIZE CALCULATION'!$F$2:$G$100,2,0),"")</f>
        <v/>
      </c>
    </row>
    <row r="395" spans="1:20" x14ac:dyDescent="0.2">
      <c r="A395" s="236"/>
      <c r="B395" s="222"/>
      <c r="C395" s="222"/>
      <c r="D395" s="224"/>
      <c r="E395" s="223"/>
      <c r="F395" s="223"/>
      <c r="G395" s="223"/>
      <c r="H395" s="223"/>
      <c r="I395" s="247"/>
      <c r="J395" s="223"/>
      <c r="K395" s="240"/>
      <c r="L395" s="223"/>
      <c r="M395" s="223"/>
      <c r="N395" s="223"/>
      <c r="O395" s="223"/>
      <c r="P395" s="223"/>
      <c r="Q395" s="223"/>
      <c r="R395" s="223" t="s">
        <v>535</v>
      </c>
      <c r="S395" s="220">
        <f t="shared" si="6"/>
        <v>0</v>
      </c>
      <c r="T395" s="219" t="str">
        <f>IFERROR(VLOOKUP($B395,'SIZE CALCULATION'!$F$2:$G$100,2,0),"")</f>
        <v/>
      </c>
    </row>
    <row r="396" spans="1:20" x14ac:dyDescent="0.2">
      <c r="A396" s="236"/>
      <c r="B396" s="222"/>
      <c r="C396" s="222"/>
      <c r="D396" s="224"/>
      <c r="E396" s="223"/>
      <c r="F396" s="223"/>
      <c r="G396" s="223"/>
      <c r="H396" s="223"/>
      <c r="I396" s="247"/>
      <c r="J396" s="223"/>
      <c r="K396" s="240"/>
      <c r="L396" s="223"/>
      <c r="M396" s="223"/>
      <c r="N396" s="223"/>
      <c r="O396" s="223"/>
      <c r="P396" s="223"/>
      <c r="Q396" s="223"/>
      <c r="R396" s="223" t="s">
        <v>535</v>
      </c>
      <c r="S396" s="220">
        <f t="shared" si="6"/>
        <v>0</v>
      </c>
      <c r="T396" s="219" t="str">
        <f>IFERROR(VLOOKUP($B396,'SIZE CALCULATION'!$F$2:$G$100,2,0),"")</f>
        <v/>
      </c>
    </row>
    <row r="397" spans="1:20" x14ac:dyDescent="0.2">
      <c r="A397" s="236"/>
      <c r="B397" s="222"/>
      <c r="C397" s="222"/>
      <c r="D397" s="224"/>
      <c r="E397" s="223"/>
      <c r="F397" s="223"/>
      <c r="G397" s="223"/>
      <c r="H397" s="223"/>
      <c r="I397" s="247"/>
      <c r="J397" s="223"/>
      <c r="K397" s="240"/>
      <c r="L397" s="223"/>
      <c r="M397" s="223"/>
      <c r="N397" s="223"/>
      <c r="O397" s="223"/>
      <c r="P397" s="223"/>
      <c r="Q397" s="223"/>
      <c r="R397" s="223" t="s">
        <v>535</v>
      </c>
      <c r="S397" s="220">
        <f t="shared" si="6"/>
        <v>0</v>
      </c>
      <c r="T397" s="219" t="str">
        <f>IFERROR(VLOOKUP($B397,'SIZE CALCULATION'!$F$2:$G$100,2,0),"")</f>
        <v/>
      </c>
    </row>
    <row r="398" spans="1:20" x14ac:dyDescent="0.2">
      <c r="A398" s="236"/>
      <c r="B398" s="222"/>
      <c r="C398" s="222"/>
      <c r="D398" s="224"/>
      <c r="E398" s="223"/>
      <c r="F398" s="223"/>
      <c r="G398" s="223"/>
      <c r="H398" s="223"/>
      <c r="I398" s="247"/>
      <c r="J398" s="223"/>
      <c r="K398" s="240"/>
      <c r="L398" s="223"/>
      <c r="M398" s="223"/>
      <c r="N398" s="223"/>
      <c r="O398" s="223"/>
      <c r="P398" s="223"/>
      <c r="Q398" s="223"/>
      <c r="R398" s="223" t="s">
        <v>535</v>
      </c>
      <c r="S398" s="220">
        <f t="shared" si="6"/>
        <v>0</v>
      </c>
      <c r="T398" s="219" t="str">
        <f>IFERROR(VLOOKUP($B398,'SIZE CALCULATION'!$F$2:$G$100,2,0),"")</f>
        <v/>
      </c>
    </row>
    <row r="399" spans="1:20" x14ac:dyDescent="0.2">
      <c r="A399" s="236"/>
      <c r="B399" s="222"/>
      <c r="C399" s="222"/>
      <c r="D399" s="224"/>
      <c r="E399" s="223"/>
      <c r="F399" s="223"/>
      <c r="G399" s="223"/>
      <c r="H399" s="223"/>
      <c r="I399" s="247"/>
      <c r="J399" s="223"/>
      <c r="K399" s="240"/>
      <c r="L399" s="223"/>
      <c r="M399" s="223"/>
      <c r="N399" s="223"/>
      <c r="O399" s="223"/>
      <c r="P399" s="223"/>
      <c r="Q399" s="223"/>
      <c r="R399" s="223" t="s">
        <v>535</v>
      </c>
      <c r="S399" s="220">
        <f t="shared" si="6"/>
        <v>0</v>
      </c>
      <c r="T399" s="219" t="str">
        <f>IFERROR(VLOOKUP($B399,'SIZE CALCULATION'!$F$2:$G$100,2,0),"")</f>
        <v/>
      </c>
    </row>
    <row r="400" spans="1:20" x14ac:dyDescent="0.2">
      <c r="A400" s="236"/>
      <c r="B400" s="222"/>
      <c r="C400" s="222"/>
      <c r="D400" s="224"/>
      <c r="E400" s="223"/>
      <c r="F400" s="223"/>
      <c r="G400" s="223"/>
      <c r="H400" s="223"/>
      <c r="I400" s="247"/>
      <c r="J400" s="223"/>
      <c r="K400" s="240"/>
      <c r="L400" s="223"/>
      <c r="M400" s="223"/>
      <c r="N400" s="223"/>
      <c r="O400" s="223"/>
      <c r="P400" s="223"/>
      <c r="Q400" s="223"/>
      <c r="R400" s="223" t="s">
        <v>535</v>
      </c>
      <c r="S400" s="220">
        <f t="shared" si="6"/>
        <v>0</v>
      </c>
      <c r="T400" s="219" t="str">
        <f>IFERROR(VLOOKUP($B400,'SIZE CALCULATION'!$F$2:$G$100,2,0),"")</f>
        <v/>
      </c>
    </row>
    <row r="401" spans="1:20" x14ac:dyDescent="0.2">
      <c r="A401" s="236"/>
      <c r="B401" s="222"/>
      <c r="C401" s="222"/>
      <c r="D401" s="224"/>
      <c r="E401" s="223"/>
      <c r="F401" s="223"/>
      <c r="G401" s="223"/>
      <c r="H401" s="223"/>
      <c r="I401" s="247"/>
      <c r="J401" s="223"/>
      <c r="K401" s="240"/>
      <c r="L401" s="223"/>
      <c r="M401" s="223"/>
      <c r="N401" s="223"/>
      <c r="O401" s="223"/>
      <c r="P401" s="223"/>
      <c r="Q401" s="223"/>
      <c r="R401" s="223" t="s">
        <v>535</v>
      </c>
      <c r="S401" s="220">
        <f t="shared" si="6"/>
        <v>0</v>
      </c>
      <c r="T401" s="219" t="str">
        <f>IFERROR(VLOOKUP($B401,'SIZE CALCULATION'!$F$2:$G$100,2,0),"")</f>
        <v/>
      </c>
    </row>
    <row r="402" spans="1:20" x14ac:dyDescent="0.2">
      <c r="A402" s="236"/>
      <c r="B402" s="222"/>
      <c r="C402" s="222"/>
      <c r="D402" s="224"/>
      <c r="E402" s="223"/>
      <c r="F402" s="223"/>
      <c r="G402" s="223"/>
      <c r="H402" s="223"/>
      <c r="I402" s="247"/>
      <c r="J402" s="223"/>
      <c r="K402" s="240"/>
      <c r="L402" s="223"/>
      <c r="M402" s="223"/>
      <c r="N402" s="223"/>
      <c r="O402" s="223"/>
      <c r="P402" s="223"/>
      <c r="Q402" s="223"/>
      <c r="R402" s="223" t="s">
        <v>535</v>
      </c>
      <c r="S402" s="220">
        <f t="shared" si="6"/>
        <v>0</v>
      </c>
      <c r="T402" s="219" t="str">
        <f>IFERROR(VLOOKUP($B402,'SIZE CALCULATION'!$F$2:$G$100,2,0),"")</f>
        <v/>
      </c>
    </row>
    <row r="403" spans="1:20" x14ac:dyDescent="0.2">
      <c r="A403" s="236"/>
      <c r="B403" s="222"/>
      <c r="C403" s="222"/>
      <c r="D403" s="224"/>
      <c r="E403" s="223"/>
      <c r="F403" s="223"/>
      <c r="G403" s="223"/>
      <c r="H403" s="223"/>
      <c r="I403" s="247"/>
      <c r="J403" s="223"/>
      <c r="K403" s="240"/>
      <c r="L403" s="223"/>
      <c r="M403" s="223"/>
      <c r="N403" s="223"/>
      <c r="O403" s="223"/>
      <c r="P403" s="223"/>
      <c r="Q403" s="223"/>
      <c r="R403" s="223" t="s">
        <v>535</v>
      </c>
      <c r="S403" s="220">
        <f t="shared" si="6"/>
        <v>0</v>
      </c>
      <c r="T403" s="219" t="str">
        <f>IFERROR(VLOOKUP($B403,'SIZE CALCULATION'!$F$2:$G$100,2,0),"")</f>
        <v/>
      </c>
    </row>
    <row r="404" spans="1:20" x14ac:dyDescent="0.2">
      <c r="A404" s="236"/>
      <c r="B404" s="222"/>
      <c r="C404" s="222"/>
      <c r="D404" s="224"/>
      <c r="E404" s="223"/>
      <c r="F404" s="223"/>
      <c r="G404" s="223"/>
      <c r="H404" s="223"/>
      <c r="I404" s="247"/>
      <c r="J404" s="223"/>
      <c r="K404" s="240"/>
      <c r="L404" s="223"/>
      <c r="M404" s="223"/>
      <c r="N404" s="223"/>
      <c r="O404" s="223"/>
      <c r="P404" s="223"/>
      <c r="Q404" s="223"/>
      <c r="R404" s="223" t="s">
        <v>535</v>
      </c>
      <c r="S404" s="220">
        <f t="shared" si="6"/>
        <v>0</v>
      </c>
      <c r="T404" s="219" t="str">
        <f>IFERROR(VLOOKUP($B404,'SIZE CALCULATION'!$F$2:$G$100,2,0),"")</f>
        <v/>
      </c>
    </row>
    <row r="405" spans="1:20" x14ac:dyDescent="0.2">
      <c r="A405" s="236"/>
      <c r="B405" s="222"/>
      <c r="C405" s="222"/>
      <c r="D405" s="224"/>
      <c r="E405" s="223"/>
      <c r="F405" s="223"/>
      <c r="G405" s="223"/>
      <c r="H405" s="223"/>
      <c r="I405" s="247"/>
      <c r="J405" s="223"/>
      <c r="K405" s="240"/>
      <c r="L405" s="223"/>
      <c r="M405" s="223"/>
      <c r="N405" s="223"/>
      <c r="O405" s="223"/>
      <c r="P405" s="223"/>
      <c r="Q405" s="223"/>
      <c r="R405" s="223" t="s">
        <v>535</v>
      </c>
      <c r="S405" s="220">
        <f t="shared" si="6"/>
        <v>0</v>
      </c>
      <c r="T405" s="219" t="str">
        <f>IFERROR(VLOOKUP($B405,'SIZE CALCULATION'!$F$2:$G$100,2,0),"")</f>
        <v/>
      </c>
    </row>
    <row r="406" spans="1:20" x14ac:dyDescent="0.2">
      <c r="A406" s="236"/>
      <c r="B406" s="222"/>
      <c r="C406" s="222"/>
      <c r="D406" s="224"/>
      <c r="E406" s="223"/>
      <c r="F406" s="223"/>
      <c r="G406" s="223"/>
      <c r="H406" s="223"/>
      <c r="I406" s="247"/>
      <c r="J406" s="223"/>
      <c r="K406" s="240"/>
      <c r="L406" s="223"/>
      <c r="M406" s="223"/>
      <c r="N406" s="223"/>
      <c r="O406" s="223"/>
      <c r="P406" s="223"/>
      <c r="Q406" s="223"/>
      <c r="R406" s="223" t="s">
        <v>535</v>
      </c>
      <c r="S406" s="220">
        <f t="shared" si="6"/>
        <v>0</v>
      </c>
      <c r="T406" s="219" t="str">
        <f>IFERROR(VLOOKUP($B406,'SIZE CALCULATION'!$F$2:$G$100,2,0),"")</f>
        <v/>
      </c>
    </row>
    <row r="407" spans="1:20" x14ac:dyDescent="0.2">
      <c r="A407" s="236"/>
      <c r="B407" s="222"/>
      <c r="C407" s="222"/>
      <c r="D407" s="224"/>
      <c r="E407" s="223"/>
      <c r="F407" s="223"/>
      <c r="G407" s="223"/>
      <c r="H407" s="223"/>
      <c r="I407" s="247"/>
      <c r="J407" s="223"/>
      <c r="K407" s="240"/>
      <c r="L407" s="223"/>
      <c r="M407" s="223"/>
      <c r="N407" s="223"/>
      <c r="O407" s="223"/>
      <c r="P407" s="223"/>
      <c r="Q407" s="223"/>
      <c r="R407" s="223" t="s">
        <v>535</v>
      </c>
      <c r="S407" s="220">
        <f t="shared" si="6"/>
        <v>0</v>
      </c>
      <c r="T407" s="219" t="str">
        <f>IFERROR(VLOOKUP($B407,'SIZE CALCULATION'!$F$2:$G$100,2,0),"")</f>
        <v/>
      </c>
    </row>
    <row r="408" spans="1:20" x14ac:dyDescent="0.2">
      <c r="A408" s="236"/>
      <c r="B408" s="222"/>
      <c r="C408" s="222"/>
      <c r="D408" s="224"/>
      <c r="E408" s="223"/>
      <c r="F408" s="223"/>
      <c r="G408" s="223"/>
      <c r="H408" s="223"/>
      <c r="I408" s="247"/>
      <c r="J408" s="223"/>
      <c r="K408" s="240"/>
      <c r="L408" s="223"/>
      <c r="M408" s="223"/>
      <c r="N408" s="223"/>
      <c r="O408" s="223"/>
      <c r="P408" s="223"/>
      <c r="Q408" s="223"/>
      <c r="R408" s="223" t="s">
        <v>535</v>
      </c>
      <c r="S408" s="220">
        <f t="shared" si="6"/>
        <v>0</v>
      </c>
      <c r="T408" s="219" t="str">
        <f>IFERROR(VLOOKUP($B408,'SIZE CALCULATION'!$F$2:$G$100,2,0),"")</f>
        <v/>
      </c>
    </row>
    <row r="409" spans="1:20" x14ac:dyDescent="0.2">
      <c r="A409" s="236"/>
      <c r="B409" s="222"/>
      <c r="C409" s="222"/>
      <c r="D409" s="224"/>
      <c r="E409" s="223"/>
      <c r="F409" s="223"/>
      <c r="G409" s="223"/>
      <c r="H409" s="223"/>
      <c r="I409" s="247"/>
      <c r="J409" s="223"/>
      <c r="K409" s="240"/>
      <c r="L409" s="223"/>
      <c r="M409" s="223"/>
      <c r="N409" s="223"/>
      <c r="O409" s="223"/>
      <c r="P409" s="223"/>
      <c r="Q409" s="223"/>
      <c r="R409" s="223" t="s">
        <v>535</v>
      </c>
      <c r="S409" s="220">
        <f t="shared" si="6"/>
        <v>0</v>
      </c>
      <c r="T409" s="219" t="str">
        <f>IFERROR(VLOOKUP($B409,'SIZE CALCULATION'!$F$2:$G$100,2,0),"")</f>
        <v/>
      </c>
    </row>
    <row r="410" spans="1:20" x14ac:dyDescent="0.2">
      <c r="A410" s="236"/>
      <c r="B410" s="222"/>
      <c r="C410" s="222"/>
      <c r="D410" s="224"/>
      <c r="E410" s="223"/>
      <c r="F410" s="223"/>
      <c r="G410" s="223"/>
      <c r="H410" s="223"/>
      <c r="I410" s="247"/>
      <c r="J410" s="223"/>
      <c r="K410" s="240"/>
      <c r="L410" s="223"/>
      <c r="M410" s="223"/>
      <c r="N410" s="223"/>
      <c r="O410" s="223"/>
      <c r="P410" s="223"/>
      <c r="Q410" s="223"/>
      <c r="R410" s="223" t="s">
        <v>535</v>
      </c>
      <c r="S410" s="220">
        <f t="shared" si="6"/>
        <v>0</v>
      </c>
      <c r="T410" s="219" t="str">
        <f>IFERROR(VLOOKUP($B410,'SIZE CALCULATION'!$F$2:$G$100,2,0),"")</f>
        <v/>
      </c>
    </row>
    <row r="411" spans="1:20" x14ac:dyDescent="0.2">
      <c r="A411" s="236"/>
      <c r="B411" s="222"/>
      <c r="C411" s="222"/>
      <c r="D411" s="224"/>
      <c r="E411" s="223"/>
      <c r="F411" s="223"/>
      <c r="G411" s="223"/>
      <c r="H411" s="223"/>
      <c r="I411" s="247"/>
      <c r="J411" s="223"/>
      <c r="K411" s="240"/>
      <c r="L411" s="223"/>
      <c r="M411" s="223"/>
      <c r="N411" s="223"/>
      <c r="O411" s="223"/>
      <c r="P411" s="223"/>
      <c r="Q411" s="223"/>
      <c r="R411" s="223" t="s">
        <v>535</v>
      </c>
      <c r="S411" s="220">
        <f t="shared" si="6"/>
        <v>0</v>
      </c>
      <c r="T411" s="219" t="str">
        <f>IFERROR(VLOOKUP($B411,'SIZE CALCULATION'!$F$2:$G$100,2,0),"")</f>
        <v/>
      </c>
    </row>
    <row r="412" spans="1:20" x14ac:dyDescent="0.2">
      <c r="A412" s="236"/>
      <c r="B412" s="222"/>
      <c r="C412" s="222"/>
      <c r="D412" s="224"/>
      <c r="E412" s="223"/>
      <c r="F412" s="223"/>
      <c r="G412" s="223"/>
      <c r="H412" s="223"/>
      <c r="I412" s="247"/>
      <c r="J412" s="223"/>
      <c r="K412" s="240"/>
      <c r="L412" s="223"/>
      <c r="M412" s="223"/>
      <c r="N412" s="223"/>
      <c r="O412" s="223"/>
      <c r="P412" s="223"/>
      <c r="Q412" s="223"/>
      <c r="R412" s="223" t="s">
        <v>535</v>
      </c>
      <c r="S412" s="220">
        <f t="shared" si="6"/>
        <v>0</v>
      </c>
      <c r="T412" s="219" t="str">
        <f>IFERROR(VLOOKUP($B412,'SIZE CALCULATION'!$F$2:$G$100,2,0),"")</f>
        <v/>
      </c>
    </row>
    <row r="413" spans="1:20" x14ac:dyDescent="0.2">
      <c r="A413" s="236"/>
      <c r="B413" s="222"/>
      <c r="C413" s="222"/>
      <c r="D413" s="224"/>
      <c r="E413" s="223"/>
      <c r="F413" s="223"/>
      <c r="G413" s="223"/>
      <c r="H413" s="223"/>
      <c r="I413" s="247"/>
      <c r="J413" s="223"/>
      <c r="K413" s="240"/>
      <c r="L413" s="223"/>
      <c r="M413" s="223"/>
      <c r="N413" s="223"/>
      <c r="O413" s="223"/>
      <c r="P413" s="223"/>
      <c r="Q413" s="223"/>
      <c r="R413" s="223" t="s">
        <v>535</v>
      </c>
      <c r="S413" s="220">
        <f t="shared" si="6"/>
        <v>0</v>
      </c>
      <c r="T413" s="219" t="str">
        <f>IFERROR(VLOOKUP($B413,'SIZE CALCULATION'!$F$2:$G$100,2,0),"")</f>
        <v/>
      </c>
    </row>
    <row r="414" spans="1:20" x14ac:dyDescent="0.2">
      <c r="A414" s="236"/>
      <c r="B414" s="222"/>
      <c r="C414" s="222"/>
      <c r="D414" s="224"/>
      <c r="E414" s="223"/>
      <c r="F414" s="223"/>
      <c r="G414" s="223"/>
      <c r="H414" s="223"/>
      <c r="I414" s="247"/>
      <c r="J414" s="223"/>
      <c r="K414" s="240"/>
      <c r="L414" s="223"/>
      <c r="M414" s="223"/>
      <c r="N414" s="223"/>
      <c r="O414" s="223"/>
      <c r="P414" s="223"/>
      <c r="Q414" s="223"/>
      <c r="R414" s="223" t="s">
        <v>535</v>
      </c>
      <c r="S414" s="220">
        <f t="shared" si="6"/>
        <v>0</v>
      </c>
      <c r="T414" s="219" t="str">
        <f>IFERROR(VLOOKUP($B414,'SIZE CALCULATION'!$F$2:$G$100,2,0),"")</f>
        <v/>
      </c>
    </row>
    <row r="415" spans="1:20" x14ac:dyDescent="0.2">
      <c r="A415" s="236"/>
      <c r="B415" s="222"/>
      <c r="C415" s="222"/>
      <c r="D415" s="224"/>
      <c r="E415" s="223"/>
      <c r="F415" s="223"/>
      <c r="G415" s="223"/>
      <c r="H415" s="223"/>
      <c r="I415" s="247"/>
      <c r="J415" s="223"/>
      <c r="K415" s="240"/>
      <c r="L415" s="223"/>
      <c r="M415" s="223"/>
      <c r="N415" s="223"/>
      <c r="O415" s="223"/>
      <c r="P415" s="223"/>
      <c r="Q415" s="223"/>
      <c r="R415" s="223" t="s">
        <v>535</v>
      </c>
      <c r="S415" s="220">
        <f t="shared" si="6"/>
        <v>0</v>
      </c>
      <c r="T415" s="219" t="str">
        <f>IFERROR(VLOOKUP($B415,'SIZE CALCULATION'!$F$2:$G$100,2,0),"")</f>
        <v/>
      </c>
    </row>
    <row r="416" spans="1:20" x14ac:dyDescent="0.2">
      <c r="A416" s="236"/>
      <c r="B416" s="222"/>
      <c r="C416" s="222"/>
      <c r="D416" s="224"/>
      <c r="E416" s="223"/>
      <c r="F416" s="223"/>
      <c r="G416" s="223"/>
      <c r="H416" s="223"/>
      <c r="I416" s="247"/>
      <c r="J416" s="223"/>
      <c r="K416" s="240"/>
      <c r="L416" s="223"/>
      <c r="M416" s="223"/>
      <c r="N416" s="223"/>
      <c r="O416" s="223"/>
      <c r="P416" s="223"/>
      <c r="Q416" s="223"/>
      <c r="R416" s="223" t="s">
        <v>535</v>
      </c>
      <c r="S416" s="220">
        <f t="shared" si="6"/>
        <v>0</v>
      </c>
      <c r="T416" s="219" t="str">
        <f>IFERROR(VLOOKUP($B416,'SIZE CALCULATION'!$F$2:$G$100,2,0),"")</f>
        <v/>
      </c>
    </row>
    <row r="417" spans="1:20" x14ac:dyDescent="0.2">
      <c r="A417" s="236"/>
      <c r="B417" s="222"/>
      <c r="C417" s="222"/>
      <c r="D417" s="224"/>
      <c r="E417" s="223"/>
      <c r="F417" s="223"/>
      <c r="G417" s="223"/>
      <c r="H417" s="223"/>
      <c r="I417" s="247"/>
      <c r="J417" s="223"/>
      <c r="K417" s="240"/>
      <c r="L417" s="223"/>
      <c r="M417" s="223"/>
      <c r="N417" s="223"/>
      <c r="O417" s="223"/>
      <c r="P417" s="223"/>
      <c r="Q417" s="223"/>
      <c r="R417" s="223" t="s">
        <v>535</v>
      </c>
      <c r="S417" s="220">
        <f t="shared" si="6"/>
        <v>0</v>
      </c>
      <c r="T417" s="219" t="str">
        <f>IFERROR(VLOOKUP($B417,'SIZE CALCULATION'!$F$2:$G$100,2,0),"")</f>
        <v/>
      </c>
    </row>
    <row r="418" spans="1:20" x14ac:dyDescent="0.2">
      <c r="A418" s="236"/>
      <c r="B418" s="222"/>
      <c r="C418" s="222"/>
      <c r="D418" s="224"/>
      <c r="E418" s="223"/>
      <c r="F418" s="223"/>
      <c r="G418" s="223"/>
      <c r="H418" s="223"/>
      <c r="I418" s="247"/>
      <c r="J418" s="223"/>
      <c r="K418" s="240"/>
      <c r="L418" s="223"/>
      <c r="M418" s="223"/>
      <c r="N418" s="223"/>
      <c r="O418" s="223"/>
      <c r="P418" s="223"/>
      <c r="Q418" s="223"/>
      <c r="R418" s="223" t="s">
        <v>535</v>
      </c>
      <c r="S418" s="220">
        <f t="shared" si="6"/>
        <v>0</v>
      </c>
      <c r="T418" s="219" t="str">
        <f>IFERROR(VLOOKUP($B418,'SIZE CALCULATION'!$F$2:$G$100,2,0),"")</f>
        <v/>
      </c>
    </row>
    <row r="419" spans="1:20" x14ac:dyDescent="0.2">
      <c r="A419" s="236"/>
      <c r="B419" s="222"/>
      <c r="C419" s="222"/>
      <c r="D419" s="224"/>
      <c r="E419" s="223"/>
      <c r="F419" s="223"/>
      <c r="G419" s="223"/>
      <c r="H419" s="223"/>
      <c r="I419" s="247"/>
      <c r="J419" s="223"/>
      <c r="K419" s="240"/>
      <c r="L419" s="223"/>
      <c r="M419" s="223"/>
      <c r="N419" s="223"/>
      <c r="O419" s="223"/>
      <c r="P419" s="223"/>
      <c r="Q419" s="223"/>
      <c r="R419" s="223" t="s">
        <v>535</v>
      </c>
      <c r="S419" s="220">
        <f t="shared" si="6"/>
        <v>0</v>
      </c>
      <c r="T419" s="219" t="str">
        <f>IFERROR(VLOOKUP($B419,'SIZE CALCULATION'!$F$2:$G$100,2,0),"")</f>
        <v/>
      </c>
    </row>
    <row r="420" spans="1:20" x14ac:dyDescent="0.2">
      <c r="A420" s="236"/>
      <c r="B420" s="222"/>
      <c r="C420" s="222"/>
      <c r="D420" s="224"/>
      <c r="E420" s="223"/>
      <c r="F420" s="223"/>
      <c r="G420" s="223"/>
      <c r="H420" s="223"/>
      <c r="I420" s="247"/>
      <c r="J420" s="223"/>
      <c r="K420" s="240"/>
      <c r="L420" s="223"/>
      <c r="M420" s="223"/>
      <c r="N420" s="223"/>
      <c r="O420" s="223"/>
      <c r="P420" s="223"/>
      <c r="Q420" s="223"/>
      <c r="R420" s="223" t="s">
        <v>535</v>
      </c>
      <c r="S420" s="220">
        <f t="shared" si="6"/>
        <v>0</v>
      </c>
      <c r="T420" s="219" t="str">
        <f>IFERROR(VLOOKUP($B420,'SIZE CALCULATION'!$F$2:$G$100,2,0),"")</f>
        <v/>
      </c>
    </row>
    <row r="421" spans="1:20" x14ac:dyDescent="0.2">
      <c r="A421" s="236"/>
      <c r="B421" s="222"/>
      <c r="C421" s="222"/>
      <c r="D421" s="224"/>
      <c r="E421" s="223"/>
      <c r="F421" s="223"/>
      <c r="G421" s="223"/>
      <c r="H421" s="223"/>
      <c r="I421" s="247"/>
      <c r="J421" s="223"/>
      <c r="K421" s="240"/>
      <c r="L421" s="223"/>
      <c r="M421" s="223"/>
      <c r="N421" s="223"/>
      <c r="O421" s="223"/>
      <c r="P421" s="223"/>
      <c r="Q421" s="223"/>
      <c r="R421" s="223" t="s">
        <v>535</v>
      </c>
      <c r="S421" s="220">
        <f t="shared" si="6"/>
        <v>0</v>
      </c>
      <c r="T421" s="219" t="str">
        <f>IFERROR(VLOOKUP($B421,'SIZE CALCULATION'!$F$2:$G$100,2,0),"")</f>
        <v/>
      </c>
    </row>
    <row r="422" spans="1:20" x14ac:dyDescent="0.2">
      <c r="A422" s="236"/>
      <c r="B422" s="222"/>
      <c r="C422" s="222"/>
      <c r="D422" s="224"/>
      <c r="E422" s="223"/>
      <c r="F422" s="223"/>
      <c r="G422" s="223"/>
      <c r="H422" s="223"/>
      <c r="I422" s="247"/>
      <c r="J422" s="223"/>
      <c r="K422" s="240"/>
      <c r="L422" s="223"/>
      <c r="M422" s="223"/>
      <c r="N422" s="223"/>
      <c r="O422" s="223"/>
      <c r="P422" s="223"/>
      <c r="Q422" s="223"/>
      <c r="R422" s="223" t="s">
        <v>535</v>
      </c>
      <c r="S422" s="220">
        <f t="shared" si="6"/>
        <v>0</v>
      </c>
      <c r="T422" s="219" t="str">
        <f>IFERROR(VLOOKUP($B422,'SIZE CALCULATION'!$F$2:$G$100,2,0),"")</f>
        <v/>
      </c>
    </row>
    <row r="423" spans="1:20" x14ac:dyDescent="0.2">
      <c r="A423" s="236"/>
      <c r="B423" s="222"/>
      <c r="C423" s="222"/>
      <c r="D423" s="224"/>
      <c r="E423" s="223"/>
      <c r="F423" s="223"/>
      <c r="G423" s="223"/>
      <c r="H423" s="223"/>
      <c r="I423" s="247"/>
      <c r="J423" s="223"/>
      <c r="K423" s="240"/>
      <c r="L423" s="223"/>
      <c r="M423" s="223"/>
      <c r="N423" s="223"/>
      <c r="O423" s="223"/>
      <c r="P423" s="223"/>
      <c r="Q423" s="223"/>
      <c r="R423" s="223" t="s">
        <v>535</v>
      </c>
      <c r="S423" s="220">
        <f t="shared" si="6"/>
        <v>0</v>
      </c>
      <c r="T423" s="219" t="str">
        <f>IFERROR(VLOOKUP($B423,'SIZE CALCULATION'!$F$2:$G$100,2,0),"")</f>
        <v/>
      </c>
    </row>
    <row r="424" spans="1:20" x14ac:dyDescent="0.2">
      <c r="A424" s="236"/>
      <c r="B424" s="222"/>
      <c r="C424" s="222"/>
      <c r="D424" s="224"/>
      <c r="E424" s="223"/>
      <c r="F424" s="223"/>
      <c r="G424" s="223"/>
      <c r="H424" s="223"/>
      <c r="I424" s="247"/>
      <c r="J424" s="223"/>
      <c r="K424" s="240"/>
      <c r="L424" s="223"/>
      <c r="M424" s="223"/>
      <c r="N424" s="223"/>
      <c r="O424" s="223"/>
      <c r="P424" s="223"/>
      <c r="Q424" s="223"/>
      <c r="R424" s="223" t="s">
        <v>535</v>
      </c>
      <c r="S424" s="220">
        <f t="shared" si="6"/>
        <v>0</v>
      </c>
      <c r="T424" s="219" t="str">
        <f>IFERROR(VLOOKUP($B424,'SIZE CALCULATION'!$F$2:$G$100,2,0),"")</f>
        <v/>
      </c>
    </row>
    <row r="425" spans="1:20" x14ac:dyDescent="0.2">
      <c r="A425" s="236"/>
      <c r="B425" s="222"/>
      <c r="C425" s="222"/>
      <c r="D425" s="224"/>
      <c r="E425" s="223"/>
      <c r="F425" s="223"/>
      <c r="G425" s="223"/>
      <c r="H425" s="223"/>
      <c r="I425" s="247"/>
      <c r="J425" s="223"/>
      <c r="K425" s="240"/>
      <c r="L425" s="223"/>
      <c r="M425" s="223"/>
      <c r="N425" s="223"/>
      <c r="O425" s="223"/>
      <c r="P425" s="223"/>
      <c r="Q425" s="223"/>
      <c r="R425" s="223" t="s">
        <v>535</v>
      </c>
      <c r="S425" s="220">
        <f t="shared" si="6"/>
        <v>0</v>
      </c>
      <c r="T425" s="219" t="str">
        <f>IFERROR(VLOOKUP($B425,'SIZE CALCULATION'!$F$2:$G$100,2,0),"")</f>
        <v/>
      </c>
    </row>
    <row r="426" spans="1:20" x14ac:dyDescent="0.2">
      <c r="A426" s="236"/>
      <c r="B426" s="222"/>
      <c r="C426" s="222"/>
      <c r="D426" s="224"/>
      <c r="E426" s="223"/>
      <c r="F426" s="223"/>
      <c r="G426" s="223"/>
      <c r="H426" s="223"/>
      <c r="I426" s="247"/>
      <c r="J426" s="223"/>
      <c r="K426" s="240"/>
      <c r="L426" s="223"/>
      <c r="M426" s="223"/>
      <c r="N426" s="223"/>
      <c r="O426" s="223"/>
      <c r="P426" s="223"/>
      <c r="Q426" s="223"/>
      <c r="R426" s="223" t="s">
        <v>535</v>
      </c>
      <c r="S426" s="220">
        <f t="shared" si="6"/>
        <v>0</v>
      </c>
      <c r="T426" s="219" t="str">
        <f>IFERROR(VLOOKUP($B426,'SIZE CALCULATION'!$F$2:$G$100,2,0),"")</f>
        <v/>
      </c>
    </row>
    <row r="427" spans="1:20" x14ac:dyDescent="0.2">
      <c r="A427" s="236"/>
      <c r="B427" s="222"/>
      <c r="C427" s="222"/>
      <c r="D427" s="224"/>
      <c r="E427" s="223"/>
      <c r="F427" s="223"/>
      <c r="G427" s="223"/>
      <c r="H427" s="223"/>
      <c r="I427" s="247"/>
      <c r="J427" s="223"/>
      <c r="K427" s="240"/>
      <c r="L427" s="223"/>
      <c r="M427" s="223"/>
      <c r="N427" s="223"/>
      <c r="O427" s="223"/>
      <c r="P427" s="223"/>
      <c r="Q427" s="223"/>
      <c r="R427" s="223" t="s">
        <v>535</v>
      </c>
      <c r="S427" s="220">
        <f t="shared" si="6"/>
        <v>0</v>
      </c>
      <c r="T427" s="219" t="str">
        <f>IFERROR(VLOOKUP($B427,'SIZE CALCULATION'!$F$2:$G$100,2,0),"")</f>
        <v/>
      </c>
    </row>
    <row r="428" spans="1:20" x14ac:dyDescent="0.2">
      <c r="A428" s="236"/>
      <c r="B428" s="222"/>
      <c r="C428" s="222"/>
      <c r="D428" s="224"/>
      <c r="E428" s="223"/>
      <c r="F428" s="223"/>
      <c r="G428" s="223"/>
      <c r="H428" s="223"/>
      <c r="I428" s="247"/>
      <c r="J428" s="223"/>
      <c r="K428" s="240"/>
      <c r="L428" s="223"/>
      <c r="M428" s="223"/>
      <c r="N428" s="223"/>
      <c r="O428" s="223"/>
      <c r="P428" s="223"/>
      <c r="Q428" s="223"/>
      <c r="R428" s="223" t="s">
        <v>535</v>
      </c>
      <c r="S428" s="220">
        <f t="shared" si="6"/>
        <v>0</v>
      </c>
      <c r="T428" s="219" t="str">
        <f>IFERROR(VLOOKUP($B428,'SIZE CALCULATION'!$F$2:$G$100,2,0),"")</f>
        <v/>
      </c>
    </row>
    <row r="429" spans="1:20" x14ac:dyDescent="0.2">
      <c r="A429" s="236"/>
      <c r="B429" s="222"/>
      <c r="C429" s="222"/>
      <c r="D429" s="224"/>
      <c r="E429" s="223"/>
      <c r="F429" s="223"/>
      <c r="G429" s="223"/>
      <c r="H429" s="223"/>
      <c r="I429" s="247"/>
      <c r="J429" s="223"/>
      <c r="K429" s="240"/>
      <c r="L429" s="223"/>
      <c r="M429" s="223"/>
      <c r="N429" s="223"/>
      <c r="O429" s="223"/>
      <c r="P429" s="223"/>
      <c r="Q429" s="223"/>
      <c r="R429" s="223" t="s">
        <v>535</v>
      </c>
      <c r="S429" s="220">
        <f t="shared" si="6"/>
        <v>0</v>
      </c>
      <c r="T429" s="219" t="str">
        <f>IFERROR(VLOOKUP($B429,'SIZE CALCULATION'!$F$2:$G$100,2,0),"")</f>
        <v/>
      </c>
    </row>
    <row r="430" spans="1:20" x14ac:dyDescent="0.2">
      <c r="A430" s="236"/>
      <c r="B430" s="222"/>
      <c r="C430" s="222"/>
      <c r="D430" s="224"/>
      <c r="E430" s="223"/>
      <c r="F430" s="223"/>
      <c r="G430" s="223"/>
      <c r="H430" s="223"/>
      <c r="I430" s="247"/>
      <c r="J430" s="223"/>
      <c r="K430" s="240"/>
      <c r="L430" s="223"/>
      <c r="M430" s="223"/>
      <c r="N430" s="223"/>
      <c r="O430" s="223"/>
      <c r="P430" s="223"/>
      <c r="Q430" s="223"/>
      <c r="R430" s="223" t="s">
        <v>535</v>
      </c>
      <c r="S430" s="220">
        <f t="shared" si="6"/>
        <v>0</v>
      </c>
      <c r="T430" s="219" t="str">
        <f>IFERROR(VLOOKUP($B430,'SIZE CALCULATION'!$F$2:$G$100,2,0),"")</f>
        <v/>
      </c>
    </row>
    <row r="431" spans="1:20" x14ac:dyDescent="0.2">
      <c r="A431" s="236"/>
      <c r="B431" s="222"/>
      <c r="C431" s="222"/>
      <c r="D431" s="224"/>
      <c r="E431" s="223"/>
      <c r="F431" s="223"/>
      <c r="G431" s="223"/>
      <c r="H431" s="223"/>
      <c r="I431" s="247"/>
      <c r="J431" s="223"/>
      <c r="K431" s="240"/>
      <c r="L431" s="223"/>
      <c r="M431" s="223"/>
      <c r="N431" s="223"/>
      <c r="O431" s="223"/>
      <c r="P431" s="223"/>
      <c r="Q431" s="223"/>
      <c r="R431" s="223" t="s">
        <v>535</v>
      </c>
      <c r="S431" s="220">
        <f t="shared" si="6"/>
        <v>0</v>
      </c>
      <c r="T431" s="219" t="str">
        <f>IFERROR(VLOOKUP($B431,'SIZE CALCULATION'!$F$2:$G$100,2,0),"")</f>
        <v/>
      </c>
    </row>
    <row r="432" spans="1:20" x14ac:dyDescent="0.2">
      <c r="A432" s="236"/>
      <c r="B432" s="222"/>
      <c r="C432" s="222"/>
      <c r="D432" s="224"/>
      <c r="E432" s="223"/>
      <c r="F432" s="223"/>
      <c r="G432" s="223"/>
      <c r="H432" s="223"/>
      <c r="I432" s="247"/>
      <c r="J432" s="223"/>
      <c r="K432" s="240"/>
      <c r="L432" s="223"/>
      <c r="M432" s="223"/>
      <c r="N432" s="223"/>
      <c r="O432" s="223"/>
      <c r="P432" s="223"/>
      <c r="Q432" s="223"/>
      <c r="R432" s="223" t="s">
        <v>535</v>
      </c>
      <c r="S432" s="220">
        <f t="shared" si="6"/>
        <v>0</v>
      </c>
      <c r="T432" s="219" t="str">
        <f>IFERROR(VLOOKUP($B432,'SIZE CALCULATION'!$F$2:$G$100,2,0),"")</f>
        <v/>
      </c>
    </row>
    <row r="433" spans="1:20" x14ac:dyDescent="0.2">
      <c r="A433" s="236"/>
      <c r="B433" s="222"/>
      <c r="C433" s="222"/>
      <c r="D433" s="224"/>
      <c r="E433" s="223"/>
      <c r="F433" s="223"/>
      <c r="G433" s="223"/>
      <c r="H433" s="223"/>
      <c r="I433" s="247"/>
      <c r="J433" s="223"/>
      <c r="K433" s="240"/>
      <c r="L433" s="223"/>
      <c r="M433" s="223"/>
      <c r="N433" s="223"/>
      <c r="O433" s="223"/>
      <c r="P433" s="223"/>
      <c r="Q433" s="223"/>
      <c r="R433" s="223" t="s">
        <v>535</v>
      </c>
      <c r="S433" s="220">
        <f t="shared" si="6"/>
        <v>0</v>
      </c>
      <c r="T433" s="219" t="str">
        <f>IFERROR(VLOOKUP($B433,'SIZE CALCULATION'!$F$2:$G$100,2,0),"")</f>
        <v/>
      </c>
    </row>
    <row r="434" spans="1:20" x14ac:dyDescent="0.2">
      <c r="A434" s="236"/>
      <c r="B434" s="222"/>
      <c r="C434" s="222"/>
      <c r="D434" s="224"/>
      <c r="E434" s="223"/>
      <c r="F434" s="223"/>
      <c r="G434" s="223"/>
      <c r="H434" s="223"/>
      <c r="I434" s="247"/>
      <c r="J434" s="223"/>
      <c r="K434" s="240"/>
      <c r="L434" s="223"/>
      <c r="M434" s="223"/>
      <c r="N434" s="223"/>
      <c r="O434" s="223"/>
      <c r="P434" s="223"/>
      <c r="Q434" s="223"/>
      <c r="R434" s="223" t="s">
        <v>535</v>
      </c>
      <c r="S434" s="220">
        <f t="shared" si="6"/>
        <v>0</v>
      </c>
      <c r="T434" s="219" t="str">
        <f>IFERROR(VLOOKUP($B434,'SIZE CALCULATION'!$F$2:$G$100,2,0),"")</f>
        <v/>
      </c>
    </row>
    <row r="435" spans="1:20" x14ac:dyDescent="0.2">
      <c r="A435" s="236"/>
      <c r="B435" s="222"/>
      <c r="C435" s="222"/>
      <c r="D435" s="224"/>
      <c r="E435" s="223"/>
      <c r="F435" s="223"/>
      <c r="G435" s="223"/>
      <c r="H435" s="223"/>
      <c r="I435" s="247"/>
      <c r="J435" s="223"/>
      <c r="K435" s="240"/>
      <c r="L435" s="223"/>
      <c r="M435" s="223"/>
      <c r="N435" s="223"/>
      <c r="O435" s="223"/>
      <c r="P435" s="223"/>
      <c r="Q435" s="223"/>
      <c r="R435" s="223" t="s">
        <v>535</v>
      </c>
      <c r="S435" s="220">
        <f t="shared" si="6"/>
        <v>0</v>
      </c>
      <c r="T435" s="219" t="str">
        <f>IFERROR(VLOOKUP($B435,'SIZE CALCULATION'!$F$2:$G$100,2,0),"")</f>
        <v/>
      </c>
    </row>
    <row r="436" spans="1:20" x14ac:dyDescent="0.2">
      <c r="A436" s="236"/>
      <c r="B436" s="222"/>
      <c r="C436" s="222"/>
      <c r="D436" s="224"/>
      <c r="E436" s="223"/>
      <c r="F436" s="223"/>
      <c r="G436" s="223"/>
      <c r="H436" s="223"/>
      <c r="I436" s="247"/>
      <c r="J436" s="223"/>
      <c r="K436" s="240"/>
      <c r="L436" s="223"/>
      <c r="M436" s="223"/>
      <c r="N436" s="223"/>
      <c r="O436" s="223"/>
      <c r="P436" s="223"/>
      <c r="Q436" s="223"/>
      <c r="R436" s="223" t="s">
        <v>535</v>
      </c>
      <c r="S436" s="220">
        <f t="shared" si="6"/>
        <v>0</v>
      </c>
      <c r="T436" s="219" t="str">
        <f>IFERROR(VLOOKUP($B436,'SIZE CALCULATION'!$F$2:$G$100,2,0),"")</f>
        <v/>
      </c>
    </row>
    <row r="437" spans="1:20" x14ac:dyDescent="0.2">
      <c r="A437" s="236"/>
      <c r="B437" s="222"/>
      <c r="C437" s="222"/>
      <c r="D437" s="224"/>
      <c r="E437" s="223"/>
      <c r="F437" s="223"/>
      <c r="G437" s="223"/>
      <c r="H437" s="223"/>
      <c r="I437" s="247"/>
      <c r="J437" s="223"/>
      <c r="K437" s="240"/>
      <c r="L437" s="223"/>
      <c r="M437" s="223"/>
      <c r="N437" s="223"/>
      <c r="O437" s="223"/>
      <c r="P437" s="223"/>
      <c r="Q437" s="223"/>
      <c r="R437" s="223" t="s">
        <v>535</v>
      </c>
      <c r="S437" s="220">
        <f t="shared" si="6"/>
        <v>0</v>
      </c>
      <c r="T437" s="219" t="str">
        <f>IFERROR(VLOOKUP($B437,'SIZE CALCULATION'!$F$2:$G$100,2,0),"")</f>
        <v/>
      </c>
    </row>
    <row r="438" spans="1:20" x14ac:dyDescent="0.2">
      <c r="A438" s="236"/>
      <c r="B438" s="222"/>
      <c r="C438" s="222"/>
      <c r="D438" s="224"/>
      <c r="E438" s="223"/>
      <c r="F438" s="223"/>
      <c r="G438" s="223"/>
      <c r="H438" s="223"/>
      <c r="I438" s="247"/>
      <c r="J438" s="223"/>
      <c r="K438" s="240"/>
      <c r="L438" s="223"/>
      <c r="M438" s="223"/>
      <c r="N438" s="223"/>
      <c r="O438" s="223"/>
      <c r="P438" s="223"/>
      <c r="Q438" s="223"/>
      <c r="R438" s="223" t="s">
        <v>535</v>
      </c>
      <c r="S438" s="220">
        <f t="shared" si="6"/>
        <v>0</v>
      </c>
      <c r="T438" s="219" t="str">
        <f>IFERROR(VLOOKUP($B438,'SIZE CALCULATION'!$F$2:$G$100,2,0),"")</f>
        <v/>
      </c>
    </row>
    <row r="439" spans="1:20" x14ac:dyDescent="0.2">
      <c r="A439" s="236"/>
      <c r="B439" s="222"/>
      <c r="C439" s="222"/>
      <c r="D439" s="224"/>
      <c r="E439" s="223"/>
      <c r="F439" s="223"/>
      <c r="G439" s="223"/>
      <c r="H439" s="223"/>
      <c r="I439" s="247"/>
      <c r="J439" s="223"/>
      <c r="K439" s="240"/>
      <c r="L439" s="223"/>
      <c r="M439" s="223"/>
      <c r="N439" s="223"/>
      <c r="O439" s="223"/>
      <c r="P439" s="223"/>
      <c r="Q439" s="223"/>
      <c r="R439" s="223" t="s">
        <v>535</v>
      </c>
      <c r="S439" s="220">
        <f t="shared" si="6"/>
        <v>0</v>
      </c>
      <c r="T439" s="219" t="str">
        <f>IFERROR(VLOOKUP($B439,'SIZE CALCULATION'!$F$2:$G$100,2,0),"")</f>
        <v/>
      </c>
    </row>
    <row r="440" spans="1:20" x14ac:dyDescent="0.2">
      <c r="A440" s="236"/>
      <c r="B440" s="222"/>
      <c r="C440" s="222"/>
      <c r="D440" s="224"/>
      <c r="E440" s="223"/>
      <c r="F440" s="223"/>
      <c r="G440" s="223"/>
      <c r="H440" s="223"/>
      <c r="I440" s="247"/>
      <c r="J440" s="223"/>
      <c r="K440" s="240"/>
      <c r="L440" s="223"/>
      <c r="M440" s="223"/>
      <c r="N440" s="223"/>
      <c r="O440" s="223"/>
      <c r="P440" s="223"/>
      <c r="Q440" s="223"/>
      <c r="R440" s="223" t="s">
        <v>535</v>
      </c>
      <c r="S440" s="220">
        <f t="shared" si="6"/>
        <v>0</v>
      </c>
      <c r="T440" s="219" t="str">
        <f>IFERROR(VLOOKUP($B440,'SIZE CALCULATION'!$F$2:$G$100,2,0),"")</f>
        <v/>
      </c>
    </row>
    <row r="441" spans="1:20" x14ac:dyDescent="0.2">
      <c r="A441" s="236"/>
      <c r="B441" s="222"/>
      <c r="C441" s="222"/>
      <c r="D441" s="224"/>
      <c r="E441" s="223"/>
      <c r="F441" s="223"/>
      <c r="G441" s="223"/>
      <c r="H441" s="223"/>
      <c r="I441" s="247"/>
      <c r="J441" s="223"/>
      <c r="K441" s="240"/>
      <c r="L441" s="223"/>
      <c r="M441" s="223"/>
      <c r="N441" s="223"/>
      <c r="O441" s="223"/>
      <c r="P441" s="223"/>
      <c r="Q441" s="223"/>
      <c r="R441" s="223" t="s">
        <v>535</v>
      </c>
      <c r="S441" s="220">
        <f t="shared" si="6"/>
        <v>0</v>
      </c>
      <c r="T441" s="219" t="str">
        <f>IFERROR(VLOOKUP($B441,'SIZE CALCULATION'!$F$2:$G$100,2,0),"")</f>
        <v/>
      </c>
    </row>
    <row r="442" spans="1:20" x14ac:dyDescent="0.2">
      <c r="A442" s="236"/>
      <c r="B442" s="222"/>
      <c r="C442" s="222"/>
      <c r="D442" s="224"/>
      <c r="E442" s="223"/>
      <c r="F442" s="223"/>
      <c r="G442" s="223"/>
      <c r="H442" s="223"/>
      <c r="I442" s="247"/>
      <c r="J442" s="223"/>
      <c r="K442" s="240"/>
      <c r="L442" s="223"/>
      <c r="M442" s="223"/>
      <c r="N442" s="223"/>
      <c r="O442" s="223"/>
      <c r="P442" s="223"/>
      <c r="Q442" s="223"/>
      <c r="R442" s="223" t="s">
        <v>535</v>
      </c>
      <c r="S442" s="220">
        <f t="shared" si="6"/>
        <v>0</v>
      </c>
      <c r="T442" s="219" t="str">
        <f>IFERROR(VLOOKUP($B442,'SIZE CALCULATION'!$F$2:$G$100,2,0),"")</f>
        <v/>
      </c>
    </row>
    <row r="443" spans="1:20" x14ac:dyDescent="0.2">
      <c r="A443" s="236"/>
      <c r="B443" s="222"/>
      <c r="C443" s="222"/>
      <c r="D443" s="224"/>
      <c r="E443" s="223"/>
      <c r="F443" s="223"/>
      <c r="G443" s="223"/>
      <c r="H443" s="223"/>
      <c r="I443" s="247"/>
      <c r="J443" s="223"/>
      <c r="K443" s="240"/>
      <c r="L443" s="223"/>
      <c r="M443" s="223"/>
      <c r="N443" s="223"/>
      <c r="O443" s="223"/>
      <c r="P443" s="223"/>
      <c r="Q443" s="223"/>
      <c r="R443" s="223" t="s">
        <v>535</v>
      </c>
      <c r="S443" s="220">
        <f t="shared" si="6"/>
        <v>0</v>
      </c>
      <c r="T443" s="219" t="str">
        <f>IFERROR(VLOOKUP($B443,'SIZE CALCULATION'!$F$2:$G$100,2,0),"")</f>
        <v/>
      </c>
    </row>
    <row r="444" spans="1:20" x14ac:dyDescent="0.2">
      <c r="A444" s="236"/>
      <c r="B444" s="222"/>
      <c r="C444" s="222"/>
      <c r="D444" s="224"/>
      <c r="E444" s="223"/>
      <c r="F444" s="223"/>
      <c r="G444" s="223"/>
      <c r="H444" s="223"/>
      <c r="I444" s="247"/>
      <c r="J444" s="223"/>
      <c r="K444" s="240"/>
      <c r="L444" s="223"/>
      <c r="M444" s="223"/>
      <c r="N444" s="223"/>
      <c r="O444" s="223"/>
      <c r="P444" s="223"/>
      <c r="Q444" s="223"/>
      <c r="R444" s="223" t="s">
        <v>535</v>
      </c>
      <c r="S444" s="220">
        <f t="shared" si="6"/>
        <v>0</v>
      </c>
      <c r="T444" s="219" t="str">
        <f>IFERROR(VLOOKUP($B444,'SIZE CALCULATION'!$F$2:$G$100,2,0),"")</f>
        <v/>
      </c>
    </row>
    <row r="445" spans="1:20" x14ac:dyDescent="0.2">
      <c r="A445" s="236"/>
      <c r="B445" s="222"/>
      <c r="C445" s="222"/>
      <c r="D445" s="224"/>
      <c r="E445" s="223"/>
      <c r="F445" s="223"/>
      <c r="G445" s="223"/>
      <c r="H445" s="223"/>
      <c r="I445" s="247"/>
      <c r="J445" s="223"/>
      <c r="K445" s="240"/>
      <c r="L445" s="223"/>
      <c r="M445" s="223"/>
      <c r="N445" s="223"/>
      <c r="O445" s="223"/>
      <c r="P445" s="223"/>
      <c r="Q445" s="223"/>
      <c r="R445" s="223" t="s">
        <v>535</v>
      </c>
      <c r="S445" s="220">
        <f t="shared" ref="S445:S468" si="7">IFERROR(M445/O445,M445)</f>
        <v>0</v>
      </c>
      <c r="T445" s="219" t="str">
        <f>IFERROR(VLOOKUP($B445,'SIZE CALCULATION'!$F$2:$G$100,2,0),"")</f>
        <v/>
      </c>
    </row>
    <row r="446" spans="1:20" x14ac:dyDescent="0.2">
      <c r="A446" s="236"/>
      <c r="B446" s="222"/>
      <c r="C446" s="222"/>
      <c r="D446" s="224"/>
      <c r="E446" s="223"/>
      <c r="F446" s="223"/>
      <c r="G446" s="223"/>
      <c r="H446" s="223"/>
      <c r="I446" s="247"/>
      <c r="J446" s="223"/>
      <c r="K446" s="240"/>
      <c r="L446" s="223"/>
      <c r="M446" s="223"/>
      <c r="N446" s="223"/>
      <c r="O446" s="223"/>
      <c r="P446" s="223"/>
      <c r="Q446" s="223"/>
      <c r="R446" s="223" t="s">
        <v>535</v>
      </c>
      <c r="S446" s="220">
        <f t="shared" si="7"/>
        <v>0</v>
      </c>
      <c r="T446" s="219" t="str">
        <f>IFERROR(VLOOKUP($B446,'SIZE CALCULATION'!$F$2:$G$100,2,0),"")</f>
        <v/>
      </c>
    </row>
    <row r="447" spans="1:20" x14ac:dyDescent="0.2">
      <c r="A447" s="236"/>
      <c r="B447" s="222"/>
      <c r="C447" s="222"/>
      <c r="D447" s="224"/>
      <c r="E447" s="223"/>
      <c r="F447" s="223"/>
      <c r="G447" s="223"/>
      <c r="H447" s="223"/>
      <c r="I447" s="247"/>
      <c r="J447" s="223"/>
      <c r="K447" s="240"/>
      <c r="L447" s="223"/>
      <c r="M447" s="223"/>
      <c r="N447" s="223"/>
      <c r="O447" s="223"/>
      <c r="P447" s="223"/>
      <c r="Q447" s="223"/>
      <c r="R447" s="223" t="s">
        <v>535</v>
      </c>
      <c r="S447" s="220">
        <f t="shared" si="7"/>
        <v>0</v>
      </c>
      <c r="T447" s="219" t="str">
        <f>IFERROR(VLOOKUP($B447,'SIZE CALCULATION'!$F$2:$G$100,2,0),"")</f>
        <v/>
      </c>
    </row>
    <row r="448" spans="1:20" x14ac:dyDescent="0.2">
      <c r="A448" s="236"/>
      <c r="B448" s="222"/>
      <c r="C448" s="222"/>
      <c r="D448" s="224"/>
      <c r="E448" s="223"/>
      <c r="F448" s="223"/>
      <c r="G448" s="223"/>
      <c r="H448" s="223"/>
      <c r="I448" s="247"/>
      <c r="J448" s="223"/>
      <c r="K448" s="240"/>
      <c r="L448" s="223"/>
      <c r="M448" s="223"/>
      <c r="N448" s="223"/>
      <c r="O448" s="223"/>
      <c r="P448" s="223"/>
      <c r="Q448" s="223"/>
      <c r="R448" s="223" t="s">
        <v>535</v>
      </c>
      <c r="S448" s="220">
        <f t="shared" si="7"/>
        <v>0</v>
      </c>
      <c r="T448" s="219" t="str">
        <f>IFERROR(VLOOKUP($B448,'SIZE CALCULATION'!$F$2:$G$100,2,0),"")</f>
        <v/>
      </c>
    </row>
    <row r="449" spans="1:20" x14ac:dyDescent="0.2">
      <c r="A449" s="236"/>
      <c r="B449" s="222"/>
      <c r="C449" s="222"/>
      <c r="D449" s="224"/>
      <c r="E449" s="223"/>
      <c r="F449" s="223"/>
      <c r="G449" s="223"/>
      <c r="H449" s="223"/>
      <c r="I449" s="247"/>
      <c r="J449" s="223"/>
      <c r="K449" s="240"/>
      <c r="L449" s="223"/>
      <c r="M449" s="223"/>
      <c r="N449" s="223"/>
      <c r="O449" s="223"/>
      <c r="P449" s="223"/>
      <c r="Q449" s="223"/>
      <c r="R449" s="223" t="s">
        <v>535</v>
      </c>
      <c r="S449" s="220">
        <f t="shared" si="7"/>
        <v>0</v>
      </c>
      <c r="T449" s="219" t="str">
        <f>IFERROR(VLOOKUP($B449,'SIZE CALCULATION'!$F$2:$G$100,2,0),"")</f>
        <v/>
      </c>
    </row>
    <row r="450" spans="1:20" x14ac:dyDescent="0.2">
      <c r="A450" s="236"/>
      <c r="B450" s="222"/>
      <c r="C450" s="222"/>
      <c r="D450" s="224"/>
      <c r="E450" s="223"/>
      <c r="F450" s="223"/>
      <c r="G450" s="223"/>
      <c r="H450" s="223"/>
      <c r="I450" s="247"/>
      <c r="J450" s="223"/>
      <c r="K450" s="240"/>
      <c r="L450" s="223"/>
      <c r="M450" s="223"/>
      <c r="N450" s="223"/>
      <c r="O450" s="223"/>
      <c r="P450" s="223"/>
      <c r="Q450" s="223"/>
      <c r="R450" s="223" t="s">
        <v>535</v>
      </c>
      <c r="S450" s="220">
        <f t="shared" si="7"/>
        <v>0</v>
      </c>
      <c r="T450" s="219" t="str">
        <f>IFERROR(VLOOKUP($B450,'SIZE CALCULATION'!$F$2:$G$100,2,0),"")</f>
        <v/>
      </c>
    </row>
    <row r="451" spans="1:20" x14ac:dyDescent="0.2">
      <c r="A451" s="236"/>
      <c r="B451" s="222"/>
      <c r="C451" s="222"/>
      <c r="D451" s="224"/>
      <c r="E451" s="223"/>
      <c r="F451" s="223"/>
      <c r="G451" s="223"/>
      <c r="H451" s="223"/>
      <c r="I451" s="247"/>
      <c r="J451" s="223"/>
      <c r="K451" s="240"/>
      <c r="L451" s="223"/>
      <c r="M451" s="223"/>
      <c r="N451" s="223"/>
      <c r="O451" s="223"/>
      <c r="P451" s="223"/>
      <c r="Q451" s="223"/>
      <c r="R451" s="223" t="s">
        <v>535</v>
      </c>
      <c r="S451" s="220">
        <f t="shared" si="7"/>
        <v>0</v>
      </c>
      <c r="T451" s="219" t="str">
        <f>IFERROR(VLOOKUP($B451,'SIZE CALCULATION'!$F$2:$G$100,2,0),"")</f>
        <v/>
      </c>
    </row>
    <row r="452" spans="1:20" x14ac:dyDescent="0.2">
      <c r="A452" s="236"/>
      <c r="B452" s="222"/>
      <c r="C452" s="222"/>
      <c r="D452" s="224"/>
      <c r="E452" s="223"/>
      <c r="F452" s="223"/>
      <c r="G452" s="223"/>
      <c r="H452" s="223"/>
      <c r="I452" s="247"/>
      <c r="J452" s="223"/>
      <c r="K452" s="240"/>
      <c r="L452" s="223"/>
      <c r="M452" s="223"/>
      <c r="N452" s="223"/>
      <c r="O452" s="223"/>
      <c r="P452" s="223"/>
      <c r="Q452" s="223"/>
      <c r="R452" s="223" t="s">
        <v>535</v>
      </c>
      <c r="S452" s="220">
        <f t="shared" si="7"/>
        <v>0</v>
      </c>
      <c r="T452" s="219" t="str">
        <f>IFERROR(VLOOKUP($B452,'SIZE CALCULATION'!$F$2:$G$100,2,0),"")</f>
        <v/>
      </c>
    </row>
    <row r="453" spans="1:20" x14ac:dyDescent="0.2">
      <c r="A453" s="236"/>
      <c r="B453" s="222"/>
      <c r="C453" s="222"/>
      <c r="D453" s="224"/>
      <c r="E453" s="223"/>
      <c r="F453" s="223"/>
      <c r="G453" s="223"/>
      <c r="H453" s="223"/>
      <c r="I453" s="247"/>
      <c r="J453" s="223"/>
      <c r="K453" s="240"/>
      <c r="L453" s="223"/>
      <c r="M453" s="223"/>
      <c r="N453" s="223"/>
      <c r="O453" s="223"/>
      <c r="P453" s="223"/>
      <c r="Q453" s="223"/>
      <c r="R453" s="223" t="s">
        <v>535</v>
      </c>
      <c r="S453" s="220">
        <f t="shared" si="7"/>
        <v>0</v>
      </c>
      <c r="T453" s="219" t="str">
        <f>IFERROR(VLOOKUP($B453,'SIZE CALCULATION'!$F$2:$G$100,2,0),"")</f>
        <v/>
      </c>
    </row>
    <row r="454" spans="1:20" x14ac:dyDescent="0.2">
      <c r="A454" s="236"/>
      <c r="B454" s="222"/>
      <c r="C454" s="222"/>
      <c r="D454" s="224"/>
      <c r="E454" s="223"/>
      <c r="F454" s="223"/>
      <c r="G454" s="223"/>
      <c r="H454" s="223"/>
      <c r="I454" s="247"/>
      <c r="J454" s="223"/>
      <c r="K454" s="240"/>
      <c r="L454" s="223"/>
      <c r="M454" s="223"/>
      <c r="N454" s="223"/>
      <c r="O454" s="223"/>
      <c r="P454" s="223"/>
      <c r="Q454" s="223"/>
      <c r="R454" s="223" t="s">
        <v>535</v>
      </c>
      <c r="S454" s="220">
        <f t="shared" si="7"/>
        <v>0</v>
      </c>
      <c r="T454" s="219" t="str">
        <f>IFERROR(VLOOKUP($B454,'SIZE CALCULATION'!$F$2:$G$100,2,0),"")</f>
        <v/>
      </c>
    </row>
    <row r="455" spans="1:20" x14ac:dyDescent="0.2">
      <c r="A455" s="236"/>
      <c r="B455" s="222"/>
      <c r="C455" s="222"/>
      <c r="D455" s="224"/>
      <c r="E455" s="223"/>
      <c r="F455" s="223"/>
      <c r="G455" s="223"/>
      <c r="H455" s="223"/>
      <c r="I455" s="247"/>
      <c r="J455" s="223"/>
      <c r="K455" s="240"/>
      <c r="L455" s="223"/>
      <c r="M455" s="223"/>
      <c r="N455" s="223"/>
      <c r="O455" s="223"/>
      <c r="P455" s="223"/>
      <c r="Q455" s="223"/>
      <c r="R455" s="223" t="s">
        <v>535</v>
      </c>
      <c r="S455" s="220">
        <f t="shared" si="7"/>
        <v>0</v>
      </c>
      <c r="T455" s="219" t="str">
        <f>IFERROR(VLOOKUP($B455,'SIZE CALCULATION'!$F$2:$G$100,2,0),"")</f>
        <v/>
      </c>
    </row>
    <row r="456" spans="1:20" x14ac:dyDescent="0.2">
      <c r="A456" s="236"/>
      <c r="B456" s="222"/>
      <c r="C456" s="222"/>
      <c r="D456" s="224"/>
      <c r="E456" s="223"/>
      <c r="F456" s="223"/>
      <c r="G456" s="223"/>
      <c r="H456" s="223"/>
      <c r="I456" s="247"/>
      <c r="J456" s="223"/>
      <c r="K456" s="240"/>
      <c r="L456" s="223"/>
      <c r="M456" s="223"/>
      <c r="N456" s="223"/>
      <c r="O456" s="223"/>
      <c r="P456" s="223"/>
      <c r="Q456" s="223"/>
      <c r="R456" s="223" t="s">
        <v>535</v>
      </c>
      <c r="S456" s="220">
        <f t="shared" si="7"/>
        <v>0</v>
      </c>
      <c r="T456" s="219" t="str">
        <f>IFERROR(VLOOKUP($B456,'SIZE CALCULATION'!$F$2:$G$100,2,0),"")</f>
        <v/>
      </c>
    </row>
    <row r="457" spans="1:20" x14ac:dyDescent="0.2">
      <c r="A457" s="236"/>
      <c r="B457" s="222"/>
      <c r="C457" s="222"/>
      <c r="D457" s="224"/>
      <c r="E457" s="223"/>
      <c r="F457" s="223"/>
      <c r="G457" s="223"/>
      <c r="H457" s="223"/>
      <c r="I457" s="247"/>
      <c r="J457" s="223"/>
      <c r="K457" s="240"/>
      <c r="L457" s="223"/>
      <c r="M457" s="223"/>
      <c r="N457" s="223"/>
      <c r="O457" s="223"/>
      <c r="P457" s="223"/>
      <c r="Q457" s="223"/>
      <c r="R457" s="223" t="s">
        <v>535</v>
      </c>
      <c r="S457" s="220">
        <f t="shared" si="7"/>
        <v>0</v>
      </c>
      <c r="T457" s="219" t="str">
        <f>IFERROR(VLOOKUP($B457,'SIZE CALCULATION'!$F$2:$G$100,2,0),"")</f>
        <v/>
      </c>
    </row>
    <row r="458" spans="1:20" x14ac:dyDescent="0.2">
      <c r="A458" s="236"/>
      <c r="B458" s="222"/>
      <c r="C458" s="222"/>
      <c r="D458" s="224"/>
      <c r="E458" s="223"/>
      <c r="F458" s="223"/>
      <c r="G458" s="223"/>
      <c r="H458" s="223"/>
      <c r="I458" s="247"/>
      <c r="J458" s="223"/>
      <c r="K458" s="240"/>
      <c r="L458" s="223"/>
      <c r="M458" s="223"/>
      <c r="N458" s="223"/>
      <c r="O458" s="223"/>
      <c r="P458" s="223"/>
      <c r="Q458" s="223"/>
      <c r="R458" s="223" t="s">
        <v>535</v>
      </c>
      <c r="S458" s="220">
        <f t="shared" si="7"/>
        <v>0</v>
      </c>
      <c r="T458" s="219" t="str">
        <f>IFERROR(VLOOKUP($B458,'SIZE CALCULATION'!$F$2:$G$100,2,0),"")</f>
        <v/>
      </c>
    </row>
    <row r="459" spans="1:20" x14ac:dyDescent="0.2">
      <c r="A459" s="236"/>
      <c r="B459" s="222"/>
      <c r="C459" s="222"/>
      <c r="D459" s="224"/>
      <c r="E459" s="223"/>
      <c r="F459" s="223"/>
      <c r="G459" s="223"/>
      <c r="H459" s="223"/>
      <c r="I459" s="247"/>
      <c r="J459" s="223"/>
      <c r="K459" s="240"/>
      <c r="L459" s="223"/>
      <c r="M459" s="223"/>
      <c r="N459" s="223"/>
      <c r="O459" s="223"/>
      <c r="P459" s="223"/>
      <c r="Q459" s="223"/>
      <c r="R459" s="223" t="s">
        <v>535</v>
      </c>
      <c r="S459" s="220">
        <f t="shared" si="7"/>
        <v>0</v>
      </c>
      <c r="T459" s="219" t="str">
        <f>IFERROR(VLOOKUP($B459,'SIZE CALCULATION'!$F$2:$G$100,2,0),"")</f>
        <v/>
      </c>
    </row>
    <row r="460" spans="1:20" x14ac:dyDescent="0.2">
      <c r="A460" s="236"/>
      <c r="B460" s="222"/>
      <c r="C460" s="222"/>
      <c r="D460" s="224"/>
      <c r="E460" s="223"/>
      <c r="F460" s="223"/>
      <c r="G460" s="223"/>
      <c r="H460" s="223"/>
      <c r="I460" s="247"/>
      <c r="J460" s="223"/>
      <c r="K460" s="240"/>
      <c r="L460" s="223"/>
      <c r="M460" s="223"/>
      <c r="N460" s="223"/>
      <c r="O460" s="223"/>
      <c r="P460" s="223"/>
      <c r="Q460" s="223"/>
      <c r="R460" s="223" t="s">
        <v>535</v>
      </c>
      <c r="S460" s="220">
        <f t="shared" si="7"/>
        <v>0</v>
      </c>
      <c r="T460" s="219" t="str">
        <f>IFERROR(VLOOKUP($B460,'SIZE CALCULATION'!$F$2:$G$100,2,0),"")</f>
        <v/>
      </c>
    </row>
    <row r="461" spans="1:20" x14ac:dyDescent="0.2">
      <c r="A461" s="236"/>
      <c r="B461" s="222"/>
      <c r="C461" s="222"/>
      <c r="D461" s="224"/>
      <c r="E461" s="223"/>
      <c r="F461" s="223"/>
      <c r="G461" s="223"/>
      <c r="H461" s="223"/>
      <c r="I461" s="247"/>
      <c r="J461" s="223"/>
      <c r="K461" s="240"/>
      <c r="L461" s="223"/>
      <c r="M461" s="223"/>
      <c r="N461" s="223"/>
      <c r="O461" s="223"/>
      <c r="P461" s="223"/>
      <c r="Q461" s="223"/>
      <c r="R461" s="223" t="s">
        <v>535</v>
      </c>
      <c r="S461" s="220">
        <f t="shared" si="7"/>
        <v>0</v>
      </c>
      <c r="T461" s="219" t="str">
        <f>IFERROR(VLOOKUP($B461,'SIZE CALCULATION'!$F$2:$G$100,2,0),"")</f>
        <v/>
      </c>
    </row>
    <row r="462" spans="1:20" x14ac:dyDescent="0.2">
      <c r="A462" s="236"/>
      <c r="B462" s="222"/>
      <c r="C462" s="222"/>
      <c r="D462" s="224"/>
      <c r="E462" s="223"/>
      <c r="F462" s="223"/>
      <c r="G462" s="223"/>
      <c r="H462" s="223"/>
      <c r="I462" s="247"/>
      <c r="J462" s="223"/>
      <c r="K462" s="240"/>
      <c r="L462" s="223"/>
      <c r="M462" s="223"/>
      <c r="N462" s="223"/>
      <c r="O462" s="223"/>
      <c r="P462" s="223"/>
      <c r="Q462" s="223"/>
      <c r="R462" s="223" t="s">
        <v>535</v>
      </c>
      <c r="S462" s="220">
        <f t="shared" si="7"/>
        <v>0</v>
      </c>
      <c r="T462" s="219" t="str">
        <f>IFERROR(VLOOKUP($B462,'SIZE CALCULATION'!$F$2:$G$100,2,0),"")</f>
        <v/>
      </c>
    </row>
    <row r="463" spans="1:20" x14ac:dyDescent="0.2">
      <c r="A463" s="236"/>
      <c r="B463" s="222"/>
      <c r="C463" s="222"/>
      <c r="D463" s="224"/>
      <c r="E463" s="223"/>
      <c r="F463" s="223"/>
      <c r="G463" s="223"/>
      <c r="H463" s="223"/>
      <c r="I463" s="247"/>
      <c r="J463" s="223"/>
      <c r="K463" s="240"/>
      <c r="L463" s="223"/>
      <c r="M463" s="223"/>
      <c r="N463" s="223"/>
      <c r="O463" s="223"/>
      <c r="P463" s="223"/>
      <c r="Q463" s="223"/>
      <c r="R463" s="223" t="s">
        <v>535</v>
      </c>
      <c r="S463" s="220">
        <f t="shared" si="7"/>
        <v>0</v>
      </c>
      <c r="T463" s="219" t="str">
        <f>IFERROR(VLOOKUP($B463,'SIZE CALCULATION'!$F$2:$G$100,2,0),"")</f>
        <v/>
      </c>
    </row>
    <row r="464" spans="1:20" x14ac:dyDescent="0.2">
      <c r="A464" s="236"/>
      <c r="B464" s="222"/>
      <c r="C464" s="222"/>
      <c r="D464" s="224"/>
      <c r="E464" s="223"/>
      <c r="F464" s="223"/>
      <c r="G464" s="223"/>
      <c r="H464" s="223"/>
      <c r="I464" s="247"/>
      <c r="J464" s="223"/>
      <c r="K464" s="240"/>
      <c r="L464" s="223"/>
      <c r="M464" s="223"/>
      <c r="N464" s="223"/>
      <c r="O464" s="223"/>
      <c r="P464" s="223"/>
      <c r="Q464" s="223"/>
      <c r="R464" s="223" t="s">
        <v>535</v>
      </c>
      <c r="S464" s="220">
        <f t="shared" si="7"/>
        <v>0</v>
      </c>
      <c r="T464" s="219" t="str">
        <f>IFERROR(VLOOKUP($B464,'SIZE CALCULATION'!$F$2:$G$100,2,0),"")</f>
        <v/>
      </c>
    </row>
    <row r="465" spans="1:20" x14ac:dyDescent="0.2">
      <c r="A465" s="236"/>
      <c r="B465" s="222"/>
      <c r="C465" s="222"/>
      <c r="D465" s="224"/>
      <c r="E465" s="223"/>
      <c r="F465" s="223"/>
      <c r="G465" s="223"/>
      <c r="H465" s="223"/>
      <c r="I465" s="247"/>
      <c r="J465" s="223"/>
      <c r="K465" s="240"/>
      <c r="L465" s="223"/>
      <c r="M465" s="223"/>
      <c r="N465" s="223"/>
      <c r="O465" s="223"/>
      <c r="P465" s="223"/>
      <c r="Q465" s="223"/>
      <c r="R465" s="223" t="s">
        <v>535</v>
      </c>
      <c r="S465" s="220">
        <f t="shared" si="7"/>
        <v>0</v>
      </c>
      <c r="T465" s="219" t="str">
        <f>IFERROR(VLOOKUP($B465,'SIZE CALCULATION'!$F$2:$G$100,2,0),"")</f>
        <v/>
      </c>
    </row>
    <row r="466" spans="1:20" x14ac:dyDescent="0.2">
      <c r="A466" s="236"/>
      <c r="B466" s="222"/>
      <c r="C466" s="222"/>
      <c r="D466" s="224"/>
      <c r="E466" s="223"/>
      <c r="F466" s="223"/>
      <c r="G466" s="223"/>
      <c r="H466" s="223"/>
      <c r="I466" s="247"/>
      <c r="J466" s="223"/>
      <c r="K466" s="240"/>
      <c r="L466" s="223"/>
      <c r="M466" s="223"/>
      <c r="N466" s="223"/>
      <c r="O466" s="223"/>
      <c r="P466" s="223"/>
      <c r="Q466" s="223"/>
      <c r="R466" s="223" t="s">
        <v>535</v>
      </c>
      <c r="S466" s="220">
        <f t="shared" si="7"/>
        <v>0</v>
      </c>
      <c r="T466" s="219" t="str">
        <f>IFERROR(VLOOKUP($B466,'SIZE CALCULATION'!$F$2:$G$100,2,0),"")</f>
        <v/>
      </c>
    </row>
    <row r="467" spans="1:20" x14ac:dyDescent="0.2">
      <c r="A467" s="236"/>
      <c r="B467" s="222"/>
      <c r="C467" s="222"/>
      <c r="D467" s="224"/>
      <c r="E467" s="223"/>
      <c r="F467" s="223"/>
      <c r="G467" s="223"/>
      <c r="H467" s="223"/>
      <c r="I467" s="247"/>
      <c r="J467" s="223"/>
      <c r="K467" s="240"/>
      <c r="L467" s="223"/>
      <c r="M467" s="223"/>
      <c r="N467" s="223"/>
      <c r="O467" s="223"/>
      <c r="P467" s="223"/>
      <c r="Q467" s="223"/>
      <c r="R467" s="223" t="s">
        <v>535</v>
      </c>
      <c r="S467" s="220">
        <f t="shared" si="7"/>
        <v>0</v>
      </c>
      <c r="T467" s="219" t="str">
        <f>IFERROR(VLOOKUP($B467,'SIZE CALCULATION'!$F$2:$G$100,2,0),"")</f>
        <v/>
      </c>
    </row>
    <row r="468" spans="1:20" x14ac:dyDescent="0.2">
      <c r="A468" s="236"/>
      <c r="B468" s="222"/>
      <c r="C468" s="222"/>
      <c r="D468" s="224"/>
      <c r="E468" s="223"/>
      <c r="F468" s="223"/>
      <c r="G468" s="223"/>
      <c r="H468" s="223"/>
      <c r="I468" s="247"/>
      <c r="J468" s="223"/>
      <c r="K468" s="240"/>
      <c r="L468" s="223"/>
      <c r="M468" s="223"/>
      <c r="N468" s="223"/>
      <c r="O468" s="223"/>
      <c r="P468" s="223"/>
      <c r="Q468" s="223"/>
      <c r="R468" s="223" t="s">
        <v>535</v>
      </c>
      <c r="S468" s="220">
        <f t="shared" si="7"/>
        <v>0</v>
      </c>
      <c r="T468" s="219" t="str">
        <f>IFERROR(VLOOKUP($B468,'SIZE CALCULATION'!$F$2:$G$100,2,0),"")</f>
        <v/>
      </c>
    </row>
    <row r="469" spans="1:20" x14ac:dyDescent="0.2">
      <c r="A469" s="236"/>
      <c r="B469" s="222"/>
      <c r="C469" s="222"/>
      <c r="D469" s="224"/>
      <c r="E469" s="223"/>
      <c r="F469" s="223"/>
      <c r="G469" s="223"/>
      <c r="H469" s="223"/>
      <c r="I469" s="247"/>
      <c r="J469" s="223"/>
      <c r="K469" s="240"/>
      <c r="L469" s="223"/>
      <c r="M469" s="223"/>
      <c r="N469" s="223"/>
      <c r="O469" s="223"/>
      <c r="P469" s="223"/>
      <c r="Q469" s="223"/>
      <c r="R469" s="223" t="s">
        <v>535</v>
      </c>
      <c r="S469" s="220">
        <f t="shared" ref="S469:S507" si="8">IFERROR(M469/O469,M469)</f>
        <v>0</v>
      </c>
      <c r="T469" s="219" t="str">
        <f>IFERROR(VLOOKUP($B469,'SIZE CALCULATION'!$F$2:$G$100,2,0),"")</f>
        <v/>
      </c>
    </row>
    <row r="470" spans="1:20" x14ac:dyDescent="0.2">
      <c r="A470" s="236"/>
      <c r="B470" s="222"/>
      <c r="C470" s="222"/>
      <c r="D470" s="224"/>
      <c r="E470" s="223"/>
      <c r="F470" s="223"/>
      <c r="G470" s="223"/>
      <c r="H470" s="223"/>
      <c r="I470" s="247"/>
      <c r="J470" s="223"/>
      <c r="K470" s="240"/>
      <c r="L470" s="223"/>
      <c r="M470" s="223"/>
      <c r="N470" s="223"/>
      <c r="O470" s="223"/>
      <c r="P470" s="223"/>
      <c r="Q470" s="223"/>
      <c r="R470" s="223" t="s">
        <v>535</v>
      </c>
      <c r="S470" s="220">
        <f t="shared" si="8"/>
        <v>0</v>
      </c>
      <c r="T470" s="219" t="str">
        <f>IFERROR(VLOOKUP($B470,'SIZE CALCULATION'!$F$2:$G$100,2,0),"")</f>
        <v/>
      </c>
    </row>
    <row r="471" spans="1:20" x14ac:dyDescent="0.2">
      <c r="A471" s="236"/>
      <c r="B471" s="222"/>
      <c r="C471" s="222"/>
      <c r="D471" s="224"/>
      <c r="E471" s="223"/>
      <c r="F471" s="223"/>
      <c r="G471" s="223"/>
      <c r="H471" s="223"/>
      <c r="I471" s="247"/>
      <c r="J471" s="223"/>
      <c r="K471" s="240"/>
      <c r="L471" s="223"/>
      <c r="M471" s="223"/>
      <c r="N471" s="223"/>
      <c r="O471" s="223"/>
      <c r="P471" s="223"/>
      <c r="Q471" s="223"/>
      <c r="R471" s="223" t="s">
        <v>535</v>
      </c>
      <c r="S471" s="220">
        <f t="shared" si="8"/>
        <v>0</v>
      </c>
      <c r="T471" s="219" t="str">
        <f>IFERROR(VLOOKUP($B471,'SIZE CALCULATION'!$F$2:$G$100,2,0),"")</f>
        <v/>
      </c>
    </row>
    <row r="472" spans="1:20" x14ac:dyDescent="0.2">
      <c r="A472" s="236"/>
      <c r="B472" s="222"/>
      <c r="C472" s="222"/>
      <c r="D472" s="224"/>
      <c r="E472" s="223"/>
      <c r="F472" s="223"/>
      <c r="G472" s="223"/>
      <c r="H472" s="223"/>
      <c r="I472" s="247"/>
      <c r="J472" s="223"/>
      <c r="K472" s="240"/>
      <c r="L472" s="223"/>
      <c r="M472" s="223"/>
      <c r="N472" s="223"/>
      <c r="O472" s="223"/>
      <c r="P472" s="223"/>
      <c r="Q472" s="223"/>
      <c r="R472" s="223" t="s">
        <v>535</v>
      </c>
      <c r="S472" s="220">
        <f t="shared" si="8"/>
        <v>0</v>
      </c>
      <c r="T472" s="219" t="str">
        <f>IFERROR(VLOOKUP($B472,'SIZE CALCULATION'!$F$2:$G$100,2,0),"")</f>
        <v/>
      </c>
    </row>
    <row r="473" spans="1:20" x14ac:dyDescent="0.2">
      <c r="A473" s="236"/>
      <c r="B473" s="222"/>
      <c r="C473" s="222"/>
      <c r="D473" s="224"/>
      <c r="E473" s="223"/>
      <c r="F473" s="223"/>
      <c r="G473" s="223"/>
      <c r="H473" s="223"/>
      <c r="I473" s="247"/>
      <c r="J473" s="223"/>
      <c r="K473" s="240"/>
      <c r="L473" s="223"/>
      <c r="M473" s="223"/>
      <c r="N473" s="223"/>
      <c r="O473" s="223"/>
      <c r="P473" s="223"/>
      <c r="Q473" s="223"/>
      <c r="R473" s="223" t="s">
        <v>535</v>
      </c>
      <c r="S473" s="220">
        <f t="shared" si="8"/>
        <v>0</v>
      </c>
      <c r="T473" s="219" t="str">
        <f>IFERROR(VLOOKUP($B473,'SIZE CALCULATION'!$F$2:$G$100,2,0),"")</f>
        <v/>
      </c>
    </row>
    <row r="474" spans="1:20" x14ac:dyDescent="0.2">
      <c r="A474" s="236"/>
      <c r="B474" s="222"/>
      <c r="C474" s="222"/>
      <c r="D474" s="224"/>
      <c r="E474" s="223"/>
      <c r="F474" s="223"/>
      <c r="G474" s="223"/>
      <c r="H474" s="223"/>
      <c r="I474" s="247"/>
      <c r="J474" s="223"/>
      <c r="K474" s="240"/>
      <c r="L474" s="223"/>
      <c r="M474" s="223"/>
      <c r="N474" s="223"/>
      <c r="O474" s="223"/>
      <c r="P474" s="223"/>
      <c r="Q474" s="223"/>
      <c r="R474" s="223" t="s">
        <v>535</v>
      </c>
      <c r="S474" s="220">
        <f t="shared" si="8"/>
        <v>0</v>
      </c>
      <c r="T474" s="219" t="str">
        <f>IFERROR(VLOOKUP($B474,'SIZE CALCULATION'!$F$2:$G$100,2,0),"")</f>
        <v/>
      </c>
    </row>
    <row r="475" spans="1:20" x14ac:dyDescent="0.2">
      <c r="A475" s="236"/>
      <c r="B475" s="222"/>
      <c r="C475" s="222"/>
      <c r="D475" s="224"/>
      <c r="E475" s="223"/>
      <c r="F475" s="223"/>
      <c r="G475" s="223"/>
      <c r="H475" s="223"/>
      <c r="I475" s="247"/>
      <c r="J475" s="223"/>
      <c r="K475" s="240"/>
      <c r="L475" s="223"/>
      <c r="M475" s="223"/>
      <c r="N475" s="223"/>
      <c r="O475" s="223"/>
      <c r="P475" s="223"/>
      <c r="Q475" s="223"/>
      <c r="R475" s="223" t="s">
        <v>535</v>
      </c>
      <c r="S475" s="220">
        <f t="shared" si="8"/>
        <v>0</v>
      </c>
      <c r="T475" s="219" t="str">
        <f>IFERROR(VLOOKUP($B475,'SIZE CALCULATION'!$F$2:$G$100,2,0),"")</f>
        <v/>
      </c>
    </row>
    <row r="476" spans="1:20" x14ac:dyDescent="0.2">
      <c r="A476" s="236"/>
      <c r="B476" s="222"/>
      <c r="C476" s="222"/>
      <c r="D476" s="224"/>
      <c r="E476" s="223"/>
      <c r="F476" s="223"/>
      <c r="G476" s="223"/>
      <c r="H476" s="223"/>
      <c r="I476" s="247"/>
      <c r="J476" s="223"/>
      <c r="K476" s="240"/>
      <c r="L476" s="223"/>
      <c r="M476" s="223"/>
      <c r="N476" s="223"/>
      <c r="O476" s="223"/>
      <c r="P476" s="223"/>
      <c r="Q476" s="223"/>
      <c r="R476" s="223" t="s">
        <v>535</v>
      </c>
      <c r="S476" s="220">
        <f t="shared" si="8"/>
        <v>0</v>
      </c>
      <c r="T476" s="219" t="str">
        <f>IFERROR(VLOOKUP($B476,'SIZE CALCULATION'!$F$2:$G$100,2,0),"")</f>
        <v/>
      </c>
    </row>
    <row r="477" spans="1:20" x14ac:dyDescent="0.2">
      <c r="A477" s="236"/>
      <c r="B477" s="222"/>
      <c r="C477" s="222"/>
      <c r="D477" s="224"/>
      <c r="E477" s="223"/>
      <c r="F477" s="223"/>
      <c r="G477" s="223"/>
      <c r="H477" s="223"/>
      <c r="I477" s="247"/>
      <c r="J477" s="223"/>
      <c r="K477" s="240"/>
      <c r="L477" s="223"/>
      <c r="M477" s="223"/>
      <c r="N477" s="223"/>
      <c r="O477" s="223"/>
      <c r="P477" s="223"/>
      <c r="Q477" s="223"/>
      <c r="R477" s="223" t="s">
        <v>535</v>
      </c>
      <c r="S477" s="220">
        <f t="shared" si="8"/>
        <v>0</v>
      </c>
      <c r="T477" s="219" t="str">
        <f>IFERROR(VLOOKUP($B477,'SIZE CALCULATION'!$F$2:$G$100,2,0),"")</f>
        <v/>
      </c>
    </row>
    <row r="478" spans="1:20" x14ac:dyDescent="0.2">
      <c r="A478" s="236"/>
      <c r="B478" s="222"/>
      <c r="C478" s="222"/>
      <c r="D478" s="224"/>
      <c r="E478" s="223"/>
      <c r="F478" s="223"/>
      <c r="G478" s="223"/>
      <c r="H478" s="223"/>
      <c r="I478" s="247"/>
      <c r="J478" s="223"/>
      <c r="K478" s="240"/>
      <c r="L478" s="223"/>
      <c r="M478" s="223"/>
      <c r="N478" s="223"/>
      <c r="O478" s="223"/>
      <c r="P478" s="223"/>
      <c r="Q478" s="223"/>
      <c r="R478" s="223" t="s">
        <v>535</v>
      </c>
      <c r="S478" s="220">
        <f t="shared" si="8"/>
        <v>0</v>
      </c>
      <c r="T478" s="219" t="str">
        <f>IFERROR(VLOOKUP($B478,'SIZE CALCULATION'!$F$2:$G$100,2,0),"")</f>
        <v/>
      </c>
    </row>
    <row r="479" spans="1:20" x14ac:dyDescent="0.2">
      <c r="A479" s="236"/>
      <c r="B479" s="222"/>
      <c r="C479" s="222"/>
      <c r="D479" s="224"/>
      <c r="E479" s="223"/>
      <c r="F479" s="223"/>
      <c r="G479" s="223"/>
      <c r="H479" s="223"/>
      <c r="I479" s="247"/>
      <c r="J479" s="223"/>
      <c r="K479" s="240"/>
      <c r="L479" s="223"/>
      <c r="M479" s="223"/>
      <c r="N479" s="223"/>
      <c r="O479" s="223"/>
      <c r="P479" s="223"/>
      <c r="Q479" s="223"/>
      <c r="R479" s="223" t="s">
        <v>535</v>
      </c>
      <c r="S479" s="220">
        <f t="shared" si="8"/>
        <v>0</v>
      </c>
      <c r="T479" s="219" t="str">
        <f>IFERROR(VLOOKUP($B479,'SIZE CALCULATION'!$F$2:$G$100,2,0),"")</f>
        <v/>
      </c>
    </row>
    <row r="480" spans="1:20" x14ac:dyDescent="0.2">
      <c r="A480" s="236"/>
      <c r="B480" s="222"/>
      <c r="C480" s="222"/>
      <c r="D480" s="224"/>
      <c r="E480" s="223"/>
      <c r="F480" s="223"/>
      <c r="G480" s="223"/>
      <c r="H480" s="223"/>
      <c r="I480" s="247"/>
      <c r="J480" s="223"/>
      <c r="K480" s="240"/>
      <c r="L480" s="223"/>
      <c r="M480" s="223"/>
      <c r="N480" s="223"/>
      <c r="O480" s="223"/>
      <c r="P480" s="223"/>
      <c r="Q480" s="223"/>
      <c r="R480" s="223" t="s">
        <v>535</v>
      </c>
      <c r="S480" s="220">
        <f t="shared" si="8"/>
        <v>0</v>
      </c>
      <c r="T480" s="219" t="str">
        <f>IFERROR(VLOOKUP($B480,'SIZE CALCULATION'!$F$2:$G$100,2,0),"")</f>
        <v/>
      </c>
    </row>
    <row r="481" spans="1:20" x14ac:dyDescent="0.2">
      <c r="A481" s="236"/>
      <c r="B481" s="222"/>
      <c r="C481" s="222"/>
      <c r="D481" s="224"/>
      <c r="E481" s="223"/>
      <c r="F481" s="223"/>
      <c r="G481" s="223"/>
      <c r="H481" s="223"/>
      <c r="I481" s="247"/>
      <c r="J481" s="223"/>
      <c r="K481" s="240"/>
      <c r="L481" s="223"/>
      <c r="M481" s="223"/>
      <c r="N481" s="223"/>
      <c r="O481" s="223"/>
      <c r="P481" s="223"/>
      <c r="Q481" s="223"/>
      <c r="R481" s="223" t="s">
        <v>535</v>
      </c>
      <c r="S481" s="220">
        <f t="shared" si="8"/>
        <v>0</v>
      </c>
      <c r="T481" s="219" t="str">
        <f>IFERROR(VLOOKUP($B481,'SIZE CALCULATION'!$F$2:$G$100,2,0),"")</f>
        <v/>
      </c>
    </row>
    <row r="482" spans="1:20" x14ac:dyDescent="0.2">
      <c r="A482" s="236"/>
      <c r="B482" s="222"/>
      <c r="C482" s="222"/>
      <c r="D482" s="224"/>
      <c r="E482" s="223"/>
      <c r="F482" s="223"/>
      <c r="G482" s="223"/>
      <c r="H482" s="223"/>
      <c r="I482" s="247"/>
      <c r="J482" s="223"/>
      <c r="K482" s="240"/>
      <c r="L482" s="223"/>
      <c r="M482" s="223"/>
      <c r="N482" s="223"/>
      <c r="O482" s="223"/>
      <c r="P482" s="223"/>
      <c r="Q482" s="223"/>
      <c r="R482" s="223" t="s">
        <v>535</v>
      </c>
      <c r="S482" s="220">
        <f t="shared" si="8"/>
        <v>0</v>
      </c>
      <c r="T482" s="219" t="str">
        <f>IFERROR(VLOOKUP($B482,'SIZE CALCULATION'!$F$2:$G$100,2,0),"")</f>
        <v/>
      </c>
    </row>
    <row r="483" spans="1:20" x14ac:dyDescent="0.2">
      <c r="A483" s="236"/>
      <c r="B483" s="222"/>
      <c r="C483" s="222"/>
      <c r="D483" s="224"/>
      <c r="E483" s="223"/>
      <c r="F483" s="223"/>
      <c r="G483" s="223"/>
      <c r="H483" s="223"/>
      <c r="I483" s="247"/>
      <c r="J483" s="223"/>
      <c r="K483" s="240"/>
      <c r="L483" s="223"/>
      <c r="M483" s="223"/>
      <c r="N483" s="223"/>
      <c r="O483" s="223"/>
      <c r="P483" s="223"/>
      <c r="Q483" s="223"/>
      <c r="R483" s="223" t="s">
        <v>535</v>
      </c>
      <c r="S483" s="220">
        <f t="shared" si="8"/>
        <v>0</v>
      </c>
      <c r="T483" s="219" t="str">
        <f>IFERROR(VLOOKUP($B483,'SIZE CALCULATION'!$F$2:$G$100,2,0),"")</f>
        <v/>
      </c>
    </row>
    <row r="484" spans="1:20" x14ac:dyDescent="0.2">
      <c r="A484" s="236"/>
      <c r="B484" s="222"/>
      <c r="C484" s="222"/>
      <c r="D484" s="224"/>
      <c r="E484" s="223"/>
      <c r="F484" s="223"/>
      <c r="G484" s="223"/>
      <c r="H484" s="223"/>
      <c r="I484" s="247"/>
      <c r="J484" s="223"/>
      <c r="K484" s="240"/>
      <c r="L484" s="223"/>
      <c r="M484" s="223"/>
      <c r="N484" s="223"/>
      <c r="O484" s="223"/>
      <c r="P484" s="223"/>
      <c r="Q484" s="223"/>
      <c r="R484" s="223" t="s">
        <v>535</v>
      </c>
      <c r="S484" s="220">
        <f t="shared" si="8"/>
        <v>0</v>
      </c>
      <c r="T484" s="219" t="str">
        <f>IFERROR(VLOOKUP($B484,'SIZE CALCULATION'!$F$2:$G$100,2,0),"")</f>
        <v/>
      </c>
    </row>
    <row r="485" spans="1:20" x14ac:dyDescent="0.2">
      <c r="A485" s="236"/>
      <c r="B485" s="222"/>
      <c r="C485" s="222"/>
      <c r="D485" s="224"/>
      <c r="E485" s="223"/>
      <c r="F485" s="223"/>
      <c r="G485" s="223"/>
      <c r="H485" s="223"/>
      <c r="I485" s="247"/>
      <c r="J485" s="223"/>
      <c r="K485" s="240"/>
      <c r="L485" s="223"/>
      <c r="M485" s="223"/>
      <c r="N485" s="223"/>
      <c r="O485" s="223"/>
      <c r="P485" s="223"/>
      <c r="Q485" s="223"/>
      <c r="R485" s="223" t="s">
        <v>535</v>
      </c>
      <c r="S485" s="220">
        <f t="shared" si="8"/>
        <v>0</v>
      </c>
      <c r="T485" s="219" t="str">
        <f>IFERROR(VLOOKUP($B485,'SIZE CALCULATION'!$F$2:$G$100,2,0),"")</f>
        <v/>
      </c>
    </row>
    <row r="486" spans="1:20" x14ac:dyDescent="0.2">
      <c r="A486" s="236"/>
      <c r="B486" s="222"/>
      <c r="C486" s="222"/>
      <c r="D486" s="224"/>
      <c r="E486" s="223"/>
      <c r="F486" s="223"/>
      <c r="G486" s="223"/>
      <c r="H486" s="223"/>
      <c r="I486" s="247"/>
      <c r="J486" s="223"/>
      <c r="K486" s="240"/>
      <c r="L486" s="223"/>
      <c r="M486" s="223"/>
      <c r="N486" s="223"/>
      <c r="O486" s="223"/>
      <c r="P486" s="223"/>
      <c r="Q486" s="223"/>
      <c r="R486" s="223" t="s">
        <v>535</v>
      </c>
      <c r="S486" s="220">
        <f t="shared" si="8"/>
        <v>0</v>
      </c>
      <c r="T486" s="219" t="str">
        <f>IFERROR(VLOOKUP($B486,'SIZE CALCULATION'!$F$2:$G$100,2,0),"")</f>
        <v/>
      </c>
    </row>
    <row r="487" spans="1:20" x14ac:dyDescent="0.2">
      <c r="A487" s="236"/>
      <c r="B487" s="222"/>
      <c r="C487" s="222"/>
      <c r="D487" s="224"/>
      <c r="E487" s="223"/>
      <c r="F487" s="223"/>
      <c r="G487" s="223"/>
      <c r="H487" s="223"/>
      <c r="I487" s="247"/>
      <c r="J487" s="223"/>
      <c r="K487" s="240"/>
      <c r="L487" s="223"/>
      <c r="M487" s="223"/>
      <c r="N487" s="223"/>
      <c r="O487" s="223"/>
      <c r="P487" s="223"/>
      <c r="Q487" s="223"/>
      <c r="R487" s="223" t="s">
        <v>535</v>
      </c>
      <c r="S487" s="220">
        <f t="shared" si="8"/>
        <v>0</v>
      </c>
      <c r="T487" s="219" t="str">
        <f>IFERROR(VLOOKUP($B487,'SIZE CALCULATION'!$F$2:$G$100,2,0),"")</f>
        <v/>
      </c>
    </row>
    <row r="488" spans="1:20" x14ac:dyDescent="0.2">
      <c r="A488" s="236"/>
      <c r="B488" s="222"/>
      <c r="C488" s="222"/>
      <c r="D488" s="224"/>
      <c r="E488" s="223"/>
      <c r="F488" s="223"/>
      <c r="G488" s="223"/>
      <c r="H488" s="223"/>
      <c r="I488" s="247"/>
      <c r="J488" s="223"/>
      <c r="K488" s="240"/>
      <c r="L488" s="223"/>
      <c r="M488" s="223"/>
      <c r="N488" s="223"/>
      <c r="O488" s="223"/>
      <c r="P488" s="223"/>
      <c r="Q488" s="223"/>
      <c r="R488" s="223" t="s">
        <v>535</v>
      </c>
      <c r="S488" s="220">
        <f t="shared" si="8"/>
        <v>0</v>
      </c>
      <c r="T488" s="219" t="str">
        <f>IFERROR(VLOOKUP($B488,'SIZE CALCULATION'!$F$2:$G$100,2,0),"")</f>
        <v/>
      </c>
    </row>
    <row r="489" spans="1:20" x14ac:dyDescent="0.2">
      <c r="A489" s="236"/>
      <c r="B489" s="222"/>
      <c r="C489" s="222"/>
      <c r="D489" s="224"/>
      <c r="E489" s="223"/>
      <c r="F489" s="223"/>
      <c r="G489" s="223"/>
      <c r="H489" s="223"/>
      <c r="I489" s="247"/>
      <c r="J489" s="223"/>
      <c r="K489" s="240"/>
      <c r="L489" s="223"/>
      <c r="M489" s="223"/>
      <c r="N489" s="223"/>
      <c r="O489" s="223"/>
      <c r="P489" s="223"/>
      <c r="Q489" s="223"/>
      <c r="R489" s="223" t="s">
        <v>535</v>
      </c>
      <c r="S489" s="220">
        <f t="shared" si="8"/>
        <v>0</v>
      </c>
      <c r="T489" s="219" t="str">
        <f>IFERROR(VLOOKUP($B489,'SIZE CALCULATION'!$F$2:$G$100,2,0),"")</f>
        <v/>
      </c>
    </row>
    <row r="490" spans="1:20" x14ac:dyDescent="0.2">
      <c r="A490" s="236"/>
      <c r="B490" s="222"/>
      <c r="C490" s="222"/>
      <c r="D490" s="224"/>
      <c r="E490" s="223"/>
      <c r="F490" s="223"/>
      <c r="G490" s="223"/>
      <c r="H490" s="223"/>
      <c r="I490" s="247"/>
      <c r="J490" s="223"/>
      <c r="K490" s="240"/>
      <c r="L490" s="223"/>
      <c r="M490" s="223"/>
      <c r="N490" s="223"/>
      <c r="O490" s="223"/>
      <c r="P490" s="223"/>
      <c r="Q490" s="223"/>
      <c r="R490" s="223" t="s">
        <v>535</v>
      </c>
      <c r="S490" s="220">
        <f t="shared" si="8"/>
        <v>0</v>
      </c>
      <c r="T490" s="219" t="str">
        <f>IFERROR(VLOOKUP($B490,'SIZE CALCULATION'!$F$2:$G$100,2,0),"")</f>
        <v/>
      </c>
    </row>
    <row r="491" spans="1:20" x14ac:dyDescent="0.2">
      <c r="A491" s="236"/>
      <c r="B491" s="222"/>
      <c r="C491" s="222"/>
      <c r="D491" s="224"/>
      <c r="E491" s="223"/>
      <c r="F491" s="223"/>
      <c r="G491" s="223"/>
      <c r="H491" s="223"/>
      <c r="I491" s="247"/>
      <c r="J491" s="223"/>
      <c r="K491" s="240"/>
      <c r="L491" s="223"/>
      <c r="M491" s="223"/>
      <c r="N491" s="223"/>
      <c r="O491" s="223"/>
      <c r="P491" s="223"/>
      <c r="Q491" s="223"/>
      <c r="R491" s="223" t="s">
        <v>535</v>
      </c>
      <c r="S491" s="220">
        <f t="shared" si="8"/>
        <v>0</v>
      </c>
      <c r="T491" s="219" t="str">
        <f>IFERROR(VLOOKUP($B491,'SIZE CALCULATION'!$F$2:$G$100,2,0),"")</f>
        <v/>
      </c>
    </row>
    <row r="492" spans="1:20" x14ac:dyDescent="0.2">
      <c r="A492" s="236"/>
      <c r="B492" s="222"/>
      <c r="C492" s="222"/>
      <c r="D492" s="224"/>
      <c r="E492" s="223"/>
      <c r="F492" s="223"/>
      <c r="G492" s="223"/>
      <c r="H492" s="223"/>
      <c r="I492" s="247"/>
      <c r="J492" s="223"/>
      <c r="K492" s="240"/>
      <c r="L492" s="223"/>
      <c r="M492" s="223"/>
      <c r="N492" s="223"/>
      <c r="O492" s="223"/>
      <c r="P492" s="223"/>
      <c r="Q492" s="223"/>
      <c r="R492" s="223" t="s">
        <v>535</v>
      </c>
      <c r="S492" s="220">
        <f t="shared" si="8"/>
        <v>0</v>
      </c>
      <c r="T492" s="219" t="str">
        <f>IFERROR(VLOOKUP($B492,'SIZE CALCULATION'!$F$2:$G$100,2,0),"")</f>
        <v/>
      </c>
    </row>
    <row r="493" spans="1:20" x14ac:dyDescent="0.2">
      <c r="A493" s="236"/>
      <c r="B493" s="222"/>
      <c r="C493" s="222"/>
      <c r="D493" s="224"/>
      <c r="E493" s="223"/>
      <c r="F493" s="223"/>
      <c r="G493" s="223"/>
      <c r="H493" s="223"/>
      <c r="I493" s="247"/>
      <c r="J493" s="223"/>
      <c r="K493" s="240"/>
      <c r="L493" s="223"/>
      <c r="M493" s="223"/>
      <c r="N493" s="223"/>
      <c r="O493" s="223"/>
      <c r="P493" s="223"/>
      <c r="Q493" s="223"/>
      <c r="R493" s="223" t="s">
        <v>535</v>
      </c>
      <c r="S493" s="220">
        <f t="shared" si="8"/>
        <v>0</v>
      </c>
      <c r="T493" s="219" t="str">
        <f>IFERROR(VLOOKUP($B493,'SIZE CALCULATION'!$F$2:$G$100,2,0),"")</f>
        <v/>
      </c>
    </row>
    <row r="494" spans="1:20" x14ac:dyDescent="0.2">
      <c r="A494" s="236"/>
      <c r="B494" s="222"/>
      <c r="C494" s="222"/>
      <c r="D494" s="224"/>
      <c r="E494" s="223"/>
      <c r="F494" s="223"/>
      <c r="G494" s="223"/>
      <c r="H494" s="223"/>
      <c r="I494" s="247"/>
      <c r="J494" s="223"/>
      <c r="K494" s="240"/>
      <c r="L494" s="223"/>
      <c r="M494" s="223"/>
      <c r="N494" s="223"/>
      <c r="O494" s="223"/>
      <c r="P494" s="223"/>
      <c r="Q494" s="223"/>
      <c r="R494" s="223" t="s">
        <v>535</v>
      </c>
      <c r="S494" s="220">
        <f t="shared" si="8"/>
        <v>0</v>
      </c>
      <c r="T494" s="219" t="str">
        <f>IFERROR(VLOOKUP($B494,'SIZE CALCULATION'!$F$2:$G$100,2,0),"")</f>
        <v/>
      </c>
    </row>
    <row r="495" spans="1:20" x14ac:dyDescent="0.2">
      <c r="A495" s="236"/>
      <c r="B495" s="222"/>
      <c r="C495" s="222"/>
      <c r="D495" s="224"/>
      <c r="E495" s="223"/>
      <c r="F495" s="223"/>
      <c r="G495" s="223"/>
      <c r="H495" s="223"/>
      <c r="I495" s="247"/>
      <c r="J495" s="223"/>
      <c r="K495" s="240"/>
      <c r="L495" s="223"/>
      <c r="M495" s="223"/>
      <c r="N495" s="223"/>
      <c r="O495" s="223"/>
      <c r="P495" s="223"/>
      <c r="Q495" s="223"/>
      <c r="R495" s="223" t="s">
        <v>535</v>
      </c>
      <c r="S495" s="220">
        <f t="shared" si="8"/>
        <v>0</v>
      </c>
      <c r="T495" s="219" t="str">
        <f>IFERROR(VLOOKUP($B495,'SIZE CALCULATION'!$F$2:$G$100,2,0),"")</f>
        <v/>
      </c>
    </row>
    <row r="496" spans="1:20" x14ac:dyDescent="0.2">
      <c r="A496" s="236"/>
      <c r="B496" s="222"/>
      <c r="C496" s="222"/>
      <c r="D496" s="224"/>
      <c r="E496" s="223"/>
      <c r="F496" s="223"/>
      <c r="G496" s="223"/>
      <c r="H496" s="223"/>
      <c r="I496" s="247"/>
      <c r="J496" s="223"/>
      <c r="K496" s="240"/>
      <c r="L496" s="223"/>
      <c r="M496" s="223"/>
      <c r="N496" s="223"/>
      <c r="O496" s="223"/>
      <c r="P496" s="223"/>
      <c r="Q496" s="223"/>
      <c r="R496" s="223" t="s">
        <v>535</v>
      </c>
      <c r="S496" s="220">
        <f t="shared" si="8"/>
        <v>0</v>
      </c>
      <c r="T496" s="219" t="str">
        <f>IFERROR(VLOOKUP($B496,'SIZE CALCULATION'!$F$2:$G$100,2,0),"")</f>
        <v/>
      </c>
    </row>
    <row r="497" spans="1:20" x14ac:dyDescent="0.2">
      <c r="A497" s="236"/>
      <c r="B497" s="222"/>
      <c r="C497" s="222"/>
      <c r="D497" s="224"/>
      <c r="E497" s="223"/>
      <c r="F497" s="223"/>
      <c r="G497" s="223"/>
      <c r="H497" s="223"/>
      <c r="I497" s="247"/>
      <c r="J497" s="223"/>
      <c r="K497" s="240"/>
      <c r="L497" s="223"/>
      <c r="M497" s="223"/>
      <c r="N497" s="223"/>
      <c r="O497" s="223"/>
      <c r="P497" s="223"/>
      <c r="Q497" s="223"/>
      <c r="R497" s="223" t="s">
        <v>535</v>
      </c>
      <c r="S497" s="220">
        <f t="shared" si="8"/>
        <v>0</v>
      </c>
      <c r="T497" s="219" t="str">
        <f>IFERROR(VLOOKUP($B497,'SIZE CALCULATION'!$F$2:$G$100,2,0),"")</f>
        <v/>
      </c>
    </row>
    <row r="498" spans="1:20" x14ac:dyDescent="0.2">
      <c r="A498" s="236"/>
      <c r="B498" s="222"/>
      <c r="C498" s="222"/>
      <c r="D498" s="224"/>
      <c r="E498" s="223"/>
      <c r="F498" s="223"/>
      <c r="G498" s="223"/>
      <c r="H498" s="223"/>
      <c r="I498" s="247"/>
      <c r="J498" s="223"/>
      <c r="K498" s="240"/>
      <c r="L498" s="223"/>
      <c r="M498" s="223"/>
      <c r="N498" s="223"/>
      <c r="O498" s="223"/>
      <c r="P498" s="223"/>
      <c r="Q498" s="223"/>
      <c r="R498" s="223" t="s">
        <v>535</v>
      </c>
      <c r="S498" s="220">
        <f t="shared" si="8"/>
        <v>0</v>
      </c>
      <c r="T498" s="219" t="str">
        <f>IFERROR(VLOOKUP($B498,'SIZE CALCULATION'!$F$2:$G$100,2,0),"")</f>
        <v/>
      </c>
    </row>
    <row r="499" spans="1:20" x14ac:dyDescent="0.2">
      <c r="A499" s="236"/>
      <c r="B499" s="222"/>
      <c r="C499" s="222"/>
      <c r="D499" s="224"/>
      <c r="E499" s="223"/>
      <c r="F499" s="223"/>
      <c r="G499" s="223"/>
      <c r="H499" s="223"/>
      <c r="I499" s="247"/>
      <c r="J499" s="223"/>
      <c r="K499" s="240"/>
      <c r="L499" s="223"/>
      <c r="M499" s="223"/>
      <c r="N499" s="223"/>
      <c r="O499" s="223"/>
      <c r="P499" s="223"/>
      <c r="Q499" s="223"/>
      <c r="R499" s="223" t="s">
        <v>535</v>
      </c>
      <c r="S499" s="220">
        <f t="shared" si="8"/>
        <v>0</v>
      </c>
      <c r="T499" s="219" t="str">
        <f>IFERROR(VLOOKUP($B499,'SIZE CALCULATION'!$F$2:$G$100,2,0),"")</f>
        <v/>
      </c>
    </row>
    <row r="500" spans="1:20" x14ac:dyDescent="0.2">
      <c r="A500" s="236"/>
      <c r="B500" s="222"/>
      <c r="C500" s="222"/>
      <c r="D500" s="224"/>
      <c r="E500" s="223"/>
      <c r="F500" s="223"/>
      <c r="G500" s="223"/>
      <c r="H500" s="223"/>
      <c r="I500" s="247"/>
      <c r="J500" s="223"/>
      <c r="K500" s="240"/>
      <c r="L500" s="223"/>
      <c r="M500" s="223"/>
      <c r="N500" s="223"/>
      <c r="O500" s="223"/>
      <c r="P500" s="223"/>
      <c r="Q500" s="223"/>
      <c r="R500" s="223" t="s">
        <v>535</v>
      </c>
      <c r="S500" s="220">
        <f t="shared" si="8"/>
        <v>0</v>
      </c>
      <c r="T500" s="219" t="str">
        <f>IFERROR(VLOOKUP($B500,'SIZE CALCULATION'!$F$2:$G$100,2,0),"")</f>
        <v/>
      </c>
    </row>
    <row r="501" spans="1:20" x14ac:dyDescent="0.2">
      <c r="A501" s="236"/>
      <c r="B501" s="222"/>
      <c r="C501" s="222"/>
      <c r="D501" s="224"/>
      <c r="E501" s="223"/>
      <c r="F501" s="223"/>
      <c r="G501" s="223"/>
      <c r="H501" s="223"/>
      <c r="I501" s="247"/>
      <c r="J501" s="223"/>
      <c r="K501" s="240"/>
      <c r="L501" s="223"/>
      <c r="M501" s="223"/>
      <c r="N501" s="223"/>
      <c r="O501" s="223"/>
      <c r="P501" s="223"/>
      <c r="Q501" s="223"/>
      <c r="R501" s="223" t="s">
        <v>535</v>
      </c>
      <c r="S501" s="220">
        <f t="shared" si="8"/>
        <v>0</v>
      </c>
      <c r="T501" s="219" t="str">
        <f>IFERROR(VLOOKUP($B501,'SIZE CALCULATION'!$F$2:$G$100,2,0),"")</f>
        <v/>
      </c>
    </row>
    <row r="502" spans="1:20" x14ac:dyDescent="0.2">
      <c r="A502" s="236"/>
      <c r="B502" s="222"/>
      <c r="C502" s="222"/>
      <c r="D502" s="224"/>
      <c r="E502" s="223"/>
      <c r="F502" s="223"/>
      <c r="G502" s="223"/>
      <c r="H502" s="223"/>
      <c r="I502" s="247"/>
      <c r="J502" s="223"/>
      <c r="K502" s="240"/>
      <c r="L502" s="223"/>
      <c r="M502" s="223"/>
      <c r="N502" s="223"/>
      <c r="O502" s="223"/>
      <c r="P502" s="223"/>
      <c r="Q502" s="223"/>
      <c r="R502" s="223" t="s">
        <v>535</v>
      </c>
      <c r="S502" s="220">
        <f t="shared" si="8"/>
        <v>0</v>
      </c>
      <c r="T502" s="219" t="str">
        <f>IFERROR(VLOOKUP($B502,'SIZE CALCULATION'!$F$2:$G$100,2,0),"")</f>
        <v/>
      </c>
    </row>
    <row r="503" spans="1:20" x14ac:dyDescent="0.2">
      <c r="A503" s="236"/>
      <c r="B503" s="222"/>
      <c r="C503" s="222"/>
      <c r="D503" s="224"/>
      <c r="E503" s="223"/>
      <c r="F503" s="223"/>
      <c r="G503" s="223"/>
      <c r="H503" s="223"/>
      <c r="I503" s="247"/>
      <c r="J503" s="223"/>
      <c r="K503" s="240"/>
      <c r="L503" s="223"/>
      <c r="M503" s="223"/>
      <c r="N503" s="223"/>
      <c r="O503" s="223"/>
      <c r="P503" s="223"/>
      <c r="Q503" s="223"/>
      <c r="R503" s="223" t="s">
        <v>535</v>
      </c>
      <c r="S503" s="220">
        <f t="shared" si="8"/>
        <v>0</v>
      </c>
      <c r="T503" s="219" t="str">
        <f>IFERROR(VLOOKUP($B503,'SIZE CALCULATION'!$F$2:$G$100,2,0),"")</f>
        <v/>
      </c>
    </row>
    <row r="504" spans="1:20" x14ac:dyDescent="0.2">
      <c r="A504" s="236"/>
      <c r="B504" s="222"/>
      <c r="C504" s="222"/>
      <c r="D504" s="224"/>
      <c r="E504" s="223"/>
      <c r="F504" s="223"/>
      <c r="G504" s="223"/>
      <c r="H504" s="223"/>
      <c r="I504" s="247"/>
      <c r="J504" s="223"/>
      <c r="K504" s="240"/>
      <c r="L504" s="223"/>
      <c r="M504" s="223"/>
      <c r="N504" s="223"/>
      <c r="O504" s="223"/>
      <c r="P504" s="223"/>
      <c r="Q504" s="223"/>
      <c r="R504" s="223" t="s">
        <v>535</v>
      </c>
      <c r="S504" s="220">
        <f t="shared" si="8"/>
        <v>0</v>
      </c>
      <c r="T504" s="219" t="str">
        <f>IFERROR(VLOOKUP($B504,'SIZE CALCULATION'!$F$2:$G$100,2,0),"")</f>
        <v/>
      </c>
    </row>
    <row r="505" spans="1:20" x14ac:dyDescent="0.2">
      <c r="A505" s="236"/>
      <c r="B505" s="222"/>
      <c r="C505" s="222"/>
      <c r="D505" s="224"/>
      <c r="E505" s="223"/>
      <c r="F505" s="223"/>
      <c r="G505" s="223"/>
      <c r="H505" s="223"/>
      <c r="I505" s="247"/>
      <c r="J505" s="223"/>
      <c r="K505" s="240"/>
      <c r="L505" s="223"/>
      <c r="M505" s="223"/>
      <c r="N505" s="223"/>
      <c r="O505" s="223"/>
      <c r="P505" s="223"/>
      <c r="Q505" s="223"/>
      <c r="R505" s="223" t="s">
        <v>535</v>
      </c>
      <c r="S505" s="220">
        <f t="shared" si="8"/>
        <v>0</v>
      </c>
      <c r="T505" s="219" t="str">
        <f>IFERROR(VLOOKUP($B505,'SIZE CALCULATION'!$F$2:$G$100,2,0),"")</f>
        <v/>
      </c>
    </row>
    <row r="506" spans="1:20" x14ac:dyDescent="0.2">
      <c r="A506" s="236"/>
      <c r="B506" s="222"/>
      <c r="C506" s="222"/>
      <c r="D506" s="224"/>
      <c r="E506" s="223"/>
      <c r="F506" s="223"/>
      <c r="G506" s="223"/>
      <c r="H506" s="223"/>
      <c r="I506" s="247"/>
      <c r="J506" s="223"/>
      <c r="K506" s="240"/>
      <c r="L506" s="223"/>
      <c r="M506" s="223"/>
      <c r="N506" s="223"/>
      <c r="O506" s="223"/>
      <c r="P506" s="223"/>
      <c r="Q506" s="223"/>
      <c r="R506" s="223" t="s">
        <v>535</v>
      </c>
      <c r="S506" s="220">
        <f t="shared" si="8"/>
        <v>0</v>
      </c>
      <c r="T506" s="219" t="str">
        <f>IFERROR(VLOOKUP($B506,'SIZE CALCULATION'!$F$2:$G$100,2,0),"")</f>
        <v/>
      </c>
    </row>
    <row r="507" spans="1:20" x14ac:dyDescent="0.2">
      <c r="A507" s="236"/>
      <c r="B507" s="222"/>
      <c r="C507" s="222"/>
      <c r="D507" s="224"/>
      <c r="E507" s="223"/>
      <c r="F507" s="223"/>
      <c r="G507" s="223"/>
      <c r="H507" s="223"/>
      <c r="I507" s="247"/>
      <c r="J507" s="223"/>
      <c r="K507" s="240"/>
      <c r="L507" s="223"/>
      <c r="M507" s="223"/>
      <c r="N507" s="223"/>
      <c r="O507" s="223"/>
      <c r="P507" s="223"/>
      <c r="Q507" s="223"/>
      <c r="R507" s="223" t="s">
        <v>535</v>
      </c>
      <c r="S507" s="220">
        <f t="shared" si="8"/>
        <v>0</v>
      </c>
      <c r="T507" s="219" t="str">
        <f>IFERROR(VLOOKUP($B507,'SIZE CALCULATION'!$F$2:$G$100,2,0),"")</f>
        <v/>
      </c>
    </row>
    <row r="508" spans="1:20" x14ac:dyDescent="0.2">
      <c r="A508" s="236"/>
      <c r="B508" s="222"/>
      <c r="C508" s="222"/>
      <c r="D508" s="224"/>
      <c r="E508" s="223"/>
      <c r="F508" s="223"/>
      <c r="G508" s="223"/>
      <c r="H508" s="223"/>
      <c r="I508" s="247"/>
      <c r="J508" s="223"/>
      <c r="K508" s="240"/>
      <c r="L508" s="223"/>
      <c r="M508" s="223"/>
      <c r="N508" s="223"/>
      <c r="O508" s="223"/>
      <c r="P508" s="223"/>
      <c r="Q508" s="223"/>
      <c r="R508" s="223" t="s">
        <v>535</v>
      </c>
      <c r="S508" s="220">
        <f t="shared" ref="S508:S571" si="9">IFERROR(M508/O508,M508)</f>
        <v>0</v>
      </c>
      <c r="T508" s="219" t="str">
        <f>IFERROR(VLOOKUP($B508,'SIZE CALCULATION'!$F$2:$G$100,2,0),"")</f>
        <v/>
      </c>
    </row>
    <row r="509" spans="1:20" x14ac:dyDescent="0.2">
      <c r="A509" s="236"/>
      <c r="B509" s="222"/>
      <c r="C509" s="222"/>
      <c r="D509" s="224"/>
      <c r="E509" s="223"/>
      <c r="F509" s="223"/>
      <c r="G509" s="223"/>
      <c r="H509" s="223"/>
      <c r="I509" s="247"/>
      <c r="J509" s="223"/>
      <c r="K509" s="240"/>
      <c r="L509" s="223"/>
      <c r="M509" s="223"/>
      <c r="N509" s="223"/>
      <c r="O509" s="223"/>
      <c r="P509" s="223"/>
      <c r="Q509" s="223"/>
      <c r="R509" s="223" t="s">
        <v>535</v>
      </c>
      <c r="S509" s="220">
        <f t="shared" si="9"/>
        <v>0</v>
      </c>
      <c r="T509" s="219" t="str">
        <f>IFERROR(VLOOKUP($B509,'SIZE CALCULATION'!$F$2:$G$100,2,0),"")</f>
        <v/>
      </c>
    </row>
    <row r="510" spans="1:20" x14ac:dyDescent="0.2">
      <c r="A510" s="236"/>
      <c r="B510" s="222"/>
      <c r="C510" s="222"/>
      <c r="D510" s="224"/>
      <c r="E510" s="223"/>
      <c r="F510" s="223"/>
      <c r="G510" s="223"/>
      <c r="H510" s="223"/>
      <c r="I510" s="247"/>
      <c r="J510" s="223"/>
      <c r="K510" s="240"/>
      <c r="L510" s="223"/>
      <c r="M510" s="223"/>
      <c r="N510" s="223"/>
      <c r="O510" s="223"/>
      <c r="P510" s="223"/>
      <c r="Q510" s="223"/>
      <c r="R510" s="223" t="s">
        <v>535</v>
      </c>
      <c r="S510" s="220">
        <f t="shared" si="9"/>
        <v>0</v>
      </c>
      <c r="T510" s="219" t="str">
        <f>IFERROR(VLOOKUP($B510,'SIZE CALCULATION'!$F$2:$G$100,2,0),"")</f>
        <v/>
      </c>
    </row>
    <row r="511" spans="1:20" x14ac:dyDescent="0.2">
      <c r="A511" s="236"/>
      <c r="B511" s="222"/>
      <c r="C511" s="222"/>
      <c r="D511" s="224"/>
      <c r="E511" s="223"/>
      <c r="F511" s="223"/>
      <c r="G511" s="223"/>
      <c r="H511" s="223"/>
      <c r="I511" s="247"/>
      <c r="J511" s="223"/>
      <c r="K511" s="240"/>
      <c r="L511" s="223"/>
      <c r="M511" s="223"/>
      <c r="N511" s="223"/>
      <c r="O511" s="223"/>
      <c r="P511" s="223"/>
      <c r="Q511" s="223"/>
      <c r="R511" s="223" t="s">
        <v>535</v>
      </c>
      <c r="S511" s="220">
        <f t="shared" si="9"/>
        <v>0</v>
      </c>
      <c r="T511" s="219" t="str">
        <f>IFERROR(VLOOKUP($B511,'SIZE CALCULATION'!$F$2:$G$100,2,0),"")</f>
        <v/>
      </c>
    </row>
    <row r="512" spans="1:20" x14ac:dyDescent="0.2">
      <c r="A512" s="236"/>
      <c r="B512" s="222"/>
      <c r="C512" s="222"/>
      <c r="D512" s="224"/>
      <c r="E512" s="223"/>
      <c r="F512" s="223"/>
      <c r="G512" s="223"/>
      <c r="H512" s="223"/>
      <c r="I512" s="247"/>
      <c r="J512" s="223"/>
      <c r="K512" s="240"/>
      <c r="L512" s="223"/>
      <c r="M512" s="223"/>
      <c r="N512" s="223"/>
      <c r="O512" s="223"/>
      <c r="P512" s="223"/>
      <c r="Q512" s="223"/>
      <c r="R512" s="223" t="s">
        <v>535</v>
      </c>
      <c r="S512" s="220">
        <f t="shared" si="9"/>
        <v>0</v>
      </c>
      <c r="T512" s="219" t="str">
        <f>IFERROR(VLOOKUP($B512,'SIZE CALCULATION'!$F$2:$G$100,2,0),"")</f>
        <v/>
      </c>
    </row>
    <row r="513" spans="1:20" x14ac:dyDescent="0.2">
      <c r="A513" s="236"/>
      <c r="B513" s="222"/>
      <c r="C513" s="222"/>
      <c r="D513" s="224"/>
      <c r="E513" s="223"/>
      <c r="F513" s="223"/>
      <c r="G513" s="223"/>
      <c r="H513" s="223"/>
      <c r="I513" s="247"/>
      <c r="J513" s="223"/>
      <c r="K513" s="240"/>
      <c r="L513" s="223"/>
      <c r="M513" s="223"/>
      <c r="N513" s="223"/>
      <c r="O513" s="223"/>
      <c r="P513" s="223"/>
      <c r="Q513" s="223"/>
      <c r="R513" s="223" t="s">
        <v>535</v>
      </c>
      <c r="S513" s="220">
        <f t="shared" si="9"/>
        <v>0</v>
      </c>
      <c r="T513" s="219" t="str">
        <f>IFERROR(VLOOKUP($B513,'SIZE CALCULATION'!$F$2:$G$100,2,0),"")</f>
        <v/>
      </c>
    </row>
    <row r="514" spans="1:20" x14ac:dyDescent="0.2">
      <c r="A514" s="236"/>
      <c r="B514" s="222"/>
      <c r="C514" s="222"/>
      <c r="D514" s="224"/>
      <c r="E514" s="223"/>
      <c r="F514" s="223"/>
      <c r="G514" s="223"/>
      <c r="H514" s="223"/>
      <c r="I514" s="247"/>
      <c r="J514" s="223"/>
      <c r="K514" s="240"/>
      <c r="L514" s="223"/>
      <c r="M514" s="223"/>
      <c r="N514" s="223"/>
      <c r="O514" s="223"/>
      <c r="P514" s="223"/>
      <c r="Q514" s="223"/>
      <c r="R514" s="223" t="s">
        <v>535</v>
      </c>
      <c r="S514" s="220">
        <f t="shared" si="9"/>
        <v>0</v>
      </c>
      <c r="T514" s="219" t="str">
        <f>IFERROR(VLOOKUP($B514,'SIZE CALCULATION'!$F$2:$G$100,2,0),"")</f>
        <v/>
      </c>
    </row>
    <row r="515" spans="1:20" x14ac:dyDescent="0.2">
      <c r="A515" s="236"/>
      <c r="B515" s="222"/>
      <c r="C515" s="222"/>
      <c r="D515" s="224"/>
      <c r="E515" s="223"/>
      <c r="F515" s="223"/>
      <c r="G515" s="223"/>
      <c r="H515" s="223"/>
      <c r="I515" s="247"/>
      <c r="J515" s="223"/>
      <c r="K515" s="240"/>
      <c r="L515" s="223"/>
      <c r="M515" s="223"/>
      <c r="N515" s="223"/>
      <c r="O515" s="223"/>
      <c r="P515" s="223"/>
      <c r="Q515" s="223"/>
      <c r="R515" s="223" t="s">
        <v>535</v>
      </c>
      <c r="S515" s="220">
        <f t="shared" si="9"/>
        <v>0</v>
      </c>
      <c r="T515" s="219" t="str">
        <f>IFERROR(VLOOKUP($B515,'SIZE CALCULATION'!$F$2:$G$100,2,0),"")</f>
        <v/>
      </c>
    </row>
    <row r="516" spans="1:20" x14ac:dyDescent="0.2">
      <c r="A516" s="236"/>
      <c r="B516" s="222"/>
      <c r="C516" s="222"/>
      <c r="D516" s="224"/>
      <c r="E516" s="223"/>
      <c r="F516" s="223"/>
      <c r="G516" s="223"/>
      <c r="H516" s="223"/>
      <c r="I516" s="247"/>
      <c r="J516" s="223"/>
      <c r="K516" s="240"/>
      <c r="L516" s="223"/>
      <c r="M516" s="223"/>
      <c r="N516" s="223"/>
      <c r="O516" s="223"/>
      <c r="P516" s="223"/>
      <c r="Q516" s="223"/>
      <c r="R516" s="223" t="s">
        <v>535</v>
      </c>
      <c r="S516" s="220">
        <f t="shared" si="9"/>
        <v>0</v>
      </c>
      <c r="T516" s="219" t="str">
        <f>IFERROR(VLOOKUP($B516,'SIZE CALCULATION'!$F$2:$G$100,2,0),"")</f>
        <v/>
      </c>
    </row>
    <row r="517" spans="1:20" x14ac:dyDescent="0.2">
      <c r="A517" s="236"/>
      <c r="B517" s="222"/>
      <c r="C517" s="222"/>
      <c r="D517" s="224"/>
      <c r="E517" s="223"/>
      <c r="F517" s="223"/>
      <c r="G517" s="223"/>
      <c r="H517" s="223"/>
      <c r="I517" s="247"/>
      <c r="J517" s="223"/>
      <c r="K517" s="240"/>
      <c r="L517" s="223"/>
      <c r="M517" s="223"/>
      <c r="N517" s="223"/>
      <c r="O517" s="223"/>
      <c r="P517" s="223"/>
      <c r="Q517" s="223"/>
      <c r="R517" s="223" t="s">
        <v>535</v>
      </c>
      <c r="S517" s="220">
        <f t="shared" si="9"/>
        <v>0</v>
      </c>
      <c r="T517" s="219" t="str">
        <f>IFERROR(VLOOKUP($B517,'SIZE CALCULATION'!$F$2:$G$100,2,0),"")</f>
        <v/>
      </c>
    </row>
    <row r="518" spans="1:20" x14ac:dyDescent="0.2">
      <c r="A518" s="236"/>
      <c r="B518" s="222"/>
      <c r="C518" s="222"/>
      <c r="D518" s="224"/>
      <c r="E518" s="223"/>
      <c r="F518" s="223"/>
      <c r="G518" s="223"/>
      <c r="H518" s="223"/>
      <c r="I518" s="247"/>
      <c r="J518" s="223"/>
      <c r="K518" s="240"/>
      <c r="L518" s="223"/>
      <c r="M518" s="223"/>
      <c r="N518" s="223"/>
      <c r="O518" s="223"/>
      <c r="P518" s="223"/>
      <c r="Q518" s="223"/>
      <c r="R518" s="223" t="s">
        <v>535</v>
      </c>
      <c r="S518" s="220">
        <f t="shared" si="9"/>
        <v>0</v>
      </c>
      <c r="T518" s="219" t="str">
        <f>IFERROR(VLOOKUP($B518,'SIZE CALCULATION'!$F$2:$G$100,2,0),"")</f>
        <v/>
      </c>
    </row>
    <row r="519" spans="1:20" x14ac:dyDescent="0.2">
      <c r="A519" s="236"/>
      <c r="B519" s="222"/>
      <c r="C519" s="222"/>
      <c r="D519" s="224"/>
      <c r="E519" s="223"/>
      <c r="F519" s="223"/>
      <c r="G519" s="223"/>
      <c r="H519" s="223"/>
      <c r="I519" s="247"/>
      <c r="J519" s="223"/>
      <c r="K519" s="240"/>
      <c r="L519" s="223"/>
      <c r="M519" s="223"/>
      <c r="N519" s="223"/>
      <c r="O519" s="223"/>
      <c r="P519" s="223"/>
      <c r="Q519" s="223"/>
      <c r="R519" s="223" t="s">
        <v>535</v>
      </c>
      <c r="S519" s="220">
        <f t="shared" si="9"/>
        <v>0</v>
      </c>
      <c r="T519" s="219" t="str">
        <f>IFERROR(VLOOKUP($B519,'SIZE CALCULATION'!$F$2:$G$100,2,0),"")</f>
        <v/>
      </c>
    </row>
    <row r="520" spans="1:20" x14ac:dyDescent="0.2">
      <c r="A520" s="236"/>
      <c r="B520" s="222"/>
      <c r="C520" s="222"/>
      <c r="D520" s="224"/>
      <c r="E520" s="223"/>
      <c r="F520" s="223"/>
      <c r="G520" s="223"/>
      <c r="H520" s="223"/>
      <c r="I520" s="247"/>
      <c r="J520" s="223"/>
      <c r="K520" s="240"/>
      <c r="L520" s="223"/>
      <c r="M520" s="223"/>
      <c r="N520" s="223"/>
      <c r="O520" s="223"/>
      <c r="P520" s="223"/>
      <c r="Q520" s="223"/>
      <c r="R520" s="223" t="s">
        <v>535</v>
      </c>
      <c r="S520" s="220">
        <f t="shared" si="9"/>
        <v>0</v>
      </c>
      <c r="T520" s="219" t="str">
        <f>IFERROR(VLOOKUP($B520,'SIZE CALCULATION'!$F$2:$G$100,2,0),"")</f>
        <v/>
      </c>
    </row>
    <row r="521" spans="1:20" x14ac:dyDescent="0.2">
      <c r="A521" s="236"/>
      <c r="B521" s="222"/>
      <c r="C521" s="222"/>
      <c r="D521" s="224"/>
      <c r="E521" s="223"/>
      <c r="F521" s="223"/>
      <c r="G521" s="223"/>
      <c r="H521" s="223"/>
      <c r="I521" s="247"/>
      <c r="J521" s="223"/>
      <c r="K521" s="240"/>
      <c r="L521" s="223"/>
      <c r="M521" s="223"/>
      <c r="N521" s="223"/>
      <c r="O521" s="223"/>
      <c r="P521" s="223"/>
      <c r="Q521" s="223"/>
      <c r="R521" s="223" t="s">
        <v>535</v>
      </c>
      <c r="S521" s="220">
        <f t="shared" si="9"/>
        <v>0</v>
      </c>
      <c r="T521" s="219" t="str">
        <f>IFERROR(VLOOKUP($B521,'SIZE CALCULATION'!$F$2:$G$100,2,0),"")</f>
        <v/>
      </c>
    </row>
    <row r="522" spans="1:20" x14ac:dyDescent="0.2">
      <c r="A522" s="236"/>
      <c r="B522" s="222"/>
      <c r="C522" s="222"/>
      <c r="D522" s="224"/>
      <c r="E522" s="223"/>
      <c r="F522" s="223"/>
      <c r="G522" s="223"/>
      <c r="H522" s="223"/>
      <c r="I522" s="247"/>
      <c r="J522" s="223"/>
      <c r="K522" s="240"/>
      <c r="L522" s="223"/>
      <c r="M522" s="223"/>
      <c r="N522" s="223"/>
      <c r="O522" s="223"/>
      <c r="P522" s="223"/>
      <c r="Q522" s="223"/>
      <c r="R522" s="223" t="s">
        <v>535</v>
      </c>
      <c r="S522" s="220">
        <f t="shared" si="9"/>
        <v>0</v>
      </c>
      <c r="T522" s="219" t="str">
        <f>IFERROR(VLOOKUP($B522,'SIZE CALCULATION'!$F$2:$G$100,2,0),"")</f>
        <v/>
      </c>
    </row>
    <row r="523" spans="1:20" x14ac:dyDescent="0.2">
      <c r="A523" s="236"/>
      <c r="B523" s="222"/>
      <c r="C523" s="222"/>
      <c r="D523" s="224"/>
      <c r="E523" s="223"/>
      <c r="F523" s="223"/>
      <c r="G523" s="223"/>
      <c r="H523" s="223"/>
      <c r="I523" s="247"/>
      <c r="J523" s="223"/>
      <c r="K523" s="240"/>
      <c r="L523" s="223"/>
      <c r="M523" s="223"/>
      <c r="N523" s="223"/>
      <c r="O523" s="223"/>
      <c r="P523" s="223"/>
      <c r="Q523" s="223"/>
      <c r="R523" s="223" t="s">
        <v>535</v>
      </c>
      <c r="S523" s="220">
        <f t="shared" si="9"/>
        <v>0</v>
      </c>
      <c r="T523" s="219" t="str">
        <f>IFERROR(VLOOKUP($B523,'SIZE CALCULATION'!$F$2:$G$100,2,0),"")</f>
        <v/>
      </c>
    </row>
    <row r="524" spans="1:20" x14ac:dyDescent="0.2">
      <c r="A524" s="236"/>
      <c r="B524" s="222"/>
      <c r="C524" s="222"/>
      <c r="D524" s="224"/>
      <c r="E524" s="223"/>
      <c r="F524" s="223"/>
      <c r="G524" s="223"/>
      <c r="H524" s="223"/>
      <c r="I524" s="247"/>
      <c r="J524" s="223"/>
      <c r="K524" s="240"/>
      <c r="L524" s="223"/>
      <c r="M524" s="223"/>
      <c r="N524" s="223"/>
      <c r="O524" s="223"/>
      <c r="P524" s="223"/>
      <c r="Q524" s="223"/>
      <c r="R524" s="223" t="s">
        <v>535</v>
      </c>
      <c r="S524" s="220">
        <f t="shared" si="9"/>
        <v>0</v>
      </c>
      <c r="T524" s="219" t="str">
        <f>IFERROR(VLOOKUP($B524,'SIZE CALCULATION'!$F$2:$G$100,2,0),"")</f>
        <v/>
      </c>
    </row>
    <row r="525" spans="1:20" x14ac:dyDescent="0.2">
      <c r="A525" s="236"/>
      <c r="B525" s="222"/>
      <c r="C525" s="222"/>
      <c r="D525" s="224"/>
      <c r="E525" s="223"/>
      <c r="F525" s="223"/>
      <c r="G525" s="223"/>
      <c r="H525" s="223"/>
      <c r="I525" s="247"/>
      <c r="J525" s="223"/>
      <c r="K525" s="240"/>
      <c r="L525" s="223"/>
      <c r="M525" s="223"/>
      <c r="N525" s="223"/>
      <c r="O525" s="223"/>
      <c r="P525" s="223"/>
      <c r="Q525" s="223"/>
      <c r="R525" s="223" t="s">
        <v>535</v>
      </c>
      <c r="S525" s="220">
        <f t="shared" si="9"/>
        <v>0</v>
      </c>
      <c r="T525" s="219" t="str">
        <f>IFERROR(VLOOKUP($B525,'SIZE CALCULATION'!$F$2:$G$100,2,0),"")</f>
        <v/>
      </c>
    </row>
    <row r="526" spans="1:20" x14ac:dyDescent="0.2">
      <c r="A526" s="236"/>
      <c r="B526" s="222"/>
      <c r="C526" s="222"/>
      <c r="D526" s="224"/>
      <c r="E526" s="223"/>
      <c r="F526" s="223"/>
      <c r="G526" s="223"/>
      <c r="H526" s="223"/>
      <c r="I526" s="247"/>
      <c r="J526" s="223"/>
      <c r="K526" s="240"/>
      <c r="L526" s="223"/>
      <c r="M526" s="223"/>
      <c r="N526" s="223"/>
      <c r="O526" s="223"/>
      <c r="P526" s="223"/>
      <c r="Q526" s="223"/>
      <c r="R526" s="223" t="s">
        <v>535</v>
      </c>
      <c r="S526" s="220">
        <f t="shared" si="9"/>
        <v>0</v>
      </c>
      <c r="T526" s="219" t="str">
        <f>IFERROR(VLOOKUP($B526,'SIZE CALCULATION'!$F$2:$G$100,2,0),"")</f>
        <v/>
      </c>
    </row>
    <row r="527" spans="1:20" x14ac:dyDescent="0.2">
      <c r="A527" s="236"/>
      <c r="B527" s="222"/>
      <c r="C527" s="222"/>
      <c r="D527" s="224"/>
      <c r="E527" s="223"/>
      <c r="F527" s="223"/>
      <c r="G527" s="223"/>
      <c r="H527" s="223"/>
      <c r="I527" s="247"/>
      <c r="J527" s="223"/>
      <c r="K527" s="240"/>
      <c r="L527" s="223"/>
      <c r="M527" s="223"/>
      <c r="N527" s="223"/>
      <c r="O527" s="223"/>
      <c r="P527" s="223"/>
      <c r="Q527" s="223"/>
      <c r="R527" s="223" t="s">
        <v>535</v>
      </c>
      <c r="S527" s="220">
        <f t="shared" si="9"/>
        <v>0</v>
      </c>
      <c r="T527" s="219" t="str">
        <f>IFERROR(VLOOKUP($B527,'SIZE CALCULATION'!$F$2:$G$100,2,0),"")</f>
        <v/>
      </c>
    </row>
    <row r="528" spans="1:20" x14ac:dyDescent="0.2">
      <c r="A528" s="236"/>
      <c r="B528" s="222"/>
      <c r="C528" s="222"/>
      <c r="D528" s="224"/>
      <c r="E528" s="223"/>
      <c r="F528" s="223"/>
      <c r="G528" s="223"/>
      <c r="H528" s="223"/>
      <c r="I528" s="247"/>
      <c r="J528" s="223"/>
      <c r="K528" s="240"/>
      <c r="L528" s="223"/>
      <c r="M528" s="223"/>
      <c r="N528" s="223"/>
      <c r="O528" s="223"/>
      <c r="P528" s="223"/>
      <c r="Q528" s="223"/>
      <c r="R528" s="223" t="s">
        <v>535</v>
      </c>
      <c r="S528" s="220">
        <f t="shared" si="9"/>
        <v>0</v>
      </c>
      <c r="T528" s="219" t="str">
        <f>IFERROR(VLOOKUP($B528,'SIZE CALCULATION'!$F$2:$G$100,2,0),"")</f>
        <v/>
      </c>
    </row>
    <row r="529" spans="1:20" x14ac:dyDescent="0.2">
      <c r="A529" s="236"/>
      <c r="B529" s="222"/>
      <c r="C529" s="222"/>
      <c r="D529" s="224"/>
      <c r="E529" s="223"/>
      <c r="F529" s="223"/>
      <c r="G529" s="223"/>
      <c r="H529" s="223"/>
      <c r="I529" s="247"/>
      <c r="J529" s="223"/>
      <c r="K529" s="240"/>
      <c r="L529" s="223"/>
      <c r="M529" s="223"/>
      <c r="N529" s="223"/>
      <c r="O529" s="223"/>
      <c r="P529" s="223"/>
      <c r="Q529" s="223"/>
      <c r="R529" s="223" t="s">
        <v>535</v>
      </c>
      <c r="S529" s="220">
        <f t="shared" si="9"/>
        <v>0</v>
      </c>
      <c r="T529" s="219" t="str">
        <f>IFERROR(VLOOKUP($B529,'SIZE CALCULATION'!$F$2:$G$100,2,0),"")</f>
        <v/>
      </c>
    </row>
    <row r="530" spans="1:20" x14ac:dyDescent="0.2">
      <c r="A530" s="236"/>
      <c r="B530" s="222"/>
      <c r="C530" s="222"/>
      <c r="D530" s="224"/>
      <c r="E530" s="223"/>
      <c r="F530" s="223"/>
      <c r="G530" s="223"/>
      <c r="H530" s="223"/>
      <c r="I530" s="247"/>
      <c r="J530" s="223"/>
      <c r="K530" s="240"/>
      <c r="L530" s="223"/>
      <c r="M530" s="223"/>
      <c r="N530" s="223"/>
      <c r="O530" s="223"/>
      <c r="P530" s="223"/>
      <c r="Q530" s="223"/>
      <c r="R530" s="223" t="s">
        <v>535</v>
      </c>
      <c r="S530" s="220">
        <f t="shared" si="9"/>
        <v>0</v>
      </c>
      <c r="T530" s="219" t="str">
        <f>IFERROR(VLOOKUP($B530,'SIZE CALCULATION'!$F$2:$G$100,2,0),"")</f>
        <v/>
      </c>
    </row>
    <row r="531" spans="1:20" x14ac:dyDescent="0.2">
      <c r="A531" s="236"/>
      <c r="B531" s="222"/>
      <c r="C531" s="222"/>
      <c r="D531" s="224"/>
      <c r="E531" s="223"/>
      <c r="F531" s="223"/>
      <c r="G531" s="223"/>
      <c r="H531" s="223"/>
      <c r="I531" s="247"/>
      <c r="J531" s="223"/>
      <c r="K531" s="240"/>
      <c r="L531" s="223"/>
      <c r="M531" s="223"/>
      <c r="N531" s="223"/>
      <c r="O531" s="223"/>
      <c r="P531" s="223"/>
      <c r="Q531" s="223"/>
      <c r="R531" s="223" t="s">
        <v>535</v>
      </c>
      <c r="S531" s="220">
        <f t="shared" si="9"/>
        <v>0</v>
      </c>
      <c r="T531" s="219" t="str">
        <f>IFERROR(VLOOKUP($B531,'SIZE CALCULATION'!$F$2:$G$100,2,0),"")</f>
        <v/>
      </c>
    </row>
    <row r="532" spans="1:20" x14ac:dyDescent="0.2">
      <c r="A532" s="236"/>
      <c r="B532" s="222"/>
      <c r="C532" s="222"/>
      <c r="D532" s="224"/>
      <c r="E532" s="223"/>
      <c r="F532" s="223"/>
      <c r="G532" s="223"/>
      <c r="H532" s="223"/>
      <c r="I532" s="247"/>
      <c r="J532" s="223"/>
      <c r="K532" s="240"/>
      <c r="L532" s="223"/>
      <c r="M532" s="223"/>
      <c r="N532" s="223"/>
      <c r="O532" s="223"/>
      <c r="P532" s="223"/>
      <c r="Q532" s="223"/>
      <c r="R532" s="223" t="s">
        <v>535</v>
      </c>
      <c r="S532" s="220">
        <f t="shared" si="9"/>
        <v>0</v>
      </c>
      <c r="T532" s="219" t="str">
        <f>IFERROR(VLOOKUP($B532,'SIZE CALCULATION'!$F$2:$G$100,2,0),"")</f>
        <v/>
      </c>
    </row>
    <row r="533" spans="1:20" x14ac:dyDescent="0.2">
      <c r="A533" s="236"/>
      <c r="B533" s="222"/>
      <c r="C533" s="222"/>
      <c r="D533" s="224"/>
      <c r="E533" s="223"/>
      <c r="F533" s="223"/>
      <c r="G533" s="223"/>
      <c r="H533" s="223"/>
      <c r="I533" s="247"/>
      <c r="J533" s="223"/>
      <c r="K533" s="240"/>
      <c r="L533" s="223"/>
      <c r="M533" s="223"/>
      <c r="N533" s="223"/>
      <c r="O533" s="223"/>
      <c r="P533" s="223"/>
      <c r="Q533" s="223"/>
      <c r="R533" s="223" t="s">
        <v>535</v>
      </c>
      <c r="S533" s="220">
        <f t="shared" si="9"/>
        <v>0</v>
      </c>
      <c r="T533" s="219" t="str">
        <f>IFERROR(VLOOKUP($B533,'SIZE CALCULATION'!$F$2:$G$100,2,0),"")</f>
        <v/>
      </c>
    </row>
    <row r="534" spans="1:20" x14ac:dyDescent="0.2">
      <c r="A534" s="236"/>
      <c r="B534" s="222"/>
      <c r="C534" s="222"/>
      <c r="D534" s="224"/>
      <c r="E534" s="223"/>
      <c r="F534" s="223"/>
      <c r="G534" s="223"/>
      <c r="H534" s="223"/>
      <c r="I534" s="247"/>
      <c r="J534" s="223"/>
      <c r="K534" s="240"/>
      <c r="L534" s="223"/>
      <c r="M534" s="223"/>
      <c r="N534" s="223"/>
      <c r="O534" s="223"/>
      <c r="P534" s="223"/>
      <c r="Q534" s="223"/>
      <c r="R534" s="223" t="s">
        <v>535</v>
      </c>
      <c r="S534" s="220">
        <f t="shared" si="9"/>
        <v>0</v>
      </c>
      <c r="T534" s="219" t="str">
        <f>IFERROR(VLOOKUP($B534,'SIZE CALCULATION'!$F$2:$G$100,2,0),"")</f>
        <v/>
      </c>
    </row>
    <row r="535" spans="1:20" x14ac:dyDescent="0.2">
      <c r="A535" s="236"/>
      <c r="B535" s="222"/>
      <c r="C535" s="222"/>
      <c r="D535" s="224"/>
      <c r="E535" s="223"/>
      <c r="F535" s="223"/>
      <c r="G535" s="223"/>
      <c r="H535" s="223"/>
      <c r="I535" s="247"/>
      <c r="J535" s="223"/>
      <c r="K535" s="240"/>
      <c r="L535" s="223"/>
      <c r="M535" s="223"/>
      <c r="N535" s="223"/>
      <c r="O535" s="223"/>
      <c r="P535" s="223"/>
      <c r="Q535" s="223"/>
      <c r="R535" s="223" t="s">
        <v>535</v>
      </c>
      <c r="S535" s="220">
        <f t="shared" si="9"/>
        <v>0</v>
      </c>
      <c r="T535" s="219" t="str">
        <f>IFERROR(VLOOKUP($B535,'SIZE CALCULATION'!$F$2:$G$100,2,0),"")</f>
        <v/>
      </c>
    </row>
    <row r="536" spans="1:20" x14ac:dyDescent="0.2">
      <c r="A536" s="236"/>
      <c r="B536" s="222"/>
      <c r="C536" s="222"/>
      <c r="D536" s="224"/>
      <c r="E536" s="223"/>
      <c r="F536" s="223"/>
      <c r="G536" s="223"/>
      <c r="H536" s="223"/>
      <c r="I536" s="247"/>
      <c r="J536" s="223"/>
      <c r="K536" s="240"/>
      <c r="L536" s="223"/>
      <c r="M536" s="223"/>
      <c r="N536" s="223"/>
      <c r="O536" s="223"/>
      <c r="P536" s="223"/>
      <c r="Q536" s="223"/>
      <c r="R536" s="223" t="s">
        <v>535</v>
      </c>
      <c r="S536" s="220">
        <f t="shared" si="9"/>
        <v>0</v>
      </c>
      <c r="T536" s="219" t="str">
        <f>IFERROR(VLOOKUP($B536,'SIZE CALCULATION'!$F$2:$G$100,2,0),"")</f>
        <v/>
      </c>
    </row>
    <row r="537" spans="1:20" x14ac:dyDescent="0.2">
      <c r="A537" s="236"/>
      <c r="B537" s="222"/>
      <c r="C537" s="222"/>
      <c r="D537" s="224"/>
      <c r="E537" s="223"/>
      <c r="F537" s="223"/>
      <c r="G537" s="223"/>
      <c r="H537" s="223"/>
      <c r="I537" s="247"/>
      <c r="J537" s="223"/>
      <c r="K537" s="240"/>
      <c r="L537" s="223"/>
      <c r="M537" s="223"/>
      <c r="N537" s="223"/>
      <c r="O537" s="223"/>
      <c r="P537" s="223"/>
      <c r="Q537" s="223"/>
      <c r="R537" s="223" t="s">
        <v>535</v>
      </c>
      <c r="S537" s="220">
        <f t="shared" si="9"/>
        <v>0</v>
      </c>
      <c r="T537" s="219" t="str">
        <f>IFERROR(VLOOKUP($B537,'SIZE CALCULATION'!$F$2:$G$100,2,0),"")</f>
        <v/>
      </c>
    </row>
    <row r="538" spans="1:20" x14ac:dyDescent="0.2">
      <c r="A538" s="236"/>
      <c r="B538" s="222"/>
      <c r="C538" s="222"/>
      <c r="D538" s="224"/>
      <c r="E538" s="223"/>
      <c r="F538" s="223"/>
      <c r="G538" s="223"/>
      <c r="H538" s="223"/>
      <c r="I538" s="247"/>
      <c r="J538" s="223"/>
      <c r="K538" s="240"/>
      <c r="L538" s="223"/>
      <c r="M538" s="223"/>
      <c r="N538" s="223"/>
      <c r="O538" s="223"/>
      <c r="P538" s="223"/>
      <c r="Q538" s="223"/>
      <c r="R538" s="223" t="s">
        <v>535</v>
      </c>
      <c r="S538" s="220">
        <f t="shared" si="9"/>
        <v>0</v>
      </c>
      <c r="T538" s="219" t="str">
        <f>IFERROR(VLOOKUP($B538,'SIZE CALCULATION'!$F$2:$G$100,2,0),"")</f>
        <v/>
      </c>
    </row>
    <row r="539" spans="1:20" x14ac:dyDescent="0.2">
      <c r="A539" s="236"/>
      <c r="B539" s="222"/>
      <c r="C539" s="222"/>
      <c r="D539" s="224"/>
      <c r="E539" s="223"/>
      <c r="F539" s="223"/>
      <c r="G539" s="223"/>
      <c r="H539" s="223"/>
      <c r="I539" s="247"/>
      <c r="J539" s="223"/>
      <c r="K539" s="240"/>
      <c r="L539" s="223"/>
      <c r="M539" s="223"/>
      <c r="N539" s="223"/>
      <c r="O539" s="223"/>
      <c r="P539" s="223"/>
      <c r="Q539" s="223"/>
      <c r="R539" s="223" t="s">
        <v>535</v>
      </c>
      <c r="S539" s="220">
        <f t="shared" si="9"/>
        <v>0</v>
      </c>
      <c r="T539" s="219" t="str">
        <f>IFERROR(VLOOKUP($B539,'SIZE CALCULATION'!$F$2:$G$100,2,0),"")</f>
        <v/>
      </c>
    </row>
    <row r="540" spans="1:20" x14ac:dyDescent="0.2">
      <c r="A540" s="236"/>
      <c r="B540" s="222"/>
      <c r="C540" s="222"/>
      <c r="D540" s="224"/>
      <c r="E540" s="223"/>
      <c r="F540" s="223"/>
      <c r="G540" s="223"/>
      <c r="H540" s="223"/>
      <c r="I540" s="247"/>
      <c r="J540" s="223"/>
      <c r="K540" s="240"/>
      <c r="L540" s="223"/>
      <c r="M540" s="223"/>
      <c r="N540" s="223"/>
      <c r="O540" s="223"/>
      <c r="P540" s="223"/>
      <c r="Q540" s="223"/>
      <c r="R540" s="223" t="s">
        <v>535</v>
      </c>
      <c r="S540" s="220">
        <f t="shared" si="9"/>
        <v>0</v>
      </c>
      <c r="T540" s="219" t="str">
        <f>IFERROR(VLOOKUP($B540,'SIZE CALCULATION'!$F$2:$G$100,2,0),"")</f>
        <v/>
      </c>
    </row>
    <row r="541" spans="1:20" x14ac:dyDescent="0.2">
      <c r="A541" s="236"/>
      <c r="B541" s="222"/>
      <c r="C541" s="222"/>
      <c r="D541" s="224"/>
      <c r="E541" s="223"/>
      <c r="F541" s="223"/>
      <c r="G541" s="223"/>
      <c r="H541" s="223"/>
      <c r="I541" s="247"/>
      <c r="J541" s="223"/>
      <c r="K541" s="240"/>
      <c r="L541" s="223"/>
      <c r="M541" s="223"/>
      <c r="N541" s="223"/>
      <c r="O541" s="223"/>
      <c r="P541" s="223"/>
      <c r="Q541" s="223"/>
      <c r="R541" s="223" t="s">
        <v>535</v>
      </c>
      <c r="S541" s="220">
        <f t="shared" si="9"/>
        <v>0</v>
      </c>
      <c r="T541" s="219" t="str">
        <f>IFERROR(VLOOKUP($B541,'SIZE CALCULATION'!$F$2:$G$100,2,0),"")</f>
        <v/>
      </c>
    </row>
    <row r="542" spans="1:20" x14ac:dyDescent="0.2">
      <c r="A542" s="236"/>
      <c r="B542" s="222"/>
      <c r="C542" s="222"/>
      <c r="D542" s="224"/>
      <c r="E542" s="223"/>
      <c r="F542" s="223"/>
      <c r="G542" s="223"/>
      <c r="H542" s="223"/>
      <c r="I542" s="247"/>
      <c r="J542" s="223"/>
      <c r="K542" s="240"/>
      <c r="L542" s="223"/>
      <c r="M542" s="223"/>
      <c r="N542" s="223"/>
      <c r="O542" s="223"/>
      <c r="P542" s="223"/>
      <c r="Q542" s="223"/>
      <c r="R542" s="223" t="s">
        <v>535</v>
      </c>
      <c r="S542" s="220">
        <f t="shared" si="9"/>
        <v>0</v>
      </c>
      <c r="T542" s="219" t="str">
        <f>IFERROR(VLOOKUP($B542,'SIZE CALCULATION'!$F$2:$G$100,2,0),"")</f>
        <v/>
      </c>
    </row>
    <row r="543" spans="1:20" x14ac:dyDescent="0.2">
      <c r="A543" s="236"/>
      <c r="B543" s="222"/>
      <c r="C543" s="222"/>
      <c r="D543" s="224"/>
      <c r="E543" s="223"/>
      <c r="F543" s="223"/>
      <c r="G543" s="223"/>
      <c r="H543" s="223"/>
      <c r="I543" s="247"/>
      <c r="J543" s="223"/>
      <c r="K543" s="240"/>
      <c r="L543" s="223"/>
      <c r="M543" s="223"/>
      <c r="N543" s="223"/>
      <c r="O543" s="223"/>
      <c r="P543" s="223"/>
      <c r="Q543" s="223"/>
      <c r="R543" s="223" t="s">
        <v>535</v>
      </c>
      <c r="S543" s="220">
        <f t="shared" si="9"/>
        <v>0</v>
      </c>
      <c r="T543" s="219" t="str">
        <f>IFERROR(VLOOKUP($B543,'SIZE CALCULATION'!$F$2:$G$100,2,0),"")</f>
        <v/>
      </c>
    </row>
    <row r="544" spans="1:20" x14ac:dyDescent="0.2">
      <c r="A544" s="236"/>
      <c r="B544" s="222"/>
      <c r="C544" s="222"/>
      <c r="D544" s="224"/>
      <c r="E544" s="223"/>
      <c r="F544" s="223"/>
      <c r="G544" s="223"/>
      <c r="H544" s="223"/>
      <c r="I544" s="247"/>
      <c r="J544" s="223"/>
      <c r="K544" s="240"/>
      <c r="L544" s="223"/>
      <c r="M544" s="223"/>
      <c r="N544" s="223"/>
      <c r="O544" s="223"/>
      <c r="P544" s="223"/>
      <c r="Q544" s="223"/>
      <c r="R544" s="223" t="s">
        <v>535</v>
      </c>
      <c r="S544" s="220">
        <f t="shared" si="9"/>
        <v>0</v>
      </c>
      <c r="T544" s="219" t="str">
        <f>IFERROR(VLOOKUP($B544,'SIZE CALCULATION'!$F$2:$G$100,2,0),"")</f>
        <v/>
      </c>
    </row>
    <row r="545" spans="1:20" x14ac:dyDescent="0.2">
      <c r="A545" s="236"/>
      <c r="B545" s="222"/>
      <c r="C545" s="222"/>
      <c r="D545" s="224"/>
      <c r="E545" s="223"/>
      <c r="F545" s="223"/>
      <c r="G545" s="223"/>
      <c r="H545" s="223"/>
      <c r="I545" s="247"/>
      <c r="J545" s="223"/>
      <c r="K545" s="240"/>
      <c r="L545" s="223"/>
      <c r="M545" s="223"/>
      <c r="N545" s="223"/>
      <c r="O545" s="223"/>
      <c r="P545" s="223"/>
      <c r="Q545" s="223"/>
      <c r="R545" s="223" t="s">
        <v>535</v>
      </c>
      <c r="S545" s="220">
        <f t="shared" si="9"/>
        <v>0</v>
      </c>
      <c r="T545" s="219" t="str">
        <f>IFERROR(VLOOKUP($B545,'SIZE CALCULATION'!$F$2:$G$100,2,0),"")</f>
        <v/>
      </c>
    </row>
    <row r="546" spans="1:20" x14ac:dyDescent="0.2">
      <c r="A546" s="236"/>
      <c r="B546" s="222"/>
      <c r="C546" s="222"/>
      <c r="D546" s="224"/>
      <c r="E546" s="223"/>
      <c r="F546" s="223"/>
      <c r="G546" s="223"/>
      <c r="H546" s="223"/>
      <c r="I546" s="247"/>
      <c r="J546" s="223"/>
      <c r="K546" s="240"/>
      <c r="L546" s="223"/>
      <c r="M546" s="223"/>
      <c r="N546" s="223"/>
      <c r="O546" s="223"/>
      <c r="P546" s="223"/>
      <c r="Q546" s="223"/>
      <c r="R546" s="223" t="s">
        <v>535</v>
      </c>
      <c r="S546" s="220">
        <f t="shared" si="9"/>
        <v>0</v>
      </c>
      <c r="T546" s="219" t="str">
        <f>IFERROR(VLOOKUP($B546,'SIZE CALCULATION'!$F$2:$G$100,2,0),"")</f>
        <v/>
      </c>
    </row>
    <row r="547" spans="1:20" x14ac:dyDescent="0.2">
      <c r="A547" s="236"/>
      <c r="B547" s="222"/>
      <c r="C547" s="222"/>
      <c r="D547" s="224"/>
      <c r="E547" s="223"/>
      <c r="F547" s="223"/>
      <c r="G547" s="223"/>
      <c r="H547" s="223"/>
      <c r="I547" s="247"/>
      <c r="J547" s="223"/>
      <c r="K547" s="240"/>
      <c r="L547" s="223"/>
      <c r="M547" s="223"/>
      <c r="N547" s="223"/>
      <c r="O547" s="223"/>
      <c r="P547" s="223"/>
      <c r="Q547" s="223"/>
      <c r="R547" s="223" t="s">
        <v>535</v>
      </c>
      <c r="S547" s="220">
        <f t="shared" si="9"/>
        <v>0</v>
      </c>
      <c r="T547" s="219" t="str">
        <f>IFERROR(VLOOKUP($B547,'SIZE CALCULATION'!$F$2:$G$100,2,0),"")</f>
        <v/>
      </c>
    </row>
    <row r="548" spans="1:20" x14ac:dyDescent="0.2">
      <c r="A548" s="236"/>
      <c r="B548" s="222"/>
      <c r="C548" s="222"/>
      <c r="D548" s="224"/>
      <c r="E548" s="223"/>
      <c r="F548" s="223"/>
      <c r="G548" s="223"/>
      <c r="H548" s="223"/>
      <c r="I548" s="247"/>
      <c r="J548" s="223"/>
      <c r="K548" s="240"/>
      <c r="L548" s="223"/>
      <c r="M548" s="223"/>
      <c r="N548" s="223"/>
      <c r="O548" s="223"/>
      <c r="P548" s="223"/>
      <c r="Q548" s="223"/>
      <c r="R548" s="223" t="s">
        <v>535</v>
      </c>
      <c r="S548" s="220">
        <f t="shared" si="9"/>
        <v>0</v>
      </c>
      <c r="T548" s="219" t="str">
        <f>IFERROR(VLOOKUP($B548,'SIZE CALCULATION'!$F$2:$G$100,2,0),"")</f>
        <v/>
      </c>
    </row>
    <row r="549" spans="1:20" x14ac:dyDescent="0.2">
      <c r="A549" s="236"/>
      <c r="B549" s="222"/>
      <c r="C549" s="222"/>
      <c r="D549" s="224"/>
      <c r="E549" s="223"/>
      <c r="F549" s="223"/>
      <c r="G549" s="223"/>
      <c r="H549" s="223"/>
      <c r="I549" s="247"/>
      <c r="J549" s="223"/>
      <c r="K549" s="240"/>
      <c r="L549" s="223"/>
      <c r="M549" s="223"/>
      <c r="N549" s="223"/>
      <c r="O549" s="223"/>
      <c r="P549" s="223"/>
      <c r="Q549" s="223"/>
      <c r="R549" s="223" t="s">
        <v>535</v>
      </c>
      <c r="S549" s="220">
        <f t="shared" si="9"/>
        <v>0</v>
      </c>
      <c r="T549" s="219" t="str">
        <f>IFERROR(VLOOKUP($B549,'SIZE CALCULATION'!$F$2:$G$100,2,0),"")</f>
        <v/>
      </c>
    </row>
    <row r="550" spans="1:20" x14ac:dyDescent="0.2">
      <c r="A550" s="236"/>
      <c r="B550" s="222"/>
      <c r="C550" s="222"/>
      <c r="D550" s="224"/>
      <c r="E550" s="223"/>
      <c r="F550" s="223"/>
      <c r="G550" s="223"/>
      <c r="H550" s="223"/>
      <c r="I550" s="247"/>
      <c r="J550" s="223"/>
      <c r="K550" s="240"/>
      <c r="L550" s="223"/>
      <c r="M550" s="223"/>
      <c r="N550" s="223"/>
      <c r="O550" s="223"/>
      <c r="P550" s="223"/>
      <c r="Q550" s="223"/>
      <c r="R550" s="223" t="s">
        <v>535</v>
      </c>
      <c r="S550" s="220">
        <f t="shared" si="9"/>
        <v>0</v>
      </c>
      <c r="T550" s="219" t="str">
        <f>IFERROR(VLOOKUP($B550,'SIZE CALCULATION'!$F$2:$G$100,2,0),"")</f>
        <v/>
      </c>
    </row>
    <row r="551" spans="1:20" x14ac:dyDescent="0.2">
      <c r="A551" s="236"/>
      <c r="B551" s="222"/>
      <c r="C551" s="222"/>
      <c r="D551" s="224"/>
      <c r="E551" s="223"/>
      <c r="F551" s="223"/>
      <c r="G551" s="223"/>
      <c r="H551" s="223"/>
      <c r="I551" s="247"/>
      <c r="J551" s="223"/>
      <c r="K551" s="240"/>
      <c r="L551" s="223"/>
      <c r="M551" s="223"/>
      <c r="N551" s="223"/>
      <c r="O551" s="223"/>
      <c r="P551" s="223"/>
      <c r="Q551" s="223"/>
      <c r="R551" s="223" t="s">
        <v>535</v>
      </c>
      <c r="S551" s="220">
        <f t="shared" si="9"/>
        <v>0</v>
      </c>
      <c r="T551" s="219" t="str">
        <f>IFERROR(VLOOKUP($B551,'SIZE CALCULATION'!$F$2:$G$100,2,0),"")</f>
        <v/>
      </c>
    </row>
    <row r="552" spans="1:20" x14ac:dyDescent="0.2">
      <c r="A552" s="236"/>
      <c r="B552" s="222"/>
      <c r="C552" s="222"/>
      <c r="D552" s="224"/>
      <c r="E552" s="223"/>
      <c r="F552" s="223"/>
      <c r="G552" s="223"/>
      <c r="H552" s="223"/>
      <c r="I552" s="247"/>
      <c r="J552" s="223"/>
      <c r="K552" s="240"/>
      <c r="L552" s="223"/>
      <c r="M552" s="223"/>
      <c r="N552" s="223"/>
      <c r="O552" s="223"/>
      <c r="P552" s="223"/>
      <c r="Q552" s="223"/>
      <c r="R552" s="223" t="s">
        <v>535</v>
      </c>
      <c r="S552" s="220">
        <f t="shared" si="9"/>
        <v>0</v>
      </c>
      <c r="T552" s="219" t="str">
        <f>IFERROR(VLOOKUP($B552,'SIZE CALCULATION'!$F$2:$G$100,2,0),"")</f>
        <v/>
      </c>
    </row>
    <row r="553" spans="1:20" x14ac:dyDescent="0.2">
      <c r="A553" s="236"/>
      <c r="B553" s="222"/>
      <c r="C553" s="222"/>
      <c r="D553" s="224"/>
      <c r="E553" s="223"/>
      <c r="F553" s="223"/>
      <c r="G553" s="223"/>
      <c r="H553" s="223"/>
      <c r="I553" s="247"/>
      <c r="J553" s="223"/>
      <c r="K553" s="240"/>
      <c r="L553" s="223"/>
      <c r="M553" s="223"/>
      <c r="N553" s="223"/>
      <c r="O553" s="223"/>
      <c r="P553" s="223"/>
      <c r="Q553" s="223"/>
      <c r="R553" s="223" t="s">
        <v>535</v>
      </c>
      <c r="S553" s="220">
        <f t="shared" si="9"/>
        <v>0</v>
      </c>
      <c r="T553" s="219" t="str">
        <f>IFERROR(VLOOKUP($B553,'SIZE CALCULATION'!$F$2:$G$100,2,0),"")</f>
        <v/>
      </c>
    </row>
    <row r="554" spans="1:20" x14ac:dyDescent="0.2">
      <c r="A554" s="236"/>
      <c r="B554" s="222"/>
      <c r="C554" s="222"/>
      <c r="D554" s="224"/>
      <c r="E554" s="223"/>
      <c r="F554" s="223"/>
      <c r="G554" s="223"/>
      <c r="H554" s="223"/>
      <c r="I554" s="247"/>
      <c r="J554" s="223"/>
      <c r="K554" s="240"/>
      <c r="L554" s="223"/>
      <c r="M554" s="223"/>
      <c r="N554" s="223"/>
      <c r="O554" s="223"/>
      <c r="P554" s="223"/>
      <c r="Q554" s="223"/>
      <c r="R554" s="223" t="s">
        <v>535</v>
      </c>
      <c r="S554" s="220">
        <f t="shared" si="9"/>
        <v>0</v>
      </c>
      <c r="T554" s="219" t="str">
        <f>IFERROR(VLOOKUP($B554,'SIZE CALCULATION'!$F$2:$G$100,2,0),"")</f>
        <v/>
      </c>
    </row>
    <row r="555" spans="1:20" x14ac:dyDescent="0.2">
      <c r="A555" s="236"/>
      <c r="B555" s="222"/>
      <c r="C555" s="222"/>
      <c r="D555" s="224"/>
      <c r="E555" s="223"/>
      <c r="F555" s="223"/>
      <c r="G555" s="223"/>
      <c r="H555" s="223"/>
      <c r="I555" s="247"/>
      <c r="J555" s="223"/>
      <c r="K555" s="240"/>
      <c r="L555" s="223"/>
      <c r="M555" s="223"/>
      <c r="N555" s="223"/>
      <c r="O555" s="223"/>
      <c r="P555" s="223"/>
      <c r="Q555" s="223"/>
      <c r="R555" s="223" t="s">
        <v>535</v>
      </c>
      <c r="S555" s="220">
        <f t="shared" si="9"/>
        <v>0</v>
      </c>
      <c r="T555" s="219" t="str">
        <f>IFERROR(VLOOKUP($B555,'SIZE CALCULATION'!$F$2:$G$100,2,0),"")</f>
        <v/>
      </c>
    </row>
    <row r="556" spans="1:20" x14ac:dyDescent="0.2">
      <c r="A556" s="236"/>
      <c r="B556" s="222"/>
      <c r="C556" s="222"/>
      <c r="D556" s="224"/>
      <c r="E556" s="223"/>
      <c r="F556" s="223"/>
      <c r="G556" s="223"/>
      <c r="H556" s="223"/>
      <c r="I556" s="247"/>
      <c r="J556" s="223"/>
      <c r="K556" s="240"/>
      <c r="L556" s="223"/>
      <c r="M556" s="223"/>
      <c r="N556" s="223"/>
      <c r="O556" s="223"/>
      <c r="P556" s="223"/>
      <c r="Q556" s="223"/>
      <c r="R556" s="223" t="s">
        <v>535</v>
      </c>
      <c r="S556" s="220">
        <f t="shared" si="9"/>
        <v>0</v>
      </c>
      <c r="T556" s="219" t="str">
        <f>IFERROR(VLOOKUP($B556,'SIZE CALCULATION'!$F$2:$G$100,2,0),"")</f>
        <v/>
      </c>
    </row>
    <row r="557" spans="1:20" x14ac:dyDescent="0.2">
      <c r="A557" s="236"/>
      <c r="B557" s="222"/>
      <c r="C557" s="222"/>
      <c r="D557" s="224"/>
      <c r="E557" s="223"/>
      <c r="F557" s="223"/>
      <c r="G557" s="223"/>
      <c r="H557" s="223"/>
      <c r="I557" s="247"/>
      <c r="J557" s="223"/>
      <c r="K557" s="240"/>
      <c r="L557" s="223"/>
      <c r="M557" s="223"/>
      <c r="N557" s="223"/>
      <c r="O557" s="223"/>
      <c r="P557" s="223"/>
      <c r="Q557" s="223"/>
      <c r="R557" s="223" t="s">
        <v>535</v>
      </c>
      <c r="S557" s="220">
        <f t="shared" si="9"/>
        <v>0</v>
      </c>
      <c r="T557" s="219" t="str">
        <f>IFERROR(VLOOKUP($B557,'SIZE CALCULATION'!$F$2:$G$100,2,0),"")</f>
        <v/>
      </c>
    </row>
    <row r="558" spans="1:20" x14ac:dyDescent="0.2">
      <c r="A558" s="236"/>
      <c r="B558" s="222"/>
      <c r="C558" s="222"/>
      <c r="D558" s="224"/>
      <c r="E558" s="223"/>
      <c r="F558" s="223"/>
      <c r="G558" s="223"/>
      <c r="H558" s="223"/>
      <c r="I558" s="247"/>
      <c r="J558" s="223"/>
      <c r="K558" s="240"/>
      <c r="L558" s="223"/>
      <c r="M558" s="223"/>
      <c r="N558" s="223"/>
      <c r="O558" s="223"/>
      <c r="P558" s="223"/>
      <c r="Q558" s="223"/>
      <c r="R558" s="223" t="s">
        <v>535</v>
      </c>
      <c r="S558" s="220">
        <f t="shared" si="9"/>
        <v>0</v>
      </c>
      <c r="T558" s="219" t="str">
        <f>IFERROR(VLOOKUP($B558,'SIZE CALCULATION'!$F$2:$G$100,2,0),"")</f>
        <v/>
      </c>
    </row>
    <row r="559" spans="1:20" x14ac:dyDescent="0.2">
      <c r="A559" s="236"/>
      <c r="B559" s="222"/>
      <c r="C559" s="222"/>
      <c r="D559" s="224"/>
      <c r="E559" s="223"/>
      <c r="F559" s="223"/>
      <c r="G559" s="223"/>
      <c r="H559" s="223"/>
      <c r="I559" s="247"/>
      <c r="J559" s="223"/>
      <c r="K559" s="240"/>
      <c r="L559" s="223"/>
      <c r="M559" s="223"/>
      <c r="N559" s="223"/>
      <c r="O559" s="223"/>
      <c r="P559" s="223"/>
      <c r="Q559" s="223"/>
      <c r="R559" s="223" t="s">
        <v>535</v>
      </c>
      <c r="S559" s="220">
        <f t="shared" si="9"/>
        <v>0</v>
      </c>
      <c r="T559" s="219" t="str">
        <f>IFERROR(VLOOKUP($B559,'SIZE CALCULATION'!$F$2:$G$100,2,0),"")</f>
        <v/>
      </c>
    </row>
    <row r="560" spans="1:20" x14ac:dyDescent="0.2">
      <c r="A560" s="236"/>
      <c r="B560" s="222"/>
      <c r="C560" s="222"/>
      <c r="D560" s="224"/>
      <c r="E560" s="223"/>
      <c r="F560" s="223"/>
      <c r="G560" s="223"/>
      <c r="H560" s="223"/>
      <c r="I560" s="247"/>
      <c r="J560" s="223"/>
      <c r="K560" s="240"/>
      <c r="L560" s="223"/>
      <c r="M560" s="223"/>
      <c r="N560" s="223"/>
      <c r="O560" s="223"/>
      <c r="P560" s="223"/>
      <c r="Q560" s="223"/>
      <c r="R560" s="223" t="s">
        <v>535</v>
      </c>
      <c r="S560" s="220">
        <f t="shared" si="9"/>
        <v>0</v>
      </c>
      <c r="T560" s="219" t="str">
        <f>IFERROR(VLOOKUP($B560,'SIZE CALCULATION'!$F$2:$G$100,2,0),"")</f>
        <v/>
      </c>
    </row>
    <row r="561" spans="1:20" x14ac:dyDescent="0.2">
      <c r="A561" s="236"/>
      <c r="B561" s="222"/>
      <c r="C561" s="222"/>
      <c r="D561" s="224"/>
      <c r="E561" s="223"/>
      <c r="F561" s="223"/>
      <c r="G561" s="223"/>
      <c r="H561" s="223"/>
      <c r="I561" s="247"/>
      <c r="J561" s="223"/>
      <c r="K561" s="240"/>
      <c r="L561" s="223"/>
      <c r="M561" s="223"/>
      <c r="N561" s="223"/>
      <c r="O561" s="223"/>
      <c r="P561" s="223"/>
      <c r="Q561" s="223"/>
      <c r="R561" s="223" t="s">
        <v>535</v>
      </c>
      <c r="S561" s="220">
        <f t="shared" si="9"/>
        <v>0</v>
      </c>
      <c r="T561" s="219" t="str">
        <f>IFERROR(VLOOKUP($B561,'SIZE CALCULATION'!$F$2:$G$100,2,0),"")</f>
        <v/>
      </c>
    </row>
    <row r="562" spans="1:20" x14ac:dyDescent="0.2">
      <c r="A562" s="236"/>
      <c r="B562" s="222"/>
      <c r="C562" s="222"/>
      <c r="D562" s="224"/>
      <c r="E562" s="223"/>
      <c r="F562" s="223"/>
      <c r="G562" s="223"/>
      <c r="H562" s="223"/>
      <c r="I562" s="247"/>
      <c r="J562" s="223"/>
      <c r="K562" s="240"/>
      <c r="L562" s="223"/>
      <c r="M562" s="223"/>
      <c r="N562" s="223"/>
      <c r="O562" s="223"/>
      <c r="P562" s="223"/>
      <c r="Q562" s="223"/>
      <c r="R562" s="223" t="s">
        <v>535</v>
      </c>
      <c r="S562" s="220">
        <f t="shared" si="9"/>
        <v>0</v>
      </c>
      <c r="T562" s="219" t="str">
        <f>IFERROR(VLOOKUP($B562,'SIZE CALCULATION'!$F$2:$G$100,2,0),"")</f>
        <v/>
      </c>
    </row>
    <row r="563" spans="1:20" x14ac:dyDescent="0.2">
      <c r="A563" s="236"/>
      <c r="B563" s="222"/>
      <c r="C563" s="222"/>
      <c r="D563" s="224"/>
      <c r="E563" s="223"/>
      <c r="F563" s="223"/>
      <c r="G563" s="223"/>
      <c r="H563" s="223"/>
      <c r="I563" s="247"/>
      <c r="J563" s="223"/>
      <c r="K563" s="240"/>
      <c r="L563" s="223"/>
      <c r="M563" s="223"/>
      <c r="N563" s="223"/>
      <c r="O563" s="223"/>
      <c r="P563" s="223"/>
      <c r="Q563" s="223"/>
      <c r="R563" s="223" t="s">
        <v>535</v>
      </c>
      <c r="S563" s="220">
        <f t="shared" si="9"/>
        <v>0</v>
      </c>
      <c r="T563" s="219" t="str">
        <f>IFERROR(VLOOKUP($B563,'SIZE CALCULATION'!$F$2:$G$100,2,0),"")</f>
        <v/>
      </c>
    </row>
    <row r="564" spans="1:20" x14ac:dyDescent="0.2">
      <c r="A564" s="236"/>
      <c r="B564" s="222"/>
      <c r="C564" s="222"/>
      <c r="D564" s="224"/>
      <c r="E564" s="223"/>
      <c r="F564" s="223"/>
      <c r="G564" s="223"/>
      <c r="H564" s="223"/>
      <c r="I564" s="247"/>
      <c r="J564" s="223"/>
      <c r="K564" s="240"/>
      <c r="L564" s="223"/>
      <c r="M564" s="223"/>
      <c r="N564" s="223"/>
      <c r="O564" s="223"/>
      <c r="P564" s="223"/>
      <c r="Q564" s="223"/>
      <c r="R564" s="223" t="s">
        <v>535</v>
      </c>
      <c r="S564" s="220">
        <f t="shared" si="9"/>
        <v>0</v>
      </c>
      <c r="T564" s="219" t="str">
        <f>IFERROR(VLOOKUP($B564,'SIZE CALCULATION'!$F$2:$G$100,2,0),"")</f>
        <v/>
      </c>
    </row>
    <row r="565" spans="1:20" x14ac:dyDescent="0.2">
      <c r="A565" s="236"/>
      <c r="B565" s="222"/>
      <c r="C565" s="222"/>
      <c r="D565" s="224"/>
      <c r="E565" s="223"/>
      <c r="F565" s="223"/>
      <c r="G565" s="223"/>
      <c r="H565" s="223"/>
      <c r="I565" s="247"/>
      <c r="J565" s="223"/>
      <c r="K565" s="240"/>
      <c r="L565" s="223"/>
      <c r="M565" s="223"/>
      <c r="N565" s="223"/>
      <c r="O565" s="223"/>
      <c r="P565" s="223"/>
      <c r="Q565" s="223"/>
      <c r="R565" s="223" t="s">
        <v>535</v>
      </c>
      <c r="S565" s="220">
        <f t="shared" si="9"/>
        <v>0</v>
      </c>
      <c r="T565" s="219" t="str">
        <f>IFERROR(VLOOKUP($B565,'SIZE CALCULATION'!$F$2:$G$100,2,0),"")</f>
        <v/>
      </c>
    </row>
    <row r="566" spans="1:20" x14ac:dyDescent="0.2">
      <c r="A566" s="236"/>
      <c r="B566" s="222"/>
      <c r="C566" s="222"/>
      <c r="D566" s="224"/>
      <c r="E566" s="223"/>
      <c r="F566" s="223"/>
      <c r="G566" s="223"/>
      <c r="H566" s="223"/>
      <c r="I566" s="247"/>
      <c r="J566" s="223"/>
      <c r="K566" s="240"/>
      <c r="L566" s="223"/>
      <c r="M566" s="223"/>
      <c r="N566" s="223"/>
      <c r="O566" s="223"/>
      <c r="P566" s="223"/>
      <c r="Q566" s="223"/>
      <c r="R566" s="223" t="s">
        <v>535</v>
      </c>
      <c r="S566" s="220">
        <f t="shared" si="9"/>
        <v>0</v>
      </c>
      <c r="T566" s="219" t="str">
        <f>IFERROR(VLOOKUP($B566,'SIZE CALCULATION'!$F$2:$G$100,2,0),"")</f>
        <v/>
      </c>
    </row>
    <row r="567" spans="1:20" x14ac:dyDescent="0.2">
      <c r="A567" s="236"/>
      <c r="B567" s="222"/>
      <c r="C567" s="222"/>
      <c r="D567" s="224"/>
      <c r="E567" s="223"/>
      <c r="F567" s="223"/>
      <c r="G567" s="223"/>
      <c r="H567" s="223"/>
      <c r="I567" s="247"/>
      <c r="J567" s="223"/>
      <c r="K567" s="240"/>
      <c r="L567" s="223"/>
      <c r="M567" s="223"/>
      <c r="N567" s="223"/>
      <c r="O567" s="223"/>
      <c r="P567" s="223"/>
      <c r="Q567" s="223"/>
      <c r="R567" s="223" t="s">
        <v>535</v>
      </c>
      <c r="S567" s="220">
        <f t="shared" si="9"/>
        <v>0</v>
      </c>
      <c r="T567" s="219" t="str">
        <f>IFERROR(VLOOKUP($B567,'SIZE CALCULATION'!$F$2:$G$100,2,0),"")</f>
        <v/>
      </c>
    </row>
    <row r="568" spans="1:20" x14ac:dyDescent="0.2">
      <c r="A568" s="236"/>
      <c r="B568" s="222"/>
      <c r="C568" s="222"/>
      <c r="D568" s="224"/>
      <c r="E568" s="223"/>
      <c r="F568" s="223"/>
      <c r="G568" s="223"/>
      <c r="H568" s="223"/>
      <c r="I568" s="247"/>
      <c r="J568" s="223"/>
      <c r="K568" s="240"/>
      <c r="L568" s="223"/>
      <c r="M568" s="223"/>
      <c r="N568" s="223"/>
      <c r="O568" s="223"/>
      <c r="P568" s="223"/>
      <c r="Q568" s="223"/>
      <c r="R568" s="223" t="s">
        <v>535</v>
      </c>
      <c r="S568" s="220">
        <f t="shared" si="9"/>
        <v>0</v>
      </c>
      <c r="T568" s="219" t="str">
        <f>IFERROR(VLOOKUP($B568,'SIZE CALCULATION'!$F$2:$G$100,2,0),"")</f>
        <v/>
      </c>
    </row>
    <row r="569" spans="1:20" x14ac:dyDescent="0.2">
      <c r="A569" s="236"/>
      <c r="B569" s="222"/>
      <c r="C569" s="222"/>
      <c r="D569" s="224"/>
      <c r="E569" s="223"/>
      <c r="F569" s="223"/>
      <c r="G569" s="223"/>
      <c r="H569" s="223"/>
      <c r="I569" s="247"/>
      <c r="J569" s="223"/>
      <c r="K569" s="240"/>
      <c r="L569" s="223"/>
      <c r="M569" s="223"/>
      <c r="N569" s="223"/>
      <c r="O569" s="223"/>
      <c r="P569" s="223"/>
      <c r="Q569" s="223"/>
      <c r="R569" s="223" t="s">
        <v>535</v>
      </c>
      <c r="S569" s="220">
        <f t="shared" si="9"/>
        <v>0</v>
      </c>
      <c r="T569" s="219" t="str">
        <f>IFERROR(VLOOKUP($B569,'SIZE CALCULATION'!$F$2:$G$100,2,0),"")</f>
        <v/>
      </c>
    </row>
    <row r="570" spans="1:20" x14ac:dyDescent="0.2">
      <c r="A570" s="236"/>
      <c r="B570" s="222"/>
      <c r="C570" s="222"/>
      <c r="D570" s="224"/>
      <c r="E570" s="223"/>
      <c r="F570" s="223"/>
      <c r="G570" s="223"/>
      <c r="H570" s="223"/>
      <c r="I570" s="247"/>
      <c r="J570" s="223"/>
      <c r="K570" s="240"/>
      <c r="L570" s="223"/>
      <c r="M570" s="223"/>
      <c r="N570" s="223"/>
      <c r="O570" s="223"/>
      <c r="P570" s="223"/>
      <c r="Q570" s="223"/>
      <c r="R570" s="223" t="s">
        <v>535</v>
      </c>
      <c r="S570" s="220">
        <f t="shared" si="9"/>
        <v>0</v>
      </c>
      <c r="T570" s="219" t="str">
        <f>IFERROR(VLOOKUP($B570,'SIZE CALCULATION'!$F$2:$G$100,2,0),"")</f>
        <v/>
      </c>
    </row>
    <row r="571" spans="1:20" x14ac:dyDescent="0.2">
      <c r="A571" s="236"/>
      <c r="B571" s="222"/>
      <c r="C571" s="222"/>
      <c r="D571" s="224"/>
      <c r="E571" s="223"/>
      <c r="F571" s="223"/>
      <c r="G571" s="223"/>
      <c r="H571" s="223"/>
      <c r="I571" s="247"/>
      <c r="J571" s="223"/>
      <c r="K571" s="240"/>
      <c r="L571" s="223"/>
      <c r="M571" s="223"/>
      <c r="N571" s="223"/>
      <c r="O571" s="223"/>
      <c r="P571" s="223"/>
      <c r="Q571" s="223"/>
      <c r="R571" s="223" t="s">
        <v>535</v>
      </c>
      <c r="S571" s="220">
        <f t="shared" si="9"/>
        <v>0</v>
      </c>
      <c r="T571" s="219" t="str">
        <f>IFERROR(VLOOKUP($B571,'SIZE CALCULATION'!$F$2:$G$100,2,0),"")</f>
        <v/>
      </c>
    </row>
    <row r="572" spans="1:20" x14ac:dyDescent="0.2">
      <c r="A572" s="236"/>
      <c r="B572" s="222"/>
      <c r="C572" s="222"/>
      <c r="D572" s="224"/>
      <c r="E572" s="223"/>
      <c r="F572" s="223"/>
      <c r="G572" s="223"/>
      <c r="H572" s="223"/>
      <c r="I572" s="247"/>
      <c r="J572" s="223"/>
      <c r="K572" s="240"/>
      <c r="L572" s="223"/>
      <c r="M572" s="223"/>
      <c r="N572" s="223"/>
      <c r="O572" s="223"/>
      <c r="P572" s="223"/>
      <c r="Q572" s="223"/>
      <c r="R572" s="223" t="s">
        <v>535</v>
      </c>
      <c r="S572" s="220">
        <f t="shared" ref="S572:S635" si="10">IFERROR(M572/O572,M572)</f>
        <v>0</v>
      </c>
      <c r="T572" s="219" t="str">
        <f>IFERROR(VLOOKUP($B572,'SIZE CALCULATION'!$F$2:$G$100,2,0),"")</f>
        <v/>
      </c>
    </row>
    <row r="573" spans="1:20" x14ac:dyDescent="0.2">
      <c r="A573" s="236"/>
      <c r="B573" s="222"/>
      <c r="C573" s="222"/>
      <c r="D573" s="224"/>
      <c r="E573" s="223"/>
      <c r="F573" s="223"/>
      <c r="G573" s="223"/>
      <c r="H573" s="223"/>
      <c r="I573" s="247"/>
      <c r="J573" s="223"/>
      <c r="K573" s="240"/>
      <c r="L573" s="223"/>
      <c r="M573" s="223"/>
      <c r="N573" s="223"/>
      <c r="O573" s="223"/>
      <c r="P573" s="223"/>
      <c r="Q573" s="223"/>
      <c r="R573" s="223" t="s">
        <v>535</v>
      </c>
      <c r="S573" s="220">
        <f t="shared" si="10"/>
        <v>0</v>
      </c>
      <c r="T573" s="219" t="str">
        <f>IFERROR(VLOOKUP($B573,'SIZE CALCULATION'!$F$2:$G$100,2,0),"")</f>
        <v/>
      </c>
    </row>
    <row r="574" spans="1:20" x14ac:dyDescent="0.2">
      <c r="A574" s="236"/>
      <c r="B574" s="222"/>
      <c r="C574" s="222"/>
      <c r="D574" s="224"/>
      <c r="E574" s="223"/>
      <c r="F574" s="223"/>
      <c r="G574" s="223"/>
      <c r="H574" s="223"/>
      <c r="I574" s="247"/>
      <c r="J574" s="223"/>
      <c r="K574" s="240"/>
      <c r="L574" s="223"/>
      <c r="M574" s="223"/>
      <c r="N574" s="223"/>
      <c r="O574" s="223"/>
      <c r="P574" s="223"/>
      <c r="Q574" s="223"/>
      <c r="R574" s="223" t="s">
        <v>535</v>
      </c>
      <c r="S574" s="220">
        <f t="shared" si="10"/>
        <v>0</v>
      </c>
      <c r="T574" s="219" t="str">
        <f>IFERROR(VLOOKUP($B574,'SIZE CALCULATION'!$F$2:$G$100,2,0),"")</f>
        <v/>
      </c>
    </row>
    <row r="575" spans="1:20" x14ac:dyDescent="0.2">
      <c r="A575" s="236"/>
      <c r="B575" s="222"/>
      <c r="C575" s="222"/>
      <c r="D575" s="224"/>
      <c r="E575" s="223"/>
      <c r="F575" s="223"/>
      <c r="G575" s="223"/>
      <c r="H575" s="223"/>
      <c r="I575" s="247"/>
      <c r="J575" s="223"/>
      <c r="K575" s="240"/>
      <c r="L575" s="223"/>
      <c r="M575" s="223"/>
      <c r="N575" s="223"/>
      <c r="O575" s="223"/>
      <c r="P575" s="223"/>
      <c r="Q575" s="223"/>
      <c r="R575" s="223" t="s">
        <v>535</v>
      </c>
      <c r="S575" s="220">
        <f t="shared" si="10"/>
        <v>0</v>
      </c>
      <c r="T575" s="219" t="str">
        <f>IFERROR(VLOOKUP($B575,'SIZE CALCULATION'!$F$2:$G$100,2,0),"")</f>
        <v/>
      </c>
    </row>
    <row r="576" spans="1:20" x14ac:dyDescent="0.2">
      <c r="A576" s="236"/>
      <c r="B576" s="222"/>
      <c r="C576" s="222"/>
      <c r="D576" s="224"/>
      <c r="E576" s="223"/>
      <c r="F576" s="223"/>
      <c r="G576" s="223"/>
      <c r="H576" s="223"/>
      <c r="I576" s="247"/>
      <c r="J576" s="223"/>
      <c r="K576" s="240"/>
      <c r="L576" s="223"/>
      <c r="M576" s="223"/>
      <c r="N576" s="223"/>
      <c r="O576" s="223"/>
      <c r="P576" s="223"/>
      <c r="Q576" s="223"/>
      <c r="R576" s="223" t="s">
        <v>535</v>
      </c>
      <c r="S576" s="220">
        <f t="shared" si="10"/>
        <v>0</v>
      </c>
      <c r="T576" s="219" t="str">
        <f>IFERROR(VLOOKUP($B576,'SIZE CALCULATION'!$F$2:$G$100,2,0),"")</f>
        <v/>
      </c>
    </row>
    <row r="577" spans="1:20" x14ac:dyDescent="0.2">
      <c r="A577" s="236"/>
      <c r="B577" s="222"/>
      <c r="C577" s="222"/>
      <c r="D577" s="224"/>
      <c r="E577" s="223"/>
      <c r="F577" s="223"/>
      <c r="G577" s="223"/>
      <c r="H577" s="223"/>
      <c r="I577" s="247"/>
      <c r="J577" s="223"/>
      <c r="K577" s="240"/>
      <c r="L577" s="223"/>
      <c r="M577" s="223"/>
      <c r="N577" s="223"/>
      <c r="O577" s="223"/>
      <c r="P577" s="223"/>
      <c r="Q577" s="223"/>
      <c r="R577" s="223" t="s">
        <v>535</v>
      </c>
      <c r="S577" s="220">
        <f t="shared" si="10"/>
        <v>0</v>
      </c>
      <c r="T577" s="219" t="str">
        <f>IFERROR(VLOOKUP($B577,'SIZE CALCULATION'!$F$2:$G$100,2,0),"")</f>
        <v/>
      </c>
    </row>
    <row r="578" spans="1:20" x14ac:dyDescent="0.2">
      <c r="A578" s="236"/>
      <c r="B578" s="222"/>
      <c r="C578" s="222"/>
      <c r="D578" s="224"/>
      <c r="E578" s="223"/>
      <c r="F578" s="223"/>
      <c r="G578" s="223"/>
      <c r="H578" s="223"/>
      <c r="I578" s="247"/>
      <c r="J578" s="223"/>
      <c r="K578" s="240"/>
      <c r="L578" s="223"/>
      <c r="M578" s="223"/>
      <c r="N578" s="223"/>
      <c r="O578" s="223"/>
      <c r="P578" s="223"/>
      <c r="Q578" s="223"/>
      <c r="R578" s="223" t="s">
        <v>535</v>
      </c>
      <c r="S578" s="220">
        <f t="shared" si="10"/>
        <v>0</v>
      </c>
      <c r="T578" s="219" t="str">
        <f>IFERROR(VLOOKUP($B578,'SIZE CALCULATION'!$F$2:$G$100,2,0),"")</f>
        <v/>
      </c>
    </row>
    <row r="579" spans="1:20" x14ac:dyDescent="0.2">
      <c r="A579" s="236"/>
      <c r="B579" s="222"/>
      <c r="C579" s="222"/>
      <c r="D579" s="224"/>
      <c r="E579" s="223"/>
      <c r="F579" s="223"/>
      <c r="G579" s="223"/>
      <c r="H579" s="223"/>
      <c r="I579" s="247"/>
      <c r="J579" s="223"/>
      <c r="K579" s="240"/>
      <c r="L579" s="223"/>
      <c r="M579" s="223"/>
      <c r="N579" s="223"/>
      <c r="O579" s="223"/>
      <c r="P579" s="223"/>
      <c r="Q579" s="223"/>
      <c r="R579" s="223" t="s">
        <v>535</v>
      </c>
      <c r="S579" s="220">
        <f t="shared" si="10"/>
        <v>0</v>
      </c>
      <c r="T579" s="219" t="str">
        <f>IFERROR(VLOOKUP($B579,'SIZE CALCULATION'!$F$2:$G$100,2,0),"")</f>
        <v/>
      </c>
    </row>
    <row r="580" spans="1:20" x14ac:dyDescent="0.2">
      <c r="A580" s="236"/>
      <c r="B580" s="222"/>
      <c r="C580" s="222"/>
      <c r="D580" s="224"/>
      <c r="E580" s="223"/>
      <c r="F580" s="223"/>
      <c r="G580" s="223"/>
      <c r="H580" s="223"/>
      <c r="I580" s="247"/>
      <c r="J580" s="223"/>
      <c r="K580" s="240"/>
      <c r="L580" s="223"/>
      <c r="M580" s="223"/>
      <c r="N580" s="223"/>
      <c r="O580" s="223"/>
      <c r="P580" s="223"/>
      <c r="Q580" s="223"/>
      <c r="R580" s="223" t="s">
        <v>535</v>
      </c>
      <c r="S580" s="220">
        <f t="shared" si="10"/>
        <v>0</v>
      </c>
      <c r="T580" s="219" t="str">
        <f>IFERROR(VLOOKUP($B580,'SIZE CALCULATION'!$F$2:$G$100,2,0),"")</f>
        <v/>
      </c>
    </row>
    <row r="581" spans="1:20" x14ac:dyDescent="0.2">
      <c r="A581" s="236"/>
      <c r="B581" s="222"/>
      <c r="C581" s="222"/>
      <c r="D581" s="224"/>
      <c r="E581" s="223"/>
      <c r="F581" s="223"/>
      <c r="G581" s="223"/>
      <c r="H581" s="223"/>
      <c r="I581" s="247"/>
      <c r="J581" s="223"/>
      <c r="K581" s="240"/>
      <c r="L581" s="223"/>
      <c r="M581" s="223"/>
      <c r="N581" s="223"/>
      <c r="O581" s="223"/>
      <c r="P581" s="223"/>
      <c r="Q581" s="223"/>
      <c r="R581" s="223" t="s">
        <v>535</v>
      </c>
      <c r="S581" s="220">
        <f t="shared" si="10"/>
        <v>0</v>
      </c>
      <c r="T581" s="219" t="str">
        <f>IFERROR(VLOOKUP($B581,'SIZE CALCULATION'!$F$2:$G$100,2,0),"")</f>
        <v/>
      </c>
    </row>
    <row r="582" spans="1:20" x14ac:dyDescent="0.2">
      <c r="A582" s="236"/>
      <c r="B582" s="222"/>
      <c r="C582" s="222"/>
      <c r="D582" s="224"/>
      <c r="E582" s="223"/>
      <c r="F582" s="223"/>
      <c r="G582" s="223"/>
      <c r="H582" s="223"/>
      <c r="I582" s="247"/>
      <c r="J582" s="223"/>
      <c r="K582" s="240"/>
      <c r="L582" s="223"/>
      <c r="M582" s="223"/>
      <c r="N582" s="223"/>
      <c r="O582" s="223"/>
      <c r="P582" s="223"/>
      <c r="Q582" s="223"/>
      <c r="R582" s="223" t="s">
        <v>535</v>
      </c>
      <c r="S582" s="220">
        <f t="shared" si="10"/>
        <v>0</v>
      </c>
      <c r="T582" s="219" t="str">
        <f>IFERROR(VLOOKUP($B582,'SIZE CALCULATION'!$F$2:$G$100,2,0),"")</f>
        <v/>
      </c>
    </row>
    <row r="583" spans="1:20" x14ac:dyDescent="0.2">
      <c r="A583" s="236"/>
      <c r="B583" s="222"/>
      <c r="C583" s="222"/>
      <c r="D583" s="224"/>
      <c r="E583" s="223"/>
      <c r="F583" s="223"/>
      <c r="G583" s="223"/>
      <c r="H583" s="223"/>
      <c r="I583" s="247"/>
      <c r="J583" s="223"/>
      <c r="K583" s="240"/>
      <c r="L583" s="223"/>
      <c r="M583" s="223"/>
      <c r="N583" s="223"/>
      <c r="O583" s="223"/>
      <c r="P583" s="223"/>
      <c r="Q583" s="223"/>
      <c r="R583" s="223" t="s">
        <v>535</v>
      </c>
      <c r="S583" s="220">
        <f t="shared" si="10"/>
        <v>0</v>
      </c>
      <c r="T583" s="219" t="str">
        <f>IFERROR(VLOOKUP($B583,'SIZE CALCULATION'!$F$2:$G$100,2,0),"")</f>
        <v/>
      </c>
    </row>
    <row r="584" spans="1:20" x14ac:dyDescent="0.2">
      <c r="A584" s="236"/>
      <c r="B584" s="222"/>
      <c r="C584" s="222"/>
      <c r="D584" s="224"/>
      <c r="E584" s="223"/>
      <c r="F584" s="223"/>
      <c r="G584" s="223"/>
      <c r="H584" s="223"/>
      <c r="I584" s="247"/>
      <c r="J584" s="223"/>
      <c r="K584" s="240"/>
      <c r="L584" s="223"/>
      <c r="M584" s="223"/>
      <c r="N584" s="223"/>
      <c r="O584" s="223"/>
      <c r="P584" s="223"/>
      <c r="Q584" s="223"/>
      <c r="R584" s="223" t="s">
        <v>535</v>
      </c>
      <c r="S584" s="220">
        <f t="shared" si="10"/>
        <v>0</v>
      </c>
      <c r="T584" s="219" t="str">
        <f>IFERROR(VLOOKUP($B584,'SIZE CALCULATION'!$F$2:$G$100,2,0),"")</f>
        <v/>
      </c>
    </row>
    <row r="585" spans="1:20" x14ac:dyDescent="0.2">
      <c r="A585" s="236"/>
      <c r="B585" s="222"/>
      <c r="C585" s="222"/>
      <c r="D585" s="224"/>
      <c r="E585" s="223"/>
      <c r="F585" s="223"/>
      <c r="G585" s="223"/>
      <c r="H585" s="223"/>
      <c r="I585" s="247"/>
      <c r="J585" s="223"/>
      <c r="K585" s="240"/>
      <c r="L585" s="223"/>
      <c r="M585" s="223"/>
      <c r="N585" s="223"/>
      <c r="O585" s="223"/>
      <c r="P585" s="223"/>
      <c r="Q585" s="223"/>
      <c r="R585" s="223" t="s">
        <v>535</v>
      </c>
      <c r="S585" s="220">
        <f t="shared" si="10"/>
        <v>0</v>
      </c>
      <c r="T585" s="219" t="str">
        <f>IFERROR(VLOOKUP($B585,'SIZE CALCULATION'!$F$2:$G$100,2,0),"")</f>
        <v/>
      </c>
    </row>
    <row r="586" spans="1:20" x14ac:dyDescent="0.2">
      <c r="A586" s="236"/>
      <c r="B586" s="222"/>
      <c r="C586" s="222"/>
      <c r="D586" s="224"/>
      <c r="E586" s="223"/>
      <c r="F586" s="223"/>
      <c r="G586" s="223"/>
      <c r="H586" s="223"/>
      <c r="I586" s="247"/>
      <c r="J586" s="223"/>
      <c r="K586" s="240"/>
      <c r="L586" s="223"/>
      <c r="M586" s="223"/>
      <c r="N586" s="223"/>
      <c r="O586" s="223"/>
      <c r="P586" s="223"/>
      <c r="Q586" s="223"/>
      <c r="R586" s="223" t="s">
        <v>535</v>
      </c>
      <c r="S586" s="220">
        <f t="shared" si="10"/>
        <v>0</v>
      </c>
      <c r="T586" s="219" t="str">
        <f>IFERROR(VLOOKUP($B586,'SIZE CALCULATION'!$F$2:$G$100,2,0),"")</f>
        <v/>
      </c>
    </row>
    <row r="587" spans="1:20" x14ac:dyDescent="0.2">
      <c r="A587" s="236"/>
      <c r="B587" s="222"/>
      <c r="C587" s="222"/>
      <c r="D587" s="224"/>
      <c r="E587" s="223"/>
      <c r="F587" s="223"/>
      <c r="G587" s="223"/>
      <c r="H587" s="223"/>
      <c r="I587" s="247"/>
      <c r="J587" s="223"/>
      <c r="K587" s="240"/>
      <c r="L587" s="223"/>
      <c r="M587" s="223"/>
      <c r="N587" s="223"/>
      <c r="O587" s="223"/>
      <c r="P587" s="223"/>
      <c r="Q587" s="223"/>
      <c r="R587" s="223" t="s">
        <v>535</v>
      </c>
      <c r="S587" s="220">
        <f t="shared" si="10"/>
        <v>0</v>
      </c>
      <c r="T587" s="219" t="str">
        <f>IFERROR(VLOOKUP($B587,'SIZE CALCULATION'!$F$2:$G$100,2,0),"")</f>
        <v/>
      </c>
    </row>
    <row r="588" spans="1:20" x14ac:dyDescent="0.2">
      <c r="A588" s="236"/>
      <c r="B588" s="222"/>
      <c r="C588" s="222"/>
      <c r="D588" s="224"/>
      <c r="E588" s="223"/>
      <c r="F588" s="223"/>
      <c r="G588" s="223"/>
      <c r="H588" s="223"/>
      <c r="I588" s="247"/>
      <c r="J588" s="223"/>
      <c r="K588" s="240"/>
      <c r="L588" s="223"/>
      <c r="M588" s="223"/>
      <c r="N588" s="223"/>
      <c r="O588" s="223"/>
      <c r="P588" s="223"/>
      <c r="Q588" s="223"/>
      <c r="R588" s="223" t="s">
        <v>535</v>
      </c>
      <c r="S588" s="220">
        <f t="shared" si="10"/>
        <v>0</v>
      </c>
      <c r="T588" s="219" t="str">
        <f>IFERROR(VLOOKUP($B588,'SIZE CALCULATION'!$F$2:$G$100,2,0),"")</f>
        <v/>
      </c>
    </row>
    <row r="589" spans="1:20" x14ac:dyDescent="0.2">
      <c r="A589" s="236"/>
      <c r="B589" s="222"/>
      <c r="C589" s="222"/>
      <c r="D589" s="224"/>
      <c r="E589" s="223"/>
      <c r="F589" s="223"/>
      <c r="G589" s="223"/>
      <c r="H589" s="223"/>
      <c r="I589" s="247"/>
      <c r="J589" s="223"/>
      <c r="K589" s="240"/>
      <c r="L589" s="223"/>
      <c r="M589" s="223"/>
      <c r="N589" s="223"/>
      <c r="O589" s="223"/>
      <c r="P589" s="223"/>
      <c r="Q589" s="223"/>
      <c r="R589" s="223" t="s">
        <v>535</v>
      </c>
      <c r="S589" s="220">
        <f t="shared" si="10"/>
        <v>0</v>
      </c>
      <c r="T589" s="219" t="str">
        <f>IFERROR(VLOOKUP($B589,'SIZE CALCULATION'!$F$2:$G$100,2,0),"")</f>
        <v/>
      </c>
    </row>
    <row r="590" spans="1:20" x14ac:dyDescent="0.2">
      <c r="A590" s="236"/>
      <c r="B590" s="222"/>
      <c r="C590" s="222"/>
      <c r="D590" s="224"/>
      <c r="E590" s="223"/>
      <c r="F590" s="223"/>
      <c r="G590" s="223"/>
      <c r="H590" s="223"/>
      <c r="I590" s="247"/>
      <c r="J590" s="223"/>
      <c r="K590" s="240"/>
      <c r="L590" s="223"/>
      <c r="M590" s="223"/>
      <c r="N590" s="223"/>
      <c r="O590" s="223"/>
      <c r="P590" s="223"/>
      <c r="Q590" s="223"/>
      <c r="R590" s="223" t="s">
        <v>535</v>
      </c>
      <c r="S590" s="220">
        <f t="shared" si="10"/>
        <v>0</v>
      </c>
      <c r="T590" s="219" t="str">
        <f>IFERROR(VLOOKUP($B590,'SIZE CALCULATION'!$F$2:$G$100,2,0),"")</f>
        <v/>
      </c>
    </row>
    <row r="591" spans="1:20" x14ac:dyDescent="0.2">
      <c r="A591" s="236"/>
      <c r="B591" s="222"/>
      <c r="C591" s="222"/>
      <c r="D591" s="224"/>
      <c r="E591" s="223"/>
      <c r="F591" s="223"/>
      <c r="G591" s="223"/>
      <c r="H591" s="223"/>
      <c r="I591" s="247"/>
      <c r="J591" s="223"/>
      <c r="K591" s="240"/>
      <c r="L591" s="223"/>
      <c r="M591" s="223"/>
      <c r="N591" s="223"/>
      <c r="O591" s="223"/>
      <c r="P591" s="223"/>
      <c r="Q591" s="223"/>
      <c r="R591" s="223" t="s">
        <v>535</v>
      </c>
      <c r="S591" s="220">
        <f t="shared" si="10"/>
        <v>0</v>
      </c>
      <c r="T591" s="219" t="str">
        <f>IFERROR(VLOOKUP($B591,'SIZE CALCULATION'!$F$2:$G$100,2,0),"")</f>
        <v/>
      </c>
    </row>
    <row r="592" spans="1:20" x14ac:dyDescent="0.2">
      <c r="A592" s="236"/>
      <c r="B592" s="222"/>
      <c r="C592" s="222"/>
      <c r="D592" s="224"/>
      <c r="E592" s="223"/>
      <c r="F592" s="223"/>
      <c r="G592" s="223"/>
      <c r="H592" s="223"/>
      <c r="I592" s="247"/>
      <c r="J592" s="223"/>
      <c r="K592" s="240"/>
      <c r="L592" s="223"/>
      <c r="M592" s="223"/>
      <c r="N592" s="223"/>
      <c r="O592" s="223"/>
      <c r="P592" s="223"/>
      <c r="Q592" s="223"/>
      <c r="R592" s="223" t="s">
        <v>535</v>
      </c>
      <c r="S592" s="220">
        <f t="shared" si="10"/>
        <v>0</v>
      </c>
      <c r="T592" s="219" t="str">
        <f>IFERROR(VLOOKUP($B592,'SIZE CALCULATION'!$F$2:$G$100,2,0),"")</f>
        <v/>
      </c>
    </row>
    <row r="593" spans="1:20" x14ac:dyDescent="0.2">
      <c r="A593" s="236"/>
      <c r="B593" s="222"/>
      <c r="C593" s="222"/>
      <c r="D593" s="224"/>
      <c r="E593" s="223"/>
      <c r="F593" s="223"/>
      <c r="G593" s="223"/>
      <c r="H593" s="223"/>
      <c r="I593" s="247"/>
      <c r="J593" s="223"/>
      <c r="K593" s="240"/>
      <c r="L593" s="223"/>
      <c r="M593" s="223"/>
      <c r="N593" s="223"/>
      <c r="O593" s="223"/>
      <c r="P593" s="223"/>
      <c r="Q593" s="223"/>
      <c r="R593" s="223" t="s">
        <v>535</v>
      </c>
      <c r="S593" s="220">
        <f t="shared" si="10"/>
        <v>0</v>
      </c>
      <c r="T593" s="219" t="str">
        <f>IFERROR(VLOOKUP($B593,'SIZE CALCULATION'!$F$2:$G$100,2,0),"")</f>
        <v/>
      </c>
    </row>
    <row r="594" spans="1:20" x14ac:dyDescent="0.2">
      <c r="A594" s="236"/>
      <c r="B594" s="222"/>
      <c r="C594" s="222"/>
      <c r="D594" s="224"/>
      <c r="E594" s="223"/>
      <c r="F594" s="223"/>
      <c r="G594" s="223"/>
      <c r="H594" s="223"/>
      <c r="I594" s="247"/>
      <c r="J594" s="223"/>
      <c r="K594" s="240"/>
      <c r="L594" s="223"/>
      <c r="M594" s="223"/>
      <c r="N594" s="223"/>
      <c r="O594" s="223"/>
      <c r="P594" s="223"/>
      <c r="Q594" s="223"/>
      <c r="R594" s="223" t="s">
        <v>535</v>
      </c>
      <c r="S594" s="220">
        <f t="shared" si="10"/>
        <v>0</v>
      </c>
      <c r="T594" s="219" t="str">
        <f>IFERROR(VLOOKUP($B594,'SIZE CALCULATION'!$F$2:$G$100,2,0),"")</f>
        <v/>
      </c>
    </row>
    <row r="595" spans="1:20" x14ac:dyDescent="0.2">
      <c r="A595" s="236"/>
      <c r="B595" s="222"/>
      <c r="C595" s="222"/>
      <c r="D595" s="224"/>
      <c r="E595" s="223"/>
      <c r="F595" s="223"/>
      <c r="G595" s="223"/>
      <c r="H595" s="223"/>
      <c r="I595" s="247"/>
      <c r="J595" s="223"/>
      <c r="K595" s="240"/>
      <c r="L595" s="223"/>
      <c r="M595" s="223"/>
      <c r="N595" s="223"/>
      <c r="O595" s="223"/>
      <c r="P595" s="223"/>
      <c r="Q595" s="223"/>
      <c r="R595" s="223" t="s">
        <v>535</v>
      </c>
      <c r="S595" s="220">
        <f t="shared" si="10"/>
        <v>0</v>
      </c>
      <c r="T595" s="219" t="str">
        <f>IFERROR(VLOOKUP($B595,'SIZE CALCULATION'!$F$2:$G$100,2,0),"")</f>
        <v/>
      </c>
    </row>
    <row r="596" spans="1:20" x14ac:dyDescent="0.2">
      <c r="A596" s="236"/>
      <c r="B596" s="222"/>
      <c r="C596" s="222"/>
      <c r="D596" s="224"/>
      <c r="E596" s="223"/>
      <c r="F596" s="223"/>
      <c r="G596" s="223"/>
      <c r="H596" s="223"/>
      <c r="I596" s="247"/>
      <c r="J596" s="223"/>
      <c r="K596" s="240"/>
      <c r="L596" s="223"/>
      <c r="M596" s="223"/>
      <c r="N596" s="223"/>
      <c r="O596" s="223"/>
      <c r="P596" s="223"/>
      <c r="Q596" s="223"/>
      <c r="R596" s="223" t="s">
        <v>535</v>
      </c>
      <c r="S596" s="220">
        <f t="shared" si="10"/>
        <v>0</v>
      </c>
      <c r="T596" s="219" t="str">
        <f>IFERROR(VLOOKUP($B596,'SIZE CALCULATION'!$F$2:$G$100,2,0),"")</f>
        <v/>
      </c>
    </row>
    <row r="597" spans="1:20" x14ac:dyDescent="0.2">
      <c r="A597" s="236"/>
      <c r="B597" s="222"/>
      <c r="C597" s="222"/>
      <c r="D597" s="224"/>
      <c r="E597" s="223"/>
      <c r="F597" s="223"/>
      <c r="G597" s="223"/>
      <c r="H597" s="223"/>
      <c r="I597" s="247"/>
      <c r="J597" s="223"/>
      <c r="K597" s="240"/>
      <c r="L597" s="223"/>
      <c r="M597" s="223"/>
      <c r="N597" s="223"/>
      <c r="O597" s="223"/>
      <c r="P597" s="223"/>
      <c r="Q597" s="223"/>
      <c r="R597" s="223" t="s">
        <v>535</v>
      </c>
      <c r="S597" s="220">
        <f t="shared" si="10"/>
        <v>0</v>
      </c>
      <c r="T597" s="219" t="str">
        <f>IFERROR(VLOOKUP($B597,'SIZE CALCULATION'!$F$2:$G$100,2,0),"")</f>
        <v/>
      </c>
    </row>
    <row r="598" spans="1:20" x14ac:dyDescent="0.2">
      <c r="A598" s="236"/>
      <c r="B598" s="222"/>
      <c r="C598" s="222"/>
      <c r="D598" s="224"/>
      <c r="E598" s="223"/>
      <c r="F598" s="223"/>
      <c r="G598" s="223"/>
      <c r="H598" s="223"/>
      <c r="I598" s="247"/>
      <c r="J598" s="223"/>
      <c r="K598" s="240"/>
      <c r="L598" s="223"/>
      <c r="M598" s="223"/>
      <c r="N598" s="223"/>
      <c r="O598" s="223"/>
      <c r="P598" s="223"/>
      <c r="Q598" s="223"/>
      <c r="R598" s="223" t="s">
        <v>535</v>
      </c>
      <c r="S598" s="220">
        <f t="shared" si="10"/>
        <v>0</v>
      </c>
      <c r="T598" s="219" t="str">
        <f>IFERROR(VLOOKUP($B598,'SIZE CALCULATION'!$F$2:$G$100,2,0),"")</f>
        <v/>
      </c>
    </row>
    <row r="599" spans="1:20" x14ac:dyDescent="0.2">
      <c r="A599" s="236"/>
      <c r="B599" s="222"/>
      <c r="C599" s="222"/>
      <c r="D599" s="224"/>
      <c r="E599" s="223"/>
      <c r="F599" s="223"/>
      <c r="G599" s="223"/>
      <c r="H599" s="223"/>
      <c r="I599" s="247"/>
      <c r="J599" s="223"/>
      <c r="K599" s="240"/>
      <c r="L599" s="223"/>
      <c r="M599" s="223"/>
      <c r="N599" s="223"/>
      <c r="O599" s="223"/>
      <c r="P599" s="223"/>
      <c r="Q599" s="223"/>
      <c r="R599" s="223" t="s">
        <v>535</v>
      </c>
      <c r="S599" s="220">
        <f t="shared" si="10"/>
        <v>0</v>
      </c>
      <c r="T599" s="219" t="str">
        <f>IFERROR(VLOOKUP($B599,'SIZE CALCULATION'!$F$2:$G$100,2,0),"")</f>
        <v/>
      </c>
    </row>
    <row r="600" spans="1:20" x14ac:dyDescent="0.2">
      <c r="A600" s="236"/>
      <c r="B600" s="222"/>
      <c r="C600" s="222"/>
      <c r="D600" s="224"/>
      <c r="E600" s="223"/>
      <c r="F600" s="223"/>
      <c r="G600" s="223"/>
      <c r="H600" s="223"/>
      <c r="I600" s="247"/>
      <c r="J600" s="223"/>
      <c r="K600" s="240"/>
      <c r="L600" s="223"/>
      <c r="M600" s="223"/>
      <c r="N600" s="223"/>
      <c r="O600" s="223"/>
      <c r="P600" s="223"/>
      <c r="Q600" s="223"/>
      <c r="R600" s="223" t="s">
        <v>535</v>
      </c>
      <c r="S600" s="220">
        <f t="shared" si="10"/>
        <v>0</v>
      </c>
      <c r="T600" s="219" t="str">
        <f>IFERROR(VLOOKUP($B600,'SIZE CALCULATION'!$F$2:$G$100,2,0),"")</f>
        <v/>
      </c>
    </row>
    <row r="601" spans="1:20" x14ac:dyDescent="0.2">
      <c r="A601" s="236"/>
      <c r="B601" s="222"/>
      <c r="C601" s="222"/>
      <c r="D601" s="224"/>
      <c r="E601" s="223"/>
      <c r="F601" s="223"/>
      <c r="G601" s="223"/>
      <c r="H601" s="223"/>
      <c r="I601" s="247"/>
      <c r="J601" s="223"/>
      <c r="K601" s="240"/>
      <c r="L601" s="223"/>
      <c r="M601" s="223"/>
      <c r="N601" s="223"/>
      <c r="O601" s="223"/>
      <c r="P601" s="223"/>
      <c r="Q601" s="223"/>
      <c r="R601" s="223" t="s">
        <v>535</v>
      </c>
      <c r="S601" s="220">
        <f t="shared" si="10"/>
        <v>0</v>
      </c>
      <c r="T601" s="219" t="str">
        <f>IFERROR(VLOOKUP($B601,'SIZE CALCULATION'!$F$2:$G$100,2,0),"")</f>
        <v/>
      </c>
    </row>
    <row r="602" spans="1:20" x14ac:dyDescent="0.2">
      <c r="A602" s="236"/>
      <c r="B602" s="222"/>
      <c r="C602" s="222"/>
      <c r="D602" s="224"/>
      <c r="E602" s="223"/>
      <c r="F602" s="223"/>
      <c r="G602" s="223"/>
      <c r="H602" s="223"/>
      <c r="I602" s="247"/>
      <c r="J602" s="223"/>
      <c r="K602" s="240"/>
      <c r="L602" s="223"/>
      <c r="M602" s="223"/>
      <c r="N602" s="223"/>
      <c r="O602" s="223"/>
      <c r="P602" s="223"/>
      <c r="Q602" s="223"/>
      <c r="R602" s="223" t="s">
        <v>535</v>
      </c>
      <c r="S602" s="220">
        <f t="shared" si="10"/>
        <v>0</v>
      </c>
      <c r="T602" s="219" t="str">
        <f>IFERROR(VLOOKUP($B602,'SIZE CALCULATION'!$F$2:$G$100,2,0),"")</f>
        <v/>
      </c>
    </row>
    <row r="603" spans="1:20" x14ac:dyDescent="0.2">
      <c r="A603" s="236"/>
      <c r="B603" s="222"/>
      <c r="C603" s="222"/>
      <c r="D603" s="224"/>
      <c r="E603" s="223"/>
      <c r="F603" s="223"/>
      <c r="G603" s="223"/>
      <c r="H603" s="223"/>
      <c r="I603" s="247"/>
      <c r="J603" s="223"/>
      <c r="K603" s="240"/>
      <c r="L603" s="223"/>
      <c r="M603" s="223"/>
      <c r="N603" s="223"/>
      <c r="O603" s="223"/>
      <c r="P603" s="223"/>
      <c r="Q603" s="223"/>
      <c r="R603" s="223" t="s">
        <v>535</v>
      </c>
      <c r="S603" s="220">
        <f t="shared" si="10"/>
        <v>0</v>
      </c>
      <c r="T603" s="219" t="str">
        <f>IFERROR(VLOOKUP($B603,'SIZE CALCULATION'!$F$2:$G$100,2,0),"")</f>
        <v/>
      </c>
    </row>
    <row r="604" spans="1:20" x14ac:dyDescent="0.2">
      <c r="A604" s="236"/>
      <c r="B604" s="222"/>
      <c r="C604" s="222"/>
      <c r="D604" s="224"/>
      <c r="E604" s="223"/>
      <c r="F604" s="223"/>
      <c r="G604" s="223"/>
      <c r="H604" s="223"/>
      <c r="I604" s="247"/>
      <c r="J604" s="223"/>
      <c r="K604" s="240"/>
      <c r="L604" s="223"/>
      <c r="M604" s="223"/>
      <c r="N604" s="223"/>
      <c r="O604" s="223"/>
      <c r="P604" s="223"/>
      <c r="Q604" s="223"/>
      <c r="R604" s="223" t="s">
        <v>535</v>
      </c>
      <c r="S604" s="220">
        <f t="shared" si="10"/>
        <v>0</v>
      </c>
      <c r="T604" s="219" t="str">
        <f>IFERROR(VLOOKUP($B604,'SIZE CALCULATION'!$F$2:$G$100,2,0),"")</f>
        <v/>
      </c>
    </row>
    <row r="605" spans="1:20" x14ac:dyDescent="0.2">
      <c r="A605" s="236"/>
      <c r="B605" s="222"/>
      <c r="C605" s="222"/>
      <c r="D605" s="224"/>
      <c r="E605" s="223"/>
      <c r="F605" s="223"/>
      <c r="G605" s="223"/>
      <c r="H605" s="223"/>
      <c r="I605" s="247"/>
      <c r="J605" s="223"/>
      <c r="K605" s="240"/>
      <c r="L605" s="223"/>
      <c r="M605" s="223"/>
      <c r="N605" s="223"/>
      <c r="O605" s="223"/>
      <c r="P605" s="223"/>
      <c r="Q605" s="223"/>
      <c r="R605" s="223" t="s">
        <v>535</v>
      </c>
      <c r="S605" s="220">
        <f t="shared" si="10"/>
        <v>0</v>
      </c>
      <c r="T605" s="219" t="str">
        <f>IFERROR(VLOOKUP($B605,'SIZE CALCULATION'!$F$2:$G$100,2,0),"")</f>
        <v/>
      </c>
    </row>
    <row r="606" spans="1:20" x14ac:dyDescent="0.2">
      <c r="A606" s="236"/>
      <c r="B606" s="222"/>
      <c r="C606" s="222"/>
      <c r="D606" s="224"/>
      <c r="E606" s="223"/>
      <c r="F606" s="223"/>
      <c r="G606" s="223"/>
      <c r="H606" s="223"/>
      <c r="I606" s="247"/>
      <c r="J606" s="223"/>
      <c r="K606" s="240"/>
      <c r="L606" s="223"/>
      <c r="M606" s="223"/>
      <c r="N606" s="223"/>
      <c r="O606" s="223"/>
      <c r="P606" s="223"/>
      <c r="Q606" s="223"/>
      <c r="R606" s="223" t="s">
        <v>535</v>
      </c>
      <c r="S606" s="220">
        <f t="shared" si="10"/>
        <v>0</v>
      </c>
      <c r="T606" s="219" t="str">
        <f>IFERROR(VLOOKUP($B606,'SIZE CALCULATION'!$F$2:$G$100,2,0),"")</f>
        <v/>
      </c>
    </row>
    <row r="607" spans="1:20" x14ac:dyDescent="0.2">
      <c r="A607" s="236"/>
      <c r="B607" s="222"/>
      <c r="C607" s="222"/>
      <c r="D607" s="224"/>
      <c r="E607" s="223"/>
      <c r="F607" s="223"/>
      <c r="G607" s="223"/>
      <c r="H607" s="223"/>
      <c r="I607" s="247"/>
      <c r="J607" s="223"/>
      <c r="K607" s="240"/>
      <c r="L607" s="223"/>
      <c r="M607" s="223"/>
      <c r="N607" s="223"/>
      <c r="O607" s="223"/>
      <c r="P607" s="223"/>
      <c r="Q607" s="223"/>
      <c r="R607" s="223" t="s">
        <v>535</v>
      </c>
      <c r="S607" s="220">
        <f t="shared" si="10"/>
        <v>0</v>
      </c>
      <c r="T607" s="219" t="str">
        <f>IFERROR(VLOOKUP($B607,'SIZE CALCULATION'!$F$2:$G$100,2,0),"")</f>
        <v/>
      </c>
    </row>
    <row r="608" spans="1:20" x14ac:dyDescent="0.2">
      <c r="A608" s="236"/>
      <c r="B608" s="222"/>
      <c r="C608" s="222"/>
      <c r="D608" s="224"/>
      <c r="E608" s="223"/>
      <c r="F608" s="223"/>
      <c r="G608" s="223"/>
      <c r="H608" s="223"/>
      <c r="I608" s="247"/>
      <c r="J608" s="223"/>
      <c r="K608" s="240"/>
      <c r="L608" s="223"/>
      <c r="M608" s="223"/>
      <c r="N608" s="223"/>
      <c r="O608" s="223"/>
      <c r="P608" s="223"/>
      <c r="Q608" s="223"/>
      <c r="R608" s="223" t="s">
        <v>535</v>
      </c>
      <c r="S608" s="220">
        <f t="shared" si="10"/>
        <v>0</v>
      </c>
      <c r="T608" s="219" t="str">
        <f>IFERROR(VLOOKUP($B608,'SIZE CALCULATION'!$F$2:$G$100,2,0),"")</f>
        <v/>
      </c>
    </row>
    <row r="609" spans="1:20" x14ac:dyDescent="0.2">
      <c r="A609" s="236"/>
      <c r="B609" s="222"/>
      <c r="C609" s="222"/>
      <c r="D609" s="224"/>
      <c r="E609" s="223"/>
      <c r="F609" s="223"/>
      <c r="G609" s="223"/>
      <c r="H609" s="223"/>
      <c r="I609" s="247"/>
      <c r="J609" s="223"/>
      <c r="K609" s="240"/>
      <c r="L609" s="223"/>
      <c r="M609" s="223"/>
      <c r="N609" s="223"/>
      <c r="O609" s="223"/>
      <c r="P609" s="223"/>
      <c r="Q609" s="223"/>
      <c r="R609" s="223" t="s">
        <v>535</v>
      </c>
      <c r="S609" s="220">
        <f t="shared" si="10"/>
        <v>0</v>
      </c>
      <c r="T609" s="219" t="str">
        <f>IFERROR(VLOOKUP($B609,'SIZE CALCULATION'!$F$2:$G$100,2,0),"")</f>
        <v/>
      </c>
    </row>
    <row r="610" spans="1:20" x14ac:dyDescent="0.2">
      <c r="A610" s="236"/>
      <c r="B610" s="222"/>
      <c r="C610" s="222"/>
      <c r="D610" s="224"/>
      <c r="E610" s="223"/>
      <c r="F610" s="223"/>
      <c r="G610" s="223"/>
      <c r="H610" s="223"/>
      <c r="I610" s="247"/>
      <c r="J610" s="223"/>
      <c r="K610" s="240"/>
      <c r="L610" s="223"/>
      <c r="M610" s="223"/>
      <c r="N610" s="223"/>
      <c r="O610" s="223"/>
      <c r="P610" s="223"/>
      <c r="Q610" s="223"/>
      <c r="R610" s="223" t="s">
        <v>535</v>
      </c>
      <c r="S610" s="220">
        <f t="shared" si="10"/>
        <v>0</v>
      </c>
      <c r="T610" s="219" t="str">
        <f>IFERROR(VLOOKUP($B610,'SIZE CALCULATION'!$F$2:$G$100,2,0),"")</f>
        <v/>
      </c>
    </row>
    <row r="611" spans="1:20" x14ac:dyDescent="0.2">
      <c r="A611" s="236"/>
      <c r="B611" s="222"/>
      <c r="C611" s="222"/>
      <c r="D611" s="224"/>
      <c r="E611" s="223"/>
      <c r="F611" s="223"/>
      <c r="G611" s="223"/>
      <c r="H611" s="223"/>
      <c r="I611" s="247"/>
      <c r="J611" s="223"/>
      <c r="K611" s="240"/>
      <c r="L611" s="223"/>
      <c r="M611" s="223"/>
      <c r="N611" s="223"/>
      <c r="O611" s="223"/>
      <c r="P611" s="223"/>
      <c r="Q611" s="223"/>
      <c r="R611" s="223" t="s">
        <v>535</v>
      </c>
      <c r="S611" s="220">
        <f t="shared" si="10"/>
        <v>0</v>
      </c>
      <c r="T611" s="219" t="str">
        <f>IFERROR(VLOOKUP($B611,'SIZE CALCULATION'!$F$2:$G$100,2,0),"")</f>
        <v/>
      </c>
    </row>
    <row r="612" spans="1:20" x14ac:dyDescent="0.2">
      <c r="A612" s="236"/>
      <c r="B612" s="222"/>
      <c r="C612" s="222"/>
      <c r="D612" s="224"/>
      <c r="E612" s="223"/>
      <c r="F612" s="223"/>
      <c r="G612" s="223"/>
      <c r="H612" s="223"/>
      <c r="I612" s="247"/>
      <c r="J612" s="223"/>
      <c r="K612" s="240"/>
      <c r="L612" s="223"/>
      <c r="M612" s="223"/>
      <c r="N612" s="223"/>
      <c r="O612" s="223"/>
      <c r="P612" s="223"/>
      <c r="Q612" s="223"/>
      <c r="R612" s="223" t="s">
        <v>535</v>
      </c>
      <c r="S612" s="220">
        <f t="shared" si="10"/>
        <v>0</v>
      </c>
      <c r="T612" s="219" t="str">
        <f>IFERROR(VLOOKUP($B612,'SIZE CALCULATION'!$F$2:$G$100,2,0),"")</f>
        <v/>
      </c>
    </row>
    <row r="613" spans="1:20" x14ac:dyDescent="0.2">
      <c r="A613" s="236"/>
      <c r="B613" s="222"/>
      <c r="C613" s="222"/>
      <c r="D613" s="224"/>
      <c r="E613" s="223"/>
      <c r="F613" s="223"/>
      <c r="G613" s="223"/>
      <c r="H613" s="223"/>
      <c r="I613" s="247"/>
      <c r="J613" s="223"/>
      <c r="K613" s="240"/>
      <c r="L613" s="223"/>
      <c r="M613" s="223"/>
      <c r="N613" s="223"/>
      <c r="O613" s="223"/>
      <c r="P613" s="223"/>
      <c r="Q613" s="223"/>
      <c r="R613" s="223" t="s">
        <v>535</v>
      </c>
      <c r="S613" s="220">
        <f t="shared" si="10"/>
        <v>0</v>
      </c>
      <c r="T613" s="219" t="str">
        <f>IFERROR(VLOOKUP($B613,'SIZE CALCULATION'!$F$2:$G$100,2,0),"")</f>
        <v/>
      </c>
    </row>
    <row r="614" spans="1:20" x14ac:dyDescent="0.2">
      <c r="A614" s="236"/>
      <c r="B614" s="222"/>
      <c r="C614" s="222"/>
      <c r="D614" s="224"/>
      <c r="E614" s="223"/>
      <c r="F614" s="223"/>
      <c r="G614" s="223"/>
      <c r="H614" s="223"/>
      <c r="I614" s="247"/>
      <c r="J614" s="223"/>
      <c r="K614" s="240"/>
      <c r="L614" s="223"/>
      <c r="M614" s="223"/>
      <c r="N614" s="223"/>
      <c r="O614" s="223"/>
      <c r="P614" s="223"/>
      <c r="Q614" s="223"/>
      <c r="R614" s="223" t="s">
        <v>535</v>
      </c>
      <c r="S614" s="220">
        <f t="shared" si="10"/>
        <v>0</v>
      </c>
      <c r="T614" s="219" t="str">
        <f>IFERROR(VLOOKUP($B614,'SIZE CALCULATION'!$F$2:$G$100,2,0),"")</f>
        <v/>
      </c>
    </row>
    <row r="615" spans="1:20" x14ac:dyDescent="0.2">
      <c r="A615" s="236"/>
      <c r="B615" s="222"/>
      <c r="C615" s="222"/>
      <c r="D615" s="224"/>
      <c r="E615" s="223"/>
      <c r="F615" s="223"/>
      <c r="G615" s="223"/>
      <c r="H615" s="223"/>
      <c r="I615" s="247"/>
      <c r="J615" s="223"/>
      <c r="K615" s="240"/>
      <c r="L615" s="223"/>
      <c r="M615" s="223"/>
      <c r="N615" s="223"/>
      <c r="O615" s="223"/>
      <c r="P615" s="223"/>
      <c r="Q615" s="223"/>
      <c r="R615" s="223" t="s">
        <v>535</v>
      </c>
      <c r="S615" s="220">
        <f t="shared" si="10"/>
        <v>0</v>
      </c>
      <c r="T615" s="219" t="str">
        <f>IFERROR(VLOOKUP($B615,'SIZE CALCULATION'!$F$2:$G$100,2,0),"")</f>
        <v/>
      </c>
    </row>
    <row r="616" spans="1:20" x14ac:dyDescent="0.2">
      <c r="A616" s="236"/>
      <c r="B616" s="222"/>
      <c r="C616" s="222"/>
      <c r="D616" s="224"/>
      <c r="E616" s="223"/>
      <c r="F616" s="223"/>
      <c r="G616" s="223"/>
      <c r="H616" s="223"/>
      <c r="I616" s="247"/>
      <c r="J616" s="223"/>
      <c r="K616" s="240"/>
      <c r="L616" s="223"/>
      <c r="M616" s="223"/>
      <c r="N616" s="223"/>
      <c r="O616" s="223"/>
      <c r="P616" s="223"/>
      <c r="Q616" s="223"/>
      <c r="R616" s="223" t="s">
        <v>535</v>
      </c>
      <c r="S616" s="220">
        <f t="shared" si="10"/>
        <v>0</v>
      </c>
      <c r="T616" s="219" t="str">
        <f>IFERROR(VLOOKUP($B616,'SIZE CALCULATION'!$F$2:$G$100,2,0),"")</f>
        <v/>
      </c>
    </row>
    <row r="617" spans="1:20" x14ac:dyDescent="0.2">
      <c r="A617" s="236"/>
      <c r="B617" s="222"/>
      <c r="C617" s="222"/>
      <c r="D617" s="224"/>
      <c r="E617" s="223"/>
      <c r="F617" s="223"/>
      <c r="G617" s="223"/>
      <c r="H617" s="223"/>
      <c r="I617" s="247"/>
      <c r="J617" s="223"/>
      <c r="K617" s="240"/>
      <c r="L617" s="223"/>
      <c r="M617" s="223"/>
      <c r="N617" s="223"/>
      <c r="O617" s="223"/>
      <c r="P617" s="223"/>
      <c r="Q617" s="223"/>
      <c r="R617" s="223" t="s">
        <v>535</v>
      </c>
      <c r="S617" s="220">
        <f t="shared" si="10"/>
        <v>0</v>
      </c>
      <c r="T617" s="219" t="str">
        <f>IFERROR(VLOOKUP($B617,'SIZE CALCULATION'!$F$2:$G$100,2,0),"")</f>
        <v/>
      </c>
    </row>
    <row r="618" spans="1:20" x14ac:dyDescent="0.2">
      <c r="A618" s="236"/>
      <c r="B618" s="222"/>
      <c r="C618" s="222"/>
      <c r="D618" s="224"/>
      <c r="E618" s="223"/>
      <c r="F618" s="223"/>
      <c r="G618" s="223"/>
      <c r="H618" s="223"/>
      <c r="I618" s="247"/>
      <c r="J618" s="223"/>
      <c r="K618" s="240"/>
      <c r="L618" s="223"/>
      <c r="M618" s="223"/>
      <c r="N618" s="223"/>
      <c r="O618" s="223"/>
      <c r="P618" s="223"/>
      <c r="Q618" s="223"/>
      <c r="R618" s="223" t="s">
        <v>535</v>
      </c>
      <c r="S618" s="220">
        <f t="shared" si="10"/>
        <v>0</v>
      </c>
      <c r="T618" s="219" t="str">
        <f>IFERROR(VLOOKUP($B618,'SIZE CALCULATION'!$F$2:$G$100,2,0),"")</f>
        <v/>
      </c>
    </row>
    <row r="619" spans="1:20" x14ac:dyDescent="0.2">
      <c r="A619" s="236"/>
      <c r="B619" s="222"/>
      <c r="C619" s="222"/>
      <c r="D619" s="224"/>
      <c r="E619" s="223"/>
      <c r="F619" s="223"/>
      <c r="G619" s="223"/>
      <c r="H619" s="223"/>
      <c r="I619" s="247"/>
      <c r="J619" s="223"/>
      <c r="K619" s="240"/>
      <c r="L619" s="223"/>
      <c r="M619" s="223"/>
      <c r="N619" s="223"/>
      <c r="O619" s="223"/>
      <c r="P619" s="223"/>
      <c r="Q619" s="223"/>
      <c r="R619" s="223" t="s">
        <v>535</v>
      </c>
      <c r="S619" s="220">
        <f t="shared" si="10"/>
        <v>0</v>
      </c>
      <c r="T619" s="219" t="str">
        <f>IFERROR(VLOOKUP($B619,'SIZE CALCULATION'!$F$2:$G$100,2,0),"")</f>
        <v/>
      </c>
    </row>
    <row r="620" spans="1:20" x14ac:dyDescent="0.2">
      <c r="A620" s="236"/>
      <c r="B620" s="222"/>
      <c r="C620" s="222"/>
      <c r="D620" s="224"/>
      <c r="E620" s="223"/>
      <c r="F620" s="223"/>
      <c r="G620" s="223"/>
      <c r="H620" s="223"/>
      <c r="I620" s="247"/>
      <c r="J620" s="223"/>
      <c r="K620" s="240"/>
      <c r="L620" s="223"/>
      <c r="M620" s="223"/>
      <c r="N620" s="223"/>
      <c r="O620" s="223"/>
      <c r="P620" s="223"/>
      <c r="Q620" s="223"/>
      <c r="R620" s="223" t="s">
        <v>535</v>
      </c>
      <c r="S620" s="220">
        <f t="shared" si="10"/>
        <v>0</v>
      </c>
      <c r="T620" s="219" t="str">
        <f>IFERROR(VLOOKUP($B620,'SIZE CALCULATION'!$F$2:$G$100,2,0),"")</f>
        <v/>
      </c>
    </row>
    <row r="621" spans="1:20" x14ac:dyDescent="0.2">
      <c r="A621" s="236"/>
      <c r="B621" s="222"/>
      <c r="C621" s="222"/>
      <c r="D621" s="224"/>
      <c r="E621" s="223"/>
      <c r="F621" s="223"/>
      <c r="G621" s="223"/>
      <c r="H621" s="223"/>
      <c r="I621" s="247"/>
      <c r="J621" s="223"/>
      <c r="K621" s="240"/>
      <c r="L621" s="223"/>
      <c r="M621" s="223"/>
      <c r="N621" s="223"/>
      <c r="O621" s="223"/>
      <c r="P621" s="223"/>
      <c r="Q621" s="223"/>
      <c r="R621" s="223" t="s">
        <v>535</v>
      </c>
      <c r="S621" s="220">
        <f t="shared" si="10"/>
        <v>0</v>
      </c>
      <c r="T621" s="219" t="str">
        <f>IFERROR(VLOOKUP($B621,'SIZE CALCULATION'!$F$2:$G$100,2,0),"")</f>
        <v/>
      </c>
    </row>
    <row r="622" spans="1:20" x14ac:dyDescent="0.2">
      <c r="A622" s="236"/>
      <c r="B622" s="222"/>
      <c r="C622" s="222"/>
      <c r="D622" s="224"/>
      <c r="E622" s="223"/>
      <c r="F622" s="223"/>
      <c r="G622" s="223"/>
      <c r="H622" s="223"/>
      <c r="I622" s="247"/>
      <c r="J622" s="223"/>
      <c r="K622" s="240"/>
      <c r="L622" s="223"/>
      <c r="M622" s="223"/>
      <c r="N622" s="223"/>
      <c r="O622" s="223"/>
      <c r="P622" s="223"/>
      <c r="Q622" s="223"/>
      <c r="R622" s="223" t="s">
        <v>535</v>
      </c>
      <c r="S622" s="220">
        <f t="shared" si="10"/>
        <v>0</v>
      </c>
      <c r="T622" s="219" t="str">
        <f>IFERROR(VLOOKUP($B622,'SIZE CALCULATION'!$F$2:$G$100,2,0),"")</f>
        <v/>
      </c>
    </row>
    <row r="623" spans="1:20" x14ac:dyDescent="0.2">
      <c r="A623" s="236"/>
      <c r="B623" s="222"/>
      <c r="C623" s="222"/>
      <c r="D623" s="224"/>
      <c r="E623" s="223"/>
      <c r="F623" s="223"/>
      <c r="G623" s="223"/>
      <c r="H623" s="223"/>
      <c r="I623" s="247"/>
      <c r="J623" s="223"/>
      <c r="K623" s="240"/>
      <c r="L623" s="223"/>
      <c r="M623" s="223"/>
      <c r="N623" s="223"/>
      <c r="O623" s="223"/>
      <c r="P623" s="223"/>
      <c r="Q623" s="223"/>
      <c r="R623" s="223" t="s">
        <v>535</v>
      </c>
      <c r="S623" s="220">
        <f t="shared" si="10"/>
        <v>0</v>
      </c>
      <c r="T623" s="219" t="str">
        <f>IFERROR(VLOOKUP($B623,'SIZE CALCULATION'!$F$2:$G$100,2,0),"")</f>
        <v/>
      </c>
    </row>
    <row r="624" spans="1:20" x14ac:dyDescent="0.2">
      <c r="A624" s="236"/>
      <c r="B624" s="222"/>
      <c r="C624" s="222"/>
      <c r="D624" s="224"/>
      <c r="E624" s="223"/>
      <c r="F624" s="223"/>
      <c r="G624" s="223"/>
      <c r="H624" s="223"/>
      <c r="I624" s="247"/>
      <c r="J624" s="223"/>
      <c r="K624" s="240"/>
      <c r="L624" s="223"/>
      <c r="M624" s="223"/>
      <c r="N624" s="223"/>
      <c r="O624" s="223"/>
      <c r="P624" s="223"/>
      <c r="Q624" s="223"/>
      <c r="R624" s="223" t="s">
        <v>535</v>
      </c>
      <c r="S624" s="220">
        <f t="shared" si="10"/>
        <v>0</v>
      </c>
      <c r="T624" s="219" t="str">
        <f>IFERROR(VLOOKUP($B624,'SIZE CALCULATION'!$F$2:$G$100,2,0),"")</f>
        <v/>
      </c>
    </row>
    <row r="625" spans="1:20" x14ac:dyDescent="0.2">
      <c r="A625" s="236"/>
      <c r="B625" s="222"/>
      <c r="C625" s="222"/>
      <c r="D625" s="224"/>
      <c r="E625" s="223"/>
      <c r="F625" s="223"/>
      <c r="G625" s="223"/>
      <c r="H625" s="223"/>
      <c r="I625" s="247"/>
      <c r="J625" s="223"/>
      <c r="K625" s="240"/>
      <c r="L625" s="223"/>
      <c r="M625" s="223"/>
      <c r="N625" s="223"/>
      <c r="O625" s="223"/>
      <c r="P625" s="223"/>
      <c r="Q625" s="223"/>
      <c r="R625" s="223" t="s">
        <v>535</v>
      </c>
      <c r="S625" s="220">
        <f t="shared" si="10"/>
        <v>0</v>
      </c>
      <c r="T625" s="219" t="str">
        <f>IFERROR(VLOOKUP($B625,'SIZE CALCULATION'!$F$2:$G$100,2,0),"")</f>
        <v/>
      </c>
    </row>
    <row r="626" spans="1:20" x14ac:dyDescent="0.2">
      <c r="A626" s="236"/>
      <c r="B626" s="222"/>
      <c r="C626" s="222"/>
      <c r="D626" s="224"/>
      <c r="E626" s="223"/>
      <c r="F626" s="223"/>
      <c r="G626" s="223"/>
      <c r="H626" s="223"/>
      <c r="I626" s="247"/>
      <c r="J626" s="223"/>
      <c r="K626" s="240"/>
      <c r="L626" s="223"/>
      <c r="M626" s="223"/>
      <c r="N626" s="223"/>
      <c r="O626" s="223"/>
      <c r="P626" s="223"/>
      <c r="Q626" s="223"/>
      <c r="R626" s="223" t="s">
        <v>535</v>
      </c>
      <c r="S626" s="220">
        <f t="shared" si="10"/>
        <v>0</v>
      </c>
      <c r="T626" s="219" t="str">
        <f>IFERROR(VLOOKUP($B626,'SIZE CALCULATION'!$F$2:$G$100,2,0),"")</f>
        <v/>
      </c>
    </row>
    <row r="627" spans="1:20" x14ac:dyDescent="0.2">
      <c r="A627" s="236"/>
      <c r="B627" s="222"/>
      <c r="C627" s="222"/>
      <c r="D627" s="224"/>
      <c r="E627" s="223"/>
      <c r="F627" s="223"/>
      <c r="G627" s="223"/>
      <c r="H627" s="223"/>
      <c r="I627" s="247"/>
      <c r="J627" s="223"/>
      <c r="K627" s="240"/>
      <c r="L627" s="223"/>
      <c r="M627" s="223"/>
      <c r="N627" s="223"/>
      <c r="O627" s="223"/>
      <c r="P627" s="223"/>
      <c r="Q627" s="223"/>
      <c r="R627" s="223" t="s">
        <v>535</v>
      </c>
      <c r="S627" s="220">
        <f t="shared" si="10"/>
        <v>0</v>
      </c>
      <c r="T627" s="219" t="str">
        <f>IFERROR(VLOOKUP($B627,'SIZE CALCULATION'!$F$2:$G$100,2,0),"")</f>
        <v/>
      </c>
    </row>
    <row r="628" spans="1:20" x14ac:dyDescent="0.2">
      <c r="A628" s="236"/>
      <c r="B628" s="222"/>
      <c r="C628" s="222"/>
      <c r="D628" s="224"/>
      <c r="E628" s="223"/>
      <c r="F628" s="223"/>
      <c r="G628" s="223"/>
      <c r="H628" s="223"/>
      <c r="I628" s="247"/>
      <c r="J628" s="223"/>
      <c r="K628" s="240"/>
      <c r="L628" s="223"/>
      <c r="M628" s="223"/>
      <c r="N628" s="223"/>
      <c r="O628" s="223"/>
      <c r="P628" s="223"/>
      <c r="Q628" s="223"/>
      <c r="R628" s="223" t="s">
        <v>535</v>
      </c>
      <c r="S628" s="220">
        <f t="shared" si="10"/>
        <v>0</v>
      </c>
      <c r="T628" s="219" t="str">
        <f>IFERROR(VLOOKUP($B628,'SIZE CALCULATION'!$F$2:$G$100,2,0),"")</f>
        <v/>
      </c>
    </row>
    <row r="629" spans="1:20" x14ac:dyDescent="0.2">
      <c r="A629" s="236"/>
      <c r="B629" s="222"/>
      <c r="C629" s="222"/>
      <c r="D629" s="224"/>
      <c r="E629" s="223"/>
      <c r="F629" s="223"/>
      <c r="G629" s="223"/>
      <c r="H629" s="223"/>
      <c r="I629" s="247"/>
      <c r="J629" s="223"/>
      <c r="K629" s="240"/>
      <c r="L629" s="223"/>
      <c r="M629" s="223"/>
      <c r="N629" s="223"/>
      <c r="O629" s="223"/>
      <c r="P629" s="223"/>
      <c r="Q629" s="223"/>
      <c r="R629" s="223" t="s">
        <v>535</v>
      </c>
      <c r="S629" s="220">
        <f t="shared" si="10"/>
        <v>0</v>
      </c>
      <c r="T629" s="219" t="str">
        <f>IFERROR(VLOOKUP($B629,'SIZE CALCULATION'!$F$2:$G$100,2,0),"")</f>
        <v/>
      </c>
    </row>
    <row r="630" spans="1:20" x14ac:dyDescent="0.2">
      <c r="A630" s="236"/>
      <c r="B630" s="222"/>
      <c r="C630" s="222"/>
      <c r="D630" s="224"/>
      <c r="E630" s="223"/>
      <c r="F630" s="223"/>
      <c r="G630" s="223"/>
      <c r="H630" s="223"/>
      <c r="I630" s="247"/>
      <c r="J630" s="223"/>
      <c r="K630" s="240"/>
      <c r="L630" s="223"/>
      <c r="M630" s="223"/>
      <c r="N630" s="223"/>
      <c r="O630" s="223"/>
      <c r="P630" s="223"/>
      <c r="Q630" s="223"/>
      <c r="R630" s="223" t="s">
        <v>535</v>
      </c>
      <c r="S630" s="220">
        <f t="shared" si="10"/>
        <v>0</v>
      </c>
      <c r="T630" s="219" t="str">
        <f>IFERROR(VLOOKUP($B630,'SIZE CALCULATION'!$F$2:$G$100,2,0),"")</f>
        <v/>
      </c>
    </row>
    <row r="631" spans="1:20" x14ac:dyDescent="0.2">
      <c r="A631" s="236"/>
      <c r="B631" s="222"/>
      <c r="C631" s="222"/>
      <c r="D631" s="224"/>
      <c r="E631" s="223"/>
      <c r="F631" s="223"/>
      <c r="G631" s="223"/>
      <c r="H631" s="223"/>
      <c r="I631" s="247"/>
      <c r="J631" s="223"/>
      <c r="K631" s="240"/>
      <c r="L631" s="223"/>
      <c r="M631" s="223"/>
      <c r="N631" s="223"/>
      <c r="O631" s="223"/>
      <c r="P631" s="223"/>
      <c r="Q631" s="223"/>
      <c r="R631" s="223" t="s">
        <v>535</v>
      </c>
      <c r="S631" s="220">
        <f t="shared" si="10"/>
        <v>0</v>
      </c>
      <c r="T631" s="219" t="str">
        <f>IFERROR(VLOOKUP($B631,'SIZE CALCULATION'!$F$2:$G$100,2,0),"")</f>
        <v/>
      </c>
    </row>
    <row r="632" spans="1:20" x14ac:dyDescent="0.2">
      <c r="A632" s="236"/>
      <c r="B632" s="222"/>
      <c r="C632" s="222"/>
      <c r="D632" s="224"/>
      <c r="E632" s="223"/>
      <c r="F632" s="223"/>
      <c r="G632" s="223"/>
      <c r="H632" s="223"/>
      <c r="I632" s="247"/>
      <c r="J632" s="223"/>
      <c r="K632" s="240"/>
      <c r="L632" s="223"/>
      <c r="M632" s="223"/>
      <c r="N632" s="223"/>
      <c r="O632" s="223"/>
      <c r="P632" s="223"/>
      <c r="Q632" s="223"/>
      <c r="R632" s="223" t="s">
        <v>535</v>
      </c>
      <c r="S632" s="220">
        <f t="shared" si="10"/>
        <v>0</v>
      </c>
      <c r="T632" s="219" t="str">
        <f>IFERROR(VLOOKUP($B632,'SIZE CALCULATION'!$F$2:$G$100,2,0),"")</f>
        <v/>
      </c>
    </row>
    <row r="633" spans="1:20" x14ac:dyDescent="0.2">
      <c r="A633" s="236"/>
      <c r="B633" s="222"/>
      <c r="C633" s="222"/>
      <c r="D633" s="224"/>
      <c r="E633" s="223"/>
      <c r="F633" s="223"/>
      <c r="G633" s="223"/>
      <c r="H633" s="223"/>
      <c r="I633" s="247"/>
      <c r="J633" s="223"/>
      <c r="K633" s="240"/>
      <c r="L633" s="223"/>
      <c r="M633" s="223"/>
      <c r="N633" s="223"/>
      <c r="O633" s="223"/>
      <c r="P633" s="223"/>
      <c r="Q633" s="223"/>
      <c r="R633" s="223" t="s">
        <v>535</v>
      </c>
      <c r="S633" s="220">
        <f t="shared" si="10"/>
        <v>0</v>
      </c>
      <c r="T633" s="219" t="str">
        <f>IFERROR(VLOOKUP($B633,'SIZE CALCULATION'!$F$2:$G$100,2,0),"")</f>
        <v/>
      </c>
    </row>
    <row r="634" spans="1:20" x14ac:dyDescent="0.2">
      <c r="A634" s="236"/>
      <c r="B634" s="222"/>
      <c r="C634" s="222"/>
      <c r="D634" s="224"/>
      <c r="E634" s="223"/>
      <c r="F634" s="223"/>
      <c r="G634" s="223"/>
      <c r="H634" s="223"/>
      <c r="I634" s="247"/>
      <c r="J634" s="223"/>
      <c r="K634" s="240"/>
      <c r="L634" s="223"/>
      <c r="M634" s="223"/>
      <c r="N634" s="223"/>
      <c r="O634" s="223"/>
      <c r="P634" s="223"/>
      <c r="Q634" s="223"/>
      <c r="R634" s="223" t="s">
        <v>535</v>
      </c>
      <c r="S634" s="220">
        <f t="shared" si="10"/>
        <v>0</v>
      </c>
      <c r="T634" s="219" t="str">
        <f>IFERROR(VLOOKUP($B634,'SIZE CALCULATION'!$F$2:$G$100,2,0),"")</f>
        <v/>
      </c>
    </row>
    <row r="635" spans="1:20" x14ac:dyDescent="0.2">
      <c r="A635" s="236"/>
      <c r="B635" s="222"/>
      <c r="C635" s="222"/>
      <c r="D635" s="224"/>
      <c r="E635" s="223"/>
      <c r="F635" s="223"/>
      <c r="G635" s="223"/>
      <c r="H635" s="223"/>
      <c r="I635" s="247"/>
      <c r="J635" s="223"/>
      <c r="K635" s="240"/>
      <c r="L635" s="223"/>
      <c r="M635" s="223"/>
      <c r="N635" s="223"/>
      <c r="O635" s="223"/>
      <c r="P635" s="223"/>
      <c r="Q635" s="223"/>
      <c r="R635" s="223" t="s">
        <v>535</v>
      </c>
      <c r="S635" s="220">
        <f t="shared" si="10"/>
        <v>0</v>
      </c>
      <c r="T635" s="219" t="str">
        <f>IFERROR(VLOOKUP($B635,'SIZE CALCULATION'!$F$2:$G$100,2,0),"")</f>
        <v/>
      </c>
    </row>
    <row r="636" spans="1:20" x14ac:dyDescent="0.2">
      <c r="A636" s="236"/>
      <c r="B636" s="222"/>
      <c r="C636" s="222"/>
      <c r="D636" s="224"/>
      <c r="E636" s="223"/>
      <c r="F636" s="223"/>
      <c r="G636" s="223"/>
      <c r="H636" s="223"/>
      <c r="I636" s="247"/>
      <c r="J636" s="223"/>
      <c r="K636" s="240"/>
      <c r="L636" s="223"/>
      <c r="M636" s="223"/>
      <c r="N636" s="223"/>
      <c r="O636" s="223"/>
      <c r="P636" s="223"/>
      <c r="Q636" s="223"/>
      <c r="R636" s="223" t="s">
        <v>535</v>
      </c>
      <c r="S636" s="220">
        <f t="shared" ref="S636:S699" si="11">IFERROR(M636/O636,M636)</f>
        <v>0</v>
      </c>
      <c r="T636" s="219" t="str">
        <f>IFERROR(VLOOKUP($B636,'SIZE CALCULATION'!$F$2:$G$100,2,0),"")</f>
        <v/>
      </c>
    </row>
    <row r="637" spans="1:20" x14ac:dyDescent="0.2">
      <c r="A637" s="236"/>
      <c r="B637" s="222"/>
      <c r="C637" s="222"/>
      <c r="D637" s="224"/>
      <c r="E637" s="223"/>
      <c r="F637" s="223"/>
      <c r="G637" s="223"/>
      <c r="H637" s="223"/>
      <c r="I637" s="247"/>
      <c r="J637" s="223"/>
      <c r="K637" s="240"/>
      <c r="L637" s="223"/>
      <c r="M637" s="223"/>
      <c r="N637" s="223"/>
      <c r="O637" s="223"/>
      <c r="P637" s="223"/>
      <c r="Q637" s="223"/>
      <c r="R637" s="223" t="s">
        <v>535</v>
      </c>
      <c r="S637" s="220">
        <f t="shared" si="11"/>
        <v>0</v>
      </c>
      <c r="T637" s="219" t="str">
        <f>IFERROR(VLOOKUP($B637,'SIZE CALCULATION'!$F$2:$G$100,2,0),"")</f>
        <v/>
      </c>
    </row>
    <row r="638" spans="1:20" x14ac:dyDescent="0.2">
      <c r="A638" s="236"/>
      <c r="B638" s="222"/>
      <c r="C638" s="222"/>
      <c r="D638" s="224"/>
      <c r="E638" s="223"/>
      <c r="F638" s="223"/>
      <c r="G638" s="223"/>
      <c r="H638" s="223"/>
      <c r="I638" s="247"/>
      <c r="J638" s="223"/>
      <c r="K638" s="240"/>
      <c r="L638" s="223"/>
      <c r="M638" s="223"/>
      <c r="N638" s="223"/>
      <c r="O638" s="223"/>
      <c r="P638" s="223"/>
      <c r="Q638" s="223"/>
      <c r="R638" s="223" t="s">
        <v>535</v>
      </c>
      <c r="S638" s="220">
        <f t="shared" si="11"/>
        <v>0</v>
      </c>
      <c r="T638" s="219" t="str">
        <f>IFERROR(VLOOKUP($B638,'SIZE CALCULATION'!$F$2:$G$100,2,0),"")</f>
        <v/>
      </c>
    </row>
    <row r="639" spans="1:20" x14ac:dyDescent="0.2">
      <c r="A639" s="236"/>
      <c r="B639" s="222"/>
      <c r="C639" s="222"/>
      <c r="D639" s="224"/>
      <c r="E639" s="223"/>
      <c r="F639" s="223"/>
      <c r="G639" s="223"/>
      <c r="H639" s="223"/>
      <c r="I639" s="247"/>
      <c r="J639" s="223"/>
      <c r="K639" s="240"/>
      <c r="L639" s="223"/>
      <c r="M639" s="223"/>
      <c r="N639" s="223"/>
      <c r="O639" s="223"/>
      <c r="P639" s="223"/>
      <c r="Q639" s="223"/>
      <c r="R639" s="223" t="s">
        <v>535</v>
      </c>
      <c r="S639" s="220">
        <f t="shared" si="11"/>
        <v>0</v>
      </c>
      <c r="T639" s="219" t="str">
        <f>IFERROR(VLOOKUP($B639,'SIZE CALCULATION'!$F$2:$G$100,2,0),"")</f>
        <v/>
      </c>
    </row>
    <row r="640" spans="1:20" x14ac:dyDescent="0.2">
      <c r="A640" s="236"/>
      <c r="B640" s="222"/>
      <c r="C640" s="222"/>
      <c r="D640" s="224"/>
      <c r="E640" s="223"/>
      <c r="F640" s="223"/>
      <c r="G640" s="223"/>
      <c r="H640" s="223"/>
      <c r="I640" s="247"/>
      <c r="J640" s="223"/>
      <c r="K640" s="240"/>
      <c r="L640" s="223"/>
      <c r="M640" s="223"/>
      <c r="N640" s="223"/>
      <c r="O640" s="223"/>
      <c r="P640" s="223"/>
      <c r="Q640" s="223"/>
      <c r="R640" s="223" t="s">
        <v>535</v>
      </c>
      <c r="S640" s="220">
        <f t="shared" si="11"/>
        <v>0</v>
      </c>
      <c r="T640" s="219" t="str">
        <f>IFERROR(VLOOKUP($B640,'SIZE CALCULATION'!$F$2:$G$100,2,0),"")</f>
        <v/>
      </c>
    </row>
    <row r="641" spans="1:20" x14ac:dyDescent="0.2">
      <c r="A641" s="236"/>
      <c r="B641" s="222"/>
      <c r="C641" s="222"/>
      <c r="D641" s="224"/>
      <c r="E641" s="223"/>
      <c r="F641" s="223"/>
      <c r="G641" s="223"/>
      <c r="H641" s="223"/>
      <c r="I641" s="247"/>
      <c r="J641" s="223"/>
      <c r="K641" s="240"/>
      <c r="L641" s="223"/>
      <c r="M641" s="223"/>
      <c r="N641" s="223"/>
      <c r="O641" s="223"/>
      <c r="P641" s="223"/>
      <c r="Q641" s="223"/>
      <c r="R641" s="223" t="s">
        <v>535</v>
      </c>
      <c r="S641" s="220">
        <f t="shared" si="11"/>
        <v>0</v>
      </c>
      <c r="T641" s="219" t="str">
        <f>IFERROR(VLOOKUP($B641,'SIZE CALCULATION'!$F$2:$G$100,2,0),"")</f>
        <v/>
      </c>
    </row>
    <row r="642" spans="1:20" x14ac:dyDescent="0.2">
      <c r="A642" s="236"/>
      <c r="B642" s="222"/>
      <c r="C642" s="222"/>
      <c r="D642" s="224"/>
      <c r="E642" s="223"/>
      <c r="F642" s="223"/>
      <c r="G642" s="223"/>
      <c r="H642" s="223"/>
      <c r="I642" s="247"/>
      <c r="J642" s="223"/>
      <c r="K642" s="240"/>
      <c r="L642" s="223"/>
      <c r="M642" s="223"/>
      <c r="N642" s="223"/>
      <c r="O642" s="223"/>
      <c r="P642" s="223"/>
      <c r="Q642" s="223"/>
      <c r="R642" s="223" t="s">
        <v>535</v>
      </c>
      <c r="S642" s="220">
        <f t="shared" si="11"/>
        <v>0</v>
      </c>
      <c r="T642" s="219" t="str">
        <f>IFERROR(VLOOKUP($B642,'SIZE CALCULATION'!$F$2:$G$100,2,0),"")</f>
        <v/>
      </c>
    </row>
    <row r="643" spans="1:20" x14ac:dyDescent="0.2">
      <c r="A643" s="236"/>
      <c r="B643" s="222"/>
      <c r="C643" s="222"/>
      <c r="D643" s="224"/>
      <c r="E643" s="223"/>
      <c r="F643" s="223"/>
      <c r="G643" s="223"/>
      <c r="H643" s="223"/>
      <c r="I643" s="247"/>
      <c r="J643" s="223"/>
      <c r="K643" s="240"/>
      <c r="L643" s="223"/>
      <c r="M643" s="223"/>
      <c r="N643" s="223"/>
      <c r="O643" s="223"/>
      <c r="P643" s="223"/>
      <c r="Q643" s="223"/>
      <c r="R643" s="223" t="s">
        <v>535</v>
      </c>
      <c r="S643" s="220">
        <f t="shared" si="11"/>
        <v>0</v>
      </c>
      <c r="T643" s="219" t="str">
        <f>IFERROR(VLOOKUP($B643,'SIZE CALCULATION'!$F$2:$G$100,2,0),"")</f>
        <v/>
      </c>
    </row>
    <row r="644" spans="1:20" x14ac:dyDescent="0.2">
      <c r="A644" s="236"/>
      <c r="B644" s="222"/>
      <c r="C644" s="222"/>
      <c r="D644" s="224"/>
      <c r="E644" s="223"/>
      <c r="F644" s="223"/>
      <c r="G644" s="223"/>
      <c r="H644" s="223"/>
      <c r="I644" s="247"/>
      <c r="J644" s="223"/>
      <c r="K644" s="240"/>
      <c r="L644" s="223"/>
      <c r="M644" s="223"/>
      <c r="N644" s="223"/>
      <c r="O644" s="223"/>
      <c r="P644" s="223"/>
      <c r="Q644" s="223"/>
      <c r="R644" s="223" t="s">
        <v>535</v>
      </c>
      <c r="S644" s="220">
        <f t="shared" si="11"/>
        <v>0</v>
      </c>
      <c r="T644" s="219" t="str">
        <f>IFERROR(VLOOKUP($B644,'SIZE CALCULATION'!$F$2:$G$100,2,0),"")</f>
        <v/>
      </c>
    </row>
    <row r="645" spans="1:20" x14ac:dyDescent="0.2">
      <c r="A645" s="236"/>
      <c r="B645" s="222"/>
      <c r="C645" s="222"/>
      <c r="D645" s="224"/>
      <c r="E645" s="223"/>
      <c r="F645" s="223"/>
      <c r="G645" s="223"/>
      <c r="H645" s="223"/>
      <c r="I645" s="247"/>
      <c r="J645" s="223"/>
      <c r="K645" s="240"/>
      <c r="L645" s="223"/>
      <c r="M645" s="223"/>
      <c r="N645" s="223"/>
      <c r="O645" s="223"/>
      <c r="P645" s="223"/>
      <c r="Q645" s="223"/>
      <c r="R645" s="223" t="s">
        <v>535</v>
      </c>
      <c r="S645" s="220">
        <f t="shared" si="11"/>
        <v>0</v>
      </c>
      <c r="T645" s="219" t="str">
        <f>IFERROR(VLOOKUP($B645,'SIZE CALCULATION'!$F$2:$G$100,2,0),"")</f>
        <v/>
      </c>
    </row>
    <row r="646" spans="1:20" x14ac:dyDescent="0.2">
      <c r="A646" s="236"/>
      <c r="B646" s="222"/>
      <c r="C646" s="222"/>
      <c r="D646" s="224"/>
      <c r="E646" s="223"/>
      <c r="F646" s="223"/>
      <c r="G646" s="223"/>
      <c r="H646" s="223"/>
      <c r="I646" s="247"/>
      <c r="J646" s="223"/>
      <c r="K646" s="240"/>
      <c r="L646" s="223"/>
      <c r="M646" s="223"/>
      <c r="N646" s="223"/>
      <c r="O646" s="223"/>
      <c r="P646" s="223"/>
      <c r="Q646" s="223"/>
      <c r="R646" s="223" t="s">
        <v>535</v>
      </c>
      <c r="S646" s="220">
        <f t="shared" si="11"/>
        <v>0</v>
      </c>
      <c r="T646" s="219" t="str">
        <f>IFERROR(VLOOKUP($B646,'SIZE CALCULATION'!$F$2:$G$100,2,0),"")</f>
        <v/>
      </c>
    </row>
    <row r="647" spans="1:20" x14ac:dyDescent="0.2">
      <c r="A647" s="236"/>
      <c r="B647" s="222"/>
      <c r="C647" s="222"/>
      <c r="D647" s="224"/>
      <c r="E647" s="223"/>
      <c r="F647" s="223"/>
      <c r="G647" s="223"/>
      <c r="H647" s="223"/>
      <c r="I647" s="247"/>
      <c r="J647" s="223"/>
      <c r="K647" s="240"/>
      <c r="L647" s="223"/>
      <c r="M647" s="223"/>
      <c r="N647" s="223"/>
      <c r="O647" s="223"/>
      <c r="P647" s="223"/>
      <c r="Q647" s="223"/>
      <c r="R647" s="223" t="s">
        <v>535</v>
      </c>
      <c r="S647" s="220">
        <f t="shared" si="11"/>
        <v>0</v>
      </c>
      <c r="T647" s="219" t="str">
        <f>IFERROR(VLOOKUP($B647,'SIZE CALCULATION'!$F$2:$G$100,2,0),"")</f>
        <v/>
      </c>
    </row>
    <row r="648" spans="1:20" x14ac:dyDescent="0.2">
      <c r="A648" s="236"/>
      <c r="B648" s="222"/>
      <c r="C648" s="222"/>
      <c r="D648" s="224"/>
      <c r="E648" s="223"/>
      <c r="F648" s="223"/>
      <c r="G648" s="223"/>
      <c r="H648" s="223"/>
      <c r="I648" s="247"/>
      <c r="J648" s="223"/>
      <c r="K648" s="240"/>
      <c r="L648" s="223"/>
      <c r="M648" s="223"/>
      <c r="N648" s="223"/>
      <c r="O648" s="223"/>
      <c r="P648" s="223"/>
      <c r="Q648" s="223"/>
      <c r="R648" s="223" t="s">
        <v>535</v>
      </c>
      <c r="S648" s="220">
        <f t="shared" si="11"/>
        <v>0</v>
      </c>
      <c r="T648" s="219" t="str">
        <f>IFERROR(VLOOKUP($B648,'SIZE CALCULATION'!$F$2:$G$100,2,0),"")</f>
        <v/>
      </c>
    </row>
    <row r="649" spans="1:20" x14ac:dyDescent="0.2">
      <c r="A649" s="236"/>
      <c r="B649" s="222"/>
      <c r="C649" s="222"/>
      <c r="D649" s="224"/>
      <c r="E649" s="223"/>
      <c r="F649" s="223"/>
      <c r="G649" s="223"/>
      <c r="H649" s="223"/>
      <c r="I649" s="247"/>
      <c r="J649" s="223"/>
      <c r="K649" s="240"/>
      <c r="L649" s="223"/>
      <c r="M649" s="223"/>
      <c r="N649" s="223"/>
      <c r="O649" s="223"/>
      <c r="P649" s="223"/>
      <c r="Q649" s="223"/>
      <c r="R649" s="223" t="s">
        <v>535</v>
      </c>
      <c r="S649" s="220">
        <f t="shared" si="11"/>
        <v>0</v>
      </c>
      <c r="T649" s="219" t="str">
        <f>IFERROR(VLOOKUP($B649,'SIZE CALCULATION'!$F$2:$G$100,2,0),"")</f>
        <v/>
      </c>
    </row>
    <row r="650" spans="1:20" x14ac:dyDescent="0.2">
      <c r="A650" s="236"/>
      <c r="B650" s="222"/>
      <c r="C650" s="222"/>
      <c r="D650" s="224"/>
      <c r="E650" s="223"/>
      <c r="F650" s="223"/>
      <c r="G650" s="223"/>
      <c r="H650" s="223"/>
      <c r="I650" s="247"/>
      <c r="J650" s="223"/>
      <c r="K650" s="240"/>
      <c r="L650" s="223"/>
      <c r="M650" s="223"/>
      <c r="N650" s="223"/>
      <c r="O650" s="223"/>
      <c r="P650" s="223"/>
      <c r="Q650" s="223"/>
      <c r="R650" s="223" t="s">
        <v>535</v>
      </c>
      <c r="S650" s="220">
        <f t="shared" si="11"/>
        <v>0</v>
      </c>
      <c r="T650" s="219" t="str">
        <f>IFERROR(VLOOKUP($B650,'SIZE CALCULATION'!$F$2:$G$100,2,0),"")</f>
        <v/>
      </c>
    </row>
    <row r="651" spans="1:20" x14ac:dyDescent="0.2">
      <c r="A651" s="236"/>
      <c r="B651" s="222"/>
      <c r="C651" s="222"/>
      <c r="D651" s="224"/>
      <c r="E651" s="223"/>
      <c r="F651" s="223"/>
      <c r="G651" s="223"/>
      <c r="H651" s="223"/>
      <c r="I651" s="247"/>
      <c r="J651" s="223"/>
      <c r="K651" s="240"/>
      <c r="L651" s="223"/>
      <c r="M651" s="223"/>
      <c r="N651" s="223"/>
      <c r="O651" s="223"/>
      <c r="P651" s="223"/>
      <c r="Q651" s="223"/>
      <c r="R651" s="223" t="s">
        <v>535</v>
      </c>
      <c r="S651" s="220">
        <f t="shared" si="11"/>
        <v>0</v>
      </c>
      <c r="T651" s="219" t="str">
        <f>IFERROR(VLOOKUP($B651,'SIZE CALCULATION'!$F$2:$G$100,2,0),"")</f>
        <v/>
      </c>
    </row>
    <row r="652" spans="1:20" x14ac:dyDescent="0.2">
      <c r="A652" s="236"/>
      <c r="B652" s="222"/>
      <c r="C652" s="222"/>
      <c r="D652" s="224"/>
      <c r="E652" s="223"/>
      <c r="F652" s="223"/>
      <c r="G652" s="223"/>
      <c r="H652" s="223"/>
      <c r="I652" s="247"/>
      <c r="J652" s="223"/>
      <c r="K652" s="240"/>
      <c r="L652" s="223"/>
      <c r="M652" s="223"/>
      <c r="N652" s="223"/>
      <c r="O652" s="223"/>
      <c r="P652" s="223"/>
      <c r="Q652" s="223"/>
      <c r="R652" s="223" t="s">
        <v>535</v>
      </c>
      <c r="S652" s="220">
        <f t="shared" si="11"/>
        <v>0</v>
      </c>
      <c r="T652" s="219" t="str">
        <f>IFERROR(VLOOKUP($B652,'SIZE CALCULATION'!$F$2:$G$100,2,0),"")</f>
        <v/>
      </c>
    </row>
    <row r="653" spans="1:20" x14ac:dyDescent="0.2">
      <c r="A653" s="236"/>
      <c r="B653" s="222"/>
      <c r="C653" s="222"/>
      <c r="D653" s="224"/>
      <c r="E653" s="223"/>
      <c r="F653" s="223"/>
      <c r="G653" s="223"/>
      <c r="H653" s="223"/>
      <c r="I653" s="247"/>
      <c r="J653" s="223"/>
      <c r="K653" s="240"/>
      <c r="L653" s="223"/>
      <c r="M653" s="223"/>
      <c r="N653" s="223"/>
      <c r="O653" s="223"/>
      <c r="P653" s="223"/>
      <c r="Q653" s="223"/>
      <c r="R653" s="223" t="s">
        <v>535</v>
      </c>
      <c r="S653" s="220">
        <f t="shared" si="11"/>
        <v>0</v>
      </c>
      <c r="T653" s="219" t="str">
        <f>IFERROR(VLOOKUP($B653,'SIZE CALCULATION'!$F$2:$G$100,2,0),"")</f>
        <v/>
      </c>
    </row>
    <row r="654" spans="1:20" x14ac:dyDescent="0.2">
      <c r="A654" s="236"/>
      <c r="B654" s="222"/>
      <c r="C654" s="222"/>
      <c r="D654" s="224"/>
      <c r="E654" s="223"/>
      <c r="F654" s="223"/>
      <c r="G654" s="223"/>
      <c r="H654" s="223"/>
      <c r="I654" s="247"/>
      <c r="J654" s="223"/>
      <c r="K654" s="240"/>
      <c r="L654" s="223"/>
      <c r="M654" s="223"/>
      <c r="N654" s="223"/>
      <c r="O654" s="223"/>
      <c r="P654" s="223"/>
      <c r="Q654" s="223"/>
      <c r="R654" s="223" t="s">
        <v>535</v>
      </c>
      <c r="S654" s="220">
        <f t="shared" si="11"/>
        <v>0</v>
      </c>
      <c r="T654" s="219" t="str">
        <f>IFERROR(VLOOKUP($B654,'SIZE CALCULATION'!$F$2:$G$100,2,0),"")</f>
        <v/>
      </c>
    </row>
    <row r="655" spans="1:20" x14ac:dyDescent="0.2">
      <c r="A655" s="236"/>
      <c r="B655" s="222"/>
      <c r="C655" s="222"/>
      <c r="D655" s="224"/>
      <c r="E655" s="223"/>
      <c r="F655" s="223"/>
      <c r="G655" s="223"/>
      <c r="H655" s="223"/>
      <c r="I655" s="247"/>
      <c r="J655" s="223"/>
      <c r="K655" s="240"/>
      <c r="L655" s="223"/>
      <c r="M655" s="223"/>
      <c r="N655" s="223"/>
      <c r="O655" s="223"/>
      <c r="P655" s="223"/>
      <c r="Q655" s="223"/>
      <c r="R655" s="223" t="s">
        <v>535</v>
      </c>
      <c r="S655" s="220">
        <f t="shared" si="11"/>
        <v>0</v>
      </c>
      <c r="T655" s="219" t="str">
        <f>IFERROR(VLOOKUP($B655,'SIZE CALCULATION'!$F$2:$G$100,2,0),"")</f>
        <v/>
      </c>
    </row>
    <row r="656" spans="1:20" x14ac:dyDescent="0.2">
      <c r="A656" s="236"/>
      <c r="B656" s="222"/>
      <c r="C656" s="222"/>
      <c r="D656" s="224"/>
      <c r="E656" s="223"/>
      <c r="F656" s="223"/>
      <c r="G656" s="223"/>
      <c r="H656" s="223"/>
      <c r="I656" s="247"/>
      <c r="J656" s="223"/>
      <c r="K656" s="240"/>
      <c r="L656" s="223"/>
      <c r="M656" s="223"/>
      <c r="N656" s="223"/>
      <c r="O656" s="223"/>
      <c r="P656" s="223"/>
      <c r="Q656" s="223"/>
      <c r="R656" s="223" t="s">
        <v>535</v>
      </c>
      <c r="S656" s="220">
        <f t="shared" si="11"/>
        <v>0</v>
      </c>
      <c r="T656" s="219" t="str">
        <f>IFERROR(VLOOKUP($B656,'SIZE CALCULATION'!$F$2:$G$100,2,0),"")</f>
        <v/>
      </c>
    </row>
    <row r="657" spans="1:20" x14ac:dyDescent="0.2">
      <c r="A657" s="236"/>
      <c r="B657" s="222"/>
      <c r="C657" s="222"/>
      <c r="D657" s="224"/>
      <c r="E657" s="223"/>
      <c r="F657" s="223"/>
      <c r="G657" s="223"/>
      <c r="H657" s="223"/>
      <c r="I657" s="247"/>
      <c r="J657" s="223"/>
      <c r="K657" s="240"/>
      <c r="L657" s="223"/>
      <c r="M657" s="223"/>
      <c r="N657" s="223"/>
      <c r="O657" s="223"/>
      <c r="P657" s="223"/>
      <c r="Q657" s="223"/>
      <c r="R657" s="223" t="s">
        <v>535</v>
      </c>
      <c r="S657" s="220">
        <f t="shared" si="11"/>
        <v>0</v>
      </c>
      <c r="T657" s="219" t="str">
        <f>IFERROR(VLOOKUP($B657,'SIZE CALCULATION'!$F$2:$G$100,2,0),"")</f>
        <v/>
      </c>
    </row>
    <row r="658" spans="1:20" x14ac:dyDescent="0.2">
      <c r="A658" s="236"/>
      <c r="B658" s="222"/>
      <c r="C658" s="222"/>
      <c r="D658" s="224"/>
      <c r="E658" s="223"/>
      <c r="F658" s="223"/>
      <c r="G658" s="223"/>
      <c r="H658" s="223"/>
      <c r="I658" s="247"/>
      <c r="J658" s="223"/>
      <c r="K658" s="240"/>
      <c r="L658" s="223"/>
      <c r="M658" s="223"/>
      <c r="N658" s="223"/>
      <c r="O658" s="223"/>
      <c r="P658" s="223"/>
      <c r="Q658" s="223"/>
      <c r="R658" s="223" t="s">
        <v>535</v>
      </c>
      <c r="S658" s="220">
        <f t="shared" si="11"/>
        <v>0</v>
      </c>
      <c r="T658" s="219" t="str">
        <f>IFERROR(VLOOKUP($B658,'SIZE CALCULATION'!$F$2:$G$100,2,0),"")</f>
        <v/>
      </c>
    </row>
    <row r="659" spans="1:20" x14ac:dyDescent="0.2">
      <c r="A659" s="236"/>
      <c r="B659" s="222"/>
      <c r="C659" s="222"/>
      <c r="D659" s="224"/>
      <c r="E659" s="223"/>
      <c r="F659" s="223"/>
      <c r="G659" s="223"/>
      <c r="H659" s="223"/>
      <c r="I659" s="247"/>
      <c r="J659" s="223"/>
      <c r="K659" s="240"/>
      <c r="L659" s="223"/>
      <c r="M659" s="223"/>
      <c r="N659" s="223"/>
      <c r="O659" s="223"/>
      <c r="P659" s="223"/>
      <c r="Q659" s="223"/>
      <c r="R659" s="223" t="s">
        <v>535</v>
      </c>
      <c r="S659" s="220">
        <f t="shared" si="11"/>
        <v>0</v>
      </c>
      <c r="T659" s="219" t="str">
        <f>IFERROR(VLOOKUP($B659,'SIZE CALCULATION'!$F$2:$G$100,2,0),"")</f>
        <v/>
      </c>
    </row>
    <row r="660" spans="1:20" x14ac:dyDescent="0.2">
      <c r="A660" s="236"/>
      <c r="B660" s="222"/>
      <c r="C660" s="222"/>
      <c r="D660" s="224"/>
      <c r="E660" s="223"/>
      <c r="F660" s="223"/>
      <c r="G660" s="223"/>
      <c r="H660" s="223"/>
      <c r="I660" s="247"/>
      <c r="J660" s="223"/>
      <c r="K660" s="240"/>
      <c r="L660" s="223"/>
      <c r="M660" s="223"/>
      <c r="N660" s="223"/>
      <c r="O660" s="223"/>
      <c r="P660" s="223"/>
      <c r="Q660" s="223"/>
      <c r="R660" s="223" t="s">
        <v>535</v>
      </c>
      <c r="S660" s="220">
        <f t="shared" si="11"/>
        <v>0</v>
      </c>
      <c r="T660" s="219" t="str">
        <f>IFERROR(VLOOKUP($B660,'SIZE CALCULATION'!$F$2:$G$100,2,0),"")</f>
        <v/>
      </c>
    </row>
    <row r="661" spans="1:20" x14ac:dyDescent="0.2">
      <c r="A661" s="236"/>
      <c r="B661" s="222"/>
      <c r="C661" s="222"/>
      <c r="D661" s="224"/>
      <c r="E661" s="223"/>
      <c r="F661" s="223"/>
      <c r="G661" s="223"/>
      <c r="H661" s="223"/>
      <c r="I661" s="247"/>
      <c r="J661" s="223"/>
      <c r="K661" s="240"/>
      <c r="L661" s="223"/>
      <c r="M661" s="223"/>
      <c r="N661" s="223"/>
      <c r="O661" s="223"/>
      <c r="P661" s="223"/>
      <c r="Q661" s="223"/>
      <c r="R661" s="223" t="s">
        <v>535</v>
      </c>
      <c r="S661" s="220">
        <f t="shared" si="11"/>
        <v>0</v>
      </c>
      <c r="T661" s="219" t="str">
        <f>IFERROR(VLOOKUP($B661,'SIZE CALCULATION'!$F$2:$G$100,2,0),"")</f>
        <v/>
      </c>
    </row>
    <row r="662" spans="1:20" x14ac:dyDescent="0.2">
      <c r="A662" s="236"/>
      <c r="B662" s="222"/>
      <c r="C662" s="222"/>
      <c r="D662" s="224"/>
      <c r="E662" s="223"/>
      <c r="F662" s="223"/>
      <c r="G662" s="223"/>
      <c r="H662" s="223"/>
      <c r="I662" s="247"/>
      <c r="J662" s="223"/>
      <c r="K662" s="240"/>
      <c r="L662" s="223"/>
      <c r="M662" s="223"/>
      <c r="N662" s="223"/>
      <c r="O662" s="223"/>
      <c r="P662" s="223"/>
      <c r="Q662" s="223"/>
      <c r="R662" s="223" t="s">
        <v>535</v>
      </c>
      <c r="S662" s="220">
        <f t="shared" si="11"/>
        <v>0</v>
      </c>
      <c r="T662" s="219" t="str">
        <f>IFERROR(VLOOKUP($B662,'SIZE CALCULATION'!$F$2:$G$100,2,0),"")</f>
        <v/>
      </c>
    </row>
    <row r="663" spans="1:20" x14ac:dyDescent="0.2">
      <c r="A663" s="236"/>
      <c r="B663" s="222"/>
      <c r="C663" s="222"/>
      <c r="D663" s="224"/>
      <c r="E663" s="223"/>
      <c r="F663" s="223"/>
      <c r="G663" s="223"/>
      <c r="H663" s="223"/>
      <c r="I663" s="247"/>
      <c r="J663" s="223"/>
      <c r="K663" s="240"/>
      <c r="L663" s="223"/>
      <c r="M663" s="223"/>
      <c r="N663" s="223"/>
      <c r="O663" s="223"/>
      <c r="P663" s="223"/>
      <c r="Q663" s="223"/>
      <c r="R663" s="223" t="s">
        <v>535</v>
      </c>
      <c r="S663" s="220">
        <f t="shared" si="11"/>
        <v>0</v>
      </c>
      <c r="T663" s="219" t="str">
        <f>IFERROR(VLOOKUP($B663,'SIZE CALCULATION'!$F$2:$G$100,2,0),"")</f>
        <v/>
      </c>
    </row>
    <row r="664" spans="1:20" x14ac:dyDescent="0.2">
      <c r="A664" s="236"/>
      <c r="B664" s="222"/>
      <c r="C664" s="222"/>
      <c r="D664" s="224"/>
      <c r="E664" s="223"/>
      <c r="F664" s="223"/>
      <c r="G664" s="223"/>
      <c r="H664" s="223"/>
      <c r="I664" s="247"/>
      <c r="J664" s="223"/>
      <c r="K664" s="240"/>
      <c r="L664" s="223"/>
      <c r="M664" s="223"/>
      <c r="N664" s="223"/>
      <c r="O664" s="223"/>
      <c r="P664" s="223"/>
      <c r="Q664" s="223"/>
      <c r="R664" s="223" t="s">
        <v>535</v>
      </c>
      <c r="S664" s="220">
        <f t="shared" si="11"/>
        <v>0</v>
      </c>
      <c r="T664" s="219" t="str">
        <f>IFERROR(VLOOKUP($B664,'SIZE CALCULATION'!$F$2:$G$100,2,0),"")</f>
        <v/>
      </c>
    </row>
    <row r="665" spans="1:20" x14ac:dyDescent="0.2">
      <c r="A665" s="236"/>
      <c r="B665" s="222"/>
      <c r="C665" s="222"/>
      <c r="D665" s="224"/>
      <c r="E665" s="223"/>
      <c r="F665" s="223"/>
      <c r="G665" s="223"/>
      <c r="H665" s="223"/>
      <c r="I665" s="247"/>
      <c r="J665" s="223"/>
      <c r="K665" s="240"/>
      <c r="L665" s="223"/>
      <c r="M665" s="223"/>
      <c r="N665" s="223"/>
      <c r="O665" s="223"/>
      <c r="P665" s="223"/>
      <c r="Q665" s="223"/>
      <c r="R665" s="223" t="s">
        <v>535</v>
      </c>
      <c r="S665" s="220">
        <f t="shared" si="11"/>
        <v>0</v>
      </c>
      <c r="T665" s="219" t="str">
        <f>IFERROR(VLOOKUP($B665,'SIZE CALCULATION'!$F$2:$G$100,2,0),"")</f>
        <v/>
      </c>
    </row>
    <row r="666" spans="1:20" x14ac:dyDescent="0.2">
      <c r="A666" s="236"/>
      <c r="B666" s="222"/>
      <c r="C666" s="222"/>
      <c r="D666" s="224"/>
      <c r="E666" s="223"/>
      <c r="F666" s="223"/>
      <c r="G666" s="223"/>
      <c r="H666" s="223"/>
      <c r="I666" s="247"/>
      <c r="J666" s="223"/>
      <c r="K666" s="240"/>
      <c r="L666" s="223"/>
      <c r="M666" s="223"/>
      <c r="N666" s="223"/>
      <c r="O666" s="223"/>
      <c r="P666" s="223"/>
      <c r="Q666" s="223"/>
      <c r="R666" s="223" t="s">
        <v>535</v>
      </c>
      <c r="S666" s="220">
        <f t="shared" si="11"/>
        <v>0</v>
      </c>
      <c r="T666" s="219" t="str">
        <f>IFERROR(VLOOKUP($B666,'SIZE CALCULATION'!$F$2:$G$100,2,0),"")</f>
        <v/>
      </c>
    </row>
    <row r="667" spans="1:20" x14ac:dyDescent="0.2">
      <c r="A667" s="236"/>
      <c r="B667" s="222"/>
      <c r="C667" s="222"/>
      <c r="D667" s="224"/>
      <c r="E667" s="223"/>
      <c r="F667" s="223"/>
      <c r="G667" s="223"/>
      <c r="H667" s="223"/>
      <c r="I667" s="247"/>
      <c r="J667" s="223"/>
      <c r="K667" s="240"/>
      <c r="L667" s="223"/>
      <c r="M667" s="223"/>
      <c r="N667" s="223"/>
      <c r="O667" s="223"/>
      <c r="P667" s="223"/>
      <c r="Q667" s="223"/>
      <c r="R667" s="223" t="s">
        <v>535</v>
      </c>
      <c r="S667" s="220">
        <f t="shared" si="11"/>
        <v>0</v>
      </c>
      <c r="T667" s="219" t="str">
        <f>IFERROR(VLOOKUP($B667,'SIZE CALCULATION'!$F$2:$G$100,2,0),"")</f>
        <v/>
      </c>
    </row>
    <row r="668" spans="1:20" x14ac:dyDescent="0.2">
      <c r="A668" s="236"/>
      <c r="B668" s="222"/>
      <c r="C668" s="222"/>
      <c r="D668" s="224"/>
      <c r="E668" s="223"/>
      <c r="F668" s="223"/>
      <c r="G668" s="223"/>
      <c r="H668" s="223"/>
      <c r="I668" s="247"/>
      <c r="J668" s="223"/>
      <c r="K668" s="240"/>
      <c r="L668" s="223"/>
      <c r="M668" s="223"/>
      <c r="N668" s="223"/>
      <c r="O668" s="223"/>
      <c r="P668" s="223"/>
      <c r="Q668" s="223"/>
      <c r="R668" s="223" t="s">
        <v>535</v>
      </c>
      <c r="S668" s="220">
        <f t="shared" si="11"/>
        <v>0</v>
      </c>
      <c r="T668" s="219" t="str">
        <f>IFERROR(VLOOKUP($B668,'SIZE CALCULATION'!$F$2:$G$100,2,0),"")</f>
        <v/>
      </c>
    </row>
    <row r="669" spans="1:20" x14ac:dyDescent="0.2">
      <c r="A669" s="236"/>
      <c r="B669" s="222"/>
      <c r="C669" s="222"/>
      <c r="D669" s="224"/>
      <c r="E669" s="223"/>
      <c r="F669" s="223"/>
      <c r="G669" s="223"/>
      <c r="H669" s="223"/>
      <c r="I669" s="247"/>
      <c r="J669" s="223"/>
      <c r="K669" s="240"/>
      <c r="L669" s="223"/>
      <c r="M669" s="223"/>
      <c r="N669" s="223"/>
      <c r="O669" s="223"/>
      <c r="P669" s="223"/>
      <c r="Q669" s="223"/>
      <c r="R669" s="223" t="s">
        <v>535</v>
      </c>
      <c r="S669" s="220">
        <f t="shared" si="11"/>
        <v>0</v>
      </c>
      <c r="T669" s="219" t="str">
        <f>IFERROR(VLOOKUP($B669,'SIZE CALCULATION'!$F$2:$G$100,2,0),"")</f>
        <v/>
      </c>
    </row>
    <row r="670" spans="1:20" x14ac:dyDescent="0.2">
      <c r="A670" s="236"/>
      <c r="B670" s="222"/>
      <c r="C670" s="222"/>
      <c r="D670" s="224"/>
      <c r="E670" s="223"/>
      <c r="F670" s="223"/>
      <c r="G670" s="223"/>
      <c r="H670" s="223"/>
      <c r="I670" s="247"/>
      <c r="J670" s="223"/>
      <c r="K670" s="240"/>
      <c r="L670" s="223"/>
      <c r="M670" s="223"/>
      <c r="N670" s="223"/>
      <c r="O670" s="223"/>
      <c r="P670" s="223"/>
      <c r="Q670" s="223"/>
      <c r="R670" s="223" t="s">
        <v>535</v>
      </c>
      <c r="S670" s="220">
        <f t="shared" si="11"/>
        <v>0</v>
      </c>
      <c r="T670" s="219" t="str">
        <f>IFERROR(VLOOKUP($B670,'SIZE CALCULATION'!$F$2:$G$100,2,0),"")</f>
        <v/>
      </c>
    </row>
    <row r="671" spans="1:20" x14ac:dyDescent="0.2">
      <c r="A671" s="236"/>
      <c r="B671" s="222"/>
      <c r="C671" s="222"/>
      <c r="D671" s="224"/>
      <c r="E671" s="223"/>
      <c r="F671" s="223"/>
      <c r="G671" s="223"/>
      <c r="H671" s="223"/>
      <c r="I671" s="247"/>
      <c r="J671" s="223"/>
      <c r="K671" s="240"/>
      <c r="L671" s="223"/>
      <c r="M671" s="223"/>
      <c r="N671" s="223"/>
      <c r="O671" s="223"/>
      <c r="P671" s="223"/>
      <c r="Q671" s="223"/>
      <c r="R671" s="223" t="s">
        <v>535</v>
      </c>
      <c r="S671" s="220">
        <f t="shared" si="11"/>
        <v>0</v>
      </c>
      <c r="T671" s="219" t="str">
        <f>IFERROR(VLOOKUP($B671,'SIZE CALCULATION'!$F$2:$G$100,2,0),"")</f>
        <v/>
      </c>
    </row>
    <row r="672" spans="1:20" x14ac:dyDescent="0.2">
      <c r="A672" s="236"/>
      <c r="B672" s="222"/>
      <c r="C672" s="222"/>
      <c r="D672" s="224"/>
      <c r="E672" s="223"/>
      <c r="F672" s="223"/>
      <c r="G672" s="223"/>
      <c r="H672" s="223"/>
      <c r="I672" s="247"/>
      <c r="J672" s="223"/>
      <c r="K672" s="240"/>
      <c r="L672" s="223"/>
      <c r="M672" s="223"/>
      <c r="N672" s="223"/>
      <c r="O672" s="223"/>
      <c r="P672" s="223"/>
      <c r="Q672" s="223"/>
      <c r="R672" s="223" t="s">
        <v>535</v>
      </c>
      <c r="S672" s="220">
        <f t="shared" si="11"/>
        <v>0</v>
      </c>
      <c r="T672" s="219" t="str">
        <f>IFERROR(VLOOKUP($B672,'SIZE CALCULATION'!$F$2:$G$100,2,0),"")</f>
        <v/>
      </c>
    </row>
    <row r="673" spans="1:20" x14ac:dyDescent="0.2">
      <c r="A673" s="236"/>
      <c r="B673" s="222"/>
      <c r="C673" s="222"/>
      <c r="D673" s="224"/>
      <c r="E673" s="223"/>
      <c r="F673" s="223"/>
      <c r="G673" s="223"/>
      <c r="H673" s="223"/>
      <c r="I673" s="247"/>
      <c r="J673" s="223"/>
      <c r="K673" s="240"/>
      <c r="L673" s="223"/>
      <c r="M673" s="223"/>
      <c r="N673" s="223"/>
      <c r="O673" s="223"/>
      <c r="P673" s="223"/>
      <c r="Q673" s="223"/>
      <c r="R673" s="223" t="s">
        <v>535</v>
      </c>
      <c r="S673" s="220">
        <f t="shared" si="11"/>
        <v>0</v>
      </c>
      <c r="T673" s="219" t="str">
        <f>IFERROR(VLOOKUP($B673,'SIZE CALCULATION'!$F$2:$G$100,2,0),"")</f>
        <v/>
      </c>
    </row>
    <row r="674" spans="1:20" x14ac:dyDescent="0.2">
      <c r="A674" s="236"/>
      <c r="B674" s="222"/>
      <c r="C674" s="222"/>
      <c r="D674" s="224"/>
      <c r="E674" s="223"/>
      <c r="F674" s="223"/>
      <c r="G674" s="223"/>
      <c r="H674" s="223"/>
      <c r="I674" s="247"/>
      <c r="J674" s="223"/>
      <c r="K674" s="240"/>
      <c r="L674" s="223"/>
      <c r="M674" s="223"/>
      <c r="N674" s="223"/>
      <c r="O674" s="223"/>
      <c r="P674" s="223"/>
      <c r="Q674" s="223"/>
      <c r="R674" s="223" t="s">
        <v>535</v>
      </c>
      <c r="S674" s="220">
        <f t="shared" si="11"/>
        <v>0</v>
      </c>
      <c r="T674" s="219" t="str">
        <f>IFERROR(VLOOKUP($B674,'SIZE CALCULATION'!$F$2:$G$100,2,0),"")</f>
        <v/>
      </c>
    </row>
    <row r="675" spans="1:20" x14ac:dyDescent="0.2">
      <c r="A675" s="236"/>
      <c r="B675" s="222"/>
      <c r="C675" s="222"/>
      <c r="D675" s="224"/>
      <c r="E675" s="223"/>
      <c r="F675" s="223"/>
      <c r="G675" s="223"/>
      <c r="H675" s="223"/>
      <c r="I675" s="247"/>
      <c r="J675" s="223"/>
      <c r="K675" s="240"/>
      <c r="L675" s="223"/>
      <c r="M675" s="223"/>
      <c r="N675" s="223"/>
      <c r="O675" s="223"/>
      <c r="P675" s="223"/>
      <c r="Q675" s="223"/>
      <c r="R675" s="223" t="s">
        <v>535</v>
      </c>
      <c r="S675" s="220">
        <f t="shared" si="11"/>
        <v>0</v>
      </c>
      <c r="T675" s="219" t="str">
        <f>IFERROR(VLOOKUP($B675,'SIZE CALCULATION'!$F$2:$G$100,2,0),"")</f>
        <v/>
      </c>
    </row>
    <row r="676" spans="1:20" x14ac:dyDescent="0.2">
      <c r="A676" s="236"/>
      <c r="B676" s="222"/>
      <c r="C676" s="222"/>
      <c r="D676" s="224"/>
      <c r="E676" s="223"/>
      <c r="F676" s="223"/>
      <c r="G676" s="223"/>
      <c r="H676" s="223"/>
      <c r="I676" s="247"/>
      <c r="J676" s="223"/>
      <c r="K676" s="240"/>
      <c r="L676" s="223"/>
      <c r="M676" s="223"/>
      <c r="N676" s="223"/>
      <c r="O676" s="223"/>
      <c r="P676" s="223"/>
      <c r="Q676" s="223"/>
      <c r="R676" s="223" t="s">
        <v>535</v>
      </c>
      <c r="S676" s="220">
        <f t="shared" si="11"/>
        <v>0</v>
      </c>
      <c r="T676" s="219" t="str">
        <f>IFERROR(VLOOKUP($B676,'SIZE CALCULATION'!$F$2:$G$100,2,0),"")</f>
        <v/>
      </c>
    </row>
    <row r="677" spans="1:20" x14ac:dyDescent="0.2">
      <c r="A677" s="236"/>
      <c r="B677" s="222"/>
      <c r="C677" s="222"/>
      <c r="D677" s="224"/>
      <c r="E677" s="223"/>
      <c r="F677" s="223"/>
      <c r="G677" s="223"/>
      <c r="H677" s="223"/>
      <c r="I677" s="247"/>
      <c r="J677" s="223"/>
      <c r="K677" s="240"/>
      <c r="L677" s="223"/>
      <c r="M677" s="223"/>
      <c r="N677" s="223"/>
      <c r="O677" s="223"/>
      <c r="P677" s="223"/>
      <c r="Q677" s="223"/>
      <c r="R677" s="223" t="s">
        <v>535</v>
      </c>
      <c r="S677" s="220">
        <f t="shared" si="11"/>
        <v>0</v>
      </c>
      <c r="T677" s="219" t="str">
        <f>IFERROR(VLOOKUP($B677,'SIZE CALCULATION'!$F$2:$G$100,2,0),"")</f>
        <v/>
      </c>
    </row>
    <row r="678" spans="1:20" x14ac:dyDescent="0.2">
      <c r="A678" s="236"/>
      <c r="B678" s="222"/>
      <c r="C678" s="222"/>
      <c r="D678" s="224"/>
      <c r="E678" s="223"/>
      <c r="F678" s="223"/>
      <c r="G678" s="223"/>
      <c r="H678" s="223"/>
      <c r="I678" s="247"/>
      <c r="J678" s="223"/>
      <c r="K678" s="240"/>
      <c r="L678" s="223"/>
      <c r="M678" s="223"/>
      <c r="N678" s="223"/>
      <c r="O678" s="223"/>
      <c r="P678" s="223"/>
      <c r="Q678" s="223"/>
      <c r="R678" s="223" t="s">
        <v>535</v>
      </c>
      <c r="S678" s="220">
        <f t="shared" si="11"/>
        <v>0</v>
      </c>
      <c r="T678" s="219" t="str">
        <f>IFERROR(VLOOKUP($B678,'SIZE CALCULATION'!$F$2:$G$100,2,0),"")</f>
        <v/>
      </c>
    </row>
    <row r="679" spans="1:20" x14ac:dyDescent="0.2">
      <c r="A679" s="236"/>
      <c r="B679" s="222"/>
      <c r="C679" s="222"/>
      <c r="D679" s="224"/>
      <c r="E679" s="223"/>
      <c r="F679" s="223"/>
      <c r="G679" s="223"/>
      <c r="H679" s="223"/>
      <c r="I679" s="247"/>
      <c r="J679" s="223"/>
      <c r="K679" s="240"/>
      <c r="L679" s="223"/>
      <c r="M679" s="223"/>
      <c r="N679" s="223"/>
      <c r="O679" s="223"/>
      <c r="P679" s="223"/>
      <c r="Q679" s="223"/>
      <c r="R679" s="223" t="s">
        <v>535</v>
      </c>
      <c r="S679" s="220">
        <f t="shared" si="11"/>
        <v>0</v>
      </c>
      <c r="T679" s="219" t="str">
        <f>IFERROR(VLOOKUP($B679,'SIZE CALCULATION'!$F$2:$G$100,2,0),"")</f>
        <v/>
      </c>
    </row>
    <row r="680" spans="1:20" x14ac:dyDescent="0.2">
      <c r="A680" s="236"/>
      <c r="B680" s="222"/>
      <c r="C680" s="222"/>
      <c r="D680" s="224"/>
      <c r="E680" s="223"/>
      <c r="F680" s="223"/>
      <c r="G680" s="223"/>
      <c r="H680" s="223"/>
      <c r="I680" s="247"/>
      <c r="J680" s="223"/>
      <c r="K680" s="240"/>
      <c r="L680" s="223"/>
      <c r="M680" s="223"/>
      <c r="N680" s="223"/>
      <c r="O680" s="223"/>
      <c r="P680" s="223"/>
      <c r="Q680" s="223"/>
      <c r="R680" s="223" t="s">
        <v>535</v>
      </c>
      <c r="S680" s="220">
        <f t="shared" si="11"/>
        <v>0</v>
      </c>
      <c r="T680" s="219" t="str">
        <f>IFERROR(VLOOKUP($B680,'SIZE CALCULATION'!$F$2:$G$100,2,0),"")</f>
        <v/>
      </c>
    </row>
    <row r="681" spans="1:20" x14ac:dyDescent="0.2">
      <c r="A681" s="236"/>
      <c r="B681" s="222"/>
      <c r="C681" s="222"/>
      <c r="D681" s="224"/>
      <c r="E681" s="223"/>
      <c r="F681" s="223"/>
      <c r="G681" s="223"/>
      <c r="H681" s="223"/>
      <c r="I681" s="247"/>
      <c r="J681" s="223"/>
      <c r="K681" s="240"/>
      <c r="L681" s="223"/>
      <c r="M681" s="223"/>
      <c r="N681" s="223"/>
      <c r="O681" s="223"/>
      <c r="P681" s="223"/>
      <c r="Q681" s="223"/>
      <c r="R681" s="223" t="s">
        <v>535</v>
      </c>
      <c r="S681" s="220">
        <f t="shared" si="11"/>
        <v>0</v>
      </c>
      <c r="T681" s="219" t="str">
        <f>IFERROR(VLOOKUP($B681,'SIZE CALCULATION'!$F$2:$G$100,2,0),"")</f>
        <v/>
      </c>
    </row>
    <row r="682" spans="1:20" x14ac:dyDescent="0.2">
      <c r="A682" s="236"/>
      <c r="B682" s="222"/>
      <c r="C682" s="222"/>
      <c r="D682" s="224"/>
      <c r="E682" s="223"/>
      <c r="F682" s="223"/>
      <c r="G682" s="223"/>
      <c r="H682" s="223"/>
      <c r="I682" s="247"/>
      <c r="J682" s="223"/>
      <c r="K682" s="240"/>
      <c r="L682" s="223"/>
      <c r="M682" s="223"/>
      <c r="N682" s="223"/>
      <c r="O682" s="223"/>
      <c r="P682" s="223"/>
      <c r="Q682" s="223"/>
      <c r="R682" s="223" t="s">
        <v>535</v>
      </c>
      <c r="S682" s="220">
        <f t="shared" si="11"/>
        <v>0</v>
      </c>
      <c r="T682" s="219" t="str">
        <f>IFERROR(VLOOKUP($B682,'SIZE CALCULATION'!$F$2:$G$100,2,0),"")</f>
        <v/>
      </c>
    </row>
    <row r="683" spans="1:20" x14ac:dyDescent="0.2">
      <c r="A683" s="236"/>
      <c r="B683" s="222"/>
      <c r="C683" s="222"/>
      <c r="D683" s="224"/>
      <c r="E683" s="223"/>
      <c r="F683" s="223"/>
      <c r="G683" s="223"/>
      <c r="H683" s="223"/>
      <c r="I683" s="247"/>
      <c r="J683" s="223"/>
      <c r="K683" s="240"/>
      <c r="L683" s="223"/>
      <c r="M683" s="223"/>
      <c r="N683" s="223"/>
      <c r="O683" s="223"/>
      <c r="P683" s="223"/>
      <c r="Q683" s="223"/>
      <c r="R683" s="223" t="s">
        <v>535</v>
      </c>
      <c r="S683" s="220">
        <f t="shared" si="11"/>
        <v>0</v>
      </c>
      <c r="T683" s="219" t="str">
        <f>IFERROR(VLOOKUP($B683,'SIZE CALCULATION'!$F$2:$G$100,2,0),"")</f>
        <v/>
      </c>
    </row>
    <row r="684" spans="1:20" x14ac:dyDescent="0.2">
      <c r="A684" s="236"/>
      <c r="B684" s="222"/>
      <c r="C684" s="222"/>
      <c r="D684" s="224"/>
      <c r="E684" s="223"/>
      <c r="F684" s="223"/>
      <c r="G684" s="223"/>
      <c r="H684" s="223"/>
      <c r="I684" s="247"/>
      <c r="J684" s="223"/>
      <c r="K684" s="240"/>
      <c r="L684" s="223"/>
      <c r="M684" s="223"/>
      <c r="N684" s="223"/>
      <c r="O684" s="223"/>
      <c r="P684" s="223"/>
      <c r="Q684" s="223"/>
      <c r="R684" s="223" t="s">
        <v>535</v>
      </c>
      <c r="S684" s="220">
        <f t="shared" si="11"/>
        <v>0</v>
      </c>
      <c r="T684" s="219" t="str">
        <f>IFERROR(VLOOKUP($B684,'SIZE CALCULATION'!$F$2:$G$100,2,0),"")</f>
        <v/>
      </c>
    </row>
    <row r="685" spans="1:20" x14ac:dyDescent="0.2">
      <c r="A685" s="236"/>
      <c r="B685" s="222"/>
      <c r="C685" s="222"/>
      <c r="D685" s="224"/>
      <c r="E685" s="223"/>
      <c r="F685" s="223"/>
      <c r="G685" s="223"/>
      <c r="H685" s="223"/>
      <c r="I685" s="247"/>
      <c r="J685" s="223"/>
      <c r="K685" s="240"/>
      <c r="L685" s="223"/>
      <c r="M685" s="223"/>
      <c r="N685" s="223"/>
      <c r="O685" s="223"/>
      <c r="P685" s="223"/>
      <c r="Q685" s="223"/>
      <c r="R685" s="223" t="s">
        <v>535</v>
      </c>
      <c r="S685" s="220">
        <f t="shared" si="11"/>
        <v>0</v>
      </c>
      <c r="T685" s="219" t="str">
        <f>IFERROR(VLOOKUP($B685,'SIZE CALCULATION'!$F$2:$G$100,2,0),"")</f>
        <v/>
      </c>
    </row>
    <row r="686" spans="1:20" x14ac:dyDescent="0.2">
      <c r="A686" s="236"/>
      <c r="B686" s="222"/>
      <c r="C686" s="222"/>
      <c r="D686" s="224"/>
      <c r="E686" s="223"/>
      <c r="F686" s="223"/>
      <c r="G686" s="223"/>
      <c r="H686" s="223"/>
      <c r="I686" s="247"/>
      <c r="J686" s="223"/>
      <c r="K686" s="240"/>
      <c r="L686" s="223"/>
      <c r="M686" s="223"/>
      <c r="N686" s="223"/>
      <c r="O686" s="223"/>
      <c r="P686" s="223"/>
      <c r="Q686" s="223"/>
      <c r="R686" s="223" t="s">
        <v>535</v>
      </c>
      <c r="S686" s="220">
        <f t="shared" si="11"/>
        <v>0</v>
      </c>
      <c r="T686" s="219" t="str">
        <f>IFERROR(VLOOKUP($B686,'SIZE CALCULATION'!$F$2:$G$100,2,0),"")</f>
        <v/>
      </c>
    </row>
    <row r="687" spans="1:20" x14ac:dyDescent="0.2">
      <c r="A687" s="236"/>
      <c r="B687" s="222"/>
      <c r="C687" s="222"/>
      <c r="D687" s="224"/>
      <c r="E687" s="223"/>
      <c r="F687" s="223"/>
      <c r="G687" s="223"/>
      <c r="H687" s="223"/>
      <c r="I687" s="247"/>
      <c r="J687" s="223"/>
      <c r="K687" s="240"/>
      <c r="L687" s="223"/>
      <c r="M687" s="223"/>
      <c r="N687" s="223"/>
      <c r="O687" s="223"/>
      <c r="P687" s="223"/>
      <c r="Q687" s="223"/>
      <c r="R687" s="223" t="s">
        <v>535</v>
      </c>
      <c r="S687" s="220">
        <f t="shared" si="11"/>
        <v>0</v>
      </c>
      <c r="T687" s="219" t="str">
        <f>IFERROR(VLOOKUP($B687,'SIZE CALCULATION'!$F$2:$G$100,2,0),"")</f>
        <v/>
      </c>
    </row>
    <row r="688" spans="1:20" x14ac:dyDescent="0.2">
      <c r="A688" s="236"/>
      <c r="B688" s="222"/>
      <c r="C688" s="222"/>
      <c r="D688" s="224"/>
      <c r="E688" s="223"/>
      <c r="F688" s="223"/>
      <c r="G688" s="223"/>
      <c r="H688" s="223"/>
      <c r="I688" s="247"/>
      <c r="J688" s="223"/>
      <c r="K688" s="240"/>
      <c r="L688" s="223"/>
      <c r="M688" s="223"/>
      <c r="N688" s="223"/>
      <c r="O688" s="223"/>
      <c r="P688" s="223"/>
      <c r="Q688" s="223"/>
      <c r="R688" s="223" t="s">
        <v>535</v>
      </c>
      <c r="S688" s="220">
        <f t="shared" si="11"/>
        <v>0</v>
      </c>
      <c r="T688" s="219" t="str">
        <f>IFERROR(VLOOKUP($B688,'SIZE CALCULATION'!$F$2:$G$100,2,0),"")</f>
        <v/>
      </c>
    </row>
    <row r="689" spans="1:20" x14ac:dyDescent="0.2">
      <c r="A689" s="236"/>
      <c r="B689" s="222"/>
      <c r="C689" s="222"/>
      <c r="D689" s="224"/>
      <c r="E689" s="223"/>
      <c r="F689" s="223"/>
      <c r="G689" s="223"/>
      <c r="H689" s="223"/>
      <c r="I689" s="247"/>
      <c r="J689" s="223"/>
      <c r="K689" s="240"/>
      <c r="L689" s="223"/>
      <c r="M689" s="223"/>
      <c r="N689" s="223"/>
      <c r="O689" s="223"/>
      <c r="P689" s="223"/>
      <c r="Q689" s="223"/>
      <c r="R689" s="223" t="s">
        <v>535</v>
      </c>
      <c r="S689" s="220">
        <f t="shared" si="11"/>
        <v>0</v>
      </c>
      <c r="T689" s="219" t="str">
        <f>IFERROR(VLOOKUP($B689,'SIZE CALCULATION'!$F$2:$G$100,2,0),"")</f>
        <v/>
      </c>
    </row>
    <row r="690" spans="1:20" x14ac:dyDescent="0.2">
      <c r="A690" s="236"/>
      <c r="B690" s="222"/>
      <c r="C690" s="222"/>
      <c r="D690" s="224"/>
      <c r="E690" s="223"/>
      <c r="F690" s="223"/>
      <c r="G690" s="223"/>
      <c r="H690" s="223"/>
      <c r="I690" s="247"/>
      <c r="J690" s="223"/>
      <c r="K690" s="240"/>
      <c r="L690" s="223"/>
      <c r="M690" s="223"/>
      <c r="N690" s="223"/>
      <c r="O690" s="223"/>
      <c r="P690" s="223"/>
      <c r="Q690" s="223"/>
      <c r="R690" s="223" t="s">
        <v>535</v>
      </c>
      <c r="S690" s="220">
        <f t="shared" si="11"/>
        <v>0</v>
      </c>
      <c r="T690" s="219" t="str">
        <f>IFERROR(VLOOKUP($B690,'SIZE CALCULATION'!$F$2:$G$100,2,0),"")</f>
        <v/>
      </c>
    </row>
    <row r="691" spans="1:20" x14ac:dyDescent="0.2">
      <c r="A691" s="236"/>
      <c r="B691" s="222"/>
      <c r="C691" s="222"/>
      <c r="D691" s="224"/>
      <c r="E691" s="223"/>
      <c r="F691" s="223"/>
      <c r="G691" s="223"/>
      <c r="H691" s="223"/>
      <c r="I691" s="247"/>
      <c r="J691" s="223"/>
      <c r="K691" s="240"/>
      <c r="L691" s="223"/>
      <c r="M691" s="223"/>
      <c r="N691" s="223"/>
      <c r="O691" s="223"/>
      <c r="P691" s="223"/>
      <c r="Q691" s="223"/>
      <c r="R691" s="223" t="s">
        <v>535</v>
      </c>
      <c r="S691" s="220">
        <f t="shared" si="11"/>
        <v>0</v>
      </c>
      <c r="T691" s="219" t="str">
        <f>IFERROR(VLOOKUP($B691,'SIZE CALCULATION'!$F$2:$G$100,2,0),"")</f>
        <v/>
      </c>
    </row>
    <row r="692" spans="1:20" x14ac:dyDescent="0.2">
      <c r="A692" s="236"/>
      <c r="B692" s="222"/>
      <c r="C692" s="222"/>
      <c r="D692" s="224"/>
      <c r="E692" s="223"/>
      <c r="F692" s="223"/>
      <c r="G692" s="223"/>
      <c r="H692" s="223"/>
      <c r="I692" s="247"/>
      <c r="J692" s="223"/>
      <c r="K692" s="240"/>
      <c r="L692" s="223"/>
      <c r="M692" s="223"/>
      <c r="N692" s="223"/>
      <c r="O692" s="223"/>
      <c r="P692" s="223"/>
      <c r="Q692" s="223"/>
      <c r="R692" s="223" t="s">
        <v>535</v>
      </c>
      <c r="S692" s="220">
        <f t="shared" si="11"/>
        <v>0</v>
      </c>
      <c r="T692" s="219" t="str">
        <f>IFERROR(VLOOKUP($B692,'SIZE CALCULATION'!$F$2:$G$100,2,0),"")</f>
        <v/>
      </c>
    </row>
    <row r="693" spans="1:20" x14ac:dyDescent="0.2">
      <c r="A693" s="236"/>
      <c r="B693" s="222"/>
      <c r="C693" s="222"/>
      <c r="D693" s="224"/>
      <c r="E693" s="223"/>
      <c r="F693" s="223"/>
      <c r="G693" s="223"/>
      <c r="H693" s="223"/>
      <c r="I693" s="247"/>
      <c r="J693" s="223"/>
      <c r="K693" s="240"/>
      <c r="L693" s="223"/>
      <c r="M693" s="223"/>
      <c r="N693" s="223"/>
      <c r="O693" s="223"/>
      <c r="P693" s="223"/>
      <c r="Q693" s="223"/>
      <c r="R693" s="223" t="s">
        <v>535</v>
      </c>
      <c r="S693" s="220">
        <f t="shared" si="11"/>
        <v>0</v>
      </c>
      <c r="T693" s="219" t="str">
        <f>IFERROR(VLOOKUP($B693,'SIZE CALCULATION'!$F$2:$G$100,2,0),"")</f>
        <v/>
      </c>
    </row>
    <row r="694" spans="1:20" x14ac:dyDescent="0.2">
      <c r="A694" s="236"/>
      <c r="B694" s="222"/>
      <c r="C694" s="222"/>
      <c r="D694" s="224"/>
      <c r="E694" s="223"/>
      <c r="F694" s="223"/>
      <c r="G694" s="223"/>
      <c r="H694" s="223"/>
      <c r="I694" s="247"/>
      <c r="J694" s="223"/>
      <c r="K694" s="240"/>
      <c r="L694" s="223"/>
      <c r="M694" s="223"/>
      <c r="N694" s="223"/>
      <c r="O694" s="223"/>
      <c r="P694" s="223"/>
      <c r="Q694" s="223"/>
      <c r="R694" s="223" t="s">
        <v>535</v>
      </c>
      <c r="S694" s="220">
        <f t="shared" si="11"/>
        <v>0</v>
      </c>
      <c r="T694" s="219" t="str">
        <f>IFERROR(VLOOKUP($B694,'SIZE CALCULATION'!$F$2:$G$100,2,0),"")</f>
        <v/>
      </c>
    </row>
    <row r="695" spans="1:20" x14ac:dyDescent="0.2">
      <c r="A695" s="236"/>
      <c r="B695" s="222"/>
      <c r="C695" s="222"/>
      <c r="D695" s="224"/>
      <c r="E695" s="223"/>
      <c r="F695" s="223"/>
      <c r="G695" s="223"/>
      <c r="H695" s="223"/>
      <c r="I695" s="247"/>
      <c r="J695" s="223"/>
      <c r="K695" s="240"/>
      <c r="L695" s="223"/>
      <c r="M695" s="223"/>
      <c r="N695" s="223"/>
      <c r="O695" s="223"/>
      <c r="P695" s="223"/>
      <c r="Q695" s="223"/>
      <c r="R695" s="223" t="s">
        <v>535</v>
      </c>
      <c r="S695" s="220">
        <f t="shared" si="11"/>
        <v>0</v>
      </c>
      <c r="T695" s="219" t="str">
        <f>IFERROR(VLOOKUP($B695,'SIZE CALCULATION'!$F$2:$G$100,2,0),"")</f>
        <v/>
      </c>
    </row>
    <row r="696" spans="1:20" x14ac:dyDescent="0.2">
      <c r="A696" s="236"/>
      <c r="B696" s="222"/>
      <c r="C696" s="222"/>
      <c r="D696" s="224"/>
      <c r="E696" s="223"/>
      <c r="F696" s="223"/>
      <c r="G696" s="223"/>
      <c r="H696" s="223"/>
      <c r="I696" s="247"/>
      <c r="J696" s="223"/>
      <c r="K696" s="240"/>
      <c r="L696" s="223"/>
      <c r="M696" s="223"/>
      <c r="N696" s="223"/>
      <c r="O696" s="223"/>
      <c r="P696" s="223"/>
      <c r="Q696" s="223"/>
      <c r="R696" s="223" t="s">
        <v>535</v>
      </c>
      <c r="S696" s="220">
        <f t="shared" si="11"/>
        <v>0</v>
      </c>
      <c r="T696" s="219" t="str">
        <f>IFERROR(VLOOKUP($B696,'SIZE CALCULATION'!$F$2:$G$100,2,0),"")</f>
        <v/>
      </c>
    </row>
    <row r="697" spans="1:20" x14ac:dyDescent="0.2">
      <c r="A697" s="236"/>
      <c r="B697" s="222"/>
      <c r="C697" s="222"/>
      <c r="D697" s="224"/>
      <c r="E697" s="223"/>
      <c r="F697" s="223"/>
      <c r="G697" s="223"/>
      <c r="H697" s="223"/>
      <c r="I697" s="247"/>
      <c r="J697" s="223"/>
      <c r="K697" s="240"/>
      <c r="L697" s="223"/>
      <c r="M697" s="223"/>
      <c r="N697" s="223"/>
      <c r="O697" s="223"/>
      <c r="P697" s="223"/>
      <c r="Q697" s="223"/>
      <c r="R697" s="223" t="s">
        <v>535</v>
      </c>
      <c r="S697" s="220">
        <f t="shared" si="11"/>
        <v>0</v>
      </c>
      <c r="T697" s="219" t="str">
        <f>IFERROR(VLOOKUP($B697,'SIZE CALCULATION'!$F$2:$G$100,2,0),"")</f>
        <v/>
      </c>
    </row>
    <row r="698" spans="1:20" x14ac:dyDescent="0.2">
      <c r="A698" s="236"/>
      <c r="B698" s="222"/>
      <c r="C698" s="222"/>
      <c r="D698" s="224"/>
      <c r="E698" s="223"/>
      <c r="F698" s="223"/>
      <c r="G698" s="223"/>
      <c r="H698" s="223"/>
      <c r="I698" s="247"/>
      <c r="J698" s="223"/>
      <c r="K698" s="240"/>
      <c r="L698" s="223"/>
      <c r="M698" s="223"/>
      <c r="N698" s="223"/>
      <c r="O698" s="223"/>
      <c r="P698" s="223"/>
      <c r="Q698" s="223"/>
      <c r="R698" s="223" t="s">
        <v>535</v>
      </c>
      <c r="S698" s="220">
        <f t="shared" si="11"/>
        <v>0</v>
      </c>
      <c r="T698" s="219" t="str">
        <f>IFERROR(VLOOKUP($B698,'SIZE CALCULATION'!$F$2:$G$100,2,0),"")</f>
        <v/>
      </c>
    </row>
    <row r="699" spans="1:20" x14ac:dyDescent="0.2">
      <c r="A699" s="236"/>
      <c r="B699" s="222"/>
      <c r="C699" s="222"/>
      <c r="D699" s="224"/>
      <c r="E699" s="223"/>
      <c r="F699" s="223"/>
      <c r="G699" s="223"/>
      <c r="H699" s="223"/>
      <c r="I699" s="247"/>
      <c r="J699" s="223"/>
      <c r="K699" s="240"/>
      <c r="L699" s="223"/>
      <c r="M699" s="223"/>
      <c r="N699" s="223"/>
      <c r="O699" s="223"/>
      <c r="P699" s="223"/>
      <c r="Q699" s="223"/>
      <c r="R699" s="223" t="s">
        <v>535</v>
      </c>
      <c r="S699" s="220">
        <f t="shared" si="11"/>
        <v>0</v>
      </c>
      <c r="T699" s="219" t="str">
        <f>IFERROR(VLOOKUP($B699,'SIZE CALCULATION'!$F$2:$G$100,2,0),"")</f>
        <v/>
      </c>
    </row>
    <row r="700" spans="1:20" x14ac:dyDescent="0.2">
      <c r="A700" s="236"/>
      <c r="B700" s="222"/>
      <c r="C700" s="222"/>
      <c r="D700" s="224"/>
      <c r="E700" s="223"/>
      <c r="F700" s="223"/>
      <c r="G700" s="223"/>
      <c r="H700" s="223"/>
      <c r="I700" s="247"/>
      <c r="J700" s="223"/>
      <c r="K700" s="240"/>
      <c r="L700" s="223"/>
      <c r="M700" s="223"/>
      <c r="N700" s="223"/>
      <c r="O700" s="223"/>
      <c r="P700" s="223"/>
      <c r="Q700" s="223"/>
      <c r="R700" s="223" t="s">
        <v>535</v>
      </c>
      <c r="S700" s="220">
        <f t="shared" ref="S700:S763" si="12">IFERROR(M700/O700,M700)</f>
        <v>0</v>
      </c>
      <c r="T700" s="219" t="str">
        <f>IFERROR(VLOOKUP($B700,'SIZE CALCULATION'!$F$2:$G$100,2,0),"")</f>
        <v/>
      </c>
    </row>
    <row r="701" spans="1:20" x14ac:dyDescent="0.2">
      <c r="A701" s="236"/>
      <c r="B701" s="222"/>
      <c r="C701" s="222"/>
      <c r="D701" s="224"/>
      <c r="E701" s="223"/>
      <c r="F701" s="223"/>
      <c r="G701" s="223"/>
      <c r="H701" s="223"/>
      <c r="I701" s="247"/>
      <c r="J701" s="223"/>
      <c r="K701" s="240"/>
      <c r="L701" s="223"/>
      <c r="M701" s="223"/>
      <c r="N701" s="223"/>
      <c r="O701" s="223"/>
      <c r="P701" s="223"/>
      <c r="Q701" s="223"/>
      <c r="R701" s="223" t="s">
        <v>535</v>
      </c>
      <c r="S701" s="220">
        <f t="shared" si="12"/>
        <v>0</v>
      </c>
      <c r="T701" s="219" t="str">
        <f>IFERROR(VLOOKUP($B701,'SIZE CALCULATION'!$F$2:$G$100,2,0),"")</f>
        <v/>
      </c>
    </row>
    <row r="702" spans="1:20" x14ac:dyDescent="0.2">
      <c r="A702" s="236"/>
      <c r="B702" s="222"/>
      <c r="C702" s="222"/>
      <c r="D702" s="224"/>
      <c r="E702" s="223"/>
      <c r="F702" s="223"/>
      <c r="G702" s="223"/>
      <c r="H702" s="223"/>
      <c r="I702" s="247"/>
      <c r="J702" s="223"/>
      <c r="K702" s="240"/>
      <c r="L702" s="223"/>
      <c r="M702" s="223"/>
      <c r="N702" s="223"/>
      <c r="O702" s="223"/>
      <c r="P702" s="223"/>
      <c r="Q702" s="223"/>
      <c r="R702" s="223" t="s">
        <v>535</v>
      </c>
      <c r="S702" s="220">
        <f t="shared" si="12"/>
        <v>0</v>
      </c>
      <c r="T702" s="219" t="str">
        <f>IFERROR(VLOOKUP($B702,'SIZE CALCULATION'!$F$2:$G$100,2,0),"")</f>
        <v/>
      </c>
    </row>
    <row r="703" spans="1:20" x14ac:dyDescent="0.2">
      <c r="A703" s="236"/>
      <c r="B703" s="222"/>
      <c r="C703" s="222"/>
      <c r="D703" s="224"/>
      <c r="E703" s="223"/>
      <c r="F703" s="223"/>
      <c r="G703" s="223"/>
      <c r="H703" s="223"/>
      <c r="I703" s="247"/>
      <c r="J703" s="223"/>
      <c r="K703" s="240"/>
      <c r="L703" s="223"/>
      <c r="M703" s="223"/>
      <c r="N703" s="223"/>
      <c r="O703" s="223"/>
      <c r="P703" s="223"/>
      <c r="Q703" s="223"/>
      <c r="R703" s="223" t="s">
        <v>535</v>
      </c>
      <c r="S703" s="220">
        <f t="shared" si="12"/>
        <v>0</v>
      </c>
      <c r="T703" s="219" t="str">
        <f>IFERROR(VLOOKUP($B703,'SIZE CALCULATION'!$F$2:$G$100,2,0),"")</f>
        <v/>
      </c>
    </row>
    <row r="704" spans="1:20" x14ac:dyDescent="0.2">
      <c r="A704" s="236"/>
      <c r="B704" s="222"/>
      <c r="C704" s="222"/>
      <c r="D704" s="224"/>
      <c r="E704" s="223"/>
      <c r="F704" s="223"/>
      <c r="G704" s="223"/>
      <c r="H704" s="223"/>
      <c r="I704" s="247"/>
      <c r="J704" s="223"/>
      <c r="K704" s="240"/>
      <c r="L704" s="223"/>
      <c r="M704" s="223"/>
      <c r="N704" s="223"/>
      <c r="O704" s="223"/>
      <c r="P704" s="223"/>
      <c r="Q704" s="223"/>
      <c r="R704" s="223" t="s">
        <v>535</v>
      </c>
      <c r="S704" s="220">
        <f t="shared" si="12"/>
        <v>0</v>
      </c>
      <c r="T704" s="219" t="str">
        <f>IFERROR(VLOOKUP($B704,'SIZE CALCULATION'!$F$2:$G$100,2,0),"")</f>
        <v/>
      </c>
    </row>
    <row r="705" spans="1:20" x14ac:dyDescent="0.2">
      <c r="A705" s="236"/>
      <c r="B705" s="222"/>
      <c r="C705" s="222"/>
      <c r="D705" s="224"/>
      <c r="E705" s="223"/>
      <c r="F705" s="223"/>
      <c r="G705" s="223"/>
      <c r="H705" s="223"/>
      <c r="I705" s="247"/>
      <c r="J705" s="223"/>
      <c r="K705" s="240"/>
      <c r="L705" s="223"/>
      <c r="M705" s="223"/>
      <c r="N705" s="223"/>
      <c r="O705" s="223"/>
      <c r="P705" s="223"/>
      <c r="Q705" s="223"/>
      <c r="R705" s="223" t="s">
        <v>535</v>
      </c>
      <c r="S705" s="220">
        <f t="shared" si="12"/>
        <v>0</v>
      </c>
      <c r="T705" s="219" t="str">
        <f>IFERROR(VLOOKUP($B705,'SIZE CALCULATION'!$F$2:$G$100,2,0),"")</f>
        <v/>
      </c>
    </row>
    <row r="706" spans="1:20" x14ac:dyDescent="0.2">
      <c r="A706" s="236"/>
      <c r="B706" s="222"/>
      <c r="C706" s="222"/>
      <c r="D706" s="224"/>
      <c r="E706" s="223"/>
      <c r="F706" s="223"/>
      <c r="G706" s="223"/>
      <c r="H706" s="223"/>
      <c r="I706" s="247"/>
      <c r="J706" s="223"/>
      <c r="K706" s="240"/>
      <c r="L706" s="223"/>
      <c r="M706" s="223"/>
      <c r="N706" s="223"/>
      <c r="O706" s="223"/>
      <c r="P706" s="223"/>
      <c r="Q706" s="223"/>
      <c r="R706" s="223" t="s">
        <v>535</v>
      </c>
      <c r="S706" s="220">
        <f t="shared" si="12"/>
        <v>0</v>
      </c>
      <c r="T706" s="219" t="str">
        <f>IFERROR(VLOOKUP($B706,'SIZE CALCULATION'!$F$2:$G$100,2,0),"")</f>
        <v/>
      </c>
    </row>
    <row r="707" spans="1:20" x14ac:dyDescent="0.2">
      <c r="A707" s="236"/>
      <c r="B707" s="222"/>
      <c r="C707" s="222"/>
      <c r="D707" s="224"/>
      <c r="E707" s="223"/>
      <c r="F707" s="223"/>
      <c r="G707" s="223"/>
      <c r="H707" s="223"/>
      <c r="I707" s="247"/>
      <c r="J707" s="223"/>
      <c r="K707" s="240"/>
      <c r="L707" s="223"/>
      <c r="M707" s="223"/>
      <c r="N707" s="223"/>
      <c r="O707" s="223"/>
      <c r="P707" s="223"/>
      <c r="Q707" s="223"/>
      <c r="R707" s="223" t="s">
        <v>535</v>
      </c>
      <c r="S707" s="220">
        <f t="shared" si="12"/>
        <v>0</v>
      </c>
      <c r="T707" s="219" t="str">
        <f>IFERROR(VLOOKUP($B707,'SIZE CALCULATION'!$F$2:$G$100,2,0),"")</f>
        <v/>
      </c>
    </row>
    <row r="708" spans="1:20" x14ac:dyDescent="0.2">
      <c r="A708" s="236"/>
      <c r="B708" s="222"/>
      <c r="C708" s="222"/>
      <c r="D708" s="224"/>
      <c r="E708" s="223"/>
      <c r="F708" s="223"/>
      <c r="G708" s="223"/>
      <c r="H708" s="223"/>
      <c r="I708" s="247"/>
      <c r="J708" s="223"/>
      <c r="K708" s="240"/>
      <c r="L708" s="223"/>
      <c r="M708" s="223"/>
      <c r="N708" s="223"/>
      <c r="O708" s="223"/>
      <c r="P708" s="223"/>
      <c r="Q708" s="223"/>
      <c r="R708" s="223" t="s">
        <v>535</v>
      </c>
      <c r="S708" s="220">
        <f t="shared" si="12"/>
        <v>0</v>
      </c>
      <c r="T708" s="219" t="str">
        <f>IFERROR(VLOOKUP($B708,'SIZE CALCULATION'!$F$2:$G$100,2,0),"")</f>
        <v/>
      </c>
    </row>
    <row r="709" spans="1:20" x14ac:dyDescent="0.2">
      <c r="A709" s="236"/>
      <c r="B709" s="222"/>
      <c r="C709" s="222"/>
      <c r="D709" s="224"/>
      <c r="E709" s="223"/>
      <c r="F709" s="223"/>
      <c r="G709" s="223"/>
      <c r="H709" s="223"/>
      <c r="I709" s="247"/>
      <c r="J709" s="223"/>
      <c r="K709" s="240"/>
      <c r="L709" s="223"/>
      <c r="M709" s="223"/>
      <c r="N709" s="223"/>
      <c r="O709" s="223"/>
      <c r="P709" s="223"/>
      <c r="Q709" s="223"/>
      <c r="R709" s="223" t="s">
        <v>535</v>
      </c>
      <c r="S709" s="220">
        <f t="shared" si="12"/>
        <v>0</v>
      </c>
      <c r="T709" s="219" t="str">
        <f>IFERROR(VLOOKUP($B709,'SIZE CALCULATION'!$F$2:$G$100,2,0),"")</f>
        <v/>
      </c>
    </row>
    <row r="710" spans="1:20" x14ac:dyDescent="0.2">
      <c r="A710" s="236"/>
      <c r="B710" s="222"/>
      <c r="C710" s="222"/>
      <c r="D710" s="224"/>
      <c r="E710" s="223"/>
      <c r="F710" s="223"/>
      <c r="G710" s="223"/>
      <c r="H710" s="223"/>
      <c r="I710" s="247"/>
      <c r="J710" s="223"/>
      <c r="K710" s="240"/>
      <c r="L710" s="223"/>
      <c r="M710" s="223"/>
      <c r="N710" s="223"/>
      <c r="O710" s="223"/>
      <c r="P710" s="223"/>
      <c r="Q710" s="223"/>
      <c r="R710" s="223" t="s">
        <v>535</v>
      </c>
      <c r="S710" s="220">
        <f t="shared" si="12"/>
        <v>0</v>
      </c>
      <c r="T710" s="219" t="str">
        <f>IFERROR(VLOOKUP($B710,'SIZE CALCULATION'!$F$2:$G$100,2,0),"")</f>
        <v/>
      </c>
    </row>
    <row r="711" spans="1:20" x14ac:dyDescent="0.2">
      <c r="A711" s="236"/>
      <c r="B711" s="222"/>
      <c r="C711" s="222"/>
      <c r="D711" s="224"/>
      <c r="E711" s="223"/>
      <c r="F711" s="223"/>
      <c r="G711" s="223"/>
      <c r="H711" s="223"/>
      <c r="I711" s="247"/>
      <c r="J711" s="223"/>
      <c r="K711" s="240"/>
      <c r="L711" s="223"/>
      <c r="M711" s="223"/>
      <c r="N711" s="223"/>
      <c r="O711" s="223"/>
      <c r="P711" s="223"/>
      <c r="Q711" s="223"/>
      <c r="R711" s="223" t="s">
        <v>535</v>
      </c>
      <c r="S711" s="220">
        <f t="shared" si="12"/>
        <v>0</v>
      </c>
      <c r="T711" s="219" t="str">
        <f>IFERROR(VLOOKUP($B711,'SIZE CALCULATION'!$F$2:$G$100,2,0),"")</f>
        <v/>
      </c>
    </row>
    <row r="712" spans="1:20" x14ac:dyDescent="0.2">
      <c r="A712" s="236"/>
      <c r="B712" s="222"/>
      <c r="C712" s="222"/>
      <c r="D712" s="224"/>
      <c r="E712" s="223"/>
      <c r="F712" s="223"/>
      <c r="G712" s="223"/>
      <c r="H712" s="223"/>
      <c r="I712" s="247"/>
      <c r="J712" s="223"/>
      <c r="K712" s="240"/>
      <c r="L712" s="223"/>
      <c r="M712" s="223"/>
      <c r="N712" s="223"/>
      <c r="O712" s="223"/>
      <c r="P712" s="223"/>
      <c r="Q712" s="223"/>
      <c r="R712" s="223" t="s">
        <v>535</v>
      </c>
      <c r="S712" s="220">
        <f t="shared" si="12"/>
        <v>0</v>
      </c>
      <c r="T712" s="219" t="str">
        <f>IFERROR(VLOOKUP($B712,'SIZE CALCULATION'!$F$2:$G$100,2,0),"")</f>
        <v/>
      </c>
    </row>
    <row r="713" spans="1:20" x14ac:dyDescent="0.2">
      <c r="A713" s="236"/>
      <c r="B713" s="222"/>
      <c r="C713" s="222"/>
      <c r="D713" s="224"/>
      <c r="E713" s="223"/>
      <c r="F713" s="223"/>
      <c r="G713" s="223"/>
      <c r="H713" s="223"/>
      <c r="I713" s="247"/>
      <c r="J713" s="223"/>
      <c r="K713" s="240"/>
      <c r="L713" s="223"/>
      <c r="M713" s="223"/>
      <c r="N713" s="223"/>
      <c r="O713" s="223"/>
      <c r="P713" s="223"/>
      <c r="Q713" s="223"/>
      <c r="R713" s="223" t="s">
        <v>535</v>
      </c>
      <c r="S713" s="220">
        <f t="shared" si="12"/>
        <v>0</v>
      </c>
      <c r="T713" s="219" t="str">
        <f>IFERROR(VLOOKUP($B713,'SIZE CALCULATION'!$F$2:$G$100,2,0),"")</f>
        <v/>
      </c>
    </row>
    <row r="714" spans="1:20" x14ac:dyDescent="0.2">
      <c r="A714" s="236"/>
      <c r="B714" s="222"/>
      <c r="C714" s="222"/>
      <c r="D714" s="224"/>
      <c r="E714" s="223"/>
      <c r="F714" s="223"/>
      <c r="G714" s="223"/>
      <c r="H714" s="223"/>
      <c r="I714" s="247"/>
      <c r="J714" s="223"/>
      <c r="K714" s="240"/>
      <c r="L714" s="223"/>
      <c r="M714" s="223"/>
      <c r="N714" s="223"/>
      <c r="O714" s="223"/>
      <c r="P714" s="223"/>
      <c r="Q714" s="223"/>
      <c r="R714" s="223" t="s">
        <v>535</v>
      </c>
      <c r="S714" s="220">
        <f t="shared" si="12"/>
        <v>0</v>
      </c>
      <c r="T714" s="219" t="str">
        <f>IFERROR(VLOOKUP($B714,'SIZE CALCULATION'!$F$2:$G$100,2,0),"")</f>
        <v/>
      </c>
    </row>
    <row r="715" spans="1:20" x14ac:dyDescent="0.2">
      <c r="A715" s="236"/>
      <c r="B715" s="222"/>
      <c r="C715" s="222"/>
      <c r="D715" s="224"/>
      <c r="E715" s="223"/>
      <c r="F715" s="223"/>
      <c r="G715" s="223"/>
      <c r="H715" s="223"/>
      <c r="I715" s="247"/>
      <c r="J715" s="223"/>
      <c r="K715" s="240"/>
      <c r="L715" s="223"/>
      <c r="M715" s="223"/>
      <c r="N715" s="223"/>
      <c r="O715" s="223"/>
      <c r="P715" s="223"/>
      <c r="Q715" s="223"/>
      <c r="R715" s="223" t="s">
        <v>535</v>
      </c>
      <c r="S715" s="220">
        <f t="shared" si="12"/>
        <v>0</v>
      </c>
      <c r="T715" s="219" t="str">
        <f>IFERROR(VLOOKUP($B715,'SIZE CALCULATION'!$F$2:$G$100,2,0),"")</f>
        <v/>
      </c>
    </row>
    <row r="716" spans="1:20" x14ac:dyDescent="0.2">
      <c r="A716" s="236"/>
      <c r="B716" s="222"/>
      <c r="C716" s="222"/>
      <c r="D716" s="224"/>
      <c r="E716" s="223"/>
      <c r="F716" s="223"/>
      <c r="G716" s="223"/>
      <c r="H716" s="223"/>
      <c r="I716" s="247"/>
      <c r="J716" s="223"/>
      <c r="K716" s="240"/>
      <c r="L716" s="223"/>
      <c r="M716" s="223"/>
      <c r="N716" s="223"/>
      <c r="O716" s="223"/>
      <c r="P716" s="223"/>
      <c r="Q716" s="223"/>
      <c r="R716" s="223" t="s">
        <v>535</v>
      </c>
      <c r="S716" s="220">
        <f t="shared" si="12"/>
        <v>0</v>
      </c>
      <c r="T716" s="219" t="str">
        <f>IFERROR(VLOOKUP($B716,'SIZE CALCULATION'!$F$2:$G$100,2,0),"")</f>
        <v/>
      </c>
    </row>
    <row r="717" spans="1:20" x14ac:dyDescent="0.2">
      <c r="A717" s="236"/>
      <c r="B717" s="222"/>
      <c r="C717" s="222"/>
      <c r="D717" s="224"/>
      <c r="E717" s="223"/>
      <c r="F717" s="223"/>
      <c r="G717" s="223"/>
      <c r="H717" s="223"/>
      <c r="I717" s="247"/>
      <c r="J717" s="223"/>
      <c r="K717" s="240"/>
      <c r="L717" s="223"/>
      <c r="M717" s="223"/>
      <c r="N717" s="223"/>
      <c r="O717" s="223"/>
      <c r="P717" s="223"/>
      <c r="Q717" s="223"/>
      <c r="R717" s="223" t="s">
        <v>535</v>
      </c>
      <c r="S717" s="220">
        <f t="shared" si="12"/>
        <v>0</v>
      </c>
      <c r="T717" s="219" t="str">
        <f>IFERROR(VLOOKUP($B717,'SIZE CALCULATION'!$F$2:$G$100,2,0),"")</f>
        <v/>
      </c>
    </row>
    <row r="718" spans="1:20" x14ac:dyDescent="0.2">
      <c r="A718" s="236"/>
      <c r="B718" s="222"/>
      <c r="C718" s="222"/>
      <c r="D718" s="224"/>
      <c r="E718" s="223"/>
      <c r="F718" s="223"/>
      <c r="G718" s="223"/>
      <c r="H718" s="223"/>
      <c r="I718" s="247"/>
      <c r="J718" s="223"/>
      <c r="K718" s="240"/>
      <c r="L718" s="223"/>
      <c r="M718" s="223"/>
      <c r="N718" s="223"/>
      <c r="O718" s="223"/>
      <c r="P718" s="223"/>
      <c r="Q718" s="223"/>
      <c r="R718" s="223" t="s">
        <v>535</v>
      </c>
      <c r="S718" s="220">
        <f t="shared" si="12"/>
        <v>0</v>
      </c>
      <c r="T718" s="219" t="str">
        <f>IFERROR(VLOOKUP($B718,'SIZE CALCULATION'!$F$2:$G$100,2,0),"")</f>
        <v/>
      </c>
    </row>
    <row r="719" spans="1:20" x14ac:dyDescent="0.2">
      <c r="A719" s="236"/>
      <c r="B719" s="222"/>
      <c r="C719" s="222"/>
      <c r="D719" s="224"/>
      <c r="E719" s="223"/>
      <c r="F719" s="223"/>
      <c r="G719" s="223"/>
      <c r="H719" s="223"/>
      <c r="I719" s="247"/>
      <c r="J719" s="223"/>
      <c r="K719" s="240"/>
      <c r="L719" s="223"/>
      <c r="M719" s="223"/>
      <c r="N719" s="223"/>
      <c r="O719" s="223"/>
      <c r="P719" s="223"/>
      <c r="Q719" s="223"/>
      <c r="R719" s="223" t="s">
        <v>535</v>
      </c>
      <c r="S719" s="220">
        <f t="shared" si="12"/>
        <v>0</v>
      </c>
      <c r="T719" s="219" t="str">
        <f>IFERROR(VLOOKUP($B719,'SIZE CALCULATION'!$F$2:$G$100,2,0),"")</f>
        <v/>
      </c>
    </row>
    <row r="720" spans="1:20" x14ac:dyDescent="0.2">
      <c r="A720" s="236"/>
      <c r="B720" s="222"/>
      <c r="C720" s="222"/>
      <c r="D720" s="224"/>
      <c r="E720" s="223"/>
      <c r="F720" s="223"/>
      <c r="G720" s="223"/>
      <c r="H720" s="223"/>
      <c r="I720" s="247"/>
      <c r="J720" s="223"/>
      <c r="K720" s="240"/>
      <c r="L720" s="223"/>
      <c r="M720" s="223"/>
      <c r="N720" s="223"/>
      <c r="O720" s="223"/>
      <c r="P720" s="223"/>
      <c r="Q720" s="223"/>
      <c r="R720" s="223" t="s">
        <v>535</v>
      </c>
      <c r="S720" s="220">
        <f t="shared" si="12"/>
        <v>0</v>
      </c>
      <c r="T720" s="219" t="str">
        <f>IFERROR(VLOOKUP($B720,'SIZE CALCULATION'!$F$2:$G$100,2,0),"")</f>
        <v/>
      </c>
    </row>
    <row r="721" spans="1:20" x14ac:dyDescent="0.2">
      <c r="A721" s="236"/>
      <c r="B721" s="222"/>
      <c r="C721" s="222"/>
      <c r="D721" s="224"/>
      <c r="E721" s="223"/>
      <c r="F721" s="223"/>
      <c r="G721" s="223"/>
      <c r="H721" s="223"/>
      <c r="I721" s="247"/>
      <c r="J721" s="223"/>
      <c r="K721" s="240"/>
      <c r="L721" s="223"/>
      <c r="M721" s="223"/>
      <c r="N721" s="223"/>
      <c r="O721" s="223"/>
      <c r="P721" s="223"/>
      <c r="Q721" s="223"/>
      <c r="R721" s="223" t="s">
        <v>535</v>
      </c>
      <c r="S721" s="220">
        <f t="shared" si="12"/>
        <v>0</v>
      </c>
      <c r="T721" s="219" t="str">
        <f>IFERROR(VLOOKUP($B721,'SIZE CALCULATION'!$F$2:$G$100,2,0),"")</f>
        <v/>
      </c>
    </row>
    <row r="722" spans="1:20" x14ac:dyDescent="0.2">
      <c r="A722" s="236"/>
      <c r="B722" s="222"/>
      <c r="C722" s="222"/>
      <c r="D722" s="224"/>
      <c r="E722" s="223"/>
      <c r="F722" s="223"/>
      <c r="G722" s="223"/>
      <c r="H722" s="223"/>
      <c r="I722" s="247"/>
      <c r="J722" s="223"/>
      <c r="K722" s="240"/>
      <c r="L722" s="223"/>
      <c r="M722" s="223"/>
      <c r="N722" s="223"/>
      <c r="O722" s="223"/>
      <c r="P722" s="223"/>
      <c r="Q722" s="223"/>
      <c r="R722" s="223" t="s">
        <v>535</v>
      </c>
      <c r="S722" s="220">
        <f t="shared" si="12"/>
        <v>0</v>
      </c>
      <c r="T722" s="219" t="str">
        <f>IFERROR(VLOOKUP($B722,'SIZE CALCULATION'!$F$2:$G$100,2,0),"")</f>
        <v/>
      </c>
    </row>
    <row r="723" spans="1:20" x14ac:dyDescent="0.2">
      <c r="A723" s="236"/>
      <c r="B723" s="222"/>
      <c r="C723" s="222"/>
      <c r="D723" s="224"/>
      <c r="E723" s="223"/>
      <c r="F723" s="223"/>
      <c r="G723" s="223"/>
      <c r="H723" s="223"/>
      <c r="I723" s="247"/>
      <c r="J723" s="223"/>
      <c r="K723" s="240"/>
      <c r="L723" s="223"/>
      <c r="M723" s="223"/>
      <c r="N723" s="223"/>
      <c r="O723" s="223"/>
      <c r="P723" s="223"/>
      <c r="Q723" s="223"/>
      <c r="R723" s="223" t="s">
        <v>535</v>
      </c>
      <c r="S723" s="220">
        <f t="shared" si="12"/>
        <v>0</v>
      </c>
      <c r="T723" s="219" t="str">
        <f>IFERROR(VLOOKUP($B723,'SIZE CALCULATION'!$F$2:$G$100,2,0),"")</f>
        <v/>
      </c>
    </row>
    <row r="724" spans="1:20" x14ac:dyDescent="0.2">
      <c r="A724" s="236"/>
      <c r="B724" s="222"/>
      <c r="C724" s="222"/>
      <c r="D724" s="224"/>
      <c r="E724" s="223"/>
      <c r="F724" s="223"/>
      <c r="G724" s="223"/>
      <c r="H724" s="223"/>
      <c r="I724" s="247"/>
      <c r="J724" s="223"/>
      <c r="K724" s="240"/>
      <c r="L724" s="223"/>
      <c r="M724" s="223"/>
      <c r="N724" s="223"/>
      <c r="O724" s="223"/>
      <c r="P724" s="223"/>
      <c r="Q724" s="223"/>
      <c r="R724" s="223" t="s">
        <v>535</v>
      </c>
      <c r="S724" s="220">
        <f t="shared" si="12"/>
        <v>0</v>
      </c>
      <c r="T724" s="219" t="str">
        <f>IFERROR(VLOOKUP($B724,'SIZE CALCULATION'!$F$2:$G$100,2,0),"")</f>
        <v/>
      </c>
    </row>
    <row r="725" spans="1:20" x14ac:dyDescent="0.2">
      <c r="A725" s="236"/>
      <c r="B725" s="222"/>
      <c r="C725" s="222"/>
      <c r="D725" s="224"/>
      <c r="E725" s="223"/>
      <c r="F725" s="223"/>
      <c r="G725" s="223"/>
      <c r="H725" s="223"/>
      <c r="I725" s="247"/>
      <c r="J725" s="223"/>
      <c r="K725" s="240"/>
      <c r="L725" s="223"/>
      <c r="M725" s="223"/>
      <c r="N725" s="223"/>
      <c r="O725" s="223"/>
      <c r="P725" s="223"/>
      <c r="Q725" s="223"/>
      <c r="R725" s="223" t="s">
        <v>535</v>
      </c>
      <c r="S725" s="220">
        <f t="shared" si="12"/>
        <v>0</v>
      </c>
      <c r="T725" s="219" t="str">
        <f>IFERROR(VLOOKUP($B725,'SIZE CALCULATION'!$F$2:$G$100,2,0),"")</f>
        <v/>
      </c>
    </row>
    <row r="726" spans="1:20" x14ac:dyDescent="0.2">
      <c r="A726" s="236"/>
      <c r="B726" s="222"/>
      <c r="C726" s="222"/>
      <c r="D726" s="224"/>
      <c r="E726" s="223"/>
      <c r="F726" s="223"/>
      <c r="G726" s="223"/>
      <c r="H726" s="223"/>
      <c r="I726" s="247"/>
      <c r="J726" s="223"/>
      <c r="K726" s="240"/>
      <c r="L726" s="223"/>
      <c r="M726" s="223"/>
      <c r="N726" s="223"/>
      <c r="O726" s="223"/>
      <c r="P726" s="223"/>
      <c r="Q726" s="223"/>
      <c r="R726" s="223" t="s">
        <v>535</v>
      </c>
      <c r="S726" s="220">
        <f t="shared" si="12"/>
        <v>0</v>
      </c>
      <c r="T726" s="219" t="str">
        <f>IFERROR(VLOOKUP($B726,'SIZE CALCULATION'!$F$2:$G$100,2,0),"")</f>
        <v/>
      </c>
    </row>
    <row r="727" spans="1:20" x14ac:dyDescent="0.2">
      <c r="A727" s="236"/>
      <c r="B727" s="222"/>
      <c r="C727" s="222"/>
      <c r="D727" s="224"/>
      <c r="E727" s="223"/>
      <c r="F727" s="223"/>
      <c r="G727" s="223"/>
      <c r="H727" s="223"/>
      <c r="I727" s="247"/>
      <c r="J727" s="223"/>
      <c r="K727" s="240"/>
      <c r="L727" s="223"/>
      <c r="M727" s="223"/>
      <c r="N727" s="223"/>
      <c r="O727" s="223"/>
      <c r="P727" s="223"/>
      <c r="Q727" s="223"/>
      <c r="R727" s="223" t="s">
        <v>535</v>
      </c>
      <c r="S727" s="220">
        <f t="shared" si="12"/>
        <v>0</v>
      </c>
      <c r="T727" s="219" t="str">
        <f>IFERROR(VLOOKUP($B727,'SIZE CALCULATION'!$F$2:$G$100,2,0),"")</f>
        <v/>
      </c>
    </row>
    <row r="728" spans="1:20" x14ac:dyDescent="0.2">
      <c r="A728" s="236"/>
      <c r="B728" s="222"/>
      <c r="C728" s="222"/>
      <c r="D728" s="224"/>
      <c r="E728" s="223"/>
      <c r="F728" s="223"/>
      <c r="G728" s="223"/>
      <c r="H728" s="223"/>
      <c r="I728" s="247"/>
      <c r="J728" s="223"/>
      <c r="K728" s="240"/>
      <c r="L728" s="223"/>
      <c r="M728" s="223"/>
      <c r="N728" s="223"/>
      <c r="O728" s="223"/>
      <c r="P728" s="223"/>
      <c r="Q728" s="223"/>
      <c r="R728" s="223" t="s">
        <v>535</v>
      </c>
      <c r="S728" s="220">
        <f t="shared" si="12"/>
        <v>0</v>
      </c>
      <c r="T728" s="219" t="str">
        <f>IFERROR(VLOOKUP($B728,'SIZE CALCULATION'!$F$2:$G$100,2,0),"")</f>
        <v/>
      </c>
    </row>
    <row r="729" spans="1:20" x14ac:dyDescent="0.2">
      <c r="A729" s="236"/>
      <c r="B729" s="222"/>
      <c r="C729" s="222"/>
      <c r="D729" s="224"/>
      <c r="E729" s="223"/>
      <c r="F729" s="223"/>
      <c r="G729" s="223"/>
      <c r="H729" s="223"/>
      <c r="I729" s="247"/>
      <c r="J729" s="223"/>
      <c r="K729" s="240"/>
      <c r="L729" s="223"/>
      <c r="M729" s="223"/>
      <c r="N729" s="223"/>
      <c r="O729" s="223"/>
      <c r="P729" s="223"/>
      <c r="Q729" s="223"/>
      <c r="R729" s="223" t="s">
        <v>535</v>
      </c>
      <c r="S729" s="220">
        <f t="shared" si="12"/>
        <v>0</v>
      </c>
      <c r="T729" s="219" t="str">
        <f>IFERROR(VLOOKUP($B729,'SIZE CALCULATION'!$F$2:$G$100,2,0),"")</f>
        <v/>
      </c>
    </row>
    <row r="730" spans="1:20" x14ac:dyDescent="0.2">
      <c r="A730" s="236"/>
      <c r="B730" s="222"/>
      <c r="C730" s="222"/>
      <c r="D730" s="224"/>
      <c r="E730" s="223"/>
      <c r="F730" s="223"/>
      <c r="G730" s="223"/>
      <c r="H730" s="223"/>
      <c r="I730" s="247"/>
      <c r="J730" s="223"/>
      <c r="K730" s="240"/>
      <c r="L730" s="223"/>
      <c r="M730" s="223"/>
      <c r="N730" s="223"/>
      <c r="O730" s="223"/>
      <c r="P730" s="223"/>
      <c r="Q730" s="223"/>
      <c r="R730" s="223" t="s">
        <v>535</v>
      </c>
      <c r="S730" s="220">
        <f t="shared" si="12"/>
        <v>0</v>
      </c>
      <c r="T730" s="219" t="str">
        <f>IFERROR(VLOOKUP($B730,'SIZE CALCULATION'!$F$2:$G$100,2,0),"")</f>
        <v/>
      </c>
    </row>
    <row r="731" spans="1:20" x14ac:dyDescent="0.2">
      <c r="A731" s="236"/>
      <c r="B731" s="222"/>
      <c r="C731" s="222"/>
      <c r="D731" s="224"/>
      <c r="E731" s="223"/>
      <c r="F731" s="223"/>
      <c r="G731" s="223"/>
      <c r="H731" s="223"/>
      <c r="I731" s="247"/>
      <c r="J731" s="223"/>
      <c r="K731" s="240"/>
      <c r="L731" s="223"/>
      <c r="M731" s="223"/>
      <c r="N731" s="223"/>
      <c r="O731" s="223"/>
      <c r="P731" s="223"/>
      <c r="Q731" s="223"/>
      <c r="R731" s="223" t="s">
        <v>535</v>
      </c>
      <c r="S731" s="220">
        <f t="shared" si="12"/>
        <v>0</v>
      </c>
      <c r="T731" s="219" t="str">
        <f>IFERROR(VLOOKUP($B731,'SIZE CALCULATION'!$F$2:$G$100,2,0),"")</f>
        <v/>
      </c>
    </row>
    <row r="732" spans="1:20" x14ac:dyDescent="0.2">
      <c r="A732" s="236"/>
      <c r="B732" s="222"/>
      <c r="C732" s="222"/>
      <c r="D732" s="224"/>
      <c r="E732" s="223"/>
      <c r="F732" s="223"/>
      <c r="G732" s="223"/>
      <c r="H732" s="223"/>
      <c r="I732" s="247"/>
      <c r="J732" s="223"/>
      <c r="K732" s="240"/>
      <c r="L732" s="223"/>
      <c r="M732" s="223"/>
      <c r="N732" s="223"/>
      <c r="O732" s="223"/>
      <c r="P732" s="223"/>
      <c r="Q732" s="223"/>
      <c r="R732" s="223" t="s">
        <v>535</v>
      </c>
      <c r="S732" s="220">
        <f t="shared" si="12"/>
        <v>0</v>
      </c>
      <c r="T732" s="219" t="str">
        <f>IFERROR(VLOOKUP($B732,'SIZE CALCULATION'!$F$2:$G$100,2,0),"")</f>
        <v/>
      </c>
    </row>
    <row r="733" spans="1:20" x14ac:dyDescent="0.2">
      <c r="A733" s="236"/>
      <c r="B733" s="222"/>
      <c r="C733" s="222"/>
      <c r="D733" s="224"/>
      <c r="E733" s="223"/>
      <c r="F733" s="223"/>
      <c r="G733" s="223"/>
      <c r="H733" s="223"/>
      <c r="I733" s="247"/>
      <c r="J733" s="223"/>
      <c r="K733" s="240"/>
      <c r="L733" s="223"/>
      <c r="M733" s="223"/>
      <c r="N733" s="223"/>
      <c r="O733" s="223"/>
      <c r="P733" s="223"/>
      <c r="Q733" s="223"/>
      <c r="R733" s="223" t="s">
        <v>535</v>
      </c>
      <c r="S733" s="220">
        <f t="shared" si="12"/>
        <v>0</v>
      </c>
      <c r="T733" s="219" t="str">
        <f>IFERROR(VLOOKUP($B733,'SIZE CALCULATION'!$F$2:$G$100,2,0),"")</f>
        <v/>
      </c>
    </row>
    <row r="734" spans="1:20" x14ac:dyDescent="0.2">
      <c r="A734" s="236"/>
      <c r="B734" s="222"/>
      <c r="C734" s="222"/>
      <c r="D734" s="224"/>
      <c r="E734" s="223"/>
      <c r="F734" s="223"/>
      <c r="G734" s="223"/>
      <c r="H734" s="223"/>
      <c r="I734" s="247"/>
      <c r="J734" s="223"/>
      <c r="K734" s="240"/>
      <c r="L734" s="223"/>
      <c r="M734" s="223"/>
      <c r="N734" s="223"/>
      <c r="O734" s="223"/>
      <c r="P734" s="223"/>
      <c r="Q734" s="223"/>
      <c r="R734" s="223" t="s">
        <v>535</v>
      </c>
      <c r="S734" s="220">
        <f t="shared" si="12"/>
        <v>0</v>
      </c>
      <c r="T734" s="219" t="str">
        <f>IFERROR(VLOOKUP($B734,'SIZE CALCULATION'!$F$2:$G$100,2,0),"")</f>
        <v/>
      </c>
    </row>
    <row r="735" spans="1:20" x14ac:dyDescent="0.2">
      <c r="A735" s="236"/>
      <c r="B735" s="222"/>
      <c r="C735" s="222"/>
      <c r="D735" s="224"/>
      <c r="E735" s="223"/>
      <c r="F735" s="223"/>
      <c r="G735" s="223"/>
      <c r="H735" s="223"/>
      <c r="I735" s="247"/>
      <c r="J735" s="223"/>
      <c r="K735" s="240"/>
      <c r="L735" s="223"/>
      <c r="M735" s="223"/>
      <c r="N735" s="223"/>
      <c r="O735" s="223"/>
      <c r="P735" s="223"/>
      <c r="Q735" s="223"/>
      <c r="R735" s="223" t="s">
        <v>535</v>
      </c>
      <c r="S735" s="220">
        <f t="shared" si="12"/>
        <v>0</v>
      </c>
      <c r="T735" s="219" t="str">
        <f>IFERROR(VLOOKUP($B735,'SIZE CALCULATION'!$F$2:$G$100,2,0),"")</f>
        <v/>
      </c>
    </row>
    <row r="736" spans="1:20" x14ac:dyDescent="0.2">
      <c r="A736" s="236"/>
      <c r="B736" s="222"/>
      <c r="C736" s="222"/>
      <c r="D736" s="224"/>
      <c r="E736" s="223"/>
      <c r="F736" s="223"/>
      <c r="G736" s="223"/>
      <c r="H736" s="223"/>
      <c r="I736" s="247"/>
      <c r="J736" s="223"/>
      <c r="K736" s="240"/>
      <c r="L736" s="223"/>
      <c r="M736" s="223"/>
      <c r="N736" s="223"/>
      <c r="O736" s="223"/>
      <c r="P736" s="223"/>
      <c r="Q736" s="223"/>
      <c r="R736" s="223" t="s">
        <v>535</v>
      </c>
      <c r="S736" s="220">
        <f t="shared" si="12"/>
        <v>0</v>
      </c>
      <c r="T736" s="219" t="str">
        <f>IFERROR(VLOOKUP($B736,'SIZE CALCULATION'!$F$2:$G$100,2,0),"")</f>
        <v/>
      </c>
    </row>
    <row r="737" spans="1:20" x14ac:dyDescent="0.2">
      <c r="A737" s="236"/>
      <c r="B737" s="222"/>
      <c r="C737" s="222"/>
      <c r="D737" s="224"/>
      <c r="E737" s="223"/>
      <c r="F737" s="223"/>
      <c r="G737" s="223"/>
      <c r="H737" s="223"/>
      <c r="I737" s="247"/>
      <c r="J737" s="223"/>
      <c r="K737" s="240"/>
      <c r="L737" s="223"/>
      <c r="M737" s="223"/>
      <c r="N737" s="223"/>
      <c r="O737" s="223"/>
      <c r="P737" s="223"/>
      <c r="Q737" s="223"/>
      <c r="R737" s="223" t="s">
        <v>535</v>
      </c>
      <c r="S737" s="220">
        <f t="shared" si="12"/>
        <v>0</v>
      </c>
      <c r="T737" s="219" t="str">
        <f>IFERROR(VLOOKUP($B737,'SIZE CALCULATION'!$F$2:$G$100,2,0),"")</f>
        <v/>
      </c>
    </row>
    <row r="738" spans="1:20" x14ac:dyDescent="0.2">
      <c r="A738" s="236"/>
      <c r="B738" s="222"/>
      <c r="C738" s="222"/>
      <c r="D738" s="224"/>
      <c r="E738" s="223"/>
      <c r="F738" s="223"/>
      <c r="G738" s="223"/>
      <c r="H738" s="223"/>
      <c r="I738" s="247"/>
      <c r="J738" s="223"/>
      <c r="K738" s="240"/>
      <c r="L738" s="223"/>
      <c r="M738" s="223"/>
      <c r="N738" s="223"/>
      <c r="O738" s="223"/>
      <c r="P738" s="223"/>
      <c r="Q738" s="223"/>
      <c r="R738" s="223" t="s">
        <v>535</v>
      </c>
      <c r="S738" s="220">
        <f t="shared" si="12"/>
        <v>0</v>
      </c>
      <c r="T738" s="219" t="str">
        <f>IFERROR(VLOOKUP($B738,'SIZE CALCULATION'!$F$2:$G$100,2,0),"")</f>
        <v/>
      </c>
    </row>
    <row r="739" spans="1:20" x14ac:dyDescent="0.2">
      <c r="A739" s="236"/>
      <c r="B739" s="222"/>
      <c r="C739" s="222"/>
      <c r="D739" s="224"/>
      <c r="E739" s="223"/>
      <c r="F739" s="223"/>
      <c r="G739" s="223"/>
      <c r="H739" s="223"/>
      <c r="I739" s="247"/>
      <c r="J739" s="223"/>
      <c r="K739" s="240"/>
      <c r="L739" s="223"/>
      <c r="M739" s="223"/>
      <c r="N739" s="223"/>
      <c r="O739" s="223"/>
      <c r="P739" s="223"/>
      <c r="Q739" s="223"/>
      <c r="R739" s="223" t="s">
        <v>535</v>
      </c>
      <c r="S739" s="220">
        <f t="shared" si="12"/>
        <v>0</v>
      </c>
      <c r="T739" s="219" t="str">
        <f>IFERROR(VLOOKUP($B739,'SIZE CALCULATION'!$F$2:$G$100,2,0),"")</f>
        <v/>
      </c>
    </row>
    <row r="740" spans="1:20" x14ac:dyDescent="0.2">
      <c r="A740" s="236"/>
      <c r="B740" s="222"/>
      <c r="C740" s="222"/>
      <c r="D740" s="224"/>
      <c r="E740" s="223"/>
      <c r="F740" s="223"/>
      <c r="G740" s="223"/>
      <c r="H740" s="223"/>
      <c r="I740" s="247"/>
      <c r="J740" s="223"/>
      <c r="K740" s="240"/>
      <c r="L740" s="223"/>
      <c r="M740" s="223"/>
      <c r="N740" s="223"/>
      <c r="O740" s="223"/>
      <c r="P740" s="223"/>
      <c r="Q740" s="223"/>
      <c r="R740" s="223" t="s">
        <v>535</v>
      </c>
      <c r="S740" s="220">
        <f t="shared" si="12"/>
        <v>0</v>
      </c>
      <c r="T740" s="219" t="str">
        <f>IFERROR(VLOOKUP($B740,'SIZE CALCULATION'!$F$2:$G$100,2,0),"")</f>
        <v/>
      </c>
    </row>
    <row r="741" spans="1:20" x14ac:dyDescent="0.2">
      <c r="A741" s="236"/>
      <c r="B741" s="222"/>
      <c r="C741" s="222"/>
      <c r="D741" s="224"/>
      <c r="E741" s="223"/>
      <c r="F741" s="223"/>
      <c r="G741" s="223"/>
      <c r="H741" s="223"/>
      <c r="I741" s="247"/>
      <c r="J741" s="223"/>
      <c r="K741" s="240"/>
      <c r="L741" s="223"/>
      <c r="M741" s="223"/>
      <c r="N741" s="223"/>
      <c r="O741" s="223"/>
      <c r="P741" s="223"/>
      <c r="Q741" s="223"/>
      <c r="R741" s="223" t="s">
        <v>535</v>
      </c>
      <c r="S741" s="220">
        <f t="shared" si="12"/>
        <v>0</v>
      </c>
      <c r="T741" s="219" t="str">
        <f>IFERROR(VLOOKUP($B741,'SIZE CALCULATION'!$F$2:$G$100,2,0),"")</f>
        <v/>
      </c>
    </row>
    <row r="742" spans="1:20" x14ac:dyDescent="0.2">
      <c r="A742" s="236"/>
      <c r="B742" s="222"/>
      <c r="C742" s="222"/>
      <c r="D742" s="224"/>
      <c r="E742" s="223"/>
      <c r="F742" s="223"/>
      <c r="G742" s="223"/>
      <c r="H742" s="223"/>
      <c r="I742" s="247"/>
      <c r="J742" s="223"/>
      <c r="K742" s="240"/>
      <c r="L742" s="223"/>
      <c r="M742" s="223"/>
      <c r="N742" s="223"/>
      <c r="O742" s="223"/>
      <c r="P742" s="223"/>
      <c r="Q742" s="223"/>
      <c r="R742" s="223" t="s">
        <v>535</v>
      </c>
      <c r="S742" s="220">
        <f t="shared" si="12"/>
        <v>0</v>
      </c>
      <c r="T742" s="219" t="str">
        <f>IFERROR(VLOOKUP($B742,'SIZE CALCULATION'!$F$2:$G$100,2,0),"")</f>
        <v/>
      </c>
    </row>
    <row r="743" spans="1:20" x14ac:dyDescent="0.2">
      <c r="A743" s="236"/>
      <c r="B743" s="222"/>
      <c r="C743" s="222"/>
      <c r="D743" s="224"/>
      <c r="E743" s="223"/>
      <c r="F743" s="223"/>
      <c r="G743" s="223"/>
      <c r="H743" s="223"/>
      <c r="I743" s="247"/>
      <c r="J743" s="223"/>
      <c r="K743" s="240"/>
      <c r="L743" s="223"/>
      <c r="M743" s="223"/>
      <c r="N743" s="223"/>
      <c r="O743" s="223"/>
      <c r="P743" s="223"/>
      <c r="Q743" s="223"/>
      <c r="R743" s="223" t="s">
        <v>535</v>
      </c>
      <c r="S743" s="220">
        <f t="shared" si="12"/>
        <v>0</v>
      </c>
      <c r="T743" s="219" t="str">
        <f>IFERROR(VLOOKUP($B743,'SIZE CALCULATION'!$F$2:$G$100,2,0),"")</f>
        <v/>
      </c>
    </row>
    <row r="744" spans="1:20" x14ac:dyDescent="0.2">
      <c r="A744" s="236"/>
      <c r="B744" s="222"/>
      <c r="C744" s="222"/>
      <c r="D744" s="224"/>
      <c r="E744" s="223"/>
      <c r="F744" s="223"/>
      <c r="G744" s="223"/>
      <c r="H744" s="223"/>
      <c r="I744" s="247"/>
      <c r="J744" s="223"/>
      <c r="K744" s="240"/>
      <c r="L744" s="223"/>
      <c r="M744" s="223"/>
      <c r="N744" s="223"/>
      <c r="O744" s="223"/>
      <c r="P744" s="223"/>
      <c r="Q744" s="223"/>
      <c r="R744" s="223" t="s">
        <v>535</v>
      </c>
      <c r="S744" s="220">
        <f t="shared" si="12"/>
        <v>0</v>
      </c>
      <c r="T744" s="219" t="str">
        <f>IFERROR(VLOOKUP($B744,'SIZE CALCULATION'!$F$2:$G$100,2,0),"")</f>
        <v/>
      </c>
    </row>
    <row r="745" spans="1:20" x14ac:dyDescent="0.2">
      <c r="A745" s="236"/>
      <c r="B745" s="222"/>
      <c r="C745" s="222"/>
      <c r="D745" s="224"/>
      <c r="E745" s="223"/>
      <c r="F745" s="223"/>
      <c r="G745" s="223"/>
      <c r="H745" s="223"/>
      <c r="I745" s="247"/>
      <c r="J745" s="223"/>
      <c r="K745" s="240"/>
      <c r="L745" s="223"/>
      <c r="M745" s="223"/>
      <c r="N745" s="223"/>
      <c r="O745" s="223"/>
      <c r="P745" s="223"/>
      <c r="Q745" s="223"/>
      <c r="R745" s="223" t="s">
        <v>535</v>
      </c>
      <c r="S745" s="220">
        <f t="shared" si="12"/>
        <v>0</v>
      </c>
      <c r="T745" s="219" t="str">
        <f>IFERROR(VLOOKUP($B745,'SIZE CALCULATION'!$F$2:$G$100,2,0),"")</f>
        <v/>
      </c>
    </row>
    <row r="746" spans="1:20" x14ac:dyDescent="0.2">
      <c r="A746" s="236"/>
      <c r="B746" s="222"/>
      <c r="C746" s="222"/>
      <c r="D746" s="224"/>
      <c r="E746" s="223"/>
      <c r="F746" s="223"/>
      <c r="G746" s="223"/>
      <c r="H746" s="223"/>
      <c r="I746" s="247"/>
      <c r="J746" s="223"/>
      <c r="K746" s="240"/>
      <c r="L746" s="223"/>
      <c r="M746" s="223"/>
      <c r="N746" s="223"/>
      <c r="O746" s="223"/>
      <c r="P746" s="223"/>
      <c r="Q746" s="223"/>
      <c r="R746" s="223" t="s">
        <v>535</v>
      </c>
      <c r="S746" s="220">
        <f t="shared" si="12"/>
        <v>0</v>
      </c>
      <c r="T746" s="219" t="str">
        <f>IFERROR(VLOOKUP($B746,'SIZE CALCULATION'!$F$2:$G$100,2,0),"")</f>
        <v/>
      </c>
    </row>
    <row r="747" spans="1:20" x14ac:dyDescent="0.2">
      <c r="A747" s="236"/>
      <c r="B747" s="222"/>
      <c r="C747" s="222"/>
      <c r="D747" s="224"/>
      <c r="E747" s="223"/>
      <c r="F747" s="223"/>
      <c r="G747" s="223"/>
      <c r="H747" s="223"/>
      <c r="I747" s="247"/>
      <c r="J747" s="223"/>
      <c r="K747" s="240"/>
      <c r="L747" s="223"/>
      <c r="M747" s="223"/>
      <c r="N747" s="223"/>
      <c r="O747" s="223"/>
      <c r="P747" s="223"/>
      <c r="Q747" s="223"/>
      <c r="R747" s="223" t="s">
        <v>535</v>
      </c>
      <c r="S747" s="220">
        <f t="shared" si="12"/>
        <v>0</v>
      </c>
      <c r="T747" s="219" t="str">
        <f>IFERROR(VLOOKUP($B747,'SIZE CALCULATION'!$F$2:$G$100,2,0),"")</f>
        <v/>
      </c>
    </row>
    <row r="748" spans="1:20" x14ac:dyDescent="0.2">
      <c r="A748" s="236"/>
      <c r="B748" s="222"/>
      <c r="C748" s="222"/>
      <c r="D748" s="224"/>
      <c r="E748" s="223"/>
      <c r="F748" s="223"/>
      <c r="G748" s="223"/>
      <c r="H748" s="223"/>
      <c r="I748" s="247"/>
      <c r="J748" s="223"/>
      <c r="K748" s="240"/>
      <c r="L748" s="223"/>
      <c r="M748" s="223"/>
      <c r="N748" s="223"/>
      <c r="O748" s="223"/>
      <c r="P748" s="223"/>
      <c r="Q748" s="223"/>
      <c r="R748" s="223" t="s">
        <v>535</v>
      </c>
      <c r="S748" s="220">
        <f t="shared" si="12"/>
        <v>0</v>
      </c>
      <c r="T748" s="219" t="str">
        <f>IFERROR(VLOOKUP($B748,'SIZE CALCULATION'!$F$2:$G$100,2,0),"")</f>
        <v/>
      </c>
    </row>
    <row r="749" spans="1:20" x14ac:dyDescent="0.2">
      <c r="A749" s="236"/>
      <c r="B749" s="222"/>
      <c r="C749" s="222"/>
      <c r="D749" s="224"/>
      <c r="E749" s="223"/>
      <c r="F749" s="223"/>
      <c r="G749" s="223"/>
      <c r="H749" s="223"/>
      <c r="I749" s="247"/>
      <c r="J749" s="223"/>
      <c r="K749" s="240"/>
      <c r="L749" s="223"/>
      <c r="M749" s="223"/>
      <c r="N749" s="223"/>
      <c r="O749" s="223"/>
      <c r="P749" s="223"/>
      <c r="Q749" s="223"/>
      <c r="R749" s="223" t="s">
        <v>535</v>
      </c>
      <c r="S749" s="220">
        <f t="shared" si="12"/>
        <v>0</v>
      </c>
      <c r="T749" s="219" t="str">
        <f>IFERROR(VLOOKUP($B749,'SIZE CALCULATION'!$F$2:$G$100,2,0),"")</f>
        <v/>
      </c>
    </row>
    <row r="750" spans="1:20" x14ac:dyDescent="0.2">
      <c r="A750" s="236"/>
      <c r="B750" s="222"/>
      <c r="C750" s="222"/>
      <c r="D750" s="224"/>
      <c r="E750" s="223"/>
      <c r="F750" s="223"/>
      <c r="G750" s="223"/>
      <c r="H750" s="223"/>
      <c r="I750" s="247"/>
      <c r="J750" s="223"/>
      <c r="K750" s="240"/>
      <c r="L750" s="223"/>
      <c r="M750" s="223"/>
      <c r="N750" s="223"/>
      <c r="O750" s="223"/>
      <c r="P750" s="223"/>
      <c r="Q750" s="223"/>
      <c r="R750" s="223" t="s">
        <v>535</v>
      </c>
      <c r="S750" s="220">
        <f t="shared" si="12"/>
        <v>0</v>
      </c>
      <c r="T750" s="219" t="str">
        <f>IFERROR(VLOOKUP($B750,'SIZE CALCULATION'!$F$2:$G$100,2,0),"")</f>
        <v/>
      </c>
    </row>
    <row r="751" spans="1:20" x14ac:dyDescent="0.2">
      <c r="A751" s="236"/>
      <c r="B751" s="222"/>
      <c r="C751" s="222"/>
      <c r="D751" s="224"/>
      <c r="E751" s="223"/>
      <c r="F751" s="223"/>
      <c r="G751" s="223"/>
      <c r="H751" s="223"/>
      <c r="I751" s="247"/>
      <c r="J751" s="223"/>
      <c r="K751" s="240"/>
      <c r="L751" s="223"/>
      <c r="M751" s="223"/>
      <c r="N751" s="223"/>
      <c r="O751" s="223"/>
      <c r="P751" s="223"/>
      <c r="Q751" s="223"/>
      <c r="R751" s="223" t="s">
        <v>535</v>
      </c>
      <c r="S751" s="220">
        <f t="shared" si="12"/>
        <v>0</v>
      </c>
      <c r="T751" s="219" t="str">
        <f>IFERROR(VLOOKUP($B751,'SIZE CALCULATION'!$F$2:$G$100,2,0),"")</f>
        <v/>
      </c>
    </row>
    <row r="752" spans="1:20" x14ac:dyDescent="0.2">
      <c r="A752" s="236"/>
      <c r="B752" s="222"/>
      <c r="C752" s="222"/>
      <c r="D752" s="224"/>
      <c r="E752" s="223"/>
      <c r="F752" s="223"/>
      <c r="G752" s="223"/>
      <c r="H752" s="223"/>
      <c r="I752" s="247"/>
      <c r="J752" s="223"/>
      <c r="K752" s="240"/>
      <c r="L752" s="223"/>
      <c r="M752" s="223"/>
      <c r="N752" s="223"/>
      <c r="O752" s="223"/>
      <c r="P752" s="223"/>
      <c r="Q752" s="223"/>
      <c r="R752" s="223" t="s">
        <v>535</v>
      </c>
      <c r="S752" s="220">
        <f t="shared" si="12"/>
        <v>0</v>
      </c>
      <c r="T752" s="219" t="str">
        <f>IFERROR(VLOOKUP($B752,'SIZE CALCULATION'!$F$2:$G$100,2,0),"")</f>
        <v/>
      </c>
    </row>
    <row r="753" spans="1:20" x14ac:dyDescent="0.2">
      <c r="A753" s="236"/>
      <c r="B753" s="222"/>
      <c r="C753" s="222"/>
      <c r="D753" s="224"/>
      <c r="E753" s="223"/>
      <c r="F753" s="223"/>
      <c r="G753" s="223"/>
      <c r="H753" s="223"/>
      <c r="I753" s="247"/>
      <c r="J753" s="223"/>
      <c r="K753" s="240"/>
      <c r="L753" s="223"/>
      <c r="M753" s="223"/>
      <c r="N753" s="223"/>
      <c r="O753" s="223"/>
      <c r="P753" s="223"/>
      <c r="Q753" s="223"/>
      <c r="R753" s="223" t="s">
        <v>535</v>
      </c>
      <c r="S753" s="220">
        <f t="shared" si="12"/>
        <v>0</v>
      </c>
      <c r="T753" s="219" t="str">
        <f>IFERROR(VLOOKUP($B753,'SIZE CALCULATION'!$F$2:$G$100,2,0),"")</f>
        <v/>
      </c>
    </row>
    <row r="754" spans="1:20" x14ac:dyDescent="0.2">
      <c r="A754" s="236"/>
      <c r="B754" s="222"/>
      <c r="C754" s="222"/>
      <c r="D754" s="224"/>
      <c r="E754" s="223"/>
      <c r="F754" s="223"/>
      <c r="G754" s="223"/>
      <c r="H754" s="223"/>
      <c r="I754" s="247"/>
      <c r="J754" s="223"/>
      <c r="K754" s="240"/>
      <c r="L754" s="223"/>
      <c r="M754" s="223"/>
      <c r="N754" s="223"/>
      <c r="O754" s="223"/>
      <c r="P754" s="223"/>
      <c r="Q754" s="223"/>
      <c r="R754" s="223" t="s">
        <v>535</v>
      </c>
      <c r="S754" s="220">
        <f t="shared" si="12"/>
        <v>0</v>
      </c>
      <c r="T754" s="219" t="str">
        <f>IFERROR(VLOOKUP($B754,'SIZE CALCULATION'!$F$2:$G$100,2,0),"")</f>
        <v/>
      </c>
    </row>
    <row r="755" spans="1:20" x14ac:dyDescent="0.2">
      <c r="A755" s="236"/>
      <c r="B755" s="222"/>
      <c r="C755" s="222"/>
      <c r="D755" s="224"/>
      <c r="E755" s="223"/>
      <c r="F755" s="223"/>
      <c r="G755" s="223"/>
      <c r="H755" s="223"/>
      <c r="I755" s="247"/>
      <c r="J755" s="223"/>
      <c r="K755" s="240"/>
      <c r="L755" s="223"/>
      <c r="M755" s="223"/>
      <c r="N755" s="223"/>
      <c r="O755" s="223"/>
      <c r="P755" s="223"/>
      <c r="Q755" s="223"/>
      <c r="R755" s="223" t="s">
        <v>535</v>
      </c>
      <c r="S755" s="220">
        <f t="shared" si="12"/>
        <v>0</v>
      </c>
      <c r="T755" s="219" t="str">
        <f>IFERROR(VLOOKUP($B755,'SIZE CALCULATION'!$F$2:$G$100,2,0),"")</f>
        <v/>
      </c>
    </row>
    <row r="756" spans="1:20" x14ac:dyDescent="0.2">
      <c r="A756" s="236"/>
      <c r="B756" s="222"/>
      <c r="C756" s="222"/>
      <c r="D756" s="224"/>
      <c r="E756" s="223"/>
      <c r="F756" s="223"/>
      <c r="G756" s="223"/>
      <c r="H756" s="223"/>
      <c r="I756" s="247"/>
      <c r="J756" s="223"/>
      <c r="K756" s="240"/>
      <c r="L756" s="223"/>
      <c r="M756" s="223"/>
      <c r="N756" s="223"/>
      <c r="O756" s="223"/>
      <c r="P756" s="223"/>
      <c r="Q756" s="223"/>
      <c r="R756" s="223" t="s">
        <v>535</v>
      </c>
      <c r="S756" s="220">
        <f t="shared" si="12"/>
        <v>0</v>
      </c>
      <c r="T756" s="219" t="str">
        <f>IFERROR(VLOOKUP($B756,'SIZE CALCULATION'!$F$2:$G$100,2,0),"")</f>
        <v/>
      </c>
    </row>
    <row r="757" spans="1:20" x14ac:dyDescent="0.2">
      <c r="A757" s="236"/>
      <c r="B757" s="222"/>
      <c r="C757" s="222"/>
      <c r="D757" s="224"/>
      <c r="E757" s="223"/>
      <c r="F757" s="223"/>
      <c r="G757" s="223"/>
      <c r="H757" s="223"/>
      <c r="I757" s="247"/>
      <c r="J757" s="223"/>
      <c r="K757" s="240"/>
      <c r="L757" s="223"/>
      <c r="M757" s="223"/>
      <c r="N757" s="223"/>
      <c r="O757" s="223"/>
      <c r="P757" s="223"/>
      <c r="Q757" s="223"/>
      <c r="R757" s="223" t="s">
        <v>535</v>
      </c>
      <c r="S757" s="220">
        <f t="shared" si="12"/>
        <v>0</v>
      </c>
      <c r="T757" s="219" t="str">
        <f>IFERROR(VLOOKUP($B757,'SIZE CALCULATION'!$F$2:$G$100,2,0),"")</f>
        <v/>
      </c>
    </row>
    <row r="758" spans="1:20" x14ac:dyDescent="0.2">
      <c r="A758" s="236"/>
      <c r="B758" s="222"/>
      <c r="C758" s="222"/>
      <c r="D758" s="224"/>
      <c r="E758" s="223"/>
      <c r="F758" s="223"/>
      <c r="G758" s="223"/>
      <c r="H758" s="223"/>
      <c r="I758" s="247"/>
      <c r="J758" s="223"/>
      <c r="K758" s="240"/>
      <c r="L758" s="223"/>
      <c r="M758" s="223"/>
      <c r="N758" s="223"/>
      <c r="O758" s="223"/>
      <c r="P758" s="223"/>
      <c r="Q758" s="223"/>
      <c r="R758" s="223" t="s">
        <v>535</v>
      </c>
      <c r="S758" s="220">
        <f t="shared" si="12"/>
        <v>0</v>
      </c>
      <c r="T758" s="219" t="str">
        <f>IFERROR(VLOOKUP($B758,'SIZE CALCULATION'!$F$2:$G$100,2,0),"")</f>
        <v/>
      </c>
    </row>
    <row r="759" spans="1:20" x14ac:dyDescent="0.2">
      <c r="A759" s="236"/>
      <c r="B759" s="222"/>
      <c r="C759" s="222"/>
      <c r="D759" s="224"/>
      <c r="E759" s="223"/>
      <c r="F759" s="223"/>
      <c r="G759" s="223"/>
      <c r="H759" s="223"/>
      <c r="I759" s="247"/>
      <c r="J759" s="223"/>
      <c r="K759" s="240"/>
      <c r="L759" s="223"/>
      <c r="M759" s="223"/>
      <c r="N759" s="223"/>
      <c r="O759" s="223"/>
      <c r="P759" s="223"/>
      <c r="Q759" s="223"/>
      <c r="R759" s="223" t="s">
        <v>535</v>
      </c>
      <c r="S759" s="220">
        <f t="shared" si="12"/>
        <v>0</v>
      </c>
      <c r="T759" s="219" t="str">
        <f>IFERROR(VLOOKUP($B759,'SIZE CALCULATION'!$F$2:$G$100,2,0),"")</f>
        <v/>
      </c>
    </row>
    <row r="760" spans="1:20" x14ac:dyDescent="0.2">
      <c r="A760" s="236"/>
      <c r="B760" s="222"/>
      <c r="C760" s="222"/>
      <c r="D760" s="224"/>
      <c r="E760" s="223"/>
      <c r="F760" s="223"/>
      <c r="G760" s="223"/>
      <c r="H760" s="223"/>
      <c r="I760" s="247"/>
      <c r="J760" s="223"/>
      <c r="K760" s="240"/>
      <c r="L760" s="223"/>
      <c r="M760" s="223"/>
      <c r="N760" s="223"/>
      <c r="O760" s="223"/>
      <c r="P760" s="223"/>
      <c r="Q760" s="223"/>
      <c r="R760" s="223" t="s">
        <v>535</v>
      </c>
      <c r="S760" s="220">
        <f t="shared" si="12"/>
        <v>0</v>
      </c>
      <c r="T760" s="219" t="str">
        <f>IFERROR(VLOOKUP($B760,'SIZE CALCULATION'!$F$2:$G$100,2,0),"")</f>
        <v/>
      </c>
    </row>
    <row r="761" spans="1:20" x14ac:dyDescent="0.2">
      <c r="A761" s="236"/>
      <c r="B761" s="222"/>
      <c r="C761" s="222"/>
      <c r="D761" s="224"/>
      <c r="E761" s="223"/>
      <c r="F761" s="223"/>
      <c r="G761" s="223"/>
      <c r="H761" s="223"/>
      <c r="I761" s="247"/>
      <c r="J761" s="223"/>
      <c r="K761" s="240"/>
      <c r="L761" s="223"/>
      <c r="M761" s="223"/>
      <c r="N761" s="223"/>
      <c r="O761" s="223"/>
      <c r="P761" s="223"/>
      <c r="Q761" s="223"/>
      <c r="R761" s="223" t="s">
        <v>535</v>
      </c>
      <c r="S761" s="220">
        <f t="shared" si="12"/>
        <v>0</v>
      </c>
      <c r="T761" s="219" t="str">
        <f>IFERROR(VLOOKUP($B761,'SIZE CALCULATION'!$F$2:$G$100,2,0),"")</f>
        <v/>
      </c>
    </row>
    <row r="762" spans="1:20" x14ac:dyDescent="0.2">
      <c r="A762" s="236"/>
      <c r="B762" s="222"/>
      <c r="C762" s="222"/>
      <c r="D762" s="224"/>
      <c r="E762" s="223"/>
      <c r="F762" s="223"/>
      <c r="G762" s="223"/>
      <c r="H762" s="223"/>
      <c r="I762" s="247"/>
      <c r="J762" s="223"/>
      <c r="K762" s="240"/>
      <c r="L762" s="223"/>
      <c r="M762" s="223"/>
      <c r="N762" s="223"/>
      <c r="O762" s="223"/>
      <c r="P762" s="223"/>
      <c r="Q762" s="223"/>
      <c r="R762" s="223" t="s">
        <v>535</v>
      </c>
      <c r="S762" s="220">
        <f t="shared" si="12"/>
        <v>0</v>
      </c>
      <c r="T762" s="219" t="str">
        <f>IFERROR(VLOOKUP($B762,'SIZE CALCULATION'!$F$2:$G$100,2,0),"")</f>
        <v/>
      </c>
    </row>
    <row r="763" spans="1:20" x14ac:dyDescent="0.2">
      <c r="A763" s="236"/>
      <c r="B763" s="222"/>
      <c r="C763" s="222"/>
      <c r="D763" s="224"/>
      <c r="E763" s="223"/>
      <c r="F763" s="223"/>
      <c r="G763" s="223"/>
      <c r="H763" s="223"/>
      <c r="I763" s="247"/>
      <c r="J763" s="223"/>
      <c r="K763" s="240"/>
      <c r="L763" s="223"/>
      <c r="M763" s="223"/>
      <c r="N763" s="223"/>
      <c r="O763" s="223"/>
      <c r="P763" s="223"/>
      <c r="Q763" s="223"/>
      <c r="R763" s="223" t="s">
        <v>535</v>
      </c>
      <c r="S763" s="220">
        <f t="shared" si="12"/>
        <v>0</v>
      </c>
      <c r="T763" s="219" t="str">
        <f>IFERROR(VLOOKUP($B763,'SIZE CALCULATION'!$F$2:$G$100,2,0),"")</f>
        <v/>
      </c>
    </row>
    <row r="764" spans="1:20" x14ac:dyDescent="0.2">
      <c r="A764" s="236"/>
      <c r="B764" s="222"/>
      <c r="C764" s="222"/>
      <c r="D764" s="224"/>
      <c r="E764" s="223"/>
      <c r="F764" s="223"/>
      <c r="G764" s="223"/>
      <c r="H764" s="223"/>
      <c r="I764" s="247"/>
      <c r="J764" s="223"/>
      <c r="K764" s="240"/>
      <c r="L764" s="223"/>
      <c r="M764" s="223"/>
      <c r="N764" s="223"/>
      <c r="O764" s="223"/>
      <c r="P764" s="223"/>
      <c r="Q764" s="223"/>
      <c r="R764" s="223" t="s">
        <v>535</v>
      </c>
      <c r="S764" s="220">
        <f t="shared" ref="S764:S827" si="13">IFERROR(M764/O764,M764)</f>
        <v>0</v>
      </c>
      <c r="T764" s="219" t="str">
        <f>IFERROR(VLOOKUP($B764,'SIZE CALCULATION'!$F$2:$G$100,2,0),"")</f>
        <v/>
      </c>
    </row>
    <row r="765" spans="1:20" x14ac:dyDescent="0.2">
      <c r="A765" s="236"/>
      <c r="B765" s="222"/>
      <c r="C765" s="222"/>
      <c r="D765" s="224"/>
      <c r="E765" s="223"/>
      <c r="F765" s="223"/>
      <c r="G765" s="223"/>
      <c r="H765" s="223"/>
      <c r="I765" s="247"/>
      <c r="J765" s="223"/>
      <c r="K765" s="240"/>
      <c r="L765" s="223"/>
      <c r="M765" s="223"/>
      <c r="N765" s="223"/>
      <c r="O765" s="223"/>
      <c r="P765" s="223"/>
      <c r="Q765" s="223"/>
      <c r="R765" s="223" t="s">
        <v>535</v>
      </c>
      <c r="S765" s="220">
        <f t="shared" si="13"/>
        <v>0</v>
      </c>
      <c r="T765" s="219" t="str">
        <f>IFERROR(VLOOKUP($B765,'SIZE CALCULATION'!$F$2:$G$100,2,0),"")</f>
        <v/>
      </c>
    </row>
    <row r="766" spans="1:20" x14ac:dyDescent="0.2">
      <c r="A766" s="236"/>
      <c r="B766" s="222"/>
      <c r="C766" s="222"/>
      <c r="D766" s="224"/>
      <c r="E766" s="223"/>
      <c r="F766" s="223"/>
      <c r="G766" s="223"/>
      <c r="H766" s="223"/>
      <c r="I766" s="247"/>
      <c r="J766" s="223"/>
      <c r="K766" s="240"/>
      <c r="L766" s="223"/>
      <c r="M766" s="223"/>
      <c r="N766" s="223"/>
      <c r="O766" s="223"/>
      <c r="P766" s="223"/>
      <c r="Q766" s="223"/>
      <c r="R766" s="223" t="s">
        <v>535</v>
      </c>
      <c r="S766" s="220">
        <f t="shared" si="13"/>
        <v>0</v>
      </c>
      <c r="T766" s="219" t="str">
        <f>IFERROR(VLOOKUP($B766,'SIZE CALCULATION'!$F$2:$G$100,2,0),"")</f>
        <v/>
      </c>
    </row>
    <row r="767" spans="1:20" x14ac:dyDescent="0.2">
      <c r="A767" s="236"/>
      <c r="B767" s="222"/>
      <c r="C767" s="222"/>
      <c r="D767" s="224"/>
      <c r="E767" s="223"/>
      <c r="F767" s="223"/>
      <c r="G767" s="223"/>
      <c r="H767" s="223"/>
      <c r="I767" s="247"/>
      <c r="J767" s="223"/>
      <c r="K767" s="240"/>
      <c r="L767" s="223"/>
      <c r="M767" s="223"/>
      <c r="N767" s="223"/>
      <c r="O767" s="223"/>
      <c r="P767" s="223"/>
      <c r="Q767" s="223"/>
      <c r="R767" s="223" t="s">
        <v>535</v>
      </c>
      <c r="S767" s="220">
        <f t="shared" si="13"/>
        <v>0</v>
      </c>
      <c r="T767" s="219" t="str">
        <f>IFERROR(VLOOKUP($B767,'SIZE CALCULATION'!$F$2:$G$100,2,0),"")</f>
        <v/>
      </c>
    </row>
    <row r="768" spans="1:20" x14ac:dyDescent="0.2">
      <c r="A768" s="236"/>
      <c r="B768" s="222"/>
      <c r="C768" s="222"/>
      <c r="D768" s="224"/>
      <c r="E768" s="223"/>
      <c r="F768" s="223"/>
      <c r="G768" s="223"/>
      <c r="H768" s="223"/>
      <c r="I768" s="247"/>
      <c r="J768" s="223"/>
      <c r="K768" s="240"/>
      <c r="L768" s="223"/>
      <c r="M768" s="223"/>
      <c r="N768" s="223"/>
      <c r="O768" s="223"/>
      <c r="P768" s="223"/>
      <c r="Q768" s="223"/>
      <c r="R768" s="223" t="s">
        <v>535</v>
      </c>
      <c r="S768" s="220">
        <f t="shared" si="13"/>
        <v>0</v>
      </c>
      <c r="T768" s="219" t="str">
        <f>IFERROR(VLOOKUP($B768,'SIZE CALCULATION'!$F$2:$G$100,2,0),"")</f>
        <v/>
      </c>
    </row>
    <row r="769" spans="1:20" x14ac:dyDescent="0.2">
      <c r="A769" s="236"/>
      <c r="B769" s="222"/>
      <c r="C769" s="222"/>
      <c r="D769" s="224"/>
      <c r="E769" s="223"/>
      <c r="F769" s="223"/>
      <c r="G769" s="223"/>
      <c r="H769" s="223"/>
      <c r="I769" s="247"/>
      <c r="J769" s="223"/>
      <c r="K769" s="240"/>
      <c r="L769" s="223"/>
      <c r="M769" s="223"/>
      <c r="N769" s="223"/>
      <c r="O769" s="223"/>
      <c r="P769" s="223"/>
      <c r="Q769" s="223"/>
      <c r="R769" s="223" t="s">
        <v>535</v>
      </c>
      <c r="S769" s="220">
        <f t="shared" si="13"/>
        <v>0</v>
      </c>
      <c r="T769" s="219" t="str">
        <f>IFERROR(VLOOKUP($B769,'SIZE CALCULATION'!$F$2:$G$100,2,0),"")</f>
        <v/>
      </c>
    </row>
    <row r="770" spans="1:20" x14ac:dyDescent="0.2">
      <c r="A770" s="236"/>
      <c r="B770" s="222"/>
      <c r="C770" s="222"/>
      <c r="D770" s="224"/>
      <c r="E770" s="223"/>
      <c r="F770" s="223"/>
      <c r="G770" s="223"/>
      <c r="H770" s="223"/>
      <c r="I770" s="247"/>
      <c r="J770" s="223"/>
      <c r="K770" s="240"/>
      <c r="L770" s="223"/>
      <c r="M770" s="223"/>
      <c r="N770" s="223"/>
      <c r="O770" s="223"/>
      <c r="P770" s="223"/>
      <c r="Q770" s="223"/>
      <c r="R770" s="223" t="s">
        <v>535</v>
      </c>
      <c r="S770" s="220">
        <f t="shared" si="13"/>
        <v>0</v>
      </c>
      <c r="T770" s="219" t="str">
        <f>IFERROR(VLOOKUP($B770,'SIZE CALCULATION'!$F$2:$G$100,2,0),"")</f>
        <v/>
      </c>
    </row>
    <row r="771" spans="1:20" x14ac:dyDescent="0.2">
      <c r="A771" s="236"/>
      <c r="B771" s="222"/>
      <c r="C771" s="222"/>
      <c r="D771" s="224"/>
      <c r="E771" s="223"/>
      <c r="F771" s="223"/>
      <c r="G771" s="223"/>
      <c r="H771" s="223"/>
      <c r="I771" s="247"/>
      <c r="J771" s="223"/>
      <c r="K771" s="240"/>
      <c r="L771" s="223"/>
      <c r="M771" s="223"/>
      <c r="N771" s="223"/>
      <c r="O771" s="223"/>
      <c r="P771" s="223"/>
      <c r="Q771" s="223"/>
      <c r="R771" s="223" t="s">
        <v>535</v>
      </c>
      <c r="S771" s="220">
        <f t="shared" si="13"/>
        <v>0</v>
      </c>
      <c r="T771" s="219" t="str">
        <f>IFERROR(VLOOKUP($B771,'SIZE CALCULATION'!$F$2:$G$100,2,0),"")</f>
        <v/>
      </c>
    </row>
    <row r="772" spans="1:20" x14ac:dyDescent="0.2">
      <c r="A772" s="236"/>
      <c r="B772" s="222"/>
      <c r="C772" s="222"/>
      <c r="D772" s="224"/>
      <c r="E772" s="223"/>
      <c r="F772" s="223"/>
      <c r="G772" s="223"/>
      <c r="H772" s="223"/>
      <c r="I772" s="247"/>
      <c r="J772" s="223"/>
      <c r="K772" s="240"/>
      <c r="L772" s="223"/>
      <c r="M772" s="223"/>
      <c r="N772" s="223"/>
      <c r="O772" s="223"/>
      <c r="P772" s="223"/>
      <c r="Q772" s="223"/>
      <c r="R772" s="223" t="s">
        <v>535</v>
      </c>
      <c r="S772" s="220">
        <f t="shared" si="13"/>
        <v>0</v>
      </c>
      <c r="T772" s="219" t="str">
        <f>IFERROR(VLOOKUP($B772,'SIZE CALCULATION'!$F$2:$G$100,2,0),"")</f>
        <v/>
      </c>
    </row>
    <row r="773" spans="1:20" x14ac:dyDescent="0.2">
      <c r="A773" s="236"/>
      <c r="B773" s="222"/>
      <c r="C773" s="222"/>
      <c r="D773" s="224"/>
      <c r="E773" s="223"/>
      <c r="F773" s="223"/>
      <c r="G773" s="223"/>
      <c r="H773" s="223"/>
      <c r="I773" s="247"/>
      <c r="J773" s="223"/>
      <c r="K773" s="240"/>
      <c r="L773" s="223"/>
      <c r="M773" s="223"/>
      <c r="N773" s="223"/>
      <c r="O773" s="223"/>
      <c r="P773" s="223"/>
      <c r="Q773" s="223"/>
      <c r="R773" s="223" t="s">
        <v>535</v>
      </c>
      <c r="S773" s="220">
        <f t="shared" si="13"/>
        <v>0</v>
      </c>
      <c r="T773" s="219" t="str">
        <f>IFERROR(VLOOKUP($B773,'SIZE CALCULATION'!$F$2:$G$100,2,0),"")</f>
        <v/>
      </c>
    </row>
    <row r="774" spans="1:20" x14ac:dyDescent="0.2">
      <c r="A774" s="236"/>
      <c r="B774" s="222"/>
      <c r="C774" s="222"/>
      <c r="D774" s="224"/>
      <c r="E774" s="223"/>
      <c r="F774" s="223"/>
      <c r="G774" s="223"/>
      <c r="H774" s="223"/>
      <c r="I774" s="247"/>
      <c r="J774" s="223"/>
      <c r="K774" s="240"/>
      <c r="L774" s="223"/>
      <c r="M774" s="223"/>
      <c r="N774" s="223"/>
      <c r="O774" s="223"/>
      <c r="P774" s="223"/>
      <c r="Q774" s="223"/>
      <c r="R774" s="223" t="s">
        <v>535</v>
      </c>
      <c r="S774" s="220">
        <f t="shared" si="13"/>
        <v>0</v>
      </c>
      <c r="T774" s="219" t="str">
        <f>IFERROR(VLOOKUP($B774,'SIZE CALCULATION'!$F$2:$G$100,2,0),"")</f>
        <v/>
      </c>
    </row>
    <row r="775" spans="1:20" x14ac:dyDescent="0.2">
      <c r="A775" s="236"/>
      <c r="B775" s="222"/>
      <c r="C775" s="222"/>
      <c r="D775" s="224"/>
      <c r="E775" s="223"/>
      <c r="F775" s="223"/>
      <c r="G775" s="223"/>
      <c r="H775" s="223"/>
      <c r="I775" s="247"/>
      <c r="J775" s="223"/>
      <c r="K775" s="240"/>
      <c r="L775" s="223"/>
      <c r="M775" s="223"/>
      <c r="N775" s="223"/>
      <c r="O775" s="223"/>
      <c r="P775" s="223"/>
      <c r="Q775" s="223"/>
      <c r="R775" s="223" t="s">
        <v>535</v>
      </c>
      <c r="S775" s="220">
        <f t="shared" si="13"/>
        <v>0</v>
      </c>
      <c r="T775" s="219" t="str">
        <f>IFERROR(VLOOKUP($B775,'SIZE CALCULATION'!$F$2:$G$100,2,0),"")</f>
        <v/>
      </c>
    </row>
    <row r="776" spans="1:20" x14ac:dyDescent="0.2">
      <c r="A776" s="236"/>
      <c r="B776" s="222"/>
      <c r="C776" s="222"/>
      <c r="D776" s="224"/>
      <c r="E776" s="223"/>
      <c r="F776" s="223"/>
      <c r="G776" s="223"/>
      <c r="H776" s="223"/>
      <c r="I776" s="247"/>
      <c r="J776" s="223"/>
      <c r="K776" s="240"/>
      <c r="L776" s="223"/>
      <c r="M776" s="223"/>
      <c r="N776" s="223"/>
      <c r="O776" s="223"/>
      <c r="P776" s="223"/>
      <c r="Q776" s="223"/>
      <c r="R776" s="223" t="s">
        <v>535</v>
      </c>
      <c r="S776" s="220">
        <f t="shared" si="13"/>
        <v>0</v>
      </c>
      <c r="T776" s="219" t="str">
        <f>IFERROR(VLOOKUP($B776,'SIZE CALCULATION'!$F$2:$G$100,2,0),"")</f>
        <v/>
      </c>
    </row>
    <row r="777" spans="1:20" x14ac:dyDescent="0.2">
      <c r="A777" s="236"/>
      <c r="B777" s="222"/>
      <c r="C777" s="222"/>
      <c r="D777" s="224"/>
      <c r="E777" s="223"/>
      <c r="F777" s="223"/>
      <c r="G777" s="223"/>
      <c r="H777" s="223"/>
      <c r="I777" s="247"/>
      <c r="J777" s="223"/>
      <c r="K777" s="240"/>
      <c r="L777" s="223"/>
      <c r="M777" s="223"/>
      <c r="N777" s="223"/>
      <c r="O777" s="223"/>
      <c r="P777" s="223"/>
      <c r="Q777" s="223"/>
      <c r="R777" s="223" t="s">
        <v>535</v>
      </c>
      <c r="S777" s="220">
        <f t="shared" si="13"/>
        <v>0</v>
      </c>
      <c r="T777" s="219" t="str">
        <f>IFERROR(VLOOKUP($B777,'SIZE CALCULATION'!$F$2:$G$100,2,0),"")</f>
        <v/>
      </c>
    </row>
    <row r="778" spans="1:20" x14ac:dyDescent="0.2">
      <c r="A778" s="236"/>
      <c r="B778" s="222"/>
      <c r="C778" s="222"/>
      <c r="D778" s="224"/>
      <c r="E778" s="223"/>
      <c r="F778" s="223"/>
      <c r="G778" s="223"/>
      <c r="H778" s="223"/>
      <c r="I778" s="247"/>
      <c r="J778" s="223"/>
      <c r="K778" s="240"/>
      <c r="L778" s="223"/>
      <c r="M778" s="223"/>
      <c r="N778" s="223"/>
      <c r="O778" s="223"/>
      <c r="P778" s="223"/>
      <c r="Q778" s="223"/>
      <c r="R778" s="223" t="s">
        <v>535</v>
      </c>
      <c r="S778" s="220">
        <f t="shared" si="13"/>
        <v>0</v>
      </c>
      <c r="T778" s="219" t="str">
        <f>IFERROR(VLOOKUP($B778,'SIZE CALCULATION'!$F$2:$G$100,2,0),"")</f>
        <v/>
      </c>
    </row>
    <row r="779" spans="1:20" x14ac:dyDescent="0.2">
      <c r="A779" s="236"/>
      <c r="B779" s="222"/>
      <c r="C779" s="222"/>
      <c r="D779" s="224"/>
      <c r="E779" s="223"/>
      <c r="F779" s="223"/>
      <c r="G779" s="223"/>
      <c r="H779" s="223"/>
      <c r="I779" s="247"/>
      <c r="J779" s="223"/>
      <c r="K779" s="240"/>
      <c r="L779" s="223"/>
      <c r="M779" s="223"/>
      <c r="N779" s="223"/>
      <c r="O779" s="223"/>
      <c r="P779" s="223"/>
      <c r="Q779" s="223"/>
      <c r="R779" s="223" t="s">
        <v>535</v>
      </c>
      <c r="S779" s="220">
        <f t="shared" si="13"/>
        <v>0</v>
      </c>
      <c r="T779" s="219" t="str">
        <f>IFERROR(VLOOKUP($B779,'SIZE CALCULATION'!$F$2:$G$100,2,0),"")</f>
        <v/>
      </c>
    </row>
    <row r="780" spans="1:20" x14ac:dyDescent="0.2">
      <c r="A780" s="236"/>
      <c r="B780" s="222"/>
      <c r="C780" s="222"/>
      <c r="D780" s="224"/>
      <c r="E780" s="223"/>
      <c r="F780" s="223"/>
      <c r="G780" s="223"/>
      <c r="H780" s="223"/>
      <c r="I780" s="247"/>
      <c r="J780" s="223"/>
      <c r="K780" s="240"/>
      <c r="L780" s="223"/>
      <c r="M780" s="223"/>
      <c r="N780" s="223"/>
      <c r="O780" s="223"/>
      <c r="P780" s="223"/>
      <c r="Q780" s="223"/>
      <c r="R780" s="223" t="s">
        <v>535</v>
      </c>
      <c r="S780" s="220">
        <f t="shared" si="13"/>
        <v>0</v>
      </c>
      <c r="T780" s="219" t="str">
        <f>IFERROR(VLOOKUP($B780,'SIZE CALCULATION'!$F$2:$G$100,2,0),"")</f>
        <v/>
      </c>
    </row>
    <row r="781" spans="1:20" x14ac:dyDescent="0.2">
      <c r="A781" s="236"/>
      <c r="B781" s="222"/>
      <c r="C781" s="222"/>
      <c r="D781" s="224"/>
      <c r="E781" s="223"/>
      <c r="F781" s="223"/>
      <c r="G781" s="223"/>
      <c r="H781" s="223"/>
      <c r="I781" s="247"/>
      <c r="J781" s="223"/>
      <c r="K781" s="240"/>
      <c r="L781" s="223"/>
      <c r="M781" s="223"/>
      <c r="N781" s="223"/>
      <c r="O781" s="223"/>
      <c r="P781" s="223"/>
      <c r="Q781" s="223"/>
      <c r="R781" s="223" t="s">
        <v>535</v>
      </c>
      <c r="S781" s="220">
        <f t="shared" si="13"/>
        <v>0</v>
      </c>
      <c r="T781" s="219" t="str">
        <f>IFERROR(VLOOKUP($B781,'SIZE CALCULATION'!$F$2:$G$100,2,0),"")</f>
        <v/>
      </c>
    </row>
    <row r="782" spans="1:20" x14ac:dyDescent="0.2">
      <c r="A782" s="236"/>
      <c r="B782" s="222"/>
      <c r="C782" s="222"/>
      <c r="D782" s="224"/>
      <c r="E782" s="223"/>
      <c r="F782" s="223"/>
      <c r="G782" s="223"/>
      <c r="H782" s="223"/>
      <c r="I782" s="247"/>
      <c r="J782" s="223"/>
      <c r="K782" s="240"/>
      <c r="L782" s="223"/>
      <c r="M782" s="223"/>
      <c r="N782" s="223"/>
      <c r="O782" s="223"/>
      <c r="P782" s="223"/>
      <c r="Q782" s="223"/>
      <c r="R782" s="223" t="s">
        <v>535</v>
      </c>
      <c r="S782" s="220">
        <f t="shared" si="13"/>
        <v>0</v>
      </c>
      <c r="T782" s="219" t="str">
        <f>IFERROR(VLOOKUP($B782,'SIZE CALCULATION'!$F$2:$G$100,2,0),"")</f>
        <v/>
      </c>
    </row>
    <row r="783" spans="1:20" x14ac:dyDescent="0.2">
      <c r="A783" s="236"/>
      <c r="B783" s="222"/>
      <c r="C783" s="222"/>
      <c r="D783" s="224"/>
      <c r="E783" s="223"/>
      <c r="F783" s="223"/>
      <c r="G783" s="223"/>
      <c r="H783" s="223"/>
      <c r="I783" s="247"/>
      <c r="J783" s="223"/>
      <c r="K783" s="240"/>
      <c r="L783" s="223"/>
      <c r="M783" s="223"/>
      <c r="N783" s="223"/>
      <c r="O783" s="223"/>
      <c r="P783" s="223"/>
      <c r="Q783" s="223"/>
      <c r="R783" s="223" t="s">
        <v>535</v>
      </c>
      <c r="S783" s="220">
        <f t="shared" si="13"/>
        <v>0</v>
      </c>
      <c r="T783" s="219" t="str">
        <f>IFERROR(VLOOKUP($B783,'SIZE CALCULATION'!$F$2:$G$100,2,0),"")</f>
        <v/>
      </c>
    </row>
    <row r="784" spans="1:20" x14ac:dyDescent="0.2">
      <c r="A784" s="236"/>
      <c r="B784" s="222"/>
      <c r="C784" s="222"/>
      <c r="D784" s="224"/>
      <c r="E784" s="223"/>
      <c r="F784" s="223"/>
      <c r="G784" s="223"/>
      <c r="H784" s="223"/>
      <c r="I784" s="247"/>
      <c r="J784" s="223"/>
      <c r="K784" s="240"/>
      <c r="L784" s="223"/>
      <c r="M784" s="223"/>
      <c r="N784" s="223"/>
      <c r="O784" s="223"/>
      <c r="P784" s="223"/>
      <c r="Q784" s="223"/>
      <c r="R784" s="223" t="s">
        <v>535</v>
      </c>
      <c r="S784" s="220">
        <f t="shared" si="13"/>
        <v>0</v>
      </c>
      <c r="T784" s="219" t="str">
        <f>IFERROR(VLOOKUP($B784,'SIZE CALCULATION'!$F$2:$G$100,2,0),"")</f>
        <v/>
      </c>
    </row>
    <row r="785" spans="1:20" x14ac:dyDescent="0.2">
      <c r="A785" s="236"/>
      <c r="B785" s="222"/>
      <c r="C785" s="222"/>
      <c r="D785" s="224"/>
      <c r="E785" s="223"/>
      <c r="F785" s="223"/>
      <c r="G785" s="223"/>
      <c r="H785" s="223"/>
      <c r="I785" s="247"/>
      <c r="J785" s="223"/>
      <c r="K785" s="240"/>
      <c r="L785" s="223"/>
      <c r="M785" s="223"/>
      <c r="N785" s="223"/>
      <c r="O785" s="223"/>
      <c r="P785" s="223"/>
      <c r="Q785" s="223"/>
      <c r="R785" s="223" t="s">
        <v>535</v>
      </c>
      <c r="S785" s="220">
        <f t="shared" si="13"/>
        <v>0</v>
      </c>
      <c r="T785" s="219" t="str">
        <f>IFERROR(VLOOKUP($B785,'SIZE CALCULATION'!$F$2:$G$100,2,0),"")</f>
        <v/>
      </c>
    </row>
    <row r="786" spans="1:20" x14ac:dyDescent="0.2">
      <c r="A786" s="236"/>
      <c r="B786" s="222"/>
      <c r="C786" s="222"/>
      <c r="D786" s="224"/>
      <c r="E786" s="223"/>
      <c r="F786" s="223"/>
      <c r="G786" s="223"/>
      <c r="H786" s="223"/>
      <c r="I786" s="247"/>
      <c r="J786" s="223"/>
      <c r="K786" s="240"/>
      <c r="L786" s="223"/>
      <c r="M786" s="223"/>
      <c r="N786" s="223"/>
      <c r="O786" s="223"/>
      <c r="P786" s="223"/>
      <c r="Q786" s="223"/>
      <c r="R786" s="223" t="s">
        <v>535</v>
      </c>
      <c r="S786" s="220">
        <f t="shared" si="13"/>
        <v>0</v>
      </c>
      <c r="T786" s="219" t="str">
        <f>IFERROR(VLOOKUP($B786,'SIZE CALCULATION'!$F$2:$G$100,2,0),"")</f>
        <v/>
      </c>
    </row>
    <row r="787" spans="1:20" x14ac:dyDescent="0.2">
      <c r="A787" s="236"/>
      <c r="B787" s="222"/>
      <c r="C787" s="222"/>
      <c r="D787" s="224"/>
      <c r="E787" s="223"/>
      <c r="F787" s="223"/>
      <c r="G787" s="223"/>
      <c r="H787" s="223"/>
      <c r="I787" s="247"/>
      <c r="J787" s="223"/>
      <c r="K787" s="240"/>
      <c r="L787" s="223"/>
      <c r="M787" s="223"/>
      <c r="N787" s="223"/>
      <c r="O787" s="223"/>
      <c r="P787" s="223"/>
      <c r="Q787" s="223"/>
      <c r="R787" s="223" t="s">
        <v>535</v>
      </c>
      <c r="S787" s="220">
        <f t="shared" si="13"/>
        <v>0</v>
      </c>
      <c r="T787" s="219" t="str">
        <f>IFERROR(VLOOKUP($B787,'SIZE CALCULATION'!$F$2:$G$100,2,0),"")</f>
        <v/>
      </c>
    </row>
    <row r="788" spans="1:20" x14ac:dyDescent="0.2">
      <c r="A788" s="236"/>
      <c r="B788" s="222"/>
      <c r="C788" s="222"/>
      <c r="D788" s="224"/>
      <c r="E788" s="223"/>
      <c r="F788" s="223"/>
      <c r="G788" s="223"/>
      <c r="H788" s="223"/>
      <c r="I788" s="247"/>
      <c r="J788" s="223"/>
      <c r="K788" s="240"/>
      <c r="L788" s="223"/>
      <c r="M788" s="223"/>
      <c r="N788" s="223"/>
      <c r="O788" s="223"/>
      <c r="P788" s="223"/>
      <c r="Q788" s="223"/>
      <c r="R788" s="223" t="s">
        <v>535</v>
      </c>
      <c r="S788" s="220">
        <f t="shared" si="13"/>
        <v>0</v>
      </c>
      <c r="T788" s="219" t="str">
        <f>IFERROR(VLOOKUP($B788,'SIZE CALCULATION'!$F$2:$G$100,2,0),"")</f>
        <v/>
      </c>
    </row>
    <row r="789" spans="1:20" x14ac:dyDescent="0.2">
      <c r="A789" s="236"/>
      <c r="B789" s="222"/>
      <c r="C789" s="222"/>
      <c r="D789" s="224"/>
      <c r="E789" s="223"/>
      <c r="F789" s="223"/>
      <c r="G789" s="223"/>
      <c r="H789" s="223"/>
      <c r="I789" s="247"/>
      <c r="J789" s="223"/>
      <c r="K789" s="240"/>
      <c r="L789" s="223"/>
      <c r="M789" s="223"/>
      <c r="N789" s="223"/>
      <c r="O789" s="223"/>
      <c r="P789" s="223"/>
      <c r="Q789" s="223"/>
      <c r="R789" s="223" t="s">
        <v>535</v>
      </c>
      <c r="S789" s="220">
        <f t="shared" si="13"/>
        <v>0</v>
      </c>
      <c r="T789" s="219" t="str">
        <f>IFERROR(VLOOKUP($B789,'SIZE CALCULATION'!$F$2:$G$100,2,0),"")</f>
        <v/>
      </c>
    </row>
    <row r="790" spans="1:20" x14ac:dyDescent="0.2">
      <c r="A790" s="236"/>
      <c r="B790" s="222"/>
      <c r="C790" s="222"/>
      <c r="D790" s="224"/>
      <c r="E790" s="223"/>
      <c r="F790" s="223"/>
      <c r="G790" s="223"/>
      <c r="H790" s="223"/>
      <c r="I790" s="247"/>
      <c r="J790" s="223"/>
      <c r="K790" s="240"/>
      <c r="L790" s="223"/>
      <c r="M790" s="223"/>
      <c r="N790" s="223"/>
      <c r="O790" s="223"/>
      <c r="P790" s="223"/>
      <c r="Q790" s="223"/>
      <c r="R790" s="223" t="s">
        <v>535</v>
      </c>
      <c r="S790" s="220">
        <f t="shared" si="13"/>
        <v>0</v>
      </c>
      <c r="T790" s="219" t="str">
        <f>IFERROR(VLOOKUP($B790,'SIZE CALCULATION'!$F$2:$G$100,2,0),"")</f>
        <v/>
      </c>
    </row>
    <row r="791" spans="1:20" x14ac:dyDescent="0.2">
      <c r="A791" s="236"/>
      <c r="B791" s="222"/>
      <c r="C791" s="222"/>
      <c r="D791" s="224"/>
      <c r="E791" s="223"/>
      <c r="F791" s="223"/>
      <c r="G791" s="223"/>
      <c r="H791" s="223"/>
      <c r="I791" s="247"/>
      <c r="J791" s="223"/>
      <c r="K791" s="240"/>
      <c r="L791" s="223"/>
      <c r="M791" s="223"/>
      <c r="N791" s="223"/>
      <c r="O791" s="223"/>
      <c r="P791" s="223"/>
      <c r="Q791" s="223"/>
      <c r="R791" s="223" t="s">
        <v>535</v>
      </c>
      <c r="S791" s="220">
        <f t="shared" si="13"/>
        <v>0</v>
      </c>
      <c r="T791" s="219" t="str">
        <f>IFERROR(VLOOKUP($B791,'SIZE CALCULATION'!$F$2:$G$100,2,0),"")</f>
        <v/>
      </c>
    </row>
    <row r="792" spans="1:20" x14ac:dyDescent="0.2">
      <c r="A792" s="236"/>
      <c r="B792" s="222"/>
      <c r="C792" s="222"/>
      <c r="D792" s="224"/>
      <c r="E792" s="223"/>
      <c r="F792" s="223"/>
      <c r="G792" s="223"/>
      <c r="H792" s="223"/>
      <c r="I792" s="247"/>
      <c r="J792" s="223"/>
      <c r="K792" s="240"/>
      <c r="L792" s="223"/>
      <c r="M792" s="223"/>
      <c r="N792" s="223"/>
      <c r="O792" s="223"/>
      <c r="P792" s="223"/>
      <c r="Q792" s="223"/>
      <c r="R792" s="223" t="s">
        <v>535</v>
      </c>
      <c r="S792" s="220">
        <f t="shared" si="13"/>
        <v>0</v>
      </c>
      <c r="T792" s="219" t="str">
        <f>IFERROR(VLOOKUP($B792,'SIZE CALCULATION'!$F$2:$G$100,2,0),"")</f>
        <v/>
      </c>
    </row>
    <row r="793" spans="1:20" x14ac:dyDescent="0.2">
      <c r="A793" s="236"/>
      <c r="B793" s="222"/>
      <c r="C793" s="222"/>
      <c r="D793" s="224"/>
      <c r="E793" s="223"/>
      <c r="F793" s="223"/>
      <c r="G793" s="223"/>
      <c r="H793" s="223"/>
      <c r="I793" s="247"/>
      <c r="J793" s="223"/>
      <c r="K793" s="240"/>
      <c r="L793" s="223"/>
      <c r="M793" s="223"/>
      <c r="N793" s="223"/>
      <c r="O793" s="223"/>
      <c r="P793" s="223"/>
      <c r="Q793" s="223"/>
      <c r="R793" s="223" t="s">
        <v>535</v>
      </c>
      <c r="S793" s="220">
        <f t="shared" si="13"/>
        <v>0</v>
      </c>
      <c r="T793" s="219" t="str">
        <f>IFERROR(VLOOKUP($B793,'SIZE CALCULATION'!$F$2:$G$100,2,0),"")</f>
        <v/>
      </c>
    </row>
    <row r="794" spans="1:20" x14ac:dyDescent="0.2">
      <c r="A794" s="236"/>
      <c r="B794" s="222"/>
      <c r="C794" s="222"/>
      <c r="D794" s="224"/>
      <c r="E794" s="223"/>
      <c r="F794" s="223"/>
      <c r="G794" s="223"/>
      <c r="H794" s="223"/>
      <c r="I794" s="247"/>
      <c r="J794" s="223"/>
      <c r="K794" s="240"/>
      <c r="L794" s="223"/>
      <c r="M794" s="223"/>
      <c r="N794" s="223"/>
      <c r="O794" s="223"/>
      <c r="P794" s="223"/>
      <c r="Q794" s="223"/>
      <c r="R794" s="223" t="s">
        <v>535</v>
      </c>
      <c r="S794" s="220">
        <f t="shared" si="13"/>
        <v>0</v>
      </c>
      <c r="T794" s="219" t="str">
        <f>IFERROR(VLOOKUP($B794,'SIZE CALCULATION'!$F$2:$G$100,2,0),"")</f>
        <v/>
      </c>
    </row>
    <row r="795" spans="1:20" x14ac:dyDescent="0.2">
      <c r="A795" s="236"/>
      <c r="B795" s="222"/>
      <c r="C795" s="222"/>
      <c r="D795" s="224"/>
      <c r="E795" s="223"/>
      <c r="F795" s="223"/>
      <c r="G795" s="223"/>
      <c r="H795" s="223"/>
      <c r="I795" s="247"/>
      <c r="J795" s="223"/>
      <c r="K795" s="240"/>
      <c r="L795" s="223"/>
      <c r="M795" s="223"/>
      <c r="N795" s="223"/>
      <c r="O795" s="223"/>
      <c r="P795" s="223"/>
      <c r="Q795" s="223"/>
      <c r="R795" s="223" t="s">
        <v>535</v>
      </c>
      <c r="S795" s="220">
        <f t="shared" si="13"/>
        <v>0</v>
      </c>
      <c r="T795" s="219" t="str">
        <f>IFERROR(VLOOKUP($B795,'SIZE CALCULATION'!$F$2:$G$100,2,0),"")</f>
        <v/>
      </c>
    </row>
    <row r="796" spans="1:20" x14ac:dyDescent="0.2">
      <c r="A796" s="236"/>
      <c r="B796" s="222"/>
      <c r="C796" s="222"/>
      <c r="D796" s="224"/>
      <c r="E796" s="223"/>
      <c r="F796" s="223"/>
      <c r="G796" s="223"/>
      <c r="H796" s="223"/>
      <c r="I796" s="247"/>
      <c r="J796" s="223"/>
      <c r="K796" s="240"/>
      <c r="L796" s="223"/>
      <c r="M796" s="223"/>
      <c r="N796" s="223"/>
      <c r="O796" s="223"/>
      <c r="P796" s="223"/>
      <c r="Q796" s="223"/>
      <c r="R796" s="223" t="s">
        <v>535</v>
      </c>
      <c r="S796" s="220">
        <f t="shared" si="13"/>
        <v>0</v>
      </c>
      <c r="T796" s="219" t="str">
        <f>IFERROR(VLOOKUP($B796,'SIZE CALCULATION'!$F$2:$G$100,2,0),"")</f>
        <v/>
      </c>
    </row>
    <row r="797" spans="1:20" x14ac:dyDescent="0.2">
      <c r="A797" s="236"/>
      <c r="B797" s="222"/>
      <c r="C797" s="222"/>
      <c r="D797" s="224"/>
      <c r="E797" s="223"/>
      <c r="F797" s="223"/>
      <c r="G797" s="223"/>
      <c r="H797" s="223"/>
      <c r="I797" s="247"/>
      <c r="J797" s="223"/>
      <c r="K797" s="240"/>
      <c r="L797" s="223"/>
      <c r="M797" s="223"/>
      <c r="N797" s="223"/>
      <c r="O797" s="223"/>
      <c r="P797" s="223"/>
      <c r="Q797" s="223"/>
      <c r="R797" s="223" t="s">
        <v>535</v>
      </c>
      <c r="S797" s="220">
        <f t="shared" si="13"/>
        <v>0</v>
      </c>
      <c r="T797" s="219" t="str">
        <f>IFERROR(VLOOKUP($B797,'SIZE CALCULATION'!$F$2:$G$100,2,0),"")</f>
        <v/>
      </c>
    </row>
    <row r="798" spans="1:20" x14ac:dyDescent="0.2">
      <c r="A798" s="236"/>
      <c r="B798" s="222"/>
      <c r="C798" s="222"/>
      <c r="D798" s="224"/>
      <c r="E798" s="223"/>
      <c r="F798" s="223"/>
      <c r="G798" s="223"/>
      <c r="H798" s="223"/>
      <c r="I798" s="247"/>
      <c r="J798" s="223"/>
      <c r="K798" s="240"/>
      <c r="L798" s="223"/>
      <c r="M798" s="223"/>
      <c r="N798" s="223"/>
      <c r="O798" s="223"/>
      <c r="P798" s="223"/>
      <c r="Q798" s="223"/>
      <c r="R798" s="223" t="s">
        <v>535</v>
      </c>
      <c r="S798" s="220">
        <f t="shared" si="13"/>
        <v>0</v>
      </c>
      <c r="T798" s="219" t="str">
        <f>IFERROR(VLOOKUP($B798,'SIZE CALCULATION'!$F$2:$G$100,2,0),"")</f>
        <v/>
      </c>
    </row>
    <row r="799" spans="1:20" x14ac:dyDescent="0.2">
      <c r="A799" s="236"/>
      <c r="B799" s="222"/>
      <c r="C799" s="222"/>
      <c r="D799" s="224"/>
      <c r="E799" s="223"/>
      <c r="F799" s="223"/>
      <c r="G799" s="223"/>
      <c r="H799" s="223"/>
      <c r="I799" s="247"/>
      <c r="J799" s="223"/>
      <c r="K799" s="240"/>
      <c r="L799" s="223"/>
      <c r="M799" s="223"/>
      <c r="N799" s="223"/>
      <c r="O799" s="223"/>
      <c r="P799" s="223"/>
      <c r="Q799" s="223"/>
      <c r="R799" s="223" t="s">
        <v>535</v>
      </c>
      <c r="S799" s="220">
        <f t="shared" si="13"/>
        <v>0</v>
      </c>
      <c r="T799" s="219" t="str">
        <f>IFERROR(VLOOKUP($B799,'SIZE CALCULATION'!$F$2:$G$100,2,0),"")</f>
        <v/>
      </c>
    </row>
    <row r="800" spans="1:20" x14ac:dyDescent="0.2">
      <c r="A800" s="236"/>
      <c r="B800" s="222"/>
      <c r="C800" s="222"/>
      <c r="D800" s="224"/>
      <c r="E800" s="223"/>
      <c r="F800" s="223"/>
      <c r="G800" s="223"/>
      <c r="H800" s="223"/>
      <c r="I800" s="247"/>
      <c r="J800" s="223"/>
      <c r="K800" s="240"/>
      <c r="L800" s="223"/>
      <c r="M800" s="223"/>
      <c r="N800" s="223"/>
      <c r="O800" s="223"/>
      <c r="P800" s="223"/>
      <c r="Q800" s="223"/>
      <c r="R800" s="223" t="s">
        <v>535</v>
      </c>
      <c r="S800" s="220">
        <f t="shared" si="13"/>
        <v>0</v>
      </c>
      <c r="T800" s="219" t="str">
        <f>IFERROR(VLOOKUP($B800,'SIZE CALCULATION'!$F$2:$G$100,2,0),"")</f>
        <v/>
      </c>
    </row>
    <row r="801" spans="1:20" x14ac:dyDescent="0.2">
      <c r="A801" s="236"/>
      <c r="B801" s="222"/>
      <c r="C801" s="222"/>
      <c r="D801" s="224"/>
      <c r="E801" s="223"/>
      <c r="F801" s="223"/>
      <c r="G801" s="223"/>
      <c r="H801" s="223"/>
      <c r="I801" s="247"/>
      <c r="J801" s="223"/>
      <c r="K801" s="240"/>
      <c r="L801" s="223"/>
      <c r="M801" s="223"/>
      <c r="N801" s="223"/>
      <c r="O801" s="223"/>
      <c r="P801" s="223"/>
      <c r="Q801" s="223"/>
      <c r="R801" s="223" t="s">
        <v>535</v>
      </c>
      <c r="S801" s="220">
        <f t="shared" si="13"/>
        <v>0</v>
      </c>
      <c r="T801" s="219" t="str">
        <f>IFERROR(VLOOKUP($B801,'SIZE CALCULATION'!$F$2:$G$100,2,0),"")</f>
        <v/>
      </c>
    </row>
    <row r="802" spans="1:20" x14ac:dyDescent="0.2">
      <c r="A802" s="236"/>
      <c r="B802" s="222"/>
      <c r="C802" s="222"/>
      <c r="D802" s="224"/>
      <c r="E802" s="223"/>
      <c r="F802" s="223"/>
      <c r="G802" s="223"/>
      <c r="H802" s="223"/>
      <c r="I802" s="247"/>
      <c r="J802" s="223"/>
      <c r="K802" s="240"/>
      <c r="L802" s="223"/>
      <c r="M802" s="223"/>
      <c r="N802" s="223"/>
      <c r="O802" s="223"/>
      <c r="P802" s="223"/>
      <c r="Q802" s="223"/>
      <c r="R802" s="223" t="s">
        <v>535</v>
      </c>
      <c r="S802" s="220">
        <f t="shared" si="13"/>
        <v>0</v>
      </c>
      <c r="T802" s="219" t="str">
        <f>IFERROR(VLOOKUP($B802,'SIZE CALCULATION'!$F$2:$G$100,2,0),"")</f>
        <v/>
      </c>
    </row>
    <row r="803" spans="1:20" x14ac:dyDescent="0.2">
      <c r="A803" s="236"/>
      <c r="B803" s="222"/>
      <c r="C803" s="222"/>
      <c r="D803" s="224"/>
      <c r="E803" s="223"/>
      <c r="F803" s="223"/>
      <c r="G803" s="223"/>
      <c r="H803" s="223"/>
      <c r="I803" s="247"/>
      <c r="J803" s="223"/>
      <c r="K803" s="240"/>
      <c r="L803" s="223"/>
      <c r="M803" s="223"/>
      <c r="N803" s="223"/>
      <c r="O803" s="223"/>
      <c r="P803" s="223"/>
      <c r="Q803" s="223"/>
      <c r="R803" s="223" t="s">
        <v>535</v>
      </c>
      <c r="S803" s="220">
        <f t="shared" si="13"/>
        <v>0</v>
      </c>
      <c r="T803" s="219" t="str">
        <f>IFERROR(VLOOKUP($B803,'SIZE CALCULATION'!$F$2:$G$100,2,0),"")</f>
        <v/>
      </c>
    </row>
    <row r="804" spans="1:20" x14ac:dyDescent="0.2">
      <c r="A804" s="236"/>
      <c r="B804" s="222"/>
      <c r="C804" s="222"/>
      <c r="D804" s="224"/>
      <c r="E804" s="223"/>
      <c r="F804" s="223"/>
      <c r="G804" s="223"/>
      <c r="H804" s="223"/>
      <c r="I804" s="247"/>
      <c r="J804" s="223"/>
      <c r="K804" s="240"/>
      <c r="L804" s="223"/>
      <c r="M804" s="223"/>
      <c r="N804" s="223"/>
      <c r="O804" s="223"/>
      <c r="P804" s="223"/>
      <c r="Q804" s="223"/>
      <c r="R804" s="223" t="s">
        <v>535</v>
      </c>
      <c r="S804" s="220">
        <f t="shared" si="13"/>
        <v>0</v>
      </c>
      <c r="T804" s="219" t="str">
        <f>IFERROR(VLOOKUP($B804,'SIZE CALCULATION'!$F$2:$G$100,2,0),"")</f>
        <v/>
      </c>
    </row>
    <row r="805" spans="1:20" x14ac:dyDescent="0.2">
      <c r="A805" s="236"/>
      <c r="B805" s="222"/>
      <c r="C805" s="222"/>
      <c r="D805" s="224"/>
      <c r="E805" s="223"/>
      <c r="F805" s="223"/>
      <c r="G805" s="223"/>
      <c r="H805" s="223"/>
      <c r="I805" s="247"/>
      <c r="J805" s="223"/>
      <c r="K805" s="240"/>
      <c r="L805" s="223"/>
      <c r="M805" s="223"/>
      <c r="N805" s="223"/>
      <c r="O805" s="223"/>
      <c r="P805" s="223"/>
      <c r="Q805" s="223"/>
      <c r="R805" s="223" t="s">
        <v>535</v>
      </c>
      <c r="S805" s="220">
        <f t="shared" si="13"/>
        <v>0</v>
      </c>
      <c r="T805" s="219" t="str">
        <f>IFERROR(VLOOKUP($B805,'SIZE CALCULATION'!$F$2:$G$100,2,0),"")</f>
        <v/>
      </c>
    </row>
    <row r="806" spans="1:20" x14ac:dyDescent="0.2">
      <c r="A806" s="236"/>
      <c r="B806" s="222"/>
      <c r="C806" s="222"/>
      <c r="D806" s="224"/>
      <c r="E806" s="223"/>
      <c r="F806" s="223"/>
      <c r="G806" s="223"/>
      <c r="H806" s="223"/>
      <c r="I806" s="247"/>
      <c r="J806" s="223"/>
      <c r="K806" s="240"/>
      <c r="L806" s="223"/>
      <c r="M806" s="223"/>
      <c r="N806" s="223"/>
      <c r="O806" s="223"/>
      <c r="P806" s="223"/>
      <c r="Q806" s="223"/>
      <c r="R806" s="223" t="s">
        <v>535</v>
      </c>
      <c r="S806" s="220">
        <f t="shared" si="13"/>
        <v>0</v>
      </c>
      <c r="T806" s="219" t="str">
        <f>IFERROR(VLOOKUP($B806,'SIZE CALCULATION'!$F$2:$G$100,2,0),"")</f>
        <v/>
      </c>
    </row>
    <row r="807" spans="1:20" x14ac:dyDescent="0.2">
      <c r="A807" s="236"/>
      <c r="B807" s="222"/>
      <c r="C807" s="222"/>
      <c r="D807" s="224"/>
      <c r="E807" s="223"/>
      <c r="F807" s="223"/>
      <c r="G807" s="223"/>
      <c r="H807" s="223"/>
      <c r="I807" s="247"/>
      <c r="J807" s="223"/>
      <c r="K807" s="240"/>
      <c r="L807" s="223"/>
      <c r="M807" s="223"/>
      <c r="N807" s="223"/>
      <c r="O807" s="223"/>
      <c r="P807" s="223"/>
      <c r="Q807" s="223"/>
      <c r="R807" s="223" t="s">
        <v>535</v>
      </c>
      <c r="S807" s="220">
        <f t="shared" si="13"/>
        <v>0</v>
      </c>
      <c r="T807" s="219" t="str">
        <f>IFERROR(VLOOKUP($B807,'SIZE CALCULATION'!$F$2:$G$100,2,0),"")</f>
        <v/>
      </c>
    </row>
    <row r="808" spans="1:20" x14ac:dyDescent="0.2">
      <c r="A808" s="236"/>
      <c r="B808" s="222"/>
      <c r="C808" s="222"/>
      <c r="D808" s="224"/>
      <c r="E808" s="223"/>
      <c r="F808" s="223"/>
      <c r="G808" s="223"/>
      <c r="H808" s="223"/>
      <c r="I808" s="247"/>
      <c r="J808" s="223"/>
      <c r="K808" s="240"/>
      <c r="L808" s="223"/>
      <c r="M808" s="223"/>
      <c r="N808" s="223"/>
      <c r="O808" s="223"/>
      <c r="P808" s="223"/>
      <c r="Q808" s="223"/>
      <c r="R808" s="223" t="s">
        <v>535</v>
      </c>
      <c r="S808" s="220">
        <f t="shared" si="13"/>
        <v>0</v>
      </c>
      <c r="T808" s="219" t="str">
        <f>IFERROR(VLOOKUP($B808,'SIZE CALCULATION'!$F$2:$G$100,2,0),"")</f>
        <v/>
      </c>
    </row>
    <row r="809" spans="1:20" x14ac:dyDescent="0.2">
      <c r="A809" s="236"/>
      <c r="B809" s="222"/>
      <c r="C809" s="222"/>
      <c r="D809" s="224"/>
      <c r="E809" s="223"/>
      <c r="F809" s="223"/>
      <c r="G809" s="223"/>
      <c r="H809" s="223"/>
      <c r="I809" s="247"/>
      <c r="J809" s="223"/>
      <c r="K809" s="240"/>
      <c r="L809" s="223"/>
      <c r="M809" s="223"/>
      <c r="N809" s="223"/>
      <c r="O809" s="223"/>
      <c r="P809" s="223"/>
      <c r="Q809" s="223"/>
      <c r="R809" s="223" t="s">
        <v>535</v>
      </c>
      <c r="S809" s="220">
        <f t="shared" si="13"/>
        <v>0</v>
      </c>
      <c r="T809" s="219" t="str">
        <f>IFERROR(VLOOKUP($B809,'SIZE CALCULATION'!$F$2:$G$100,2,0),"")</f>
        <v/>
      </c>
    </row>
    <row r="810" spans="1:20" x14ac:dyDescent="0.2">
      <c r="A810" s="236"/>
      <c r="B810" s="222"/>
      <c r="C810" s="222"/>
      <c r="D810" s="224"/>
      <c r="E810" s="223"/>
      <c r="F810" s="223"/>
      <c r="G810" s="223"/>
      <c r="H810" s="223"/>
      <c r="I810" s="247"/>
      <c r="J810" s="223"/>
      <c r="K810" s="240"/>
      <c r="L810" s="223"/>
      <c r="M810" s="223"/>
      <c r="N810" s="223"/>
      <c r="O810" s="223"/>
      <c r="P810" s="223"/>
      <c r="Q810" s="223"/>
      <c r="R810" s="223" t="s">
        <v>535</v>
      </c>
      <c r="S810" s="220">
        <f t="shared" si="13"/>
        <v>0</v>
      </c>
      <c r="T810" s="219" t="str">
        <f>IFERROR(VLOOKUP($B810,'SIZE CALCULATION'!$F$2:$G$100,2,0),"")</f>
        <v/>
      </c>
    </row>
    <row r="811" spans="1:20" x14ac:dyDescent="0.2">
      <c r="A811" s="236"/>
      <c r="B811" s="222"/>
      <c r="C811" s="222"/>
      <c r="D811" s="224"/>
      <c r="E811" s="223"/>
      <c r="F811" s="223"/>
      <c r="G811" s="223"/>
      <c r="H811" s="223"/>
      <c r="I811" s="247"/>
      <c r="J811" s="223"/>
      <c r="K811" s="240"/>
      <c r="L811" s="223"/>
      <c r="M811" s="223"/>
      <c r="N811" s="223"/>
      <c r="O811" s="223"/>
      <c r="P811" s="223"/>
      <c r="Q811" s="223"/>
      <c r="R811" s="223" t="s">
        <v>535</v>
      </c>
      <c r="S811" s="220">
        <f t="shared" si="13"/>
        <v>0</v>
      </c>
      <c r="T811" s="219" t="str">
        <f>IFERROR(VLOOKUP($B811,'SIZE CALCULATION'!$F$2:$G$100,2,0),"")</f>
        <v/>
      </c>
    </row>
    <row r="812" spans="1:20" x14ac:dyDescent="0.2">
      <c r="A812" s="236"/>
      <c r="B812" s="222"/>
      <c r="C812" s="222"/>
      <c r="D812" s="224"/>
      <c r="E812" s="223"/>
      <c r="F812" s="223"/>
      <c r="G812" s="223"/>
      <c r="H812" s="223"/>
      <c r="I812" s="247"/>
      <c r="J812" s="223"/>
      <c r="K812" s="240"/>
      <c r="L812" s="223"/>
      <c r="M812" s="223"/>
      <c r="N812" s="223"/>
      <c r="O812" s="223"/>
      <c r="P812" s="223"/>
      <c r="Q812" s="223"/>
      <c r="R812" s="223" t="s">
        <v>535</v>
      </c>
      <c r="S812" s="220">
        <f t="shared" si="13"/>
        <v>0</v>
      </c>
      <c r="T812" s="219" t="str">
        <f>IFERROR(VLOOKUP($B812,'SIZE CALCULATION'!$F$2:$G$100,2,0),"")</f>
        <v/>
      </c>
    </row>
    <row r="813" spans="1:20" x14ac:dyDescent="0.2">
      <c r="A813" s="236"/>
      <c r="B813" s="222"/>
      <c r="C813" s="222"/>
      <c r="D813" s="224"/>
      <c r="E813" s="223"/>
      <c r="F813" s="223"/>
      <c r="G813" s="223"/>
      <c r="H813" s="223"/>
      <c r="I813" s="247"/>
      <c r="J813" s="223"/>
      <c r="K813" s="240"/>
      <c r="L813" s="223"/>
      <c r="M813" s="223"/>
      <c r="N813" s="223"/>
      <c r="O813" s="223"/>
      <c r="P813" s="223"/>
      <c r="Q813" s="223"/>
      <c r="R813" s="223" t="s">
        <v>535</v>
      </c>
      <c r="S813" s="220">
        <f t="shared" si="13"/>
        <v>0</v>
      </c>
      <c r="T813" s="219" t="str">
        <f>IFERROR(VLOOKUP($B813,'SIZE CALCULATION'!$F$2:$G$100,2,0),"")</f>
        <v/>
      </c>
    </row>
    <row r="814" spans="1:20" x14ac:dyDescent="0.2">
      <c r="A814" s="236"/>
      <c r="B814" s="222"/>
      <c r="C814" s="222"/>
      <c r="D814" s="224"/>
      <c r="E814" s="223"/>
      <c r="F814" s="223"/>
      <c r="G814" s="223"/>
      <c r="H814" s="223"/>
      <c r="I814" s="247"/>
      <c r="J814" s="223"/>
      <c r="K814" s="240"/>
      <c r="L814" s="223"/>
      <c r="M814" s="223"/>
      <c r="N814" s="223"/>
      <c r="O814" s="223"/>
      <c r="P814" s="223"/>
      <c r="Q814" s="223"/>
      <c r="R814" s="223" t="s">
        <v>535</v>
      </c>
      <c r="S814" s="220">
        <f t="shared" si="13"/>
        <v>0</v>
      </c>
      <c r="T814" s="219" t="str">
        <f>IFERROR(VLOOKUP($B814,'SIZE CALCULATION'!$F$2:$G$100,2,0),"")</f>
        <v/>
      </c>
    </row>
    <row r="815" spans="1:20" x14ac:dyDescent="0.2">
      <c r="A815" s="236"/>
      <c r="B815" s="222"/>
      <c r="C815" s="222"/>
      <c r="D815" s="224"/>
      <c r="E815" s="223"/>
      <c r="F815" s="223"/>
      <c r="G815" s="223"/>
      <c r="H815" s="223"/>
      <c r="I815" s="247"/>
      <c r="J815" s="223"/>
      <c r="K815" s="240"/>
      <c r="L815" s="223"/>
      <c r="M815" s="223"/>
      <c r="N815" s="223"/>
      <c r="O815" s="223"/>
      <c r="P815" s="223"/>
      <c r="Q815" s="223"/>
      <c r="R815" s="223" t="s">
        <v>535</v>
      </c>
      <c r="S815" s="220">
        <f t="shared" si="13"/>
        <v>0</v>
      </c>
      <c r="T815" s="219" t="str">
        <f>IFERROR(VLOOKUP($B815,'SIZE CALCULATION'!$F$2:$G$100,2,0),"")</f>
        <v/>
      </c>
    </row>
    <row r="816" spans="1:20" x14ac:dyDescent="0.2">
      <c r="A816" s="236"/>
      <c r="B816" s="222"/>
      <c r="C816" s="222"/>
      <c r="D816" s="224"/>
      <c r="E816" s="223"/>
      <c r="F816" s="223"/>
      <c r="G816" s="223"/>
      <c r="H816" s="223"/>
      <c r="I816" s="247"/>
      <c r="J816" s="223"/>
      <c r="K816" s="240"/>
      <c r="L816" s="223"/>
      <c r="M816" s="223"/>
      <c r="N816" s="223"/>
      <c r="O816" s="223"/>
      <c r="P816" s="223"/>
      <c r="Q816" s="223"/>
      <c r="R816" s="223" t="s">
        <v>535</v>
      </c>
      <c r="S816" s="220">
        <f t="shared" si="13"/>
        <v>0</v>
      </c>
      <c r="T816" s="219" t="str">
        <f>IFERROR(VLOOKUP($B816,'SIZE CALCULATION'!$F$2:$G$100,2,0),"")</f>
        <v/>
      </c>
    </row>
    <row r="817" spans="1:20" x14ac:dyDescent="0.2">
      <c r="A817" s="236"/>
      <c r="B817" s="222"/>
      <c r="C817" s="222"/>
      <c r="D817" s="224"/>
      <c r="E817" s="223"/>
      <c r="F817" s="223"/>
      <c r="G817" s="223"/>
      <c r="H817" s="223"/>
      <c r="I817" s="247"/>
      <c r="J817" s="223"/>
      <c r="K817" s="240"/>
      <c r="L817" s="223"/>
      <c r="M817" s="223"/>
      <c r="N817" s="223"/>
      <c r="O817" s="223"/>
      <c r="P817" s="223"/>
      <c r="Q817" s="223"/>
      <c r="R817" s="223" t="s">
        <v>535</v>
      </c>
      <c r="S817" s="220">
        <f t="shared" si="13"/>
        <v>0</v>
      </c>
      <c r="T817" s="219" t="str">
        <f>IFERROR(VLOOKUP($B817,'SIZE CALCULATION'!$F$2:$G$100,2,0),"")</f>
        <v/>
      </c>
    </row>
    <row r="818" spans="1:20" x14ac:dyDescent="0.2">
      <c r="A818" s="236"/>
      <c r="B818" s="222"/>
      <c r="C818" s="222"/>
      <c r="D818" s="224"/>
      <c r="E818" s="223"/>
      <c r="F818" s="223"/>
      <c r="G818" s="223"/>
      <c r="H818" s="223"/>
      <c r="I818" s="247"/>
      <c r="J818" s="223"/>
      <c r="K818" s="240"/>
      <c r="L818" s="223"/>
      <c r="M818" s="223"/>
      <c r="N818" s="223"/>
      <c r="O818" s="223"/>
      <c r="P818" s="223"/>
      <c r="Q818" s="223"/>
      <c r="R818" s="223" t="s">
        <v>535</v>
      </c>
      <c r="S818" s="220">
        <f t="shared" si="13"/>
        <v>0</v>
      </c>
      <c r="T818" s="219" t="str">
        <f>IFERROR(VLOOKUP($B818,'SIZE CALCULATION'!$F$2:$G$100,2,0),"")</f>
        <v/>
      </c>
    </row>
    <row r="819" spans="1:20" x14ac:dyDescent="0.2">
      <c r="A819" s="236"/>
      <c r="B819" s="222"/>
      <c r="C819" s="222"/>
      <c r="D819" s="224"/>
      <c r="E819" s="223"/>
      <c r="F819" s="223"/>
      <c r="G819" s="223"/>
      <c r="H819" s="223"/>
      <c r="I819" s="247"/>
      <c r="J819" s="223"/>
      <c r="K819" s="240"/>
      <c r="L819" s="223"/>
      <c r="M819" s="223"/>
      <c r="N819" s="223"/>
      <c r="O819" s="223"/>
      <c r="P819" s="223"/>
      <c r="Q819" s="223"/>
      <c r="R819" s="223" t="s">
        <v>535</v>
      </c>
      <c r="S819" s="220">
        <f t="shared" si="13"/>
        <v>0</v>
      </c>
      <c r="T819" s="219" t="str">
        <f>IFERROR(VLOOKUP($B819,'SIZE CALCULATION'!$F$2:$G$100,2,0),"")</f>
        <v/>
      </c>
    </row>
    <row r="820" spans="1:20" x14ac:dyDescent="0.2">
      <c r="A820" s="236"/>
      <c r="B820" s="222"/>
      <c r="C820" s="222"/>
      <c r="D820" s="224"/>
      <c r="E820" s="223"/>
      <c r="F820" s="223"/>
      <c r="G820" s="223"/>
      <c r="H820" s="223"/>
      <c r="I820" s="247"/>
      <c r="J820" s="223"/>
      <c r="K820" s="240"/>
      <c r="L820" s="223"/>
      <c r="M820" s="223"/>
      <c r="N820" s="223"/>
      <c r="O820" s="223"/>
      <c r="P820" s="223"/>
      <c r="Q820" s="223"/>
      <c r="R820" s="223" t="s">
        <v>535</v>
      </c>
      <c r="S820" s="220">
        <f t="shared" si="13"/>
        <v>0</v>
      </c>
      <c r="T820" s="219" t="str">
        <f>IFERROR(VLOOKUP($B820,'SIZE CALCULATION'!$F$2:$G$100,2,0),"")</f>
        <v/>
      </c>
    </row>
    <row r="821" spans="1:20" x14ac:dyDescent="0.2">
      <c r="A821" s="236"/>
      <c r="B821" s="222"/>
      <c r="C821" s="222"/>
      <c r="D821" s="224"/>
      <c r="E821" s="223"/>
      <c r="F821" s="223"/>
      <c r="G821" s="223"/>
      <c r="H821" s="223"/>
      <c r="I821" s="247"/>
      <c r="J821" s="223"/>
      <c r="K821" s="240"/>
      <c r="L821" s="223"/>
      <c r="M821" s="223"/>
      <c r="N821" s="223"/>
      <c r="O821" s="223"/>
      <c r="P821" s="223"/>
      <c r="Q821" s="223"/>
      <c r="R821" s="223" t="s">
        <v>535</v>
      </c>
      <c r="S821" s="220">
        <f t="shared" si="13"/>
        <v>0</v>
      </c>
      <c r="T821" s="219" t="str">
        <f>IFERROR(VLOOKUP($B821,'SIZE CALCULATION'!$F$2:$G$100,2,0),"")</f>
        <v/>
      </c>
    </row>
    <row r="822" spans="1:20" x14ac:dyDescent="0.2">
      <c r="A822" s="236"/>
      <c r="B822" s="222"/>
      <c r="C822" s="222"/>
      <c r="D822" s="224"/>
      <c r="E822" s="223"/>
      <c r="F822" s="223"/>
      <c r="G822" s="223"/>
      <c r="H822" s="223"/>
      <c r="I822" s="247"/>
      <c r="J822" s="223"/>
      <c r="K822" s="240"/>
      <c r="L822" s="223"/>
      <c r="M822" s="223"/>
      <c r="N822" s="223"/>
      <c r="O822" s="223"/>
      <c r="P822" s="223"/>
      <c r="Q822" s="223"/>
      <c r="R822" s="223" t="s">
        <v>535</v>
      </c>
      <c r="S822" s="220">
        <f t="shared" si="13"/>
        <v>0</v>
      </c>
      <c r="T822" s="219" t="str">
        <f>IFERROR(VLOOKUP($B822,'SIZE CALCULATION'!$F$2:$G$100,2,0),"")</f>
        <v/>
      </c>
    </row>
    <row r="823" spans="1:20" x14ac:dyDescent="0.2">
      <c r="A823" s="236"/>
      <c r="B823" s="222"/>
      <c r="C823" s="222"/>
      <c r="D823" s="224"/>
      <c r="E823" s="223"/>
      <c r="F823" s="223"/>
      <c r="G823" s="223"/>
      <c r="H823" s="223"/>
      <c r="I823" s="247"/>
      <c r="J823" s="223"/>
      <c r="K823" s="240"/>
      <c r="L823" s="223"/>
      <c r="M823" s="223"/>
      <c r="N823" s="223"/>
      <c r="O823" s="223"/>
      <c r="P823" s="223"/>
      <c r="Q823" s="223"/>
      <c r="R823" s="223" t="s">
        <v>535</v>
      </c>
      <c r="S823" s="220">
        <f t="shared" si="13"/>
        <v>0</v>
      </c>
      <c r="T823" s="219" t="str">
        <f>IFERROR(VLOOKUP($B823,'SIZE CALCULATION'!$F$2:$G$100,2,0),"")</f>
        <v/>
      </c>
    </row>
    <row r="824" spans="1:20" x14ac:dyDescent="0.2">
      <c r="A824" s="236"/>
      <c r="B824" s="222"/>
      <c r="C824" s="222"/>
      <c r="D824" s="224"/>
      <c r="E824" s="223"/>
      <c r="F824" s="223"/>
      <c r="G824" s="223"/>
      <c r="H824" s="223"/>
      <c r="I824" s="247"/>
      <c r="J824" s="223"/>
      <c r="K824" s="240"/>
      <c r="L824" s="223"/>
      <c r="M824" s="223"/>
      <c r="N824" s="223"/>
      <c r="O824" s="223"/>
      <c r="P824" s="223"/>
      <c r="Q824" s="223"/>
      <c r="R824" s="223" t="s">
        <v>535</v>
      </c>
      <c r="S824" s="220">
        <f t="shared" si="13"/>
        <v>0</v>
      </c>
      <c r="T824" s="219" t="str">
        <f>IFERROR(VLOOKUP($B824,'SIZE CALCULATION'!$F$2:$G$100,2,0),"")</f>
        <v/>
      </c>
    </row>
    <row r="825" spans="1:20" x14ac:dyDescent="0.2">
      <c r="A825" s="236"/>
      <c r="B825" s="222"/>
      <c r="C825" s="222"/>
      <c r="D825" s="224"/>
      <c r="E825" s="223"/>
      <c r="F825" s="223"/>
      <c r="G825" s="223"/>
      <c r="H825" s="223"/>
      <c r="I825" s="247"/>
      <c r="J825" s="223"/>
      <c r="K825" s="240"/>
      <c r="L825" s="223"/>
      <c r="M825" s="223"/>
      <c r="N825" s="223"/>
      <c r="O825" s="223"/>
      <c r="P825" s="223"/>
      <c r="Q825" s="223"/>
      <c r="R825" s="223" t="s">
        <v>535</v>
      </c>
      <c r="S825" s="220">
        <f t="shared" si="13"/>
        <v>0</v>
      </c>
      <c r="T825" s="219" t="str">
        <f>IFERROR(VLOOKUP($B825,'SIZE CALCULATION'!$F$2:$G$100,2,0),"")</f>
        <v/>
      </c>
    </row>
    <row r="826" spans="1:20" x14ac:dyDescent="0.2">
      <c r="A826" s="236"/>
      <c r="B826" s="222"/>
      <c r="C826" s="222"/>
      <c r="D826" s="224"/>
      <c r="E826" s="223"/>
      <c r="F826" s="223"/>
      <c r="G826" s="223"/>
      <c r="H826" s="223"/>
      <c r="I826" s="247"/>
      <c r="J826" s="223"/>
      <c r="K826" s="240"/>
      <c r="L826" s="223"/>
      <c r="M826" s="223"/>
      <c r="N826" s="223"/>
      <c r="O826" s="223"/>
      <c r="P826" s="223"/>
      <c r="Q826" s="223"/>
      <c r="R826" s="223" t="s">
        <v>535</v>
      </c>
      <c r="S826" s="220">
        <f t="shared" si="13"/>
        <v>0</v>
      </c>
      <c r="T826" s="219" t="str">
        <f>IFERROR(VLOOKUP($B826,'SIZE CALCULATION'!$F$2:$G$100,2,0),"")</f>
        <v/>
      </c>
    </row>
    <row r="827" spans="1:20" x14ac:dyDescent="0.2">
      <c r="A827" s="236"/>
      <c r="B827" s="222"/>
      <c r="C827" s="222"/>
      <c r="D827" s="224"/>
      <c r="E827" s="223"/>
      <c r="F827" s="223"/>
      <c r="G827" s="223"/>
      <c r="H827" s="223"/>
      <c r="I827" s="247"/>
      <c r="J827" s="223"/>
      <c r="K827" s="240"/>
      <c r="L827" s="223"/>
      <c r="M827" s="223"/>
      <c r="N827" s="223"/>
      <c r="O827" s="223"/>
      <c r="P827" s="223"/>
      <c r="Q827" s="223"/>
      <c r="R827" s="223" t="s">
        <v>535</v>
      </c>
      <c r="S827" s="220">
        <f t="shared" si="13"/>
        <v>0</v>
      </c>
      <c r="T827" s="219" t="str">
        <f>IFERROR(VLOOKUP($B827,'SIZE CALCULATION'!$F$2:$G$100,2,0),"")</f>
        <v/>
      </c>
    </row>
    <row r="828" spans="1:20" x14ac:dyDescent="0.2">
      <c r="A828" s="236"/>
      <c r="B828" s="222"/>
      <c r="C828" s="222"/>
      <c r="D828" s="224"/>
      <c r="E828" s="223"/>
      <c r="F828" s="223"/>
      <c r="G828" s="223"/>
      <c r="H828" s="223"/>
      <c r="I828" s="247"/>
      <c r="J828" s="223"/>
      <c r="K828" s="240"/>
      <c r="L828" s="223"/>
      <c r="M828" s="223"/>
      <c r="N828" s="223"/>
      <c r="O828" s="223"/>
      <c r="P828" s="223"/>
      <c r="Q828" s="223"/>
      <c r="R828" s="223" t="s">
        <v>535</v>
      </c>
      <c r="S828" s="220">
        <f t="shared" ref="S828:S891" si="14">IFERROR(M828/O828,M828)</f>
        <v>0</v>
      </c>
      <c r="T828" s="219" t="str">
        <f>IFERROR(VLOOKUP($B828,'SIZE CALCULATION'!$F$2:$G$100,2,0),"")</f>
        <v/>
      </c>
    </row>
    <row r="829" spans="1:20" x14ac:dyDescent="0.2">
      <c r="A829" s="236"/>
      <c r="B829" s="222"/>
      <c r="C829" s="222"/>
      <c r="D829" s="224"/>
      <c r="E829" s="223"/>
      <c r="F829" s="223"/>
      <c r="G829" s="223"/>
      <c r="H829" s="223"/>
      <c r="I829" s="247"/>
      <c r="J829" s="223"/>
      <c r="K829" s="240"/>
      <c r="L829" s="223"/>
      <c r="M829" s="223"/>
      <c r="N829" s="223"/>
      <c r="O829" s="223"/>
      <c r="P829" s="223"/>
      <c r="Q829" s="223"/>
      <c r="R829" s="223" t="s">
        <v>535</v>
      </c>
      <c r="S829" s="220">
        <f t="shared" si="14"/>
        <v>0</v>
      </c>
      <c r="T829" s="219" t="str">
        <f>IFERROR(VLOOKUP($B829,'SIZE CALCULATION'!$F$2:$G$100,2,0),"")</f>
        <v/>
      </c>
    </row>
    <row r="830" spans="1:20" x14ac:dyDescent="0.2">
      <c r="A830" s="236"/>
      <c r="B830" s="222"/>
      <c r="C830" s="222"/>
      <c r="D830" s="224"/>
      <c r="E830" s="223"/>
      <c r="F830" s="223"/>
      <c r="G830" s="223"/>
      <c r="H830" s="223"/>
      <c r="I830" s="247"/>
      <c r="J830" s="223"/>
      <c r="K830" s="240"/>
      <c r="L830" s="223"/>
      <c r="M830" s="223"/>
      <c r="N830" s="223"/>
      <c r="O830" s="223"/>
      <c r="P830" s="223"/>
      <c r="Q830" s="223"/>
      <c r="R830" s="223" t="s">
        <v>535</v>
      </c>
      <c r="S830" s="220">
        <f t="shared" si="14"/>
        <v>0</v>
      </c>
      <c r="T830" s="219" t="str">
        <f>IFERROR(VLOOKUP($B830,'SIZE CALCULATION'!$F$2:$G$100,2,0),"")</f>
        <v/>
      </c>
    </row>
    <row r="831" spans="1:20" x14ac:dyDescent="0.2">
      <c r="A831" s="236"/>
      <c r="B831" s="222"/>
      <c r="C831" s="222"/>
      <c r="D831" s="224"/>
      <c r="E831" s="223"/>
      <c r="F831" s="223"/>
      <c r="G831" s="223"/>
      <c r="H831" s="223"/>
      <c r="I831" s="247"/>
      <c r="J831" s="223"/>
      <c r="K831" s="240"/>
      <c r="L831" s="223"/>
      <c r="M831" s="223"/>
      <c r="N831" s="223"/>
      <c r="O831" s="223"/>
      <c r="P831" s="223"/>
      <c r="Q831" s="223"/>
      <c r="R831" s="223" t="s">
        <v>535</v>
      </c>
      <c r="S831" s="220">
        <f t="shared" si="14"/>
        <v>0</v>
      </c>
      <c r="T831" s="219" t="str">
        <f>IFERROR(VLOOKUP($B831,'SIZE CALCULATION'!$F$2:$G$100,2,0),"")</f>
        <v/>
      </c>
    </row>
    <row r="832" spans="1:20" x14ac:dyDescent="0.2">
      <c r="A832" s="236"/>
      <c r="B832" s="222"/>
      <c r="C832" s="222"/>
      <c r="D832" s="224"/>
      <c r="E832" s="223"/>
      <c r="F832" s="223"/>
      <c r="G832" s="223"/>
      <c r="H832" s="223"/>
      <c r="I832" s="247"/>
      <c r="J832" s="223"/>
      <c r="K832" s="240"/>
      <c r="L832" s="223"/>
      <c r="M832" s="223"/>
      <c r="N832" s="223"/>
      <c r="O832" s="223"/>
      <c r="P832" s="223"/>
      <c r="Q832" s="223"/>
      <c r="R832" s="223" t="s">
        <v>535</v>
      </c>
      <c r="S832" s="220">
        <f t="shared" si="14"/>
        <v>0</v>
      </c>
      <c r="T832" s="219" t="str">
        <f>IFERROR(VLOOKUP($B832,'SIZE CALCULATION'!$F$2:$G$100,2,0),"")</f>
        <v/>
      </c>
    </row>
    <row r="833" spans="1:20" x14ac:dyDescent="0.2">
      <c r="A833" s="236"/>
      <c r="B833" s="222"/>
      <c r="C833" s="222"/>
      <c r="D833" s="224"/>
      <c r="E833" s="223"/>
      <c r="F833" s="223"/>
      <c r="G833" s="223"/>
      <c r="H833" s="223"/>
      <c r="I833" s="247"/>
      <c r="J833" s="223"/>
      <c r="K833" s="240"/>
      <c r="L833" s="223"/>
      <c r="M833" s="223"/>
      <c r="N833" s="223"/>
      <c r="O833" s="223"/>
      <c r="P833" s="223"/>
      <c r="Q833" s="223"/>
      <c r="R833" s="223" t="s">
        <v>535</v>
      </c>
      <c r="S833" s="220">
        <f t="shared" si="14"/>
        <v>0</v>
      </c>
      <c r="T833" s="219" t="str">
        <f>IFERROR(VLOOKUP($B833,'SIZE CALCULATION'!$F$2:$G$100,2,0),"")</f>
        <v/>
      </c>
    </row>
    <row r="834" spans="1:20" x14ac:dyDescent="0.2">
      <c r="A834" s="236"/>
      <c r="B834" s="222"/>
      <c r="C834" s="222"/>
      <c r="D834" s="224"/>
      <c r="E834" s="223"/>
      <c r="F834" s="223"/>
      <c r="G834" s="223"/>
      <c r="H834" s="223"/>
      <c r="I834" s="247"/>
      <c r="J834" s="223"/>
      <c r="K834" s="240"/>
      <c r="L834" s="223"/>
      <c r="M834" s="223"/>
      <c r="N834" s="223"/>
      <c r="O834" s="223"/>
      <c r="P834" s="223"/>
      <c r="Q834" s="223"/>
      <c r="R834" s="223" t="s">
        <v>535</v>
      </c>
      <c r="S834" s="220">
        <f t="shared" si="14"/>
        <v>0</v>
      </c>
      <c r="T834" s="219" t="str">
        <f>IFERROR(VLOOKUP($B834,'SIZE CALCULATION'!$F$2:$G$100,2,0),"")</f>
        <v/>
      </c>
    </row>
    <row r="835" spans="1:20" x14ac:dyDescent="0.2">
      <c r="A835" s="236"/>
      <c r="B835" s="222"/>
      <c r="C835" s="222"/>
      <c r="D835" s="224"/>
      <c r="E835" s="223"/>
      <c r="F835" s="223"/>
      <c r="G835" s="223"/>
      <c r="H835" s="223"/>
      <c r="I835" s="247"/>
      <c r="J835" s="223"/>
      <c r="K835" s="240"/>
      <c r="L835" s="223"/>
      <c r="M835" s="223"/>
      <c r="N835" s="223"/>
      <c r="O835" s="223"/>
      <c r="P835" s="223"/>
      <c r="Q835" s="223"/>
      <c r="R835" s="223" t="s">
        <v>535</v>
      </c>
      <c r="S835" s="220">
        <f t="shared" si="14"/>
        <v>0</v>
      </c>
      <c r="T835" s="219" t="str">
        <f>IFERROR(VLOOKUP($B835,'SIZE CALCULATION'!$F$2:$G$100,2,0),"")</f>
        <v/>
      </c>
    </row>
    <row r="836" spans="1:20" x14ac:dyDescent="0.2">
      <c r="A836" s="236"/>
      <c r="B836" s="222"/>
      <c r="C836" s="222"/>
      <c r="D836" s="224"/>
      <c r="E836" s="223"/>
      <c r="F836" s="223"/>
      <c r="G836" s="223"/>
      <c r="H836" s="223"/>
      <c r="I836" s="247"/>
      <c r="J836" s="223"/>
      <c r="K836" s="240"/>
      <c r="L836" s="223"/>
      <c r="M836" s="223"/>
      <c r="N836" s="223"/>
      <c r="O836" s="223"/>
      <c r="P836" s="223"/>
      <c r="Q836" s="223"/>
      <c r="R836" s="223" t="s">
        <v>535</v>
      </c>
      <c r="S836" s="220">
        <f t="shared" si="14"/>
        <v>0</v>
      </c>
      <c r="T836" s="219" t="str">
        <f>IFERROR(VLOOKUP($B836,'SIZE CALCULATION'!$F$2:$G$100,2,0),"")</f>
        <v/>
      </c>
    </row>
    <row r="837" spans="1:20" x14ac:dyDescent="0.2">
      <c r="A837" s="236"/>
      <c r="B837" s="222"/>
      <c r="C837" s="222"/>
      <c r="D837" s="224"/>
      <c r="E837" s="223"/>
      <c r="F837" s="223"/>
      <c r="G837" s="223"/>
      <c r="H837" s="223"/>
      <c r="I837" s="247"/>
      <c r="J837" s="223"/>
      <c r="K837" s="240"/>
      <c r="L837" s="223"/>
      <c r="M837" s="223"/>
      <c r="N837" s="223"/>
      <c r="O837" s="223"/>
      <c r="P837" s="223"/>
      <c r="Q837" s="223"/>
      <c r="R837" s="223" t="s">
        <v>535</v>
      </c>
      <c r="S837" s="220">
        <f t="shared" si="14"/>
        <v>0</v>
      </c>
      <c r="T837" s="219" t="str">
        <f>IFERROR(VLOOKUP($B837,'SIZE CALCULATION'!$F$2:$G$100,2,0),"")</f>
        <v/>
      </c>
    </row>
    <row r="838" spans="1:20" x14ac:dyDescent="0.2">
      <c r="A838" s="236"/>
      <c r="B838" s="222"/>
      <c r="C838" s="222"/>
      <c r="D838" s="224"/>
      <c r="E838" s="223"/>
      <c r="F838" s="223"/>
      <c r="G838" s="223"/>
      <c r="H838" s="223"/>
      <c r="I838" s="247"/>
      <c r="J838" s="223"/>
      <c r="K838" s="240"/>
      <c r="L838" s="223"/>
      <c r="M838" s="223"/>
      <c r="N838" s="223"/>
      <c r="O838" s="223"/>
      <c r="P838" s="223"/>
      <c r="Q838" s="223"/>
      <c r="R838" s="223" t="s">
        <v>535</v>
      </c>
      <c r="S838" s="220">
        <f t="shared" si="14"/>
        <v>0</v>
      </c>
      <c r="T838" s="219" t="str">
        <f>IFERROR(VLOOKUP($B838,'SIZE CALCULATION'!$F$2:$G$100,2,0),"")</f>
        <v/>
      </c>
    </row>
    <row r="839" spans="1:20" x14ac:dyDescent="0.2">
      <c r="A839" s="236"/>
      <c r="B839" s="222"/>
      <c r="C839" s="222"/>
      <c r="D839" s="224"/>
      <c r="E839" s="223"/>
      <c r="F839" s="223"/>
      <c r="G839" s="223"/>
      <c r="H839" s="223"/>
      <c r="I839" s="247"/>
      <c r="J839" s="223"/>
      <c r="K839" s="240"/>
      <c r="L839" s="223"/>
      <c r="M839" s="223"/>
      <c r="N839" s="223"/>
      <c r="O839" s="223"/>
      <c r="P839" s="223"/>
      <c r="Q839" s="223"/>
      <c r="R839" s="223" t="s">
        <v>535</v>
      </c>
      <c r="S839" s="220">
        <f t="shared" si="14"/>
        <v>0</v>
      </c>
      <c r="T839" s="219" t="str">
        <f>IFERROR(VLOOKUP($B839,'SIZE CALCULATION'!$F$2:$G$100,2,0),"")</f>
        <v/>
      </c>
    </row>
    <row r="840" spans="1:20" x14ac:dyDescent="0.2">
      <c r="A840" s="236"/>
      <c r="B840" s="222"/>
      <c r="C840" s="222"/>
      <c r="D840" s="224"/>
      <c r="E840" s="223"/>
      <c r="F840" s="223"/>
      <c r="G840" s="223"/>
      <c r="H840" s="223"/>
      <c r="I840" s="247"/>
      <c r="J840" s="223"/>
      <c r="K840" s="240"/>
      <c r="L840" s="223"/>
      <c r="M840" s="223"/>
      <c r="N840" s="223"/>
      <c r="O840" s="223"/>
      <c r="P840" s="223"/>
      <c r="Q840" s="223"/>
      <c r="R840" s="223" t="s">
        <v>535</v>
      </c>
      <c r="S840" s="220">
        <f t="shared" si="14"/>
        <v>0</v>
      </c>
      <c r="T840" s="219" t="str">
        <f>IFERROR(VLOOKUP($B840,'SIZE CALCULATION'!$F$2:$G$100,2,0),"")</f>
        <v/>
      </c>
    </row>
    <row r="841" spans="1:20" x14ac:dyDescent="0.2">
      <c r="A841" s="236"/>
      <c r="B841" s="222"/>
      <c r="C841" s="222"/>
      <c r="D841" s="224"/>
      <c r="E841" s="223"/>
      <c r="F841" s="223"/>
      <c r="G841" s="223"/>
      <c r="H841" s="223"/>
      <c r="I841" s="247"/>
      <c r="J841" s="223"/>
      <c r="K841" s="240"/>
      <c r="L841" s="223"/>
      <c r="M841" s="223"/>
      <c r="N841" s="223"/>
      <c r="O841" s="223"/>
      <c r="P841" s="223"/>
      <c r="Q841" s="223"/>
      <c r="R841" s="223" t="s">
        <v>535</v>
      </c>
      <c r="S841" s="220">
        <f t="shared" si="14"/>
        <v>0</v>
      </c>
      <c r="T841" s="219" t="str">
        <f>IFERROR(VLOOKUP($B841,'SIZE CALCULATION'!$F$2:$G$100,2,0),"")</f>
        <v/>
      </c>
    </row>
    <row r="842" spans="1:20" x14ac:dyDescent="0.2">
      <c r="A842" s="236"/>
      <c r="B842" s="222"/>
      <c r="C842" s="222"/>
      <c r="D842" s="224"/>
      <c r="E842" s="223"/>
      <c r="F842" s="223"/>
      <c r="G842" s="223"/>
      <c r="H842" s="223"/>
      <c r="I842" s="247"/>
      <c r="J842" s="223"/>
      <c r="K842" s="240"/>
      <c r="L842" s="223"/>
      <c r="M842" s="223"/>
      <c r="N842" s="223"/>
      <c r="O842" s="223"/>
      <c r="P842" s="223"/>
      <c r="Q842" s="223"/>
      <c r="R842" s="223" t="s">
        <v>535</v>
      </c>
      <c r="S842" s="220">
        <f t="shared" si="14"/>
        <v>0</v>
      </c>
      <c r="T842" s="219" t="str">
        <f>IFERROR(VLOOKUP($B842,'SIZE CALCULATION'!$F$2:$G$100,2,0),"")</f>
        <v/>
      </c>
    </row>
    <row r="843" spans="1:20" x14ac:dyDescent="0.2">
      <c r="A843" s="236"/>
      <c r="B843" s="222"/>
      <c r="C843" s="222"/>
      <c r="D843" s="224"/>
      <c r="E843" s="223"/>
      <c r="F843" s="223"/>
      <c r="G843" s="223"/>
      <c r="H843" s="223"/>
      <c r="I843" s="247"/>
      <c r="J843" s="223"/>
      <c r="K843" s="240"/>
      <c r="L843" s="223"/>
      <c r="M843" s="223"/>
      <c r="N843" s="223"/>
      <c r="O843" s="223"/>
      <c r="P843" s="223"/>
      <c r="Q843" s="223"/>
      <c r="R843" s="223" t="s">
        <v>535</v>
      </c>
      <c r="S843" s="220">
        <f t="shared" si="14"/>
        <v>0</v>
      </c>
      <c r="T843" s="219" t="str">
        <f>IFERROR(VLOOKUP($B843,'SIZE CALCULATION'!$F$2:$G$100,2,0),"")</f>
        <v/>
      </c>
    </row>
    <row r="844" spans="1:20" x14ac:dyDescent="0.2">
      <c r="A844" s="236"/>
      <c r="B844" s="222"/>
      <c r="C844" s="222"/>
      <c r="D844" s="224"/>
      <c r="E844" s="223"/>
      <c r="F844" s="223"/>
      <c r="G844" s="223"/>
      <c r="H844" s="223"/>
      <c r="I844" s="247"/>
      <c r="J844" s="223"/>
      <c r="K844" s="240"/>
      <c r="L844" s="223"/>
      <c r="M844" s="223"/>
      <c r="N844" s="223"/>
      <c r="O844" s="223"/>
      <c r="P844" s="223"/>
      <c r="Q844" s="223"/>
      <c r="R844" s="223" t="s">
        <v>535</v>
      </c>
      <c r="S844" s="220">
        <f t="shared" si="14"/>
        <v>0</v>
      </c>
      <c r="T844" s="219" t="str">
        <f>IFERROR(VLOOKUP($B844,'SIZE CALCULATION'!$F$2:$G$100,2,0),"")</f>
        <v/>
      </c>
    </row>
    <row r="845" spans="1:20" x14ac:dyDescent="0.2">
      <c r="A845" s="236"/>
      <c r="B845" s="222"/>
      <c r="C845" s="222"/>
      <c r="D845" s="224"/>
      <c r="E845" s="223"/>
      <c r="F845" s="223"/>
      <c r="G845" s="223"/>
      <c r="H845" s="223"/>
      <c r="I845" s="247"/>
      <c r="J845" s="223"/>
      <c r="K845" s="240"/>
      <c r="L845" s="223"/>
      <c r="M845" s="223"/>
      <c r="N845" s="223"/>
      <c r="O845" s="223"/>
      <c r="P845" s="223"/>
      <c r="Q845" s="223"/>
      <c r="R845" s="223" t="s">
        <v>535</v>
      </c>
      <c r="S845" s="220">
        <f t="shared" si="14"/>
        <v>0</v>
      </c>
      <c r="T845" s="219" t="str">
        <f>IFERROR(VLOOKUP($B845,'SIZE CALCULATION'!$F$2:$G$100,2,0),"")</f>
        <v/>
      </c>
    </row>
    <row r="846" spans="1:20" x14ac:dyDescent="0.2">
      <c r="A846" s="236"/>
      <c r="B846" s="222"/>
      <c r="C846" s="222"/>
      <c r="D846" s="224"/>
      <c r="E846" s="223"/>
      <c r="F846" s="223"/>
      <c r="G846" s="223"/>
      <c r="H846" s="223"/>
      <c r="I846" s="247"/>
      <c r="J846" s="223"/>
      <c r="K846" s="240"/>
      <c r="L846" s="223"/>
      <c r="M846" s="223"/>
      <c r="N846" s="223"/>
      <c r="O846" s="223"/>
      <c r="P846" s="223"/>
      <c r="Q846" s="223"/>
      <c r="R846" s="223" t="s">
        <v>535</v>
      </c>
      <c r="S846" s="220">
        <f t="shared" si="14"/>
        <v>0</v>
      </c>
      <c r="T846" s="219" t="str">
        <f>IFERROR(VLOOKUP($B846,'SIZE CALCULATION'!$F$2:$G$100,2,0),"")</f>
        <v/>
      </c>
    </row>
    <row r="847" spans="1:20" x14ac:dyDescent="0.2">
      <c r="A847" s="236"/>
      <c r="B847" s="222"/>
      <c r="C847" s="222"/>
      <c r="D847" s="224"/>
      <c r="E847" s="223"/>
      <c r="F847" s="223"/>
      <c r="G847" s="223"/>
      <c r="H847" s="223"/>
      <c r="I847" s="247"/>
      <c r="J847" s="223"/>
      <c r="K847" s="240"/>
      <c r="L847" s="223"/>
      <c r="M847" s="223"/>
      <c r="N847" s="223"/>
      <c r="O847" s="223"/>
      <c r="P847" s="223"/>
      <c r="Q847" s="223"/>
      <c r="R847" s="223" t="s">
        <v>535</v>
      </c>
      <c r="S847" s="220">
        <f t="shared" si="14"/>
        <v>0</v>
      </c>
      <c r="T847" s="219" t="str">
        <f>IFERROR(VLOOKUP($B847,'SIZE CALCULATION'!$F$2:$G$100,2,0),"")</f>
        <v/>
      </c>
    </row>
    <row r="848" spans="1:20" x14ac:dyDescent="0.2">
      <c r="A848" s="236"/>
      <c r="B848" s="222"/>
      <c r="C848" s="222"/>
      <c r="D848" s="224"/>
      <c r="E848" s="223"/>
      <c r="F848" s="223"/>
      <c r="G848" s="223"/>
      <c r="H848" s="223"/>
      <c r="I848" s="247"/>
      <c r="J848" s="223"/>
      <c r="K848" s="240"/>
      <c r="L848" s="223"/>
      <c r="M848" s="223"/>
      <c r="N848" s="223"/>
      <c r="O848" s="223"/>
      <c r="P848" s="223"/>
      <c r="Q848" s="223"/>
      <c r="R848" s="223" t="s">
        <v>535</v>
      </c>
      <c r="S848" s="220">
        <f t="shared" si="14"/>
        <v>0</v>
      </c>
      <c r="T848" s="219" t="str">
        <f>IFERROR(VLOOKUP($B848,'SIZE CALCULATION'!$F$2:$G$100,2,0),"")</f>
        <v/>
      </c>
    </row>
    <row r="849" spans="1:20" x14ac:dyDescent="0.2">
      <c r="A849" s="236"/>
      <c r="B849" s="222"/>
      <c r="C849" s="222"/>
      <c r="D849" s="224"/>
      <c r="E849" s="223"/>
      <c r="F849" s="223"/>
      <c r="G849" s="223"/>
      <c r="H849" s="223"/>
      <c r="I849" s="247"/>
      <c r="J849" s="223"/>
      <c r="K849" s="240"/>
      <c r="L849" s="223"/>
      <c r="M849" s="223"/>
      <c r="N849" s="223"/>
      <c r="O849" s="223"/>
      <c r="P849" s="223"/>
      <c r="Q849" s="223"/>
      <c r="R849" s="223" t="s">
        <v>535</v>
      </c>
      <c r="S849" s="220">
        <f t="shared" si="14"/>
        <v>0</v>
      </c>
      <c r="T849" s="219" t="str">
        <f>IFERROR(VLOOKUP($B849,'SIZE CALCULATION'!$F$2:$G$100,2,0),"")</f>
        <v/>
      </c>
    </row>
    <row r="850" spans="1:20" x14ac:dyDescent="0.2">
      <c r="A850" s="236"/>
      <c r="B850" s="222"/>
      <c r="C850" s="222"/>
      <c r="D850" s="224"/>
      <c r="E850" s="223"/>
      <c r="F850" s="223"/>
      <c r="G850" s="223"/>
      <c r="H850" s="223"/>
      <c r="I850" s="247"/>
      <c r="J850" s="223"/>
      <c r="K850" s="240"/>
      <c r="L850" s="223"/>
      <c r="M850" s="223"/>
      <c r="N850" s="223"/>
      <c r="O850" s="223"/>
      <c r="P850" s="223"/>
      <c r="Q850" s="223"/>
      <c r="R850" s="223" t="s">
        <v>535</v>
      </c>
      <c r="S850" s="220">
        <f t="shared" si="14"/>
        <v>0</v>
      </c>
      <c r="T850" s="219" t="str">
        <f>IFERROR(VLOOKUP($B850,'SIZE CALCULATION'!$F$2:$G$100,2,0),"")</f>
        <v/>
      </c>
    </row>
    <row r="851" spans="1:20" x14ac:dyDescent="0.2">
      <c r="A851" s="236"/>
      <c r="B851" s="222"/>
      <c r="C851" s="222"/>
      <c r="D851" s="224"/>
      <c r="E851" s="223"/>
      <c r="F851" s="223"/>
      <c r="G851" s="223"/>
      <c r="H851" s="223"/>
      <c r="I851" s="247"/>
      <c r="J851" s="223"/>
      <c r="K851" s="240"/>
      <c r="L851" s="223"/>
      <c r="M851" s="223"/>
      <c r="N851" s="223"/>
      <c r="O851" s="223"/>
      <c r="P851" s="223"/>
      <c r="Q851" s="223"/>
      <c r="R851" s="223" t="s">
        <v>535</v>
      </c>
      <c r="S851" s="220">
        <f t="shared" si="14"/>
        <v>0</v>
      </c>
      <c r="T851" s="219" t="str">
        <f>IFERROR(VLOOKUP($B851,'SIZE CALCULATION'!$F$2:$G$100,2,0),"")</f>
        <v/>
      </c>
    </row>
    <row r="852" spans="1:20" x14ac:dyDescent="0.2">
      <c r="A852" s="236"/>
      <c r="B852" s="222"/>
      <c r="C852" s="222"/>
      <c r="D852" s="224"/>
      <c r="E852" s="223"/>
      <c r="F852" s="223"/>
      <c r="G852" s="223"/>
      <c r="H852" s="223"/>
      <c r="I852" s="247"/>
      <c r="J852" s="223"/>
      <c r="K852" s="240"/>
      <c r="L852" s="223"/>
      <c r="M852" s="223"/>
      <c r="N852" s="223"/>
      <c r="O852" s="223"/>
      <c r="P852" s="223"/>
      <c r="Q852" s="223"/>
      <c r="R852" s="223" t="s">
        <v>535</v>
      </c>
      <c r="S852" s="220">
        <f t="shared" si="14"/>
        <v>0</v>
      </c>
      <c r="T852" s="219" t="str">
        <f>IFERROR(VLOOKUP($B852,'SIZE CALCULATION'!$F$2:$G$100,2,0),"")</f>
        <v/>
      </c>
    </row>
    <row r="853" spans="1:20" x14ac:dyDescent="0.2">
      <c r="A853" s="236"/>
      <c r="B853" s="222"/>
      <c r="C853" s="222"/>
      <c r="D853" s="224"/>
      <c r="E853" s="223"/>
      <c r="F853" s="223"/>
      <c r="G853" s="223"/>
      <c r="H853" s="223"/>
      <c r="I853" s="247"/>
      <c r="J853" s="223"/>
      <c r="K853" s="240"/>
      <c r="L853" s="223"/>
      <c r="M853" s="223"/>
      <c r="N853" s="223"/>
      <c r="O853" s="223"/>
      <c r="P853" s="223"/>
      <c r="Q853" s="223"/>
      <c r="R853" s="223" t="s">
        <v>535</v>
      </c>
      <c r="S853" s="220">
        <f t="shared" si="14"/>
        <v>0</v>
      </c>
      <c r="T853" s="219" t="str">
        <f>IFERROR(VLOOKUP($B853,'SIZE CALCULATION'!$F$2:$G$100,2,0),"")</f>
        <v/>
      </c>
    </row>
    <row r="854" spans="1:20" x14ac:dyDescent="0.2">
      <c r="A854" s="236"/>
      <c r="B854" s="222"/>
      <c r="C854" s="222"/>
      <c r="D854" s="224"/>
      <c r="E854" s="223"/>
      <c r="F854" s="223"/>
      <c r="G854" s="223"/>
      <c r="H854" s="223"/>
      <c r="I854" s="247"/>
      <c r="J854" s="223"/>
      <c r="K854" s="240"/>
      <c r="L854" s="223"/>
      <c r="M854" s="223"/>
      <c r="N854" s="223"/>
      <c r="O854" s="223"/>
      <c r="P854" s="223"/>
      <c r="Q854" s="223"/>
      <c r="R854" s="223" t="s">
        <v>535</v>
      </c>
      <c r="S854" s="220">
        <f t="shared" si="14"/>
        <v>0</v>
      </c>
      <c r="T854" s="219" t="str">
        <f>IFERROR(VLOOKUP($B854,'SIZE CALCULATION'!$F$2:$G$100,2,0),"")</f>
        <v/>
      </c>
    </row>
    <row r="855" spans="1:20" x14ac:dyDescent="0.2">
      <c r="A855" s="236"/>
      <c r="B855" s="222"/>
      <c r="C855" s="222"/>
      <c r="D855" s="224"/>
      <c r="E855" s="223"/>
      <c r="F855" s="223"/>
      <c r="G855" s="223"/>
      <c r="H855" s="223"/>
      <c r="I855" s="247"/>
      <c r="J855" s="223"/>
      <c r="K855" s="240"/>
      <c r="L855" s="223"/>
      <c r="M855" s="223"/>
      <c r="N855" s="223"/>
      <c r="O855" s="223"/>
      <c r="P855" s="223"/>
      <c r="Q855" s="223"/>
      <c r="R855" s="223" t="s">
        <v>535</v>
      </c>
      <c r="S855" s="220">
        <f t="shared" si="14"/>
        <v>0</v>
      </c>
      <c r="T855" s="219" t="str">
        <f>IFERROR(VLOOKUP($B855,'SIZE CALCULATION'!$F$2:$G$100,2,0),"")</f>
        <v/>
      </c>
    </row>
    <row r="856" spans="1:20" x14ac:dyDescent="0.2">
      <c r="A856" s="236"/>
      <c r="B856" s="222"/>
      <c r="C856" s="222"/>
      <c r="D856" s="224"/>
      <c r="E856" s="223"/>
      <c r="F856" s="223"/>
      <c r="G856" s="223"/>
      <c r="H856" s="223"/>
      <c r="I856" s="247"/>
      <c r="J856" s="223"/>
      <c r="K856" s="240"/>
      <c r="L856" s="223"/>
      <c r="M856" s="223"/>
      <c r="N856" s="223"/>
      <c r="O856" s="223"/>
      <c r="P856" s="223"/>
      <c r="Q856" s="223"/>
      <c r="R856" s="223" t="s">
        <v>535</v>
      </c>
      <c r="S856" s="220">
        <f t="shared" si="14"/>
        <v>0</v>
      </c>
      <c r="T856" s="219" t="str">
        <f>IFERROR(VLOOKUP($B856,'SIZE CALCULATION'!$F$2:$G$100,2,0),"")</f>
        <v/>
      </c>
    </row>
    <row r="857" spans="1:20" x14ac:dyDescent="0.2">
      <c r="A857" s="236"/>
      <c r="B857" s="222"/>
      <c r="C857" s="222"/>
      <c r="D857" s="224"/>
      <c r="E857" s="223"/>
      <c r="F857" s="223"/>
      <c r="G857" s="223"/>
      <c r="H857" s="223"/>
      <c r="I857" s="247"/>
      <c r="J857" s="223"/>
      <c r="K857" s="240"/>
      <c r="L857" s="223"/>
      <c r="M857" s="223"/>
      <c r="N857" s="223"/>
      <c r="O857" s="223"/>
      <c r="P857" s="223"/>
      <c r="Q857" s="223"/>
      <c r="R857" s="223" t="s">
        <v>535</v>
      </c>
      <c r="S857" s="220">
        <f t="shared" si="14"/>
        <v>0</v>
      </c>
      <c r="T857" s="219" t="str">
        <f>IFERROR(VLOOKUP($B857,'SIZE CALCULATION'!$F$2:$G$100,2,0),"")</f>
        <v/>
      </c>
    </row>
    <row r="858" spans="1:20" x14ac:dyDescent="0.2">
      <c r="A858" s="236"/>
      <c r="B858" s="222"/>
      <c r="C858" s="222"/>
      <c r="D858" s="224"/>
      <c r="E858" s="223"/>
      <c r="F858" s="223"/>
      <c r="G858" s="223"/>
      <c r="H858" s="223"/>
      <c r="I858" s="247"/>
      <c r="J858" s="223"/>
      <c r="K858" s="240"/>
      <c r="L858" s="223"/>
      <c r="M858" s="223"/>
      <c r="N858" s="223"/>
      <c r="O858" s="223"/>
      <c r="P858" s="223"/>
      <c r="Q858" s="223"/>
      <c r="R858" s="223" t="s">
        <v>535</v>
      </c>
      <c r="S858" s="220">
        <f t="shared" si="14"/>
        <v>0</v>
      </c>
      <c r="T858" s="219" t="str">
        <f>IFERROR(VLOOKUP($B858,'SIZE CALCULATION'!$F$2:$G$100,2,0),"")</f>
        <v/>
      </c>
    </row>
    <row r="859" spans="1:20" x14ac:dyDescent="0.2">
      <c r="A859" s="236"/>
      <c r="B859" s="222"/>
      <c r="C859" s="222"/>
      <c r="D859" s="224"/>
      <c r="E859" s="223"/>
      <c r="F859" s="223"/>
      <c r="G859" s="223"/>
      <c r="H859" s="223"/>
      <c r="I859" s="247"/>
      <c r="J859" s="223"/>
      <c r="K859" s="240"/>
      <c r="L859" s="223"/>
      <c r="M859" s="223"/>
      <c r="N859" s="223"/>
      <c r="O859" s="223"/>
      <c r="P859" s="223"/>
      <c r="Q859" s="223"/>
      <c r="R859" s="223" t="s">
        <v>535</v>
      </c>
      <c r="S859" s="220">
        <f t="shared" si="14"/>
        <v>0</v>
      </c>
      <c r="T859" s="219" t="str">
        <f>IFERROR(VLOOKUP($B859,'SIZE CALCULATION'!$F$2:$G$100,2,0),"")</f>
        <v/>
      </c>
    </row>
    <row r="860" spans="1:20" x14ac:dyDescent="0.2">
      <c r="A860" s="236"/>
      <c r="B860" s="222"/>
      <c r="C860" s="222"/>
      <c r="D860" s="224"/>
      <c r="E860" s="223"/>
      <c r="F860" s="223"/>
      <c r="G860" s="223"/>
      <c r="H860" s="223"/>
      <c r="I860" s="247"/>
      <c r="J860" s="223"/>
      <c r="K860" s="240"/>
      <c r="L860" s="223"/>
      <c r="M860" s="223"/>
      <c r="N860" s="223"/>
      <c r="O860" s="223"/>
      <c r="P860" s="223"/>
      <c r="Q860" s="223"/>
      <c r="R860" s="223" t="s">
        <v>535</v>
      </c>
      <c r="S860" s="220">
        <f t="shared" si="14"/>
        <v>0</v>
      </c>
      <c r="T860" s="219" t="str">
        <f>IFERROR(VLOOKUP($B860,'SIZE CALCULATION'!$F$2:$G$100,2,0),"")</f>
        <v/>
      </c>
    </row>
    <row r="861" spans="1:20" x14ac:dyDescent="0.2">
      <c r="A861" s="236"/>
      <c r="B861" s="222"/>
      <c r="C861" s="222"/>
      <c r="D861" s="224"/>
      <c r="E861" s="223"/>
      <c r="F861" s="223"/>
      <c r="G861" s="223"/>
      <c r="H861" s="223"/>
      <c r="I861" s="247"/>
      <c r="J861" s="223"/>
      <c r="K861" s="240"/>
      <c r="L861" s="223"/>
      <c r="M861" s="223"/>
      <c r="N861" s="223"/>
      <c r="O861" s="223"/>
      <c r="P861" s="223"/>
      <c r="Q861" s="223"/>
      <c r="R861" s="223" t="s">
        <v>535</v>
      </c>
      <c r="S861" s="220">
        <f t="shared" si="14"/>
        <v>0</v>
      </c>
      <c r="T861" s="219" t="str">
        <f>IFERROR(VLOOKUP($B861,'SIZE CALCULATION'!$F$2:$G$100,2,0),"")</f>
        <v/>
      </c>
    </row>
    <row r="862" spans="1:20" x14ac:dyDescent="0.2">
      <c r="A862" s="236"/>
      <c r="B862" s="222"/>
      <c r="C862" s="222"/>
      <c r="D862" s="224"/>
      <c r="E862" s="223"/>
      <c r="F862" s="223"/>
      <c r="G862" s="223"/>
      <c r="H862" s="223"/>
      <c r="I862" s="247"/>
      <c r="J862" s="223"/>
      <c r="K862" s="240"/>
      <c r="L862" s="223"/>
      <c r="M862" s="223"/>
      <c r="N862" s="223"/>
      <c r="O862" s="223"/>
      <c r="P862" s="223"/>
      <c r="Q862" s="223"/>
      <c r="R862" s="223" t="s">
        <v>535</v>
      </c>
      <c r="S862" s="220">
        <f t="shared" si="14"/>
        <v>0</v>
      </c>
      <c r="T862" s="219" t="str">
        <f>IFERROR(VLOOKUP($B862,'SIZE CALCULATION'!$F$2:$G$100,2,0),"")</f>
        <v/>
      </c>
    </row>
    <row r="863" spans="1:20" x14ac:dyDescent="0.2">
      <c r="A863" s="236"/>
      <c r="B863" s="222"/>
      <c r="C863" s="222"/>
      <c r="D863" s="224"/>
      <c r="E863" s="223"/>
      <c r="F863" s="223"/>
      <c r="G863" s="223"/>
      <c r="H863" s="223"/>
      <c r="I863" s="247"/>
      <c r="J863" s="223"/>
      <c r="K863" s="240"/>
      <c r="L863" s="223"/>
      <c r="M863" s="223"/>
      <c r="N863" s="223"/>
      <c r="O863" s="223"/>
      <c r="P863" s="223"/>
      <c r="Q863" s="223"/>
      <c r="R863" s="223" t="s">
        <v>535</v>
      </c>
      <c r="S863" s="220">
        <f t="shared" si="14"/>
        <v>0</v>
      </c>
      <c r="T863" s="219" t="str">
        <f>IFERROR(VLOOKUP($B863,'SIZE CALCULATION'!$F$2:$G$100,2,0),"")</f>
        <v/>
      </c>
    </row>
    <row r="864" spans="1:20" x14ac:dyDescent="0.2">
      <c r="A864" s="236"/>
      <c r="B864" s="222"/>
      <c r="C864" s="222"/>
      <c r="D864" s="224"/>
      <c r="E864" s="223"/>
      <c r="F864" s="223"/>
      <c r="G864" s="223"/>
      <c r="H864" s="223"/>
      <c r="I864" s="247"/>
      <c r="J864" s="223"/>
      <c r="K864" s="240"/>
      <c r="L864" s="223"/>
      <c r="M864" s="223"/>
      <c r="N864" s="223"/>
      <c r="O864" s="223"/>
      <c r="P864" s="223"/>
      <c r="Q864" s="223"/>
      <c r="R864" s="223" t="s">
        <v>535</v>
      </c>
      <c r="S864" s="220">
        <f t="shared" si="14"/>
        <v>0</v>
      </c>
      <c r="T864" s="219" t="str">
        <f>IFERROR(VLOOKUP($B864,'SIZE CALCULATION'!$F$2:$G$100,2,0),"")</f>
        <v/>
      </c>
    </row>
    <row r="865" spans="1:20" x14ac:dyDescent="0.2">
      <c r="A865" s="236"/>
      <c r="B865" s="222"/>
      <c r="C865" s="222"/>
      <c r="D865" s="224"/>
      <c r="E865" s="223"/>
      <c r="F865" s="223"/>
      <c r="G865" s="223"/>
      <c r="H865" s="223"/>
      <c r="I865" s="247"/>
      <c r="J865" s="223"/>
      <c r="K865" s="240"/>
      <c r="L865" s="223"/>
      <c r="M865" s="223"/>
      <c r="N865" s="223"/>
      <c r="O865" s="223"/>
      <c r="P865" s="223"/>
      <c r="Q865" s="223"/>
      <c r="R865" s="223" t="s">
        <v>535</v>
      </c>
      <c r="S865" s="220">
        <f t="shared" si="14"/>
        <v>0</v>
      </c>
      <c r="T865" s="219" t="str">
        <f>IFERROR(VLOOKUP($B865,'SIZE CALCULATION'!$F$2:$G$100,2,0),"")</f>
        <v/>
      </c>
    </row>
    <row r="866" spans="1:20" x14ac:dyDescent="0.2">
      <c r="A866" s="236"/>
      <c r="B866" s="222"/>
      <c r="C866" s="222"/>
      <c r="D866" s="224"/>
      <c r="E866" s="223"/>
      <c r="F866" s="223"/>
      <c r="G866" s="223"/>
      <c r="H866" s="223"/>
      <c r="I866" s="247"/>
      <c r="J866" s="223"/>
      <c r="K866" s="240"/>
      <c r="L866" s="223"/>
      <c r="M866" s="223"/>
      <c r="N866" s="223"/>
      <c r="O866" s="223"/>
      <c r="P866" s="223"/>
      <c r="Q866" s="223"/>
      <c r="R866" s="223" t="s">
        <v>535</v>
      </c>
      <c r="S866" s="220">
        <f t="shared" si="14"/>
        <v>0</v>
      </c>
      <c r="T866" s="219" t="str">
        <f>IFERROR(VLOOKUP($B866,'SIZE CALCULATION'!$F$2:$G$100,2,0),"")</f>
        <v/>
      </c>
    </row>
    <row r="867" spans="1:20" x14ac:dyDescent="0.2">
      <c r="A867" s="236"/>
      <c r="B867" s="222"/>
      <c r="C867" s="222"/>
      <c r="D867" s="224"/>
      <c r="E867" s="223"/>
      <c r="F867" s="223"/>
      <c r="G867" s="223"/>
      <c r="H867" s="223"/>
      <c r="I867" s="247"/>
      <c r="J867" s="223"/>
      <c r="K867" s="240"/>
      <c r="L867" s="223"/>
      <c r="M867" s="223"/>
      <c r="N867" s="223"/>
      <c r="O867" s="223"/>
      <c r="P867" s="223"/>
      <c r="Q867" s="223"/>
      <c r="R867" s="223" t="s">
        <v>535</v>
      </c>
      <c r="S867" s="220">
        <f t="shared" si="14"/>
        <v>0</v>
      </c>
      <c r="T867" s="219" t="str">
        <f>IFERROR(VLOOKUP($B867,'SIZE CALCULATION'!$F$2:$G$100,2,0),"")</f>
        <v/>
      </c>
    </row>
    <row r="868" spans="1:20" x14ac:dyDescent="0.2">
      <c r="A868" s="236"/>
      <c r="B868" s="222"/>
      <c r="C868" s="222"/>
      <c r="D868" s="224"/>
      <c r="E868" s="223"/>
      <c r="F868" s="223"/>
      <c r="G868" s="223"/>
      <c r="H868" s="223"/>
      <c r="I868" s="247"/>
      <c r="J868" s="223"/>
      <c r="K868" s="240"/>
      <c r="L868" s="223"/>
      <c r="M868" s="223"/>
      <c r="N868" s="223"/>
      <c r="O868" s="223"/>
      <c r="P868" s="223"/>
      <c r="Q868" s="223"/>
      <c r="R868" s="223" t="s">
        <v>535</v>
      </c>
      <c r="S868" s="220">
        <f t="shared" si="14"/>
        <v>0</v>
      </c>
      <c r="T868" s="219" t="str">
        <f>IFERROR(VLOOKUP($B868,'SIZE CALCULATION'!$F$2:$G$100,2,0),"")</f>
        <v/>
      </c>
    </row>
    <row r="869" spans="1:20" x14ac:dyDescent="0.2">
      <c r="A869" s="236"/>
      <c r="B869" s="222"/>
      <c r="C869" s="222"/>
      <c r="D869" s="224"/>
      <c r="E869" s="223"/>
      <c r="F869" s="223"/>
      <c r="G869" s="223"/>
      <c r="H869" s="223"/>
      <c r="I869" s="247"/>
      <c r="J869" s="223"/>
      <c r="K869" s="240"/>
      <c r="L869" s="223"/>
      <c r="M869" s="223"/>
      <c r="N869" s="223"/>
      <c r="O869" s="223"/>
      <c r="P869" s="223"/>
      <c r="Q869" s="223"/>
      <c r="R869" s="223" t="s">
        <v>535</v>
      </c>
      <c r="S869" s="220">
        <f t="shared" si="14"/>
        <v>0</v>
      </c>
      <c r="T869" s="219" t="str">
        <f>IFERROR(VLOOKUP($B869,'SIZE CALCULATION'!$F$2:$G$100,2,0),"")</f>
        <v/>
      </c>
    </row>
    <row r="870" spans="1:20" x14ac:dyDescent="0.2">
      <c r="A870" s="236"/>
      <c r="B870" s="222"/>
      <c r="C870" s="222"/>
      <c r="D870" s="224"/>
      <c r="E870" s="223"/>
      <c r="F870" s="223"/>
      <c r="G870" s="223"/>
      <c r="H870" s="223"/>
      <c r="I870" s="247"/>
      <c r="J870" s="223"/>
      <c r="K870" s="240"/>
      <c r="L870" s="223"/>
      <c r="M870" s="223"/>
      <c r="N870" s="223"/>
      <c r="O870" s="223"/>
      <c r="P870" s="223"/>
      <c r="Q870" s="223"/>
      <c r="R870" s="223" t="s">
        <v>535</v>
      </c>
      <c r="S870" s="220">
        <f t="shared" si="14"/>
        <v>0</v>
      </c>
      <c r="T870" s="219" t="str">
        <f>IFERROR(VLOOKUP($B870,'SIZE CALCULATION'!$F$2:$G$100,2,0),"")</f>
        <v/>
      </c>
    </row>
    <row r="871" spans="1:20" x14ac:dyDescent="0.2">
      <c r="A871" s="236"/>
      <c r="B871" s="222"/>
      <c r="C871" s="222"/>
      <c r="D871" s="224"/>
      <c r="E871" s="223"/>
      <c r="F871" s="223"/>
      <c r="G871" s="223"/>
      <c r="H871" s="223"/>
      <c r="I871" s="247"/>
      <c r="J871" s="223"/>
      <c r="K871" s="240"/>
      <c r="L871" s="223"/>
      <c r="M871" s="223"/>
      <c r="N871" s="223"/>
      <c r="O871" s="223"/>
      <c r="P871" s="223"/>
      <c r="Q871" s="223"/>
      <c r="R871" s="223" t="s">
        <v>535</v>
      </c>
      <c r="S871" s="220">
        <f t="shared" si="14"/>
        <v>0</v>
      </c>
      <c r="T871" s="219" t="str">
        <f>IFERROR(VLOOKUP($B871,'SIZE CALCULATION'!$F$2:$G$100,2,0),"")</f>
        <v/>
      </c>
    </row>
    <row r="872" spans="1:20" x14ac:dyDescent="0.2">
      <c r="A872" s="236"/>
      <c r="B872" s="222"/>
      <c r="C872" s="222"/>
      <c r="D872" s="224"/>
      <c r="E872" s="223"/>
      <c r="F872" s="223"/>
      <c r="G872" s="223"/>
      <c r="H872" s="223"/>
      <c r="I872" s="247"/>
      <c r="J872" s="223"/>
      <c r="K872" s="240"/>
      <c r="L872" s="223"/>
      <c r="M872" s="223"/>
      <c r="N872" s="223"/>
      <c r="O872" s="223"/>
      <c r="P872" s="223"/>
      <c r="Q872" s="223"/>
      <c r="R872" s="223" t="s">
        <v>535</v>
      </c>
      <c r="S872" s="220">
        <f t="shared" si="14"/>
        <v>0</v>
      </c>
      <c r="T872" s="219" t="str">
        <f>IFERROR(VLOOKUP($B872,'SIZE CALCULATION'!$F$2:$G$100,2,0),"")</f>
        <v/>
      </c>
    </row>
    <row r="873" spans="1:20" x14ac:dyDescent="0.2">
      <c r="A873" s="236"/>
      <c r="B873" s="222"/>
      <c r="C873" s="222"/>
      <c r="D873" s="224"/>
      <c r="E873" s="223"/>
      <c r="F873" s="223"/>
      <c r="G873" s="223"/>
      <c r="H873" s="223"/>
      <c r="I873" s="247"/>
      <c r="J873" s="223"/>
      <c r="K873" s="240"/>
      <c r="L873" s="223"/>
      <c r="M873" s="223"/>
      <c r="N873" s="223"/>
      <c r="O873" s="223"/>
      <c r="P873" s="223"/>
      <c r="Q873" s="223"/>
      <c r="R873" s="223" t="s">
        <v>535</v>
      </c>
      <c r="S873" s="220">
        <f t="shared" si="14"/>
        <v>0</v>
      </c>
      <c r="T873" s="219" t="str">
        <f>IFERROR(VLOOKUP($B873,'SIZE CALCULATION'!$F$2:$G$100,2,0),"")</f>
        <v/>
      </c>
    </row>
    <row r="874" spans="1:20" x14ac:dyDescent="0.2">
      <c r="A874" s="236"/>
      <c r="B874" s="222"/>
      <c r="C874" s="222"/>
      <c r="D874" s="224"/>
      <c r="E874" s="223"/>
      <c r="F874" s="223"/>
      <c r="G874" s="223"/>
      <c r="H874" s="223"/>
      <c r="I874" s="247"/>
      <c r="J874" s="223"/>
      <c r="K874" s="240"/>
      <c r="L874" s="223"/>
      <c r="M874" s="223"/>
      <c r="N874" s="223"/>
      <c r="O874" s="223"/>
      <c r="P874" s="223"/>
      <c r="Q874" s="223"/>
      <c r="R874" s="223" t="s">
        <v>535</v>
      </c>
      <c r="S874" s="220">
        <f t="shared" si="14"/>
        <v>0</v>
      </c>
      <c r="T874" s="219" t="str">
        <f>IFERROR(VLOOKUP($B874,'SIZE CALCULATION'!$F$2:$G$100,2,0),"")</f>
        <v/>
      </c>
    </row>
    <row r="875" spans="1:20" x14ac:dyDescent="0.2">
      <c r="A875" s="236"/>
      <c r="B875" s="222"/>
      <c r="C875" s="222"/>
      <c r="D875" s="224"/>
      <c r="E875" s="223"/>
      <c r="F875" s="223"/>
      <c r="G875" s="223"/>
      <c r="H875" s="223"/>
      <c r="I875" s="247"/>
      <c r="J875" s="223"/>
      <c r="K875" s="240"/>
      <c r="L875" s="223"/>
      <c r="M875" s="223"/>
      <c r="N875" s="223"/>
      <c r="O875" s="223"/>
      <c r="P875" s="223"/>
      <c r="Q875" s="223"/>
      <c r="R875" s="223" t="s">
        <v>535</v>
      </c>
      <c r="S875" s="220">
        <f t="shared" si="14"/>
        <v>0</v>
      </c>
      <c r="T875" s="219" t="str">
        <f>IFERROR(VLOOKUP($B875,'SIZE CALCULATION'!$F$2:$G$100,2,0),"")</f>
        <v/>
      </c>
    </row>
    <row r="876" spans="1:20" x14ac:dyDescent="0.2">
      <c r="A876" s="236"/>
      <c r="B876" s="222"/>
      <c r="C876" s="222"/>
      <c r="D876" s="224"/>
      <c r="E876" s="223"/>
      <c r="F876" s="223"/>
      <c r="G876" s="223"/>
      <c r="H876" s="223"/>
      <c r="I876" s="247"/>
      <c r="J876" s="223"/>
      <c r="K876" s="240"/>
      <c r="L876" s="223"/>
      <c r="M876" s="223"/>
      <c r="N876" s="223"/>
      <c r="O876" s="223"/>
      <c r="P876" s="223"/>
      <c r="Q876" s="223"/>
      <c r="R876" s="223" t="s">
        <v>535</v>
      </c>
      <c r="S876" s="220">
        <f t="shared" si="14"/>
        <v>0</v>
      </c>
      <c r="T876" s="219" t="str">
        <f>IFERROR(VLOOKUP($B876,'SIZE CALCULATION'!$F$2:$G$100,2,0),"")</f>
        <v/>
      </c>
    </row>
    <row r="877" spans="1:20" x14ac:dyDescent="0.2">
      <c r="A877" s="236"/>
      <c r="B877" s="222"/>
      <c r="C877" s="222"/>
      <c r="D877" s="224"/>
      <c r="E877" s="223"/>
      <c r="F877" s="223"/>
      <c r="G877" s="223"/>
      <c r="H877" s="223"/>
      <c r="I877" s="247"/>
      <c r="J877" s="223"/>
      <c r="K877" s="240"/>
      <c r="L877" s="223"/>
      <c r="M877" s="223"/>
      <c r="N877" s="223"/>
      <c r="O877" s="223"/>
      <c r="P877" s="223"/>
      <c r="Q877" s="223"/>
      <c r="R877" s="223" t="s">
        <v>535</v>
      </c>
      <c r="S877" s="220">
        <f t="shared" si="14"/>
        <v>0</v>
      </c>
      <c r="T877" s="219" t="str">
        <f>IFERROR(VLOOKUP($B877,'SIZE CALCULATION'!$F$2:$G$100,2,0),"")</f>
        <v/>
      </c>
    </row>
    <row r="878" spans="1:20" x14ac:dyDescent="0.2">
      <c r="A878" s="236"/>
      <c r="B878" s="222"/>
      <c r="C878" s="222"/>
      <c r="D878" s="224"/>
      <c r="E878" s="223"/>
      <c r="F878" s="223"/>
      <c r="G878" s="223"/>
      <c r="H878" s="223"/>
      <c r="I878" s="247"/>
      <c r="J878" s="223"/>
      <c r="K878" s="240"/>
      <c r="L878" s="223"/>
      <c r="M878" s="223"/>
      <c r="N878" s="223"/>
      <c r="O878" s="223"/>
      <c r="P878" s="223"/>
      <c r="Q878" s="223"/>
      <c r="R878" s="223" t="s">
        <v>535</v>
      </c>
      <c r="S878" s="220">
        <f t="shared" si="14"/>
        <v>0</v>
      </c>
      <c r="T878" s="219" t="str">
        <f>IFERROR(VLOOKUP($B878,'SIZE CALCULATION'!$F$2:$G$100,2,0),"")</f>
        <v/>
      </c>
    </row>
    <row r="879" spans="1:20" x14ac:dyDescent="0.2">
      <c r="A879" s="236"/>
      <c r="B879" s="222"/>
      <c r="C879" s="222"/>
      <c r="D879" s="224"/>
      <c r="E879" s="223"/>
      <c r="F879" s="223"/>
      <c r="G879" s="223"/>
      <c r="H879" s="223"/>
      <c r="I879" s="247"/>
      <c r="J879" s="223"/>
      <c r="K879" s="240"/>
      <c r="L879" s="223"/>
      <c r="M879" s="223"/>
      <c r="N879" s="223"/>
      <c r="O879" s="223"/>
      <c r="P879" s="223"/>
      <c r="Q879" s="223"/>
      <c r="R879" s="223" t="s">
        <v>535</v>
      </c>
      <c r="S879" s="220">
        <f t="shared" si="14"/>
        <v>0</v>
      </c>
      <c r="T879" s="219" t="str">
        <f>IFERROR(VLOOKUP($B879,'SIZE CALCULATION'!$F$2:$G$100,2,0),"")</f>
        <v/>
      </c>
    </row>
    <row r="880" spans="1:20" x14ac:dyDescent="0.2">
      <c r="A880" s="236"/>
      <c r="B880" s="222"/>
      <c r="C880" s="222"/>
      <c r="D880" s="224"/>
      <c r="E880" s="223"/>
      <c r="F880" s="223"/>
      <c r="G880" s="223"/>
      <c r="H880" s="223"/>
      <c r="I880" s="247"/>
      <c r="J880" s="223"/>
      <c r="K880" s="240"/>
      <c r="L880" s="223"/>
      <c r="M880" s="223"/>
      <c r="N880" s="223"/>
      <c r="O880" s="223"/>
      <c r="P880" s="223"/>
      <c r="Q880" s="223"/>
      <c r="R880" s="223" t="s">
        <v>535</v>
      </c>
      <c r="S880" s="220">
        <f t="shared" si="14"/>
        <v>0</v>
      </c>
      <c r="T880" s="219" t="str">
        <f>IFERROR(VLOOKUP($B880,'SIZE CALCULATION'!$F$2:$G$100,2,0),"")</f>
        <v/>
      </c>
    </row>
    <row r="881" spans="1:20" x14ac:dyDescent="0.2">
      <c r="A881" s="236"/>
      <c r="B881" s="222"/>
      <c r="C881" s="222"/>
      <c r="D881" s="224"/>
      <c r="E881" s="223"/>
      <c r="F881" s="223"/>
      <c r="G881" s="223"/>
      <c r="H881" s="223"/>
      <c r="I881" s="247"/>
      <c r="J881" s="223"/>
      <c r="K881" s="240"/>
      <c r="L881" s="223"/>
      <c r="M881" s="223"/>
      <c r="N881" s="223"/>
      <c r="O881" s="223"/>
      <c r="P881" s="223"/>
      <c r="Q881" s="223"/>
      <c r="R881" s="223" t="s">
        <v>535</v>
      </c>
      <c r="S881" s="220">
        <f t="shared" si="14"/>
        <v>0</v>
      </c>
      <c r="T881" s="219" t="str">
        <f>IFERROR(VLOOKUP($B881,'SIZE CALCULATION'!$F$2:$G$100,2,0),"")</f>
        <v/>
      </c>
    </row>
    <row r="882" spans="1:20" x14ac:dyDescent="0.2">
      <c r="A882" s="236"/>
      <c r="B882" s="222"/>
      <c r="C882" s="222"/>
      <c r="D882" s="224"/>
      <c r="E882" s="223"/>
      <c r="F882" s="223"/>
      <c r="G882" s="223"/>
      <c r="H882" s="223"/>
      <c r="I882" s="247"/>
      <c r="J882" s="223"/>
      <c r="K882" s="240"/>
      <c r="L882" s="223"/>
      <c r="M882" s="223"/>
      <c r="N882" s="223"/>
      <c r="O882" s="223"/>
      <c r="P882" s="223"/>
      <c r="Q882" s="223"/>
      <c r="R882" s="223" t="s">
        <v>535</v>
      </c>
      <c r="S882" s="220">
        <f t="shared" si="14"/>
        <v>0</v>
      </c>
      <c r="T882" s="219" t="str">
        <f>IFERROR(VLOOKUP($B882,'SIZE CALCULATION'!$F$2:$G$100,2,0),"")</f>
        <v/>
      </c>
    </row>
    <row r="883" spans="1:20" x14ac:dyDescent="0.2">
      <c r="A883" s="236"/>
      <c r="B883" s="222"/>
      <c r="C883" s="222"/>
      <c r="D883" s="224"/>
      <c r="E883" s="223"/>
      <c r="F883" s="223"/>
      <c r="G883" s="223"/>
      <c r="H883" s="223"/>
      <c r="I883" s="247"/>
      <c r="J883" s="223"/>
      <c r="K883" s="240"/>
      <c r="L883" s="223"/>
      <c r="M883" s="223"/>
      <c r="N883" s="223"/>
      <c r="O883" s="223"/>
      <c r="P883" s="223"/>
      <c r="Q883" s="223"/>
      <c r="R883" s="223" t="s">
        <v>535</v>
      </c>
      <c r="S883" s="220">
        <f t="shared" si="14"/>
        <v>0</v>
      </c>
      <c r="T883" s="219" t="str">
        <f>IFERROR(VLOOKUP($B883,'SIZE CALCULATION'!$F$2:$G$100,2,0),"")</f>
        <v/>
      </c>
    </row>
    <row r="884" spans="1:20" x14ac:dyDescent="0.2">
      <c r="A884" s="236"/>
      <c r="B884" s="222"/>
      <c r="C884" s="222"/>
      <c r="D884" s="224"/>
      <c r="E884" s="223"/>
      <c r="F884" s="223"/>
      <c r="G884" s="223"/>
      <c r="H884" s="223"/>
      <c r="I884" s="247"/>
      <c r="J884" s="223"/>
      <c r="K884" s="240"/>
      <c r="L884" s="223"/>
      <c r="M884" s="223"/>
      <c r="N884" s="223"/>
      <c r="O884" s="223"/>
      <c r="P884" s="223"/>
      <c r="Q884" s="223"/>
      <c r="R884" s="223" t="s">
        <v>535</v>
      </c>
      <c r="S884" s="220">
        <f t="shared" si="14"/>
        <v>0</v>
      </c>
      <c r="T884" s="219" t="str">
        <f>IFERROR(VLOOKUP($B884,'SIZE CALCULATION'!$F$2:$G$100,2,0),"")</f>
        <v/>
      </c>
    </row>
    <row r="885" spans="1:20" x14ac:dyDescent="0.2">
      <c r="A885" s="236"/>
      <c r="B885" s="222"/>
      <c r="C885" s="222"/>
      <c r="D885" s="224"/>
      <c r="E885" s="223"/>
      <c r="F885" s="223"/>
      <c r="G885" s="223"/>
      <c r="H885" s="223"/>
      <c r="I885" s="247"/>
      <c r="J885" s="223"/>
      <c r="K885" s="240"/>
      <c r="L885" s="223"/>
      <c r="M885" s="223"/>
      <c r="N885" s="223"/>
      <c r="O885" s="223"/>
      <c r="P885" s="223"/>
      <c r="Q885" s="223"/>
      <c r="R885" s="223" t="s">
        <v>535</v>
      </c>
      <c r="S885" s="220">
        <f t="shared" si="14"/>
        <v>0</v>
      </c>
      <c r="T885" s="219" t="str">
        <f>IFERROR(VLOOKUP($B885,'SIZE CALCULATION'!$F$2:$G$100,2,0),"")</f>
        <v/>
      </c>
    </row>
    <row r="886" spans="1:20" x14ac:dyDescent="0.2">
      <c r="A886" s="236"/>
      <c r="B886" s="222"/>
      <c r="C886" s="222"/>
      <c r="D886" s="224"/>
      <c r="E886" s="223"/>
      <c r="F886" s="223"/>
      <c r="G886" s="223"/>
      <c r="H886" s="223"/>
      <c r="I886" s="247"/>
      <c r="J886" s="223"/>
      <c r="K886" s="240"/>
      <c r="L886" s="223"/>
      <c r="M886" s="223"/>
      <c r="N886" s="223"/>
      <c r="O886" s="223"/>
      <c r="P886" s="223"/>
      <c r="Q886" s="223"/>
      <c r="R886" s="223" t="s">
        <v>535</v>
      </c>
      <c r="S886" s="220">
        <f t="shared" si="14"/>
        <v>0</v>
      </c>
      <c r="T886" s="219" t="str">
        <f>IFERROR(VLOOKUP($B886,'SIZE CALCULATION'!$F$2:$G$100,2,0),"")</f>
        <v/>
      </c>
    </row>
    <row r="887" spans="1:20" x14ac:dyDescent="0.2">
      <c r="A887" s="236"/>
      <c r="B887" s="222"/>
      <c r="C887" s="222"/>
      <c r="D887" s="224"/>
      <c r="E887" s="223"/>
      <c r="F887" s="223"/>
      <c r="G887" s="223"/>
      <c r="H887" s="223"/>
      <c r="I887" s="247"/>
      <c r="J887" s="223"/>
      <c r="K887" s="240"/>
      <c r="L887" s="223"/>
      <c r="M887" s="223"/>
      <c r="N887" s="223"/>
      <c r="O887" s="223"/>
      <c r="P887" s="223"/>
      <c r="Q887" s="223"/>
      <c r="R887" s="223" t="s">
        <v>535</v>
      </c>
      <c r="S887" s="220">
        <f t="shared" si="14"/>
        <v>0</v>
      </c>
      <c r="T887" s="219" t="str">
        <f>IFERROR(VLOOKUP($B887,'SIZE CALCULATION'!$F$2:$G$100,2,0),"")</f>
        <v/>
      </c>
    </row>
    <row r="888" spans="1:20" x14ac:dyDescent="0.2">
      <c r="A888" s="236"/>
      <c r="B888" s="222"/>
      <c r="C888" s="222"/>
      <c r="D888" s="224"/>
      <c r="E888" s="223"/>
      <c r="F888" s="223"/>
      <c r="G888" s="223"/>
      <c r="H888" s="223"/>
      <c r="I888" s="247"/>
      <c r="J888" s="223"/>
      <c r="K888" s="240"/>
      <c r="L888" s="223"/>
      <c r="M888" s="223"/>
      <c r="N888" s="223"/>
      <c r="O888" s="223"/>
      <c r="P888" s="223"/>
      <c r="Q888" s="223"/>
      <c r="R888" s="223" t="s">
        <v>535</v>
      </c>
      <c r="S888" s="220">
        <f t="shared" si="14"/>
        <v>0</v>
      </c>
      <c r="T888" s="219" t="str">
        <f>IFERROR(VLOOKUP($B888,'SIZE CALCULATION'!$F$2:$G$100,2,0),"")</f>
        <v/>
      </c>
    </row>
    <row r="889" spans="1:20" x14ac:dyDescent="0.2">
      <c r="A889" s="236"/>
      <c r="B889" s="222"/>
      <c r="C889" s="222"/>
      <c r="D889" s="224"/>
      <c r="E889" s="223"/>
      <c r="F889" s="223"/>
      <c r="G889" s="223"/>
      <c r="H889" s="223"/>
      <c r="I889" s="247"/>
      <c r="J889" s="223"/>
      <c r="K889" s="240"/>
      <c r="L889" s="223"/>
      <c r="M889" s="223"/>
      <c r="N889" s="223"/>
      <c r="O889" s="223"/>
      <c r="P889" s="223"/>
      <c r="Q889" s="223"/>
      <c r="R889" s="223" t="s">
        <v>535</v>
      </c>
      <c r="S889" s="220">
        <f t="shared" si="14"/>
        <v>0</v>
      </c>
      <c r="T889" s="219" t="str">
        <f>IFERROR(VLOOKUP($B889,'SIZE CALCULATION'!$F$2:$G$100,2,0),"")</f>
        <v/>
      </c>
    </row>
    <row r="890" spans="1:20" x14ac:dyDescent="0.2">
      <c r="A890" s="236"/>
      <c r="B890" s="222"/>
      <c r="C890" s="222"/>
      <c r="D890" s="224"/>
      <c r="E890" s="223"/>
      <c r="F890" s="223"/>
      <c r="G890" s="223"/>
      <c r="H890" s="223"/>
      <c r="I890" s="247"/>
      <c r="J890" s="223"/>
      <c r="K890" s="240"/>
      <c r="L890" s="223"/>
      <c r="M890" s="223"/>
      <c r="N890" s="223"/>
      <c r="O890" s="223"/>
      <c r="P890" s="223"/>
      <c r="Q890" s="223"/>
      <c r="R890" s="223" t="s">
        <v>535</v>
      </c>
      <c r="S890" s="220">
        <f t="shared" si="14"/>
        <v>0</v>
      </c>
      <c r="T890" s="219" t="str">
        <f>IFERROR(VLOOKUP($B890,'SIZE CALCULATION'!$F$2:$G$100,2,0),"")</f>
        <v/>
      </c>
    </row>
    <row r="891" spans="1:20" x14ac:dyDescent="0.2">
      <c r="A891" s="236"/>
      <c r="B891" s="222"/>
      <c r="C891" s="222"/>
      <c r="D891" s="224"/>
      <c r="E891" s="223"/>
      <c r="F891" s="223"/>
      <c r="G891" s="223"/>
      <c r="H891" s="223"/>
      <c r="I891" s="247"/>
      <c r="J891" s="223"/>
      <c r="K891" s="240"/>
      <c r="L891" s="223"/>
      <c r="M891" s="223"/>
      <c r="N891" s="223"/>
      <c r="O891" s="223"/>
      <c r="P891" s="223"/>
      <c r="Q891" s="223"/>
      <c r="R891" s="223" t="s">
        <v>535</v>
      </c>
      <c r="S891" s="220">
        <f t="shared" si="14"/>
        <v>0</v>
      </c>
      <c r="T891" s="219" t="str">
        <f>IFERROR(VLOOKUP($B891,'SIZE CALCULATION'!$F$2:$G$100,2,0),"")</f>
        <v/>
      </c>
    </row>
    <row r="892" spans="1:20" x14ac:dyDescent="0.2">
      <c r="A892" s="236"/>
      <c r="B892" s="222"/>
      <c r="C892" s="222"/>
      <c r="D892" s="224"/>
      <c r="E892" s="223"/>
      <c r="F892" s="223"/>
      <c r="G892" s="223"/>
      <c r="H892" s="223"/>
      <c r="I892" s="247"/>
      <c r="J892" s="223"/>
      <c r="K892" s="240"/>
      <c r="L892" s="223"/>
      <c r="M892" s="223"/>
      <c r="N892" s="223"/>
      <c r="O892" s="223"/>
      <c r="P892" s="223"/>
      <c r="Q892" s="223"/>
      <c r="R892" s="223" t="s">
        <v>535</v>
      </c>
      <c r="S892" s="220">
        <f t="shared" ref="S892:S955" si="15">IFERROR(M892/O892,M892)</f>
        <v>0</v>
      </c>
      <c r="T892" s="219" t="str">
        <f>IFERROR(VLOOKUP($B892,'SIZE CALCULATION'!$F$2:$G$100,2,0),"")</f>
        <v/>
      </c>
    </row>
    <row r="893" spans="1:20" x14ac:dyDescent="0.2">
      <c r="A893" s="236"/>
      <c r="B893" s="222"/>
      <c r="C893" s="222"/>
      <c r="D893" s="224"/>
      <c r="E893" s="223"/>
      <c r="F893" s="223"/>
      <c r="G893" s="223"/>
      <c r="H893" s="223"/>
      <c r="I893" s="247"/>
      <c r="J893" s="223"/>
      <c r="K893" s="240"/>
      <c r="L893" s="223"/>
      <c r="M893" s="223"/>
      <c r="N893" s="223"/>
      <c r="O893" s="223"/>
      <c r="P893" s="223"/>
      <c r="Q893" s="223"/>
      <c r="R893" s="223" t="s">
        <v>535</v>
      </c>
      <c r="S893" s="220">
        <f t="shared" si="15"/>
        <v>0</v>
      </c>
      <c r="T893" s="219" t="str">
        <f>IFERROR(VLOOKUP($B893,'SIZE CALCULATION'!$F$2:$G$100,2,0),"")</f>
        <v/>
      </c>
    </row>
    <row r="894" spans="1:20" x14ac:dyDescent="0.2">
      <c r="A894" s="236"/>
      <c r="B894" s="222"/>
      <c r="C894" s="222"/>
      <c r="D894" s="224"/>
      <c r="E894" s="223"/>
      <c r="F894" s="223"/>
      <c r="G894" s="223"/>
      <c r="H894" s="223"/>
      <c r="I894" s="247"/>
      <c r="J894" s="223"/>
      <c r="K894" s="240"/>
      <c r="L894" s="223"/>
      <c r="M894" s="223"/>
      <c r="N894" s="223"/>
      <c r="O894" s="223"/>
      <c r="P894" s="223"/>
      <c r="Q894" s="223"/>
      <c r="R894" s="223" t="s">
        <v>535</v>
      </c>
      <c r="S894" s="220">
        <f t="shared" si="15"/>
        <v>0</v>
      </c>
      <c r="T894" s="219" t="str">
        <f>IFERROR(VLOOKUP($B894,'SIZE CALCULATION'!$F$2:$G$100,2,0),"")</f>
        <v/>
      </c>
    </row>
    <row r="895" spans="1:20" x14ac:dyDescent="0.2">
      <c r="A895" s="236"/>
      <c r="B895" s="222"/>
      <c r="C895" s="222"/>
      <c r="D895" s="224"/>
      <c r="E895" s="223"/>
      <c r="F895" s="223"/>
      <c r="G895" s="223"/>
      <c r="H895" s="223"/>
      <c r="I895" s="247"/>
      <c r="J895" s="223"/>
      <c r="K895" s="240"/>
      <c r="L895" s="223"/>
      <c r="M895" s="223"/>
      <c r="N895" s="223"/>
      <c r="O895" s="223"/>
      <c r="P895" s="223"/>
      <c r="Q895" s="223"/>
      <c r="R895" s="223" t="s">
        <v>535</v>
      </c>
      <c r="S895" s="220">
        <f t="shared" si="15"/>
        <v>0</v>
      </c>
      <c r="T895" s="219" t="str">
        <f>IFERROR(VLOOKUP($B895,'SIZE CALCULATION'!$F$2:$G$100,2,0),"")</f>
        <v/>
      </c>
    </row>
    <row r="896" spans="1:20" x14ac:dyDescent="0.2">
      <c r="A896" s="236"/>
      <c r="B896" s="222"/>
      <c r="C896" s="222"/>
      <c r="D896" s="224"/>
      <c r="E896" s="223"/>
      <c r="F896" s="223"/>
      <c r="G896" s="223"/>
      <c r="H896" s="223"/>
      <c r="I896" s="247"/>
      <c r="J896" s="223"/>
      <c r="K896" s="240"/>
      <c r="L896" s="223"/>
      <c r="M896" s="223"/>
      <c r="N896" s="223"/>
      <c r="O896" s="223"/>
      <c r="P896" s="223"/>
      <c r="Q896" s="223"/>
      <c r="R896" s="223" t="s">
        <v>535</v>
      </c>
      <c r="S896" s="220">
        <f t="shared" si="15"/>
        <v>0</v>
      </c>
      <c r="T896" s="219" t="str">
        <f>IFERROR(VLOOKUP($B896,'SIZE CALCULATION'!$F$2:$G$100,2,0),"")</f>
        <v/>
      </c>
    </row>
    <row r="897" spans="1:20" x14ac:dyDescent="0.2">
      <c r="A897" s="236"/>
      <c r="B897" s="222"/>
      <c r="C897" s="222"/>
      <c r="D897" s="224"/>
      <c r="E897" s="223"/>
      <c r="F897" s="223"/>
      <c r="G897" s="223"/>
      <c r="H897" s="223"/>
      <c r="I897" s="247"/>
      <c r="J897" s="223"/>
      <c r="K897" s="240"/>
      <c r="L897" s="223"/>
      <c r="M897" s="223"/>
      <c r="N897" s="223"/>
      <c r="O897" s="223"/>
      <c r="P897" s="223"/>
      <c r="Q897" s="223"/>
      <c r="R897" s="223" t="s">
        <v>535</v>
      </c>
      <c r="S897" s="220">
        <f t="shared" si="15"/>
        <v>0</v>
      </c>
      <c r="T897" s="219" t="str">
        <f>IFERROR(VLOOKUP($B897,'SIZE CALCULATION'!$F$2:$G$100,2,0),"")</f>
        <v/>
      </c>
    </row>
    <row r="898" spans="1:20" x14ac:dyDescent="0.2">
      <c r="A898" s="236"/>
      <c r="B898" s="222"/>
      <c r="C898" s="222"/>
      <c r="D898" s="224"/>
      <c r="E898" s="223"/>
      <c r="F898" s="223"/>
      <c r="G898" s="223"/>
      <c r="H898" s="223"/>
      <c r="I898" s="247"/>
      <c r="J898" s="223"/>
      <c r="K898" s="240"/>
      <c r="L898" s="223"/>
      <c r="M898" s="223"/>
      <c r="N898" s="223"/>
      <c r="O898" s="223"/>
      <c r="P898" s="223"/>
      <c r="Q898" s="223"/>
      <c r="R898" s="223" t="s">
        <v>535</v>
      </c>
      <c r="S898" s="220">
        <f t="shared" si="15"/>
        <v>0</v>
      </c>
      <c r="T898" s="219" t="str">
        <f>IFERROR(VLOOKUP($B898,'SIZE CALCULATION'!$F$2:$G$100,2,0),"")</f>
        <v/>
      </c>
    </row>
    <row r="899" spans="1:20" x14ac:dyDescent="0.2">
      <c r="A899" s="236"/>
      <c r="B899" s="222"/>
      <c r="C899" s="222"/>
      <c r="D899" s="224"/>
      <c r="E899" s="223"/>
      <c r="F899" s="223"/>
      <c r="G899" s="223"/>
      <c r="H899" s="223"/>
      <c r="I899" s="247"/>
      <c r="J899" s="223"/>
      <c r="K899" s="240"/>
      <c r="L899" s="223"/>
      <c r="M899" s="223"/>
      <c r="N899" s="223"/>
      <c r="O899" s="223"/>
      <c r="P899" s="223"/>
      <c r="Q899" s="223"/>
      <c r="R899" s="223" t="s">
        <v>535</v>
      </c>
      <c r="S899" s="220">
        <f t="shared" si="15"/>
        <v>0</v>
      </c>
      <c r="T899" s="219" t="str">
        <f>IFERROR(VLOOKUP($B899,'SIZE CALCULATION'!$F$2:$G$100,2,0),"")</f>
        <v/>
      </c>
    </row>
    <row r="900" spans="1:20" x14ac:dyDescent="0.2">
      <c r="A900" s="236"/>
      <c r="B900" s="222"/>
      <c r="C900" s="222"/>
      <c r="D900" s="224"/>
      <c r="E900" s="223"/>
      <c r="F900" s="223"/>
      <c r="G900" s="223"/>
      <c r="H900" s="223"/>
      <c r="I900" s="247"/>
      <c r="J900" s="223"/>
      <c r="K900" s="240"/>
      <c r="L900" s="223"/>
      <c r="M900" s="223"/>
      <c r="N900" s="223"/>
      <c r="O900" s="223"/>
      <c r="P900" s="223"/>
      <c r="Q900" s="223"/>
      <c r="R900" s="223" t="s">
        <v>535</v>
      </c>
      <c r="S900" s="220">
        <f t="shared" si="15"/>
        <v>0</v>
      </c>
      <c r="T900" s="219" t="str">
        <f>IFERROR(VLOOKUP($B900,'SIZE CALCULATION'!$F$2:$G$100,2,0),"")</f>
        <v/>
      </c>
    </row>
    <row r="901" spans="1:20" x14ac:dyDescent="0.2">
      <c r="A901" s="236"/>
      <c r="B901" s="222"/>
      <c r="C901" s="222"/>
      <c r="D901" s="224"/>
      <c r="E901" s="223"/>
      <c r="F901" s="223"/>
      <c r="G901" s="223"/>
      <c r="H901" s="223"/>
      <c r="I901" s="247"/>
      <c r="J901" s="223"/>
      <c r="K901" s="240"/>
      <c r="L901" s="223"/>
      <c r="M901" s="223"/>
      <c r="N901" s="223"/>
      <c r="O901" s="223"/>
      <c r="P901" s="223"/>
      <c r="Q901" s="223"/>
      <c r="R901" s="223" t="s">
        <v>535</v>
      </c>
      <c r="S901" s="220">
        <f t="shared" si="15"/>
        <v>0</v>
      </c>
      <c r="T901" s="219" t="str">
        <f>IFERROR(VLOOKUP($B901,'SIZE CALCULATION'!$F$2:$G$100,2,0),"")</f>
        <v/>
      </c>
    </row>
    <row r="902" spans="1:20" x14ac:dyDescent="0.2">
      <c r="A902" s="236"/>
      <c r="B902" s="222"/>
      <c r="C902" s="222"/>
      <c r="D902" s="224"/>
      <c r="E902" s="223"/>
      <c r="F902" s="223"/>
      <c r="G902" s="223"/>
      <c r="H902" s="223"/>
      <c r="I902" s="247"/>
      <c r="J902" s="223"/>
      <c r="K902" s="240"/>
      <c r="L902" s="223"/>
      <c r="M902" s="223"/>
      <c r="N902" s="223"/>
      <c r="O902" s="223"/>
      <c r="P902" s="223"/>
      <c r="Q902" s="223"/>
      <c r="R902" s="223" t="s">
        <v>535</v>
      </c>
      <c r="S902" s="220">
        <f t="shared" si="15"/>
        <v>0</v>
      </c>
      <c r="T902" s="219" t="str">
        <f>IFERROR(VLOOKUP($B902,'SIZE CALCULATION'!$F$2:$G$100,2,0),"")</f>
        <v/>
      </c>
    </row>
    <row r="903" spans="1:20" x14ac:dyDescent="0.2">
      <c r="A903" s="236"/>
      <c r="B903" s="222"/>
      <c r="C903" s="222"/>
      <c r="D903" s="224"/>
      <c r="E903" s="223"/>
      <c r="F903" s="223"/>
      <c r="G903" s="223"/>
      <c r="H903" s="223"/>
      <c r="I903" s="247"/>
      <c r="J903" s="223"/>
      <c r="K903" s="240"/>
      <c r="L903" s="223"/>
      <c r="M903" s="223"/>
      <c r="N903" s="223"/>
      <c r="O903" s="223"/>
      <c r="P903" s="223"/>
      <c r="Q903" s="223"/>
      <c r="R903" s="223" t="s">
        <v>535</v>
      </c>
      <c r="S903" s="220">
        <f t="shared" si="15"/>
        <v>0</v>
      </c>
      <c r="T903" s="219" t="str">
        <f>IFERROR(VLOOKUP($B903,'SIZE CALCULATION'!$F$2:$G$100,2,0),"")</f>
        <v/>
      </c>
    </row>
    <row r="904" spans="1:20" x14ac:dyDescent="0.2">
      <c r="A904" s="236"/>
      <c r="B904" s="222"/>
      <c r="C904" s="222"/>
      <c r="D904" s="224"/>
      <c r="E904" s="223"/>
      <c r="F904" s="223"/>
      <c r="G904" s="223"/>
      <c r="H904" s="223"/>
      <c r="I904" s="247"/>
      <c r="J904" s="223"/>
      <c r="K904" s="240"/>
      <c r="L904" s="223"/>
      <c r="M904" s="223"/>
      <c r="N904" s="223"/>
      <c r="O904" s="223"/>
      <c r="P904" s="223"/>
      <c r="Q904" s="223"/>
      <c r="R904" s="223" t="s">
        <v>535</v>
      </c>
      <c r="S904" s="220">
        <f t="shared" si="15"/>
        <v>0</v>
      </c>
      <c r="T904" s="219" t="str">
        <f>IFERROR(VLOOKUP($B904,'SIZE CALCULATION'!$F$2:$G$100,2,0),"")</f>
        <v/>
      </c>
    </row>
    <row r="905" spans="1:20" x14ac:dyDescent="0.2">
      <c r="A905" s="236"/>
      <c r="B905" s="222"/>
      <c r="C905" s="222"/>
      <c r="D905" s="224"/>
      <c r="E905" s="223"/>
      <c r="F905" s="223"/>
      <c r="G905" s="223"/>
      <c r="H905" s="223"/>
      <c r="I905" s="247"/>
      <c r="J905" s="223"/>
      <c r="K905" s="240"/>
      <c r="L905" s="223"/>
      <c r="M905" s="223"/>
      <c r="N905" s="223"/>
      <c r="O905" s="223"/>
      <c r="P905" s="223"/>
      <c r="Q905" s="223"/>
      <c r="R905" s="223" t="s">
        <v>535</v>
      </c>
      <c r="S905" s="220">
        <f t="shared" si="15"/>
        <v>0</v>
      </c>
      <c r="T905" s="219" t="str">
        <f>IFERROR(VLOOKUP($B905,'SIZE CALCULATION'!$F$2:$G$100,2,0),"")</f>
        <v/>
      </c>
    </row>
    <row r="906" spans="1:20" x14ac:dyDescent="0.2">
      <c r="A906" s="236"/>
      <c r="B906" s="222"/>
      <c r="C906" s="222"/>
      <c r="D906" s="224"/>
      <c r="E906" s="223"/>
      <c r="F906" s="223"/>
      <c r="G906" s="223"/>
      <c r="H906" s="223"/>
      <c r="I906" s="247"/>
      <c r="J906" s="223"/>
      <c r="K906" s="240"/>
      <c r="L906" s="223"/>
      <c r="M906" s="223"/>
      <c r="N906" s="223"/>
      <c r="O906" s="223"/>
      <c r="P906" s="223"/>
      <c r="Q906" s="223"/>
      <c r="R906" s="223" t="s">
        <v>535</v>
      </c>
      <c r="S906" s="220">
        <f t="shared" si="15"/>
        <v>0</v>
      </c>
      <c r="T906" s="219" t="str">
        <f>IFERROR(VLOOKUP($B906,'SIZE CALCULATION'!$F$2:$G$100,2,0),"")</f>
        <v/>
      </c>
    </row>
    <row r="907" spans="1:20" x14ac:dyDescent="0.2">
      <c r="A907" s="236"/>
      <c r="B907" s="222"/>
      <c r="C907" s="222"/>
      <c r="D907" s="224"/>
      <c r="E907" s="223"/>
      <c r="F907" s="223"/>
      <c r="G907" s="223"/>
      <c r="H907" s="223"/>
      <c r="I907" s="247"/>
      <c r="J907" s="223"/>
      <c r="K907" s="240"/>
      <c r="L907" s="223"/>
      <c r="M907" s="223"/>
      <c r="N907" s="223"/>
      <c r="O907" s="223"/>
      <c r="P907" s="223"/>
      <c r="Q907" s="223"/>
      <c r="R907" s="223" t="s">
        <v>535</v>
      </c>
      <c r="S907" s="220">
        <f t="shared" si="15"/>
        <v>0</v>
      </c>
      <c r="T907" s="219" t="str">
        <f>IFERROR(VLOOKUP($B907,'SIZE CALCULATION'!$F$2:$G$100,2,0),"")</f>
        <v/>
      </c>
    </row>
    <row r="908" spans="1:20" x14ac:dyDescent="0.2">
      <c r="A908" s="236"/>
      <c r="B908" s="222"/>
      <c r="C908" s="222"/>
      <c r="D908" s="224"/>
      <c r="E908" s="223"/>
      <c r="F908" s="223"/>
      <c r="G908" s="223"/>
      <c r="H908" s="223"/>
      <c r="I908" s="247"/>
      <c r="J908" s="223"/>
      <c r="K908" s="240"/>
      <c r="L908" s="223"/>
      <c r="M908" s="223"/>
      <c r="N908" s="223"/>
      <c r="O908" s="223"/>
      <c r="P908" s="223"/>
      <c r="Q908" s="223"/>
      <c r="R908" s="223" t="s">
        <v>535</v>
      </c>
      <c r="S908" s="220">
        <f t="shared" si="15"/>
        <v>0</v>
      </c>
      <c r="T908" s="219" t="str">
        <f>IFERROR(VLOOKUP($B908,'SIZE CALCULATION'!$F$2:$G$100,2,0),"")</f>
        <v/>
      </c>
    </row>
    <row r="909" spans="1:20" x14ac:dyDescent="0.2">
      <c r="A909" s="236"/>
      <c r="B909" s="222"/>
      <c r="C909" s="222"/>
      <c r="D909" s="224"/>
      <c r="E909" s="223"/>
      <c r="F909" s="223"/>
      <c r="G909" s="223"/>
      <c r="H909" s="223"/>
      <c r="I909" s="247"/>
      <c r="J909" s="223"/>
      <c r="K909" s="240"/>
      <c r="L909" s="223"/>
      <c r="M909" s="223"/>
      <c r="N909" s="223"/>
      <c r="O909" s="223"/>
      <c r="P909" s="223"/>
      <c r="Q909" s="223"/>
      <c r="R909" s="223" t="s">
        <v>535</v>
      </c>
      <c r="S909" s="220">
        <f t="shared" si="15"/>
        <v>0</v>
      </c>
      <c r="T909" s="219" t="str">
        <f>IFERROR(VLOOKUP($B909,'SIZE CALCULATION'!$F$2:$G$100,2,0),"")</f>
        <v/>
      </c>
    </row>
    <row r="910" spans="1:20" x14ac:dyDescent="0.2">
      <c r="A910" s="236"/>
      <c r="B910" s="222"/>
      <c r="C910" s="222"/>
      <c r="D910" s="224"/>
      <c r="E910" s="223"/>
      <c r="F910" s="223"/>
      <c r="G910" s="223"/>
      <c r="H910" s="223"/>
      <c r="I910" s="247"/>
      <c r="J910" s="223"/>
      <c r="K910" s="240"/>
      <c r="L910" s="223"/>
      <c r="M910" s="223"/>
      <c r="N910" s="223"/>
      <c r="O910" s="223"/>
      <c r="P910" s="223"/>
      <c r="Q910" s="223"/>
      <c r="R910" s="223" t="s">
        <v>535</v>
      </c>
      <c r="S910" s="220">
        <f t="shared" si="15"/>
        <v>0</v>
      </c>
      <c r="T910" s="219" t="str">
        <f>IFERROR(VLOOKUP($B910,'SIZE CALCULATION'!$F$2:$G$100,2,0),"")</f>
        <v/>
      </c>
    </row>
    <row r="911" spans="1:20" x14ac:dyDescent="0.2">
      <c r="A911" s="236"/>
      <c r="B911" s="222"/>
      <c r="C911" s="222"/>
      <c r="D911" s="224"/>
      <c r="E911" s="223"/>
      <c r="F911" s="223"/>
      <c r="G911" s="223"/>
      <c r="H911" s="223"/>
      <c r="I911" s="247"/>
      <c r="J911" s="223"/>
      <c r="K911" s="240"/>
      <c r="L911" s="223"/>
      <c r="M911" s="223"/>
      <c r="N911" s="223"/>
      <c r="O911" s="223"/>
      <c r="P911" s="223"/>
      <c r="Q911" s="223"/>
      <c r="R911" s="223" t="s">
        <v>535</v>
      </c>
      <c r="S911" s="220">
        <f t="shared" si="15"/>
        <v>0</v>
      </c>
      <c r="T911" s="219" t="str">
        <f>IFERROR(VLOOKUP($B911,'SIZE CALCULATION'!$F$2:$G$100,2,0),"")</f>
        <v/>
      </c>
    </row>
    <row r="912" spans="1:20" x14ac:dyDescent="0.2">
      <c r="A912" s="236"/>
      <c r="B912" s="222"/>
      <c r="C912" s="222"/>
      <c r="D912" s="224"/>
      <c r="E912" s="223"/>
      <c r="F912" s="223"/>
      <c r="G912" s="223"/>
      <c r="H912" s="223"/>
      <c r="I912" s="247"/>
      <c r="J912" s="223"/>
      <c r="K912" s="240"/>
      <c r="L912" s="223"/>
      <c r="M912" s="223"/>
      <c r="N912" s="223"/>
      <c r="O912" s="223"/>
      <c r="P912" s="223"/>
      <c r="Q912" s="223"/>
      <c r="R912" s="223" t="s">
        <v>535</v>
      </c>
      <c r="S912" s="220">
        <f t="shared" si="15"/>
        <v>0</v>
      </c>
      <c r="T912" s="219" t="str">
        <f>IFERROR(VLOOKUP($B912,'SIZE CALCULATION'!$F$2:$G$100,2,0),"")</f>
        <v/>
      </c>
    </row>
    <row r="913" spans="1:20" x14ac:dyDescent="0.2">
      <c r="A913" s="236"/>
      <c r="B913" s="222"/>
      <c r="C913" s="222"/>
      <c r="D913" s="224"/>
      <c r="E913" s="223"/>
      <c r="F913" s="223"/>
      <c r="G913" s="223"/>
      <c r="H913" s="223"/>
      <c r="I913" s="247"/>
      <c r="J913" s="223"/>
      <c r="K913" s="240"/>
      <c r="L913" s="223"/>
      <c r="M913" s="223"/>
      <c r="N913" s="223"/>
      <c r="O913" s="223"/>
      <c r="P913" s="223"/>
      <c r="Q913" s="223"/>
      <c r="R913" s="223" t="s">
        <v>535</v>
      </c>
      <c r="S913" s="220">
        <f t="shared" si="15"/>
        <v>0</v>
      </c>
      <c r="T913" s="219" t="str">
        <f>IFERROR(VLOOKUP($B913,'SIZE CALCULATION'!$F$2:$G$100,2,0),"")</f>
        <v/>
      </c>
    </row>
    <row r="914" spans="1:20" x14ac:dyDescent="0.2">
      <c r="A914" s="236"/>
      <c r="B914" s="222"/>
      <c r="C914" s="222"/>
      <c r="D914" s="224"/>
      <c r="E914" s="223"/>
      <c r="F914" s="223"/>
      <c r="G914" s="223"/>
      <c r="H914" s="223"/>
      <c r="I914" s="247"/>
      <c r="J914" s="223"/>
      <c r="K914" s="240"/>
      <c r="L914" s="223"/>
      <c r="M914" s="223"/>
      <c r="N914" s="223"/>
      <c r="O914" s="223"/>
      <c r="P914" s="223"/>
      <c r="Q914" s="223"/>
      <c r="R914" s="223" t="s">
        <v>535</v>
      </c>
      <c r="S914" s="220">
        <f t="shared" si="15"/>
        <v>0</v>
      </c>
      <c r="T914" s="219" t="str">
        <f>IFERROR(VLOOKUP($B914,'SIZE CALCULATION'!$F$2:$G$100,2,0),"")</f>
        <v/>
      </c>
    </row>
    <row r="915" spans="1:20" x14ac:dyDescent="0.2">
      <c r="A915" s="236"/>
      <c r="B915" s="222"/>
      <c r="C915" s="222"/>
      <c r="D915" s="224"/>
      <c r="E915" s="223"/>
      <c r="F915" s="223"/>
      <c r="G915" s="223"/>
      <c r="H915" s="223"/>
      <c r="I915" s="247"/>
      <c r="J915" s="223"/>
      <c r="K915" s="240"/>
      <c r="L915" s="223"/>
      <c r="M915" s="223"/>
      <c r="N915" s="223"/>
      <c r="O915" s="223"/>
      <c r="P915" s="223"/>
      <c r="Q915" s="223"/>
      <c r="R915" s="223" t="s">
        <v>535</v>
      </c>
      <c r="S915" s="220">
        <f t="shared" si="15"/>
        <v>0</v>
      </c>
      <c r="T915" s="219" t="str">
        <f>IFERROR(VLOOKUP($B915,'SIZE CALCULATION'!$F$2:$G$100,2,0),"")</f>
        <v/>
      </c>
    </row>
    <row r="916" spans="1:20" x14ac:dyDescent="0.2">
      <c r="A916" s="236"/>
      <c r="B916" s="222"/>
      <c r="C916" s="222"/>
      <c r="D916" s="224"/>
      <c r="E916" s="223"/>
      <c r="F916" s="223"/>
      <c r="G916" s="223"/>
      <c r="H916" s="223"/>
      <c r="I916" s="247"/>
      <c r="J916" s="223"/>
      <c r="K916" s="240"/>
      <c r="L916" s="223"/>
      <c r="M916" s="223"/>
      <c r="N916" s="223"/>
      <c r="O916" s="223"/>
      <c r="P916" s="223"/>
      <c r="Q916" s="223"/>
      <c r="R916" s="223" t="s">
        <v>535</v>
      </c>
      <c r="S916" s="220">
        <f t="shared" si="15"/>
        <v>0</v>
      </c>
      <c r="T916" s="219" t="str">
        <f>IFERROR(VLOOKUP($B916,'SIZE CALCULATION'!$F$2:$G$100,2,0),"")</f>
        <v/>
      </c>
    </row>
    <row r="917" spans="1:20" x14ac:dyDescent="0.2">
      <c r="A917" s="236"/>
      <c r="B917" s="222"/>
      <c r="C917" s="222"/>
      <c r="D917" s="224"/>
      <c r="E917" s="223"/>
      <c r="F917" s="223"/>
      <c r="G917" s="223"/>
      <c r="H917" s="223"/>
      <c r="I917" s="247"/>
      <c r="J917" s="223"/>
      <c r="K917" s="240"/>
      <c r="L917" s="223"/>
      <c r="M917" s="223"/>
      <c r="N917" s="223"/>
      <c r="O917" s="223"/>
      <c r="P917" s="223"/>
      <c r="Q917" s="223"/>
      <c r="R917" s="223" t="s">
        <v>535</v>
      </c>
      <c r="S917" s="220">
        <f t="shared" si="15"/>
        <v>0</v>
      </c>
      <c r="T917" s="219" t="str">
        <f>IFERROR(VLOOKUP($B917,'SIZE CALCULATION'!$F$2:$G$100,2,0),"")</f>
        <v/>
      </c>
    </row>
    <row r="918" spans="1:20" x14ac:dyDescent="0.2">
      <c r="A918" s="236"/>
      <c r="B918" s="222"/>
      <c r="C918" s="222"/>
      <c r="D918" s="224"/>
      <c r="E918" s="223"/>
      <c r="F918" s="223"/>
      <c r="G918" s="223"/>
      <c r="H918" s="223"/>
      <c r="I918" s="247"/>
      <c r="J918" s="223"/>
      <c r="K918" s="240"/>
      <c r="L918" s="223"/>
      <c r="M918" s="223"/>
      <c r="N918" s="223"/>
      <c r="O918" s="223"/>
      <c r="P918" s="223"/>
      <c r="Q918" s="223"/>
      <c r="R918" s="223" t="s">
        <v>535</v>
      </c>
      <c r="S918" s="220">
        <f t="shared" si="15"/>
        <v>0</v>
      </c>
      <c r="T918" s="219" t="str">
        <f>IFERROR(VLOOKUP($B918,'SIZE CALCULATION'!$F$2:$G$100,2,0),"")</f>
        <v/>
      </c>
    </row>
    <row r="919" spans="1:20" x14ac:dyDescent="0.2">
      <c r="A919" s="236"/>
      <c r="B919" s="222"/>
      <c r="C919" s="222"/>
      <c r="D919" s="224"/>
      <c r="E919" s="223"/>
      <c r="F919" s="223"/>
      <c r="G919" s="223"/>
      <c r="H919" s="223"/>
      <c r="I919" s="247"/>
      <c r="J919" s="223"/>
      <c r="K919" s="240"/>
      <c r="L919" s="223"/>
      <c r="M919" s="223"/>
      <c r="N919" s="223"/>
      <c r="O919" s="223"/>
      <c r="P919" s="223"/>
      <c r="Q919" s="223"/>
      <c r="R919" s="223" t="s">
        <v>535</v>
      </c>
      <c r="S919" s="220">
        <f t="shared" si="15"/>
        <v>0</v>
      </c>
      <c r="T919" s="219" t="str">
        <f>IFERROR(VLOOKUP($B919,'SIZE CALCULATION'!$F$2:$G$100,2,0),"")</f>
        <v/>
      </c>
    </row>
    <row r="920" spans="1:20" x14ac:dyDescent="0.2">
      <c r="A920" s="236"/>
      <c r="B920" s="222"/>
      <c r="C920" s="222"/>
      <c r="D920" s="224"/>
      <c r="E920" s="223"/>
      <c r="F920" s="223"/>
      <c r="G920" s="223"/>
      <c r="H920" s="223"/>
      <c r="I920" s="247"/>
      <c r="J920" s="223"/>
      <c r="K920" s="240"/>
      <c r="L920" s="223"/>
      <c r="M920" s="223"/>
      <c r="N920" s="223"/>
      <c r="O920" s="223"/>
      <c r="P920" s="223"/>
      <c r="Q920" s="223"/>
      <c r="R920" s="223" t="s">
        <v>535</v>
      </c>
      <c r="S920" s="220">
        <f t="shared" si="15"/>
        <v>0</v>
      </c>
      <c r="T920" s="219" t="str">
        <f>IFERROR(VLOOKUP($B920,'SIZE CALCULATION'!$F$2:$G$100,2,0),"")</f>
        <v/>
      </c>
    </row>
    <row r="921" spans="1:20" x14ac:dyDescent="0.2">
      <c r="A921" s="236"/>
      <c r="B921" s="222"/>
      <c r="C921" s="222"/>
      <c r="D921" s="224"/>
      <c r="E921" s="223"/>
      <c r="F921" s="223"/>
      <c r="G921" s="223"/>
      <c r="H921" s="223"/>
      <c r="I921" s="247"/>
      <c r="J921" s="223"/>
      <c r="K921" s="240"/>
      <c r="L921" s="223"/>
      <c r="M921" s="223"/>
      <c r="N921" s="223"/>
      <c r="O921" s="223"/>
      <c r="P921" s="223"/>
      <c r="Q921" s="223"/>
      <c r="R921" s="223" t="s">
        <v>535</v>
      </c>
      <c r="S921" s="220">
        <f t="shared" si="15"/>
        <v>0</v>
      </c>
      <c r="T921" s="219" t="str">
        <f>IFERROR(VLOOKUP($B921,'SIZE CALCULATION'!$F$2:$G$100,2,0),"")</f>
        <v/>
      </c>
    </row>
    <row r="922" spans="1:20" x14ac:dyDescent="0.2">
      <c r="A922" s="236"/>
      <c r="B922" s="222"/>
      <c r="C922" s="222"/>
      <c r="D922" s="224"/>
      <c r="E922" s="223"/>
      <c r="F922" s="223"/>
      <c r="G922" s="223"/>
      <c r="H922" s="223"/>
      <c r="I922" s="247"/>
      <c r="J922" s="223"/>
      <c r="K922" s="240"/>
      <c r="L922" s="223"/>
      <c r="M922" s="223"/>
      <c r="N922" s="223"/>
      <c r="O922" s="223"/>
      <c r="P922" s="223"/>
      <c r="Q922" s="223"/>
      <c r="R922" s="223" t="s">
        <v>535</v>
      </c>
      <c r="S922" s="220">
        <f t="shared" si="15"/>
        <v>0</v>
      </c>
      <c r="T922" s="219" t="str">
        <f>IFERROR(VLOOKUP($B922,'SIZE CALCULATION'!$F$2:$G$100,2,0),"")</f>
        <v/>
      </c>
    </row>
    <row r="923" spans="1:20" x14ac:dyDescent="0.2">
      <c r="A923" s="236"/>
      <c r="B923" s="222"/>
      <c r="C923" s="222"/>
      <c r="D923" s="224"/>
      <c r="E923" s="223"/>
      <c r="F923" s="223"/>
      <c r="G923" s="223"/>
      <c r="H923" s="223"/>
      <c r="I923" s="247"/>
      <c r="J923" s="223"/>
      <c r="K923" s="240"/>
      <c r="L923" s="223"/>
      <c r="M923" s="223"/>
      <c r="N923" s="223"/>
      <c r="O923" s="223"/>
      <c r="P923" s="223"/>
      <c r="Q923" s="223"/>
      <c r="R923" s="223" t="s">
        <v>535</v>
      </c>
      <c r="S923" s="220">
        <f t="shared" si="15"/>
        <v>0</v>
      </c>
      <c r="T923" s="219" t="str">
        <f>IFERROR(VLOOKUP($B923,'SIZE CALCULATION'!$F$2:$G$100,2,0),"")</f>
        <v/>
      </c>
    </row>
    <row r="924" spans="1:20" x14ac:dyDescent="0.2">
      <c r="A924" s="236"/>
      <c r="B924" s="222"/>
      <c r="C924" s="222"/>
      <c r="D924" s="224"/>
      <c r="E924" s="223"/>
      <c r="F924" s="223"/>
      <c r="G924" s="223"/>
      <c r="H924" s="223"/>
      <c r="I924" s="247"/>
      <c r="J924" s="223"/>
      <c r="K924" s="240"/>
      <c r="L924" s="223"/>
      <c r="M924" s="223"/>
      <c r="N924" s="223"/>
      <c r="O924" s="223"/>
      <c r="P924" s="223"/>
      <c r="Q924" s="223"/>
      <c r="R924" s="223" t="s">
        <v>535</v>
      </c>
      <c r="S924" s="220">
        <f t="shared" si="15"/>
        <v>0</v>
      </c>
      <c r="T924" s="219" t="str">
        <f>IFERROR(VLOOKUP($B924,'SIZE CALCULATION'!$F$2:$G$100,2,0),"")</f>
        <v/>
      </c>
    </row>
    <row r="925" spans="1:20" x14ac:dyDescent="0.2">
      <c r="A925" s="236"/>
      <c r="B925" s="222"/>
      <c r="C925" s="222"/>
      <c r="D925" s="224"/>
      <c r="E925" s="223"/>
      <c r="F925" s="223"/>
      <c r="G925" s="223"/>
      <c r="H925" s="223"/>
      <c r="I925" s="247"/>
      <c r="J925" s="223"/>
      <c r="K925" s="240"/>
      <c r="L925" s="223"/>
      <c r="M925" s="223"/>
      <c r="N925" s="223"/>
      <c r="O925" s="223"/>
      <c r="P925" s="223"/>
      <c r="Q925" s="223"/>
      <c r="R925" s="223" t="s">
        <v>535</v>
      </c>
      <c r="S925" s="220">
        <f t="shared" si="15"/>
        <v>0</v>
      </c>
      <c r="T925" s="219" t="str">
        <f>IFERROR(VLOOKUP($B925,'SIZE CALCULATION'!$F$2:$G$100,2,0),"")</f>
        <v/>
      </c>
    </row>
    <row r="926" spans="1:20" x14ac:dyDescent="0.2">
      <c r="A926" s="236"/>
      <c r="B926" s="222"/>
      <c r="C926" s="222"/>
      <c r="D926" s="224"/>
      <c r="E926" s="223"/>
      <c r="F926" s="223"/>
      <c r="G926" s="223"/>
      <c r="H926" s="223"/>
      <c r="I926" s="247"/>
      <c r="J926" s="223"/>
      <c r="K926" s="240"/>
      <c r="L926" s="223"/>
      <c r="M926" s="223"/>
      <c r="N926" s="223"/>
      <c r="O926" s="223"/>
      <c r="P926" s="223"/>
      <c r="Q926" s="223"/>
      <c r="R926" s="223" t="s">
        <v>535</v>
      </c>
      <c r="S926" s="220">
        <f t="shared" si="15"/>
        <v>0</v>
      </c>
      <c r="T926" s="219" t="str">
        <f>IFERROR(VLOOKUP($B926,'SIZE CALCULATION'!$F$2:$G$100,2,0),"")</f>
        <v/>
      </c>
    </row>
    <row r="927" spans="1:20" x14ac:dyDescent="0.2">
      <c r="A927" s="236"/>
      <c r="B927" s="222"/>
      <c r="C927" s="222"/>
      <c r="D927" s="224"/>
      <c r="E927" s="223"/>
      <c r="F927" s="223"/>
      <c r="G927" s="223"/>
      <c r="H927" s="223"/>
      <c r="I927" s="247"/>
      <c r="J927" s="223"/>
      <c r="K927" s="240"/>
      <c r="L927" s="223"/>
      <c r="M927" s="223"/>
      <c r="N927" s="223"/>
      <c r="O927" s="223"/>
      <c r="P927" s="223"/>
      <c r="Q927" s="223"/>
      <c r="R927" s="223" t="s">
        <v>535</v>
      </c>
      <c r="S927" s="220">
        <f t="shared" si="15"/>
        <v>0</v>
      </c>
      <c r="T927" s="219" t="str">
        <f>IFERROR(VLOOKUP($B927,'SIZE CALCULATION'!$F$2:$G$100,2,0),"")</f>
        <v/>
      </c>
    </row>
    <row r="928" spans="1:20" x14ac:dyDescent="0.2">
      <c r="A928" s="236"/>
      <c r="B928" s="222"/>
      <c r="C928" s="222"/>
      <c r="D928" s="224"/>
      <c r="E928" s="223"/>
      <c r="F928" s="223"/>
      <c r="G928" s="223"/>
      <c r="H928" s="223"/>
      <c r="I928" s="247"/>
      <c r="J928" s="223"/>
      <c r="K928" s="240"/>
      <c r="L928" s="223"/>
      <c r="M928" s="223"/>
      <c r="N928" s="223"/>
      <c r="O928" s="223"/>
      <c r="P928" s="223"/>
      <c r="Q928" s="223"/>
      <c r="R928" s="223" t="s">
        <v>535</v>
      </c>
      <c r="S928" s="220">
        <f t="shared" si="15"/>
        <v>0</v>
      </c>
      <c r="T928" s="219" t="str">
        <f>IFERROR(VLOOKUP($B928,'SIZE CALCULATION'!$F$2:$G$100,2,0),"")</f>
        <v/>
      </c>
    </row>
    <row r="929" spans="1:20" x14ac:dyDescent="0.2">
      <c r="A929" s="236"/>
      <c r="B929" s="222"/>
      <c r="C929" s="222"/>
      <c r="D929" s="224"/>
      <c r="E929" s="223"/>
      <c r="F929" s="223"/>
      <c r="G929" s="223"/>
      <c r="H929" s="223"/>
      <c r="I929" s="247"/>
      <c r="J929" s="223"/>
      <c r="K929" s="240"/>
      <c r="L929" s="223"/>
      <c r="M929" s="223"/>
      <c r="N929" s="223"/>
      <c r="O929" s="223"/>
      <c r="P929" s="223"/>
      <c r="Q929" s="223"/>
      <c r="R929" s="223" t="s">
        <v>535</v>
      </c>
      <c r="S929" s="220">
        <f t="shared" si="15"/>
        <v>0</v>
      </c>
      <c r="T929" s="219" t="str">
        <f>IFERROR(VLOOKUP($B929,'SIZE CALCULATION'!$F$2:$G$100,2,0),"")</f>
        <v/>
      </c>
    </row>
    <row r="930" spans="1:20" x14ac:dyDescent="0.2">
      <c r="A930" s="236"/>
      <c r="B930" s="222"/>
      <c r="C930" s="222"/>
      <c r="D930" s="224"/>
      <c r="E930" s="223"/>
      <c r="F930" s="223"/>
      <c r="G930" s="223"/>
      <c r="H930" s="223"/>
      <c r="I930" s="247"/>
      <c r="J930" s="223"/>
      <c r="K930" s="240"/>
      <c r="L930" s="223"/>
      <c r="M930" s="223"/>
      <c r="N930" s="223"/>
      <c r="O930" s="223"/>
      <c r="P930" s="223"/>
      <c r="Q930" s="223"/>
      <c r="R930" s="223" t="s">
        <v>535</v>
      </c>
      <c r="S930" s="220">
        <f t="shared" si="15"/>
        <v>0</v>
      </c>
      <c r="T930" s="219" t="str">
        <f>IFERROR(VLOOKUP($B930,'SIZE CALCULATION'!$F$2:$G$100,2,0),"")</f>
        <v/>
      </c>
    </row>
    <row r="931" spans="1:20" x14ac:dyDescent="0.2">
      <c r="A931" s="236"/>
      <c r="B931" s="222"/>
      <c r="C931" s="222"/>
      <c r="D931" s="224"/>
      <c r="E931" s="223"/>
      <c r="F931" s="223"/>
      <c r="G931" s="223"/>
      <c r="H931" s="223"/>
      <c r="I931" s="247"/>
      <c r="J931" s="223"/>
      <c r="K931" s="240"/>
      <c r="L931" s="223"/>
      <c r="M931" s="223"/>
      <c r="N931" s="223"/>
      <c r="O931" s="223"/>
      <c r="P931" s="223"/>
      <c r="Q931" s="223"/>
      <c r="R931" s="223" t="s">
        <v>535</v>
      </c>
      <c r="S931" s="220">
        <f t="shared" si="15"/>
        <v>0</v>
      </c>
      <c r="T931" s="219" t="str">
        <f>IFERROR(VLOOKUP($B931,'SIZE CALCULATION'!$F$2:$G$100,2,0),"")</f>
        <v/>
      </c>
    </row>
    <row r="932" spans="1:20" x14ac:dyDescent="0.2">
      <c r="A932" s="236"/>
      <c r="B932" s="222"/>
      <c r="C932" s="222"/>
      <c r="D932" s="224"/>
      <c r="E932" s="223"/>
      <c r="F932" s="223"/>
      <c r="G932" s="223"/>
      <c r="H932" s="223"/>
      <c r="I932" s="247"/>
      <c r="J932" s="223"/>
      <c r="K932" s="240"/>
      <c r="L932" s="223"/>
      <c r="M932" s="223"/>
      <c r="N932" s="223"/>
      <c r="O932" s="223"/>
      <c r="P932" s="223"/>
      <c r="Q932" s="223"/>
      <c r="R932" s="223" t="s">
        <v>535</v>
      </c>
      <c r="S932" s="220">
        <f t="shared" si="15"/>
        <v>0</v>
      </c>
      <c r="T932" s="219" t="str">
        <f>IFERROR(VLOOKUP($B932,'SIZE CALCULATION'!$F$2:$G$100,2,0),"")</f>
        <v/>
      </c>
    </row>
    <row r="933" spans="1:20" x14ac:dyDescent="0.2">
      <c r="A933" s="236"/>
      <c r="B933" s="222"/>
      <c r="C933" s="222"/>
      <c r="D933" s="224"/>
      <c r="E933" s="223"/>
      <c r="F933" s="223"/>
      <c r="G933" s="223"/>
      <c r="H933" s="223"/>
      <c r="I933" s="247"/>
      <c r="J933" s="223"/>
      <c r="K933" s="240"/>
      <c r="L933" s="223"/>
      <c r="M933" s="223"/>
      <c r="N933" s="223"/>
      <c r="O933" s="223"/>
      <c r="P933" s="223"/>
      <c r="Q933" s="223"/>
      <c r="R933" s="223" t="s">
        <v>535</v>
      </c>
      <c r="S933" s="220">
        <f t="shared" si="15"/>
        <v>0</v>
      </c>
      <c r="T933" s="219" t="str">
        <f>IFERROR(VLOOKUP($B933,'SIZE CALCULATION'!$F$2:$G$100,2,0),"")</f>
        <v/>
      </c>
    </row>
    <row r="934" spans="1:20" x14ac:dyDescent="0.2">
      <c r="A934" s="236"/>
      <c r="B934" s="222"/>
      <c r="C934" s="222"/>
      <c r="D934" s="224"/>
      <c r="E934" s="223"/>
      <c r="F934" s="223"/>
      <c r="G934" s="223"/>
      <c r="H934" s="223"/>
      <c r="I934" s="247"/>
      <c r="J934" s="223"/>
      <c r="K934" s="240"/>
      <c r="L934" s="223"/>
      <c r="M934" s="223"/>
      <c r="N934" s="223"/>
      <c r="O934" s="223"/>
      <c r="P934" s="223"/>
      <c r="Q934" s="223"/>
      <c r="R934" s="223" t="s">
        <v>535</v>
      </c>
      <c r="S934" s="220">
        <f t="shared" si="15"/>
        <v>0</v>
      </c>
      <c r="T934" s="219" t="str">
        <f>IFERROR(VLOOKUP($B934,'SIZE CALCULATION'!$F$2:$G$100,2,0),"")</f>
        <v/>
      </c>
    </row>
    <row r="935" spans="1:20" x14ac:dyDescent="0.2">
      <c r="A935" s="236"/>
      <c r="B935" s="222"/>
      <c r="C935" s="222"/>
      <c r="D935" s="224"/>
      <c r="E935" s="223"/>
      <c r="F935" s="223"/>
      <c r="G935" s="223"/>
      <c r="H935" s="223"/>
      <c r="I935" s="247"/>
      <c r="J935" s="223"/>
      <c r="K935" s="240"/>
      <c r="L935" s="223"/>
      <c r="M935" s="223"/>
      <c r="N935" s="223"/>
      <c r="O935" s="223"/>
      <c r="P935" s="223"/>
      <c r="Q935" s="223"/>
      <c r="R935" s="223" t="s">
        <v>535</v>
      </c>
      <c r="S935" s="220">
        <f t="shared" si="15"/>
        <v>0</v>
      </c>
      <c r="T935" s="219" t="str">
        <f>IFERROR(VLOOKUP($B935,'SIZE CALCULATION'!$F$2:$G$100,2,0),"")</f>
        <v/>
      </c>
    </row>
    <row r="936" spans="1:20" x14ac:dyDescent="0.2">
      <c r="A936" s="236"/>
      <c r="B936" s="222"/>
      <c r="C936" s="222"/>
      <c r="D936" s="224"/>
      <c r="E936" s="223"/>
      <c r="F936" s="223"/>
      <c r="G936" s="223"/>
      <c r="H936" s="223"/>
      <c r="I936" s="247"/>
      <c r="J936" s="223"/>
      <c r="K936" s="240"/>
      <c r="L936" s="223"/>
      <c r="M936" s="223"/>
      <c r="N936" s="223"/>
      <c r="O936" s="223"/>
      <c r="P936" s="223"/>
      <c r="Q936" s="223"/>
      <c r="R936" s="223" t="s">
        <v>535</v>
      </c>
      <c r="S936" s="220">
        <f t="shared" si="15"/>
        <v>0</v>
      </c>
      <c r="T936" s="219" t="str">
        <f>IFERROR(VLOOKUP($B936,'SIZE CALCULATION'!$F$2:$G$100,2,0),"")</f>
        <v/>
      </c>
    </row>
    <row r="937" spans="1:20" x14ac:dyDescent="0.2">
      <c r="A937" s="236"/>
      <c r="B937" s="222"/>
      <c r="C937" s="222"/>
      <c r="D937" s="224"/>
      <c r="E937" s="223"/>
      <c r="F937" s="223"/>
      <c r="G937" s="223"/>
      <c r="H937" s="223"/>
      <c r="I937" s="247"/>
      <c r="J937" s="223"/>
      <c r="K937" s="240"/>
      <c r="L937" s="223"/>
      <c r="M937" s="223"/>
      <c r="N937" s="223"/>
      <c r="O937" s="223"/>
      <c r="P937" s="223"/>
      <c r="Q937" s="223"/>
      <c r="R937" s="223" t="s">
        <v>535</v>
      </c>
      <c r="S937" s="220">
        <f t="shared" si="15"/>
        <v>0</v>
      </c>
      <c r="T937" s="219" t="str">
        <f>IFERROR(VLOOKUP($B937,'SIZE CALCULATION'!$F$2:$G$100,2,0),"")</f>
        <v/>
      </c>
    </row>
    <row r="938" spans="1:20" x14ac:dyDescent="0.2">
      <c r="A938" s="236"/>
      <c r="B938" s="222"/>
      <c r="C938" s="222"/>
      <c r="D938" s="224"/>
      <c r="E938" s="223"/>
      <c r="F938" s="223"/>
      <c r="G938" s="223"/>
      <c r="H938" s="223"/>
      <c r="I938" s="247"/>
      <c r="J938" s="223"/>
      <c r="K938" s="240"/>
      <c r="L938" s="223"/>
      <c r="M938" s="223"/>
      <c r="N938" s="223"/>
      <c r="O938" s="223"/>
      <c r="P938" s="223"/>
      <c r="Q938" s="223"/>
      <c r="R938" s="223" t="s">
        <v>535</v>
      </c>
      <c r="S938" s="220">
        <f t="shared" si="15"/>
        <v>0</v>
      </c>
      <c r="T938" s="219" t="str">
        <f>IFERROR(VLOOKUP($B938,'SIZE CALCULATION'!$F$2:$G$100,2,0),"")</f>
        <v/>
      </c>
    </row>
    <row r="939" spans="1:20" x14ac:dyDescent="0.2">
      <c r="A939" s="236"/>
      <c r="B939" s="222"/>
      <c r="C939" s="222"/>
      <c r="D939" s="224"/>
      <c r="E939" s="223"/>
      <c r="F939" s="223"/>
      <c r="G939" s="223"/>
      <c r="H939" s="223"/>
      <c r="I939" s="247"/>
      <c r="J939" s="223"/>
      <c r="K939" s="240"/>
      <c r="L939" s="223"/>
      <c r="M939" s="223"/>
      <c r="N939" s="223"/>
      <c r="O939" s="223"/>
      <c r="P939" s="223"/>
      <c r="Q939" s="223"/>
      <c r="R939" s="223" t="s">
        <v>535</v>
      </c>
      <c r="S939" s="220">
        <f t="shared" si="15"/>
        <v>0</v>
      </c>
      <c r="T939" s="219" t="str">
        <f>IFERROR(VLOOKUP($B939,'SIZE CALCULATION'!$F$2:$G$100,2,0),"")</f>
        <v/>
      </c>
    </row>
    <row r="940" spans="1:20" x14ac:dyDescent="0.2">
      <c r="A940" s="236"/>
      <c r="B940" s="222"/>
      <c r="C940" s="222"/>
      <c r="D940" s="224"/>
      <c r="E940" s="223"/>
      <c r="F940" s="223"/>
      <c r="G940" s="223"/>
      <c r="H940" s="223"/>
      <c r="I940" s="247"/>
      <c r="J940" s="223"/>
      <c r="K940" s="240"/>
      <c r="L940" s="223"/>
      <c r="M940" s="223"/>
      <c r="N940" s="223"/>
      <c r="O940" s="223"/>
      <c r="P940" s="223"/>
      <c r="Q940" s="223"/>
      <c r="R940" s="223" t="s">
        <v>535</v>
      </c>
      <c r="S940" s="220">
        <f t="shared" si="15"/>
        <v>0</v>
      </c>
      <c r="T940" s="219" t="str">
        <f>IFERROR(VLOOKUP($B940,'SIZE CALCULATION'!$F$2:$G$100,2,0),"")</f>
        <v/>
      </c>
    </row>
    <row r="941" spans="1:20" x14ac:dyDescent="0.2">
      <c r="A941" s="236"/>
      <c r="B941" s="222"/>
      <c r="C941" s="222"/>
      <c r="D941" s="224"/>
      <c r="E941" s="223"/>
      <c r="F941" s="223"/>
      <c r="G941" s="223"/>
      <c r="H941" s="223"/>
      <c r="I941" s="247"/>
      <c r="J941" s="223"/>
      <c r="K941" s="240"/>
      <c r="L941" s="223"/>
      <c r="M941" s="223"/>
      <c r="N941" s="223"/>
      <c r="O941" s="223"/>
      <c r="P941" s="223"/>
      <c r="Q941" s="223"/>
      <c r="R941" s="223" t="s">
        <v>535</v>
      </c>
      <c r="S941" s="220">
        <f t="shared" si="15"/>
        <v>0</v>
      </c>
      <c r="T941" s="219" t="str">
        <f>IFERROR(VLOOKUP($B941,'SIZE CALCULATION'!$F$2:$G$100,2,0),"")</f>
        <v/>
      </c>
    </row>
    <row r="942" spans="1:20" x14ac:dyDescent="0.2">
      <c r="A942" s="236"/>
      <c r="B942" s="222"/>
      <c r="C942" s="222"/>
      <c r="D942" s="224"/>
      <c r="E942" s="223"/>
      <c r="F942" s="223"/>
      <c r="G942" s="223"/>
      <c r="H942" s="223"/>
      <c r="I942" s="247"/>
      <c r="J942" s="223"/>
      <c r="K942" s="240"/>
      <c r="L942" s="223"/>
      <c r="M942" s="223"/>
      <c r="N942" s="223"/>
      <c r="O942" s="223"/>
      <c r="P942" s="223"/>
      <c r="Q942" s="223"/>
      <c r="R942" s="223" t="s">
        <v>535</v>
      </c>
      <c r="S942" s="220">
        <f t="shared" si="15"/>
        <v>0</v>
      </c>
      <c r="T942" s="219" t="str">
        <f>IFERROR(VLOOKUP($B942,'SIZE CALCULATION'!$F$2:$G$100,2,0),"")</f>
        <v/>
      </c>
    </row>
    <row r="943" spans="1:20" x14ac:dyDescent="0.2">
      <c r="A943" s="236"/>
      <c r="B943" s="222"/>
      <c r="C943" s="222"/>
      <c r="D943" s="224"/>
      <c r="E943" s="223"/>
      <c r="F943" s="223"/>
      <c r="G943" s="223"/>
      <c r="H943" s="223"/>
      <c r="I943" s="247"/>
      <c r="J943" s="223"/>
      <c r="K943" s="240"/>
      <c r="L943" s="223"/>
      <c r="M943" s="223"/>
      <c r="N943" s="223"/>
      <c r="O943" s="223"/>
      <c r="P943" s="223"/>
      <c r="Q943" s="223"/>
      <c r="R943" s="223" t="s">
        <v>535</v>
      </c>
      <c r="S943" s="220">
        <f t="shared" si="15"/>
        <v>0</v>
      </c>
      <c r="T943" s="219" t="str">
        <f>IFERROR(VLOOKUP($B943,'SIZE CALCULATION'!$F$2:$G$100,2,0),"")</f>
        <v/>
      </c>
    </row>
    <row r="944" spans="1:20" x14ac:dyDescent="0.2">
      <c r="A944" s="236"/>
      <c r="B944" s="222"/>
      <c r="C944" s="222"/>
      <c r="D944" s="224"/>
      <c r="E944" s="223"/>
      <c r="F944" s="223"/>
      <c r="G944" s="223"/>
      <c r="H944" s="223"/>
      <c r="I944" s="247"/>
      <c r="J944" s="223"/>
      <c r="K944" s="240"/>
      <c r="L944" s="223"/>
      <c r="M944" s="223"/>
      <c r="N944" s="223"/>
      <c r="O944" s="223"/>
      <c r="P944" s="223"/>
      <c r="Q944" s="223"/>
      <c r="R944" s="223" t="s">
        <v>535</v>
      </c>
      <c r="S944" s="220">
        <f t="shared" si="15"/>
        <v>0</v>
      </c>
      <c r="T944" s="219" t="str">
        <f>IFERROR(VLOOKUP($B944,'SIZE CALCULATION'!$F$2:$G$100,2,0),"")</f>
        <v/>
      </c>
    </row>
    <row r="945" spans="1:20" x14ac:dyDescent="0.2">
      <c r="A945" s="236"/>
      <c r="B945" s="222"/>
      <c r="C945" s="222"/>
      <c r="D945" s="224"/>
      <c r="E945" s="223"/>
      <c r="F945" s="223"/>
      <c r="G945" s="223"/>
      <c r="H945" s="223"/>
      <c r="I945" s="247"/>
      <c r="J945" s="223"/>
      <c r="K945" s="240"/>
      <c r="L945" s="223"/>
      <c r="M945" s="223"/>
      <c r="N945" s="223"/>
      <c r="O945" s="223"/>
      <c r="P945" s="223"/>
      <c r="Q945" s="223"/>
      <c r="R945" s="223" t="s">
        <v>535</v>
      </c>
      <c r="S945" s="220">
        <f t="shared" si="15"/>
        <v>0</v>
      </c>
      <c r="T945" s="219" t="str">
        <f>IFERROR(VLOOKUP($B945,'SIZE CALCULATION'!$F$2:$G$100,2,0),"")</f>
        <v/>
      </c>
    </row>
    <row r="946" spans="1:20" x14ac:dyDescent="0.2">
      <c r="A946" s="236"/>
      <c r="B946" s="222"/>
      <c r="C946" s="222"/>
      <c r="D946" s="224"/>
      <c r="E946" s="223"/>
      <c r="F946" s="223"/>
      <c r="G946" s="223"/>
      <c r="H946" s="223"/>
      <c r="I946" s="247"/>
      <c r="J946" s="223"/>
      <c r="K946" s="240"/>
      <c r="L946" s="223"/>
      <c r="M946" s="223"/>
      <c r="N946" s="223"/>
      <c r="O946" s="223"/>
      <c r="P946" s="223"/>
      <c r="Q946" s="223"/>
      <c r="R946" s="223" t="s">
        <v>535</v>
      </c>
      <c r="S946" s="220">
        <f t="shared" si="15"/>
        <v>0</v>
      </c>
      <c r="T946" s="219" t="str">
        <f>IFERROR(VLOOKUP($B946,'SIZE CALCULATION'!$F$2:$G$100,2,0),"")</f>
        <v/>
      </c>
    </row>
    <row r="947" spans="1:20" x14ac:dyDescent="0.2">
      <c r="A947" s="236"/>
      <c r="B947" s="222"/>
      <c r="C947" s="222"/>
      <c r="D947" s="224"/>
      <c r="E947" s="223"/>
      <c r="F947" s="223"/>
      <c r="G947" s="223"/>
      <c r="H947" s="223"/>
      <c r="I947" s="247"/>
      <c r="J947" s="223"/>
      <c r="K947" s="240"/>
      <c r="L947" s="223"/>
      <c r="M947" s="223"/>
      <c r="N947" s="223"/>
      <c r="O947" s="223"/>
      <c r="P947" s="223"/>
      <c r="Q947" s="223"/>
      <c r="R947" s="223" t="s">
        <v>535</v>
      </c>
      <c r="S947" s="220">
        <f t="shared" si="15"/>
        <v>0</v>
      </c>
      <c r="T947" s="219" t="str">
        <f>IFERROR(VLOOKUP($B947,'SIZE CALCULATION'!$F$2:$G$100,2,0),"")</f>
        <v/>
      </c>
    </row>
    <row r="948" spans="1:20" x14ac:dyDescent="0.2">
      <c r="A948" s="236"/>
      <c r="B948" s="222"/>
      <c r="C948" s="222"/>
      <c r="D948" s="224"/>
      <c r="E948" s="223"/>
      <c r="F948" s="223"/>
      <c r="G948" s="223"/>
      <c r="H948" s="223"/>
      <c r="I948" s="247"/>
      <c r="J948" s="223"/>
      <c r="K948" s="240"/>
      <c r="L948" s="223"/>
      <c r="M948" s="223"/>
      <c r="N948" s="223"/>
      <c r="O948" s="223"/>
      <c r="P948" s="223"/>
      <c r="Q948" s="223"/>
      <c r="R948" s="223" t="s">
        <v>535</v>
      </c>
      <c r="S948" s="220">
        <f t="shared" si="15"/>
        <v>0</v>
      </c>
      <c r="T948" s="219" t="str">
        <f>IFERROR(VLOOKUP($B948,'SIZE CALCULATION'!$F$2:$G$100,2,0),"")</f>
        <v/>
      </c>
    </row>
    <row r="949" spans="1:20" x14ac:dyDescent="0.2">
      <c r="A949" s="236"/>
      <c r="B949" s="222"/>
      <c r="C949" s="222"/>
      <c r="D949" s="224"/>
      <c r="E949" s="223"/>
      <c r="F949" s="223"/>
      <c r="G949" s="223"/>
      <c r="H949" s="223"/>
      <c r="I949" s="247"/>
      <c r="J949" s="223"/>
      <c r="K949" s="240"/>
      <c r="L949" s="223"/>
      <c r="M949" s="223"/>
      <c r="N949" s="223"/>
      <c r="O949" s="223"/>
      <c r="P949" s="223"/>
      <c r="Q949" s="223"/>
      <c r="R949" s="223" t="s">
        <v>535</v>
      </c>
      <c r="S949" s="220">
        <f t="shared" si="15"/>
        <v>0</v>
      </c>
      <c r="T949" s="219" t="str">
        <f>IFERROR(VLOOKUP($B949,'SIZE CALCULATION'!$F$2:$G$100,2,0),"")</f>
        <v/>
      </c>
    </row>
    <row r="950" spans="1:20" x14ac:dyDescent="0.2">
      <c r="A950" s="236"/>
      <c r="B950" s="222"/>
      <c r="C950" s="222"/>
      <c r="D950" s="224"/>
      <c r="E950" s="223"/>
      <c r="F950" s="223"/>
      <c r="G950" s="223"/>
      <c r="H950" s="223"/>
      <c r="I950" s="247"/>
      <c r="J950" s="223"/>
      <c r="K950" s="240"/>
      <c r="L950" s="223"/>
      <c r="M950" s="223"/>
      <c r="N950" s="223"/>
      <c r="O950" s="223"/>
      <c r="P950" s="223"/>
      <c r="Q950" s="223"/>
      <c r="R950" s="223" t="s">
        <v>535</v>
      </c>
      <c r="S950" s="220">
        <f t="shared" si="15"/>
        <v>0</v>
      </c>
      <c r="T950" s="219" t="str">
        <f>IFERROR(VLOOKUP($B950,'SIZE CALCULATION'!$F$2:$G$100,2,0),"")</f>
        <v/>
      </c>
    </row>
    <row r="951" spans="1:20" x14ac:dyDescent="0.2">
      <c r="A951" s="236"/>
      <c r="B951" s="222"/>
      <c r="C951" s="222"/>
      <c r="D951" s="224"/>
      <c r="E951" s="223"/>
      <c r="F951" s="223"/>
      <c r="G951" s="223"/>
      <c r="H951" s="223"/>
      <c r="I951" s="247"/>
      <c r="J951" s="223"/>
      <c r="K951" s="240"/>
      <c r="L951" s="223"/>
      <c r="M951" s="223"/>
      <c r="N951" s="223"/>
      <c r="O951" s="223"/>
      <c r="P951" s="223"/>
      <c r="Q951" s="223"/>
      <c r="R951" s="223" t="s">
        <v>535</v>
      </c>
      <c r="S951" s="220">
        <f t="shared" si="15"/>
        <v>0</v>
      </c>
      <c r="T951" s="219" t="str">
        <f>IFERROR(VLOOKUP($B951,'SIZE CALCULATION'!$F$2:$G$100,2,0),"")</f>
        <v/>
      </c>
    </row>
    <row r="952" spans="1:20" x14ac:dyDescent="0.2">
      <c r="A952" s="236"/>
      <c r="B952" s="222"/>
      <c r="C952" s="222"/>
      <c r="D952" s="224"/>
      <c r="E952" s="223"/>
      <c r="F952" s="223"/>
      <c r="G952" s="223"/>
      <c r="H952" s="223"/>
      <c r="I952" s="247"/>
      <c r="J952" s="223"/>
      <c r="K952" s="240"/>
      <c r="L952" s="223"/>
      <c r="M952" s="223"/>
      <c r="N952" s="223"/>
      <c r="O952" s="223"/>
      <c r="P952" s="223"/>
      <c r="Q952" s="223"/>
      <c r="R952" s="223" t="s">
        <v>535</v>
      </c>
      <c r="S952" s="220">
        <f t="shared" si="15"/>
        <v>0</v>
      </c>
      <c r="T952" s="219" t="str">
        <f>IFERROR(VLOOKUP($B952,'SIZE CALCULATION'!$F$2:$G$100,2,0),"")</f>
        <v/>
      </c>
    </row>
    <row r="953" spans="1:20" x14ac:dyDescent="0.2">
      <c r="A953" s="236"/>
      <c r="B953" s="222"/>
      <c r="C953" s="222"/>
      <c r="D953" s="224"/>
      <c r="E953" s="223"/>
      <c r="F953" s="223"/>
      <c r="G953" s="223"/>
      <c r="H953" s="223"/>
      <c r="I953" s="247"/>
      <c r="J953" s="223"/>
      <c r="K953" s="240"/>
      <c r="L953" s="223"/>
      <c r="M953" s="223"/>
      <c r="N953" s="223"/>
      <c r="O953" s="223"/>
      <c r="P953" s="223"/>
      <c r="Q953" s="223"/>
      <c r="R953" s="223" t="s">
        <v>535</v>
      </c>
      <c r="S953" s="220">
        <f t="shared" si="15"/>
        <v>0</v>
      </c>
      <c r="T953" s="219" t="str">
        <f>IFERROR(VLOOKUP($B953,'SIZE CALCULATION'!$F$2:$G$100,2,0),"")</f>
        <v/>
      </c>
    </row>
    <row r="954" spans="1:20" x14ac:dyDescent="0.2">
      <c r="A954" s="236"/>
      <c r="B954" s="222"/>
      <c r="C954" s="222"/>
      <c r="D954" s="224"/>
      <c r="E954" s="223"/>
      <c r="F954" s="223"/>
      <c r="G954" s="223"/>
      <c r="H954" s="223"/>
      <c r="I954" s="247"/>
      <c r="J954" s="223"/>
      <c r="K954" s="240"/>
      <c r="L954" s="223"/>
      <c r="M954" s="223"/>
      <c r="N954" s="223"/>
      <c r="O954" s="223"/>
      <c r="P954" s="223"/>
      <c r="Q954" s="223"/>
      <c r="R954" s="223" t="s">
        <v>535</v>
      </c>
      <c r="S954" s="220">
        <f t="shared" si="15"/>
        <v>0</v>
      </c>
      <c r="T954" s="219" t="str">
        <f>IFERROR(VLOOKUP($B954,'SIZE CALCULATION'!$F$2:$G$100,2,0),"")</f>
        <v/>
      </c>
    </row>
    <row r="955" spans="1:20" x14ac:dyDescent="0.2">
      <c r="A955" s="236"/>
      <c r="B955" s="222"/>
      <c r="C955" s="222"/>
      <c r="D955" s="224"/>
      <c r="E955" s="223"/>
      <c r="F955" s="223"/>
      <c r="G955" s="223"/>
      <c r="H955" s="223"/>
      <c r="I955" s="247"/>
      <c r="J955" s="223"/>
      <c r="K955" s="240"/>
      <c r="L955" s="223"/>
      <c r="M955" s="223"/>
      <c r="N955" s="223"/>
      <c r="O955" s="223"/>
      <c r="P955" s="223"/>
      <c r="Q955" s="223"/>
      <c r="R955" s="223" t="s">
        <v>535</v>
      </c>
      <c r="S955" s="220">
        <f t="shared" si="15"/>
        <v>0</v>
      </c>
      <c r="T955" s="219" t="str">
        <f>IFERROR(VLOOKUP($B955,'SIZE CALCULATION'!$F$2:$G$100,2,0),"")</f>
        <v/>
      </c>
    </row>
    <row r="956" spans="1:20" x14ac:dyDescent="0.2">
      <c r="A956" s="236"/>
      <c r="B956" s="222"/>
      <c r="C956" s="222"/>
      <c r="D956" s="224"/>
      <c r="E956" s="223"/>
      <c r="F956" s="223"/>
      <c r="G956" s="223"/>
      <c r="H956" s="223"/>
      <c r="I956" s="247"/>
      <c r="J956" s="223"/>
      <c r="K956" s="240"/>
      <c r="L956" s="223"/>
      <c r="M956" s="223"/>
      <c r="N956" s="223"/>
      <c r="O956" s="223"/>
      <c r="P956" s="223"/>
      <c r="Q956" s="223"/>
      <c r="R956" s="223" t="s">
        <v>535</v>
      </c>
      <c r="S956" s="220">
        <f t="shared" ref="S956:S993" si="16">IFERROR(M956/O956,M956)</f>
        <v>0</v>
      </c>
      <c r="T956" s="219" t="str">
        <f>IFERROR(VLOOKUP($B956,'SIZE CALCULATION'!$F$2:$G$100,2,0),"")</f>
        <v/>
      </c>
    </row>
    <row r="957" spans="1:20" x14ac:dyDescent="0.2">
      <c r="A957" s="236"/>
      <c r="B957" s="222"/>
      <c r="C957" s="222"/>
      <c r="D957" s="224"/>
      <c r="E957" s="223"/>
      <c r="F957" s="223"/>
      <c r="G957" s="223"/>
      <c r="H957" s="223"/>
      <c r="I957" s="247"/>
      <c r="J957" s="223"/>
      <c r="K957" s="240"/>
      <c r="L957" s="223"/>
      <c r="M957" s="223"/>
      <c r="N957" s="223"/>
      <c r="O957" s="223"/>
      <c r="P957" s="223"/>
      <c r="Q957" s="223"/>
      <c r="R957" s="223" t="s">
        <v>535</v>
      </c>
      <c r="S957" s="220">
        <f t="shared" si="16"/>
        <v>0</v>
      </c>
      <c r="T957" s="219" t="str">
        <f>IFERROR(VLOOKUP($B957,'SIZE CALCULATION'!$F$2:$G$100,2,0),"")</f>
        <v/>
      </c>
    </row>
    <row r="958" spans="1:20" x14ac:dyDescent="0.2">
      <c r="A958" s="236"/>
      <c r="B958" s="222"/>
      <c r="C958" s="222"/>
      <c r="D958" s="224"/>
      <c r="E958" s="223"/>
      <c r="F958" s="223"/>
      <c r="G958" s="223"/>
      <c r="H958" s="223"/>
      <c r="I958" s="247"/>
      <c r="J958" s="223"/>
      <c r="K958" s="240"/>
      <c r="L958" s="223"/>
      <c r="M958" s="223"/>
      <c r="N958" s="223"/>
      <c r="O958" s="223"/>
      <c r="P958" s="223"/>
      <c r="Q958" s="223"/>
      <c r="R958" s="223" t="s">
        <v>535</v>
      </c>
      <c r="S958" s="220">
        <f t="shared" si="16"/>
        <v>0</v>
      </c>
      <c r="T958" s="219" t="str">
        <f>IFERROR(VLOOKUP($B958,'SIZE CALCULATION'!$F$2:$G$100,2,0),"")</f>
        <v/>
      </c>
    </row>
    <row r="959" spans="1:20" x14ac:dyDescent="0.2">
      <c r="A959" s="236"/>
      <c r="B959" s="222"/>
      <c r="C959" s="222"/>
      <c r="D959" s="224"/>
      <c r="E959" s="223"/>
      <c r="F959" s="223"/>
      <c r="G959" s="223"/>
      <c r="H959" s="223"/>
      <c r="I959" s="247"/>
      <c r="J959" s="223"/>
      <c r="K959" s="240"/>
      <c r="L959" s="223"/>
      <c r="M959" s="223"/>
      <c r="N959" s="223"/>
      <c r="O959" s="223"/>
      <c r="P959" s="223"/>
      <c r="Q959" s="223"/>
      <c r="R959" s="223" t="s">
        <v>535</v>
      </c>
      <c r="S959" s="220">
        <f t="shared" si="16"/>
        <v>0</v>
      </c>
      <c r="T959" s="219" t="str">
        <f>IFERROR(VLOOKUP($B959,'SIZE CALCULATION'!$F$2:$G$100,2,0),"")</f>
        <v/>
      </c>
    </row>
    <row r="960" spans="1:20" x14ac:dyDescent="0.2">
      <c r="A960" s="236"/>
      <c r="B960" s="222"/>
      <c r="C960" s="222"/>
      <c r="D960" s="224"/>
      <c r="E960" s="223"/>
      <c r="F960" s="223"/>
      <c r="G960" s="223"/>
      <c r="H960" s="223"/>
      <c r="I960" s="247"/>
      <c r="J960" s="223"/>
      <c r="K960" s="240"/>
      <c r="L960" s="223"/>
      <c r="M960" s="223"/>
      <c r="N960" s="223"/>
      <c r="O960" s="223"/>
      <c r="P960" s="223"/>
      <c r="Q960" s="223"/>
      <c r="R960" s="223" t="s">
        <v>535</v>
      </c>
      <c r="S960" s="220">
        <f t="shared" si="16"/>
        <v>0</v>
      </c>
      <c r="T960" s="219" t="str">
        <f>IFERROR(VLOOKUP($B960,'SIZE CALCULATION'!$F$2:$G$100,2,0),"")</f>
        <v/>
      </c>
    </row>
    <row r="961" spans="1:20" x14ac:dyDescent="0.2">
      <c r="A961" s="236"/>
      <c r="B961" s="222"/>
      <c r="C961" s="222"/>
      <c r="D961" s="224"/>
      <c r="E961" s="223"/>
      <c r="F961" s="223"/>
      <c r="G961" s="223"/>
      <c r="H961" s="223"/>
      <c r="I961" s="247"/>
      <c r="J961" s="223"/>
      <c r="K961" s="240"/>
      <c r="L961" s="223"/>
      <c r="M961" s="223"/>
      <c r="N961" s="223"/>
      <c r="O961" s="223"/>
      <c r="P961" s="223"/>
      <c r="Q961" s="223"/>
      <c r="R961" s="223" t="s">
        <v>535</v>
      </c>
      <c r="S961" s="220">
        <f t="shared" si="16"/>
        <v>0</v>
      </c>
      <c r="T961" s="219" t="str">
        <f>IFERROR(VLOOKUP($B961,'SIZE CALCULATION'!$F$2:$G$100,2,0),"")</f>
        <v/>
      </c>
    </row>
    <row r="962" spans="1:20" x14ac:dyDescent="0.2">
      <c r="A962" s="236"/>
      <c r="B962" s="222"/>
      <c r="C962" s="222"/>
      <c r="D962" s="224"/>
      <c r="E962" s="223"/>
      <c r="F962" s="223"/>
      <c r="G962" s="223"/>
      <c r="H962" s="223"/>
      <c r="I962" s="247"/>
      <c r="J962" s="223"/>
      <c r="K962" s="240"/>
      <c r="L962" s="223"/>
      <c r="M962" s="223"/>
      <c r="N962" s="223"/>
      <c r="O962" s="223"/>
      <c r="P962" s="223"/>
      <c r="Q962" s="223"/>
      <c r="R962" s="223" t="s">
        <v>535</v>
      </c>
      <c r="S962" s="220">
        <f t="shared" si="16"/>
        <v>0</v>
      </c>
      <c r="T962" s="219" t="str">
        <f>IFERROR(VLOOKUP($B962,'SIZE CALCULATION'!$F$2:$G$100,2,0),"")</f>
        <v/>
      </c>
    </row>
    <row r="963" spans="1:20" x14ac:dyDescent="0.2">
      <c r="A963" s="236"/>
      <c r="B963" s="222"/>
      <c r="C963" s="222"/>
      <c r="D963" s="224"/>
      <c r="E963" s="223"/>
      <c r="F963" s="223"/>
      <c r="G963" s="223"/>
      <c r="H963" s="223"/>
      <c r="I963" s="247"/>
      <c r="J963" s="223"/>
      <c r="K963" s="240"/>
      <c r="L963" s="223"/>
      <c r="M963" s="223"/>
      <c r="N963" s="223"/>
      <c r="O963" s="223"/>
      <c r="P963" s="223"/>
      <c r="Q963" s="223"/>
      <c r="R963" s="223" t="s">
        <v>535</v>
      </c>
      <c r="S963" s="220">
        <f t="shared" si="16"/>
        <v>0</v>
      </c>
      <c r="T963" s="219" t="str">
        <f>IFERROR(VLOOKUP($B963,'SIZE CALCULATION'!$F$2:$G$100,2,0),"")</f>
        <v/>
      </c>
    </row>
    <row r="964" spans="1:20" x14ac:dyDescent="0.2">
      <c r="A964" s="236"/>
      <c r="B964" s="222"/>
      <c r="C964" s="222"/>
      <c r="D964" s="224"/>
      <c r="E964" s="223"/>
      <c r="F964" s="223"/>
      <c r="G964" s="223"/>
      <c r="H964" s="223"/>
      <c r="I964" s="247"/>
      <c r="J964" s="223"/>
      <c r="K964" s="240"/>
      <c r="L964" s="223"/>
      <c r="M964" s="223"/>
      <c r="N964" s="223"/>
      <c r="O964" s="223"/>
      <c r="P964" s="223"/>
      <c r="Q964" s="223"/>
      <c r="R964" s="223" t="s">
        <v>535</v>
      </c>
      <c r="S964" s="220">
        <f t="shared" si="16"/>
        <v>0</v>
      </c>
      <c r="T964" s="219" t="str">
        <f>IFERROR(VLOOKUP($B964,'SIZE CALCULATION'!$F$2:$G$100,2,0),"")</f>
        <v/>
      </c>
    </row>
    <row r="965" spans="1:20" x14ac:dyDescent="0.2">
      <c r="A965" s="236"/>
      <c r="B965" s="222"/>
      <c r="C965" s="222"/>
      <c r="D965" s="224"/>
      <c r="E965" s="223"/>
      <c r="F965" s="223"/>
      <c r="G965" s="223"/>
      <c r="H965" s="223"/>
      <c r="I965" s="247"/>
      <c r="J965" s="223"/>
      <c r="K965" s="240"/>
      <c r="L965" s="223"/>
      <c r="M965" s="223"/>
      <c r="N965" s="223"/>
      <c r="O965" s="223"/>
      <c r="P965" s="223"/>
      <c r="Q965" s="223"/>
      <c r="R965" s="223" t="s">
        <v>535</v>
      </c>
      <c r="S965" s="220">
        <f t="shared" si="16"/>
        <v>0</v>
      </c>
      <c r="T965" s="219" t="str">
        <f>IFERROR(VLOOKUP($B965,'SIZE CALCULATION'!$F$2:$G$100,2,0),"")</f>
        <v/>
      </c>
    </row>
    <row r="966" spans="1:20" x14ac:dyDescent="0.2">
      <c r="A966" s="236"/>
      <c r="B966" s="222"/>
      <c r="C966" s="222"/>
      <c r="D966" s="224"/>
      <c r="E966" s="223"/>
      <c r="F966" s="223"/>
      <c r="G966" s="223"/>
      <c r="H966" s="223"/>
      <c r="I966" s="247"/>
      <c r="J966" s="223"/>
      <c r="K966" s="240"/>
      <c r="L966" s="223"/>
      <c r="M966" s="223"/>
      <c r="N966" s="223"/>
      <c r="O966" s="223"/>
      <c r="P966" s="223"/>
      <c r="Q966" s="223"/>
      <c r="R966" s="223" t="s">
        <v>535</v>
      </c>
      <c r="S966" s="220">
        <f t="shared" si="16"/>
        <v>0</v>
      </c>
      <c r="T966" s="219" t="str">
        <f>IFERROR(VLOOKUP($B966,'SIZE CALCULATION'!$F$2:$G$100,2,0),"")</f>
        <v/>
      </c>
    </row>
    <row r="967" spans="1:20" x14ac:dyDescent="0.2">
      <c r="A967" s="236"/>
      <c r="B967" s="222"/>
      <c r="C967" s="222"/>
      <c r="D967" s="224"/>
      <c r="E967" s="223"/>
      <c r="F967" s="223"/>
      <c r="G967" s="223"/>
      <c r="H967" s="223"/>
      <c r="I967" s="247"/>
      <c r="J967" s="223"/>
      <c r="K967" s="240"/>
      <c r="L967" s="223"/>
      <c r="M967" s="223"/>
      <c r="N967" s="223"/>
      <c r="O967" s="223"/>
      <c r="P967" s="223"/>
      <c r="Q967" s="223"/>
      <c r="R967" s="223" t="s">
        <v>535</v>
      </c>
      <c r="S967" s="220">
        <f t="shared" si="16"/>
        <v>0</v>
      </c>
      <c r="T967" s="219" t="str">
        <f>IFERROR(VLOOKUP($B967,'SIZE CALCULATION'!$F$2:$G$100,2,0),"")</f>
        <v/>
      </c>
    </row>
    <row r="968" spans="1:20" x14ac:dyDescent="0.2">
      <c r="A968" s="236"/>
      <c r="B968" s="222"/>
      <c r="C968" s="222"/>
      <c r="D968" s="224"/>
      <c r="E968" s="223"/>
      <c r="F968" s="223"/>
      <c r="G968" s="223"/>
      <c r="H968" s="223"/>
      <c r="I968" s="247"/>
      <c r="J968" s="223"/>
      <c r="K968" s="240"/>
      <c r="L968" s="223"/>
      <c r="M968" s="223"/>
      <c r="N968" s="223"/>
      <c r="O968" s="223"/>
      <c r="P968" s="223"/>
      <c r="Q968" s="223"/>
      <c r="R968" s="223" t="s">
        <v>535</v>
      </c>
      <c r="S968" s="220">
        <f t="shared" si="16"/>
        <v>0</v>
      </c>
      <c r="T968" s="219" t="str">
        <f>IFERROR(VLOOKUP($B968,'SIZE CALCULATION'!$F$2:$G$100,2,0),"")</f>
        <v/>
      </c>
    </row>
    <row r="969" spans="1:20" x14ac:dyDescent="0.2">
      <c r="A969" s="236"/>
      <c r="B969" s="222"/>
      <c r="C969" s="222"/>
      <c r="D969" s="224"/>
      <c r="E969" s="223"/>
      <c r="F969" s="223"/>
      <c r="G969" s="223"/>
      <c r="H969" s="223"/>
      <c r="I969" s="247"/>
      <c r="J969" s="223"/>
      <c r="K969" s="240"/>
      <c r="L969" s="223"/>
      <c r="M969" s="223"/>
      <c r="N969" s="223"/>
      <c r="O969" s="223"/>
      <c r="P969" s="223"/>
      <c r="Q969" s="223"/>
      <c r="R969" s="223" t="s">
        <v>535</v>
      </c>
      <c r="S969" s="220">
        <f t="shared" si="16"/>
        <v>0</v>
      </c>
      <c r="T969" s="219" t="str">
        <f>IFERROR(VLOOKUP($B969,'SIZE CALCULATION'!$F$2:$G$100,2,0),"")</f>
        <v/>
      </c>
    </row>
    <row r="970" spans="1:20" x14ac:dyDescent="0.2">
      <c r="A970" s="236"/>
      <c r="B970" s="222"/>
      <c r="C970" s="222"/>
      <c r="D970" s="224"/>
      <c r="E970" s="223"/>
      <c r="F970" s="223"/>
      <c r="G970" s="223"/>
      <c r="H970" s="223"/>
      <c r="I970" s="247"/>
      <c r="J970" s="223"/>
      <c r="K970" s="240"/>
      <c r="L970" s="223"/>
      <c r="M970" s="223"/>
      <c r="N970" s="223"/>
      <c r="O970" s="223"/>
      <c r="P970" s="223"/>
      <c r="Q970" s="223"/>
      <c r="R970" s="223" t="s">
        <v>535</v>
      </c>
      <c r="S970" s="220">
        <f t="shared" si="16"/>
        <v>0</v>
      </c>
      <c r="T970" s="219" t="str">
        <f>IFERROR(VLOOKUP($B970,'SIZE CALCULATION'!$F$2:$G$100,2,0),"")</f>
        <v/>
      </c>
    </row>
    <row r="971" spans="1:20" x14ac:dyDescent="0.2">
      <c r="A971" s="236"/>
      <c r="B971" s="222"/>
      <c r="C971" s="222"/>
      <c r="D971" s="224"/>
      <c r="E971" s="223"/>
      <c r="F971" s="223"/>
      <c r="G971" s="223"/>
      <c r="H971" s="223"/>
      <c r="I971" s="247"/>
      <c r="J971" s="223"/>
      <c r="K971" s="240"/>
      <c r="L971" s="223"/>
      <c r="M971" s="223"/>
      <c r="N971" s="223"/>
      <c r="O971" s="223"/>
      <c r="P971" s="223"/>
      <c r="Q971" s="223"/>
      <c r="R971" s="223" t="s">
        <v>535</v>
      </c>
      <c r="S971" s="220">
        <f t="shared" si="16"/>
        <v>0</v>
      </c>
      <c r="T971" s="219" t="str">
        <f>IFERROR(VLOOKUP($B971,'SIZE CALCULATION'!$F$2:$G$100,2,0),"")</f>
        <v/>
      </c>
    </row>
    <row r="972" spans="1:20" x14ac:dyDescent="0.2">
      <c r="A972" s="236"/>
      <c r="B972" s="222"/>
      <c r="C972" s="222"/>
      <c r="D972" s="224"/>
      <c r="E972" s="223"/>
      <c r="F972" s="223"/>
      <c r="G972" s="223"/>
      <c r="H972" s="223"/>
      <c r="I972" s="247"/>
      <c r="J972" s="223"/>
      <c r="K972" s="240"/>
      <c r="L972" s="223"/>
      <c r="M972" s="223"/>
      <c r="N972" s="223"/>
      <c r="O972" s="223"/>
      <c r="P972" s="223"/>
      <c r="Q972" s="223"/>
      <c r="R972" s="223" t="s">
        <v>535</v>
      </c>
      <c r="S972" s="220">
        <f t="shared" si="16"/>
        <v>0</v>
      </c>
      <c r="T972" s="219" t="str">
        <f>IFERROR(VLOOKUP($B972,'SIZE CALCULATION'!$F$2:$G$100,2,0),"")</f>
        <v/>
      </c>
    </row>
    <row r="973" spans="1:20" x14ac:dyDescent="0.2">
      <c r="A973" s="236"/>
      <c r="B973" s="222"/>
      <c r="C973" s="222"/>
      <c r="D973" s="224"/>
      <c r="E973" s="223"/>
      <c r="F973" s="223"/>
      <c r="G973" s="223"/>
      <c r="H973" s="223"/>
      <c r="I973" s="247"/>
      <c r="J973" s="223"/>
      <c r="K973" s="240"/>
      <c r="L973" s="223"/>
      <c r="M973" s="223"/>
      <c r="N973" s="223"/>
      <c r="O973" s="223"/>
      <c r="P973" s="223"/>
      <c r="Q973" s="223"/>
      <c r="R973" s="223" t="s">
        <v>535</v>
      </c>
      <c r="S973" s="220">
        <f t="shared" si="16"/>
        <v>0</v>
      </c>
      <c r="T973" s="219" t="str">
        <f>IFERROR(VLOOKUP($B973,'SIZE CALCULATION'!$F$2:$G$100,2,0),"")</f>
        <v/>
      </c>
    </row>
    <row r="974" spans="1:20" x14ac:dyDescent="0.2">
      <c r="A974" s="236"/>
      <c r="B974" s="222"/>
      <c r="C974" s="222"/>
      <c r="D974" s="224"/>
      <c r="E974" s="223"/>
      <c r="F974" s="223"/>
      <c r="G974" s="223"/>
      <c r="H974" s="223"/>
      <c r="I974" s="247"/>
      <c r="J974" s="223"/>
      <c r="K974" s="240"/>
      <c r="L974" s="223"/>
      <c r="M974" s="223"/>
      <c r="N974" s="223"/>
      <c r="O974" s="223"/>
      <c r="P974" s="223"/>
      <c r="Q974" s="223"/>
      <c r="R974" s="223" t="s">
        <v>535</v>
      </c>
      <c r="S974" s="220">
        <f t="shared" si="16"/>
        <v>0</v>
      </c>
      <c r="T974" s="219" t="str">
        <f>IFERROR(VLOOKUP($B974,'SIZE CALCULATION'!$F$2:$G$100,2,0),"")</f>
        <v/>
      </c>
    </row>
    <row r="975" spans="1:20" x14ac:dyDescent="0.2">
      <c r="A975" s="236"/>
      <c r="B975" s="222"/>
      <c r="C975" s="222"/>
      <c r="D975" s="224"/>
      <c r="E975" s="223"/>
      <c r="F975" s="223"/>
      <c r="G975" s="223"/>
      <c r="H975" s="223"/>
      <c r="I975" s="247"/>
      <c r="J975" s="223"/>
      <c r="K975" s="240"/>
      <c r="L975" s="223"/>
      <c r="M975" s="223"/>
      <c r="N975" s="223"/>
      <c r="O975" s="223"/>
      <c r="P975" s="223"/>
      <c r="Q975" s="223"/>
      <c r="R975" s="223" t="s">
        <v>535</v>
      </c>
      <c r="S975" s="220">
        <f t="shared" si="16"/>
        <v>0</v>
      </c>
      <c r="T975" s="219" t="str">
        <f>IFERROR(VLOOKUP($B975,'SIZE CALCULATION'!$F$2:$G$100,2,0),"")</f>
        <v/>
      </c>
    </row>
    <row r="976" spans="1:20" x14ac:dyDescent="0.2">
      <c r="A976" s="236"/>
      <c r="B976" s="222"/>
      <c r="C976" s="222"/>
      <c r="D976" s="224"/>
      <c r="E976" s="223"/>
      <c r="F976" s="223"/>
      <c r="G976" s="223"/>
      <c r="H976" s="223"/>
      <c r="I976" s="247"/>
      <c r="J976" s="223"/>
      <c r="K976" s="240"/>
      <c r="L976" s="223"/>
      <c r="M976" s="223"/>
      <c r="N976" s="223"/>
      <c r="O976" s="223"/>
      <c r="P976" s="223"/>
      <c r="Q976" s="223"/>
      <c r="R976" s="223" t="s">
        <v>535</v>
      </c>
      <c r="S976" s="220">
        <f t="shared" si="16"/>
        <v>0</v>
      </c>
      <c r="T976" s="219" t="str">
        <f>IFERROR(VLOOKUP($B976,'SIZE CALCULATION'!$F$2:$G$100,2,0),"")</f>
        <v/>
      </c>
    </row>
    <row r="977" spans="1:20" x14ac:dyDescent="0.2">
      <c r="A977" s="236"/>
      <c r="B977" s="222"/>
      <c r="C977" s="222"/>
      <c r="D977" s="224"/>
      <c r="E977" s="223"/>
      <c r="F977" s="223"/>
      <c r="G977" s="223"/>
      <c r="H977" s="223"/>
      <c r="I977" s="247"/>
      <c r="J977" s="223"/>
      <c r="K977" s="240"/>
      <c r="L977" s="223"/>
      <c r="M977" s="223"/>
      <c r="N977" s="223"/>
      <c r="O977" s="223"/>
      <c r="P977" s="223"/>
      <c r="Q977" s="223"/>
      <c r="R977" s="223" t="s">
        <v>535</v>
      </c>
      <c r="S977" s="220">
        <f t="shared" si="16"/>
        <v>0</v>
      </c>
      <c r="T977" s="219" t="str">
        <f>IFERROR(VLOOKUP($B977,'SIZE CALCULATION'!$F$2:$G$100,2,0),"")</f>
        <v/>
      </c>
    </row>
    <row r="978" spans="1:20" x14ac:dyDescent="0.2">
      <c r="A978" s="236"/>
      <c r="B978" s="222"/>
      <c r="C978" s="222"/>
      <c r="D978" s="224"/>
      <c r="E978" s="223"/>
      <c r="F978" s="223"/>
      <c r="G978" s="223"/>
      <c r="H978" s="223"/>
      <c r="I978" s="247"/>
      <c r="J978" s="223"/>
      <c r="K978" s="240"/>
      <c r="L978" s="223"/>
      <c r="M978" s="223"/>
      <c r="N978" s="223"/>
      <c r="O978" s="223"/>
      <c r="P978" s="223"/>
      <c r="Q978" s="223"/>
      <c r="R978" s="223" t="s">
        <v>535</v>
      </c>
      <c r="S978" s="220">
        <f t="shared" si="16"/>
        <v>0</v>
      </c>
      <c r="T978" s="219" t="str">
        <f>IFERROR(VLOOKUP($B978,'SIZE CALCULATION'!$F$2:$G$100,2,0),"")</f>
        <v/>
      </c>
    </row>
    <row r="979" spans="1:20" x14ac:dyDescent="0.2">
      <c r="A979" s="236"/>
      <c r="B979" s="222"/>
      <c r="C979" s="222"/>
      <c r="D979" s="224"/>
      <c r="E979" s="223"/>
      <c r="F979" s="223"/>
      <c r="G979" s="223"/>
      <c r="H979" s="223"/>
      <c r="I979" s="247"/>
      <c r="J979" s="223"/>
      <c r="K979" s="240"/>
      <c r="L979" s="223"/>
      <c r="M979" s="223"/>
      <c r="N979" s="223"/>
      <c r="O979" s="223"/>
      <c r="P979" s="223"/>
      <c r="Q979" s="223"/>
      <c r="R979" s="223" t="s">
        <v>535</v>
      </c>
      <c r="S979" s="220">
        <f t="shared" si="16"/>
        <v>0</v>
      </c>
      <c r="T979" s="219" t="str">
        <f>IFERROR(VLOOKUP($B979,'SIZE CALCULATION'!$F$2:$G$100,2,0),"")</f>
        <v/>
      </c>
    </row>
    <row r="980" spans="1:20" x14ac:dyDescent="0.2">
      <c r="A980" s="236"/>
      <c r="B980" s="222"/>
      <c r="C980" s="222"/>
      <c r="D980" s="224"/>
      <c r="E980" s="223"/>
      <c r="F980" s="223"/>
      <c r="G980" s="223"/>
      <c r="H980" s="223"/>
      <c r="I980" s="247"/>
      <c r="J980" s="223"/>
      <c r="K980" s="240"/>
      <c r="L980" s="223"/>
      <c r="M980" s="223"/>
      <c r="N980" s="223"/>
      <c r="O980" s="223"/>
      <c r="P980" s="223"/>
      <c r="Q980" s="223"/>
      <c r="R980" s="223" t="s">
        <v>535</v>
      </c>
      <c r="S980" s="220">
        <f t="shared" si="16"/>
        <v>0</v>
      </c>
      <c r="T980" s="219" t="str">
        <f>IFERROR(VLOOKUP($B980,'SIZE CALCULATION'!$F$2:$G$100,2,0),"")</f>
        <v/>
      </c>
    </row>
    <row r="981" spans="1:20" x14ac:dyDescent="0.2">
      <c r="A981" s="236"/>
      <c r="B981" s="222"/>
      <c r="C981" s="222"/>
      <c r="D981" s="224"/>
      <c r="E981" s="223"/>
      <c r="F981" s="223"/>
      <c r="G981" s="223"/>
      <c r="H981" s="223"/>
      <c r="I981" s="247"/>
      <c r="J981" s="223"/>
      <c r="K981" s="240"/>
      <c r="L981" s="223"/>
      <c r="M981" s="223"/>
      <c r="N981" s="223"/>
      <c r="O981" s="223"/>
      <c r="P981" s="223"/>
      <c r="Q981" s="223"/>
      <c r="R981" s="223" t="s">
        <v>535</v>
      </c>
      <c r="S981" s="220">
        <f t="shared" si="16"/>
        <v>0</v>
      </c>
      <c r="T981" s="219" t="str">
        <f>IFERROR(VLOOKUP($B981,'SIZE CALCULATION'!$F$2:$G$100,2,0),"")</f>
        <v/>
      </c>
    </row>
    <row r="982" spans="1:20" x14ac:dyDescent="0.2">
      <c r="A982" s="236"/>
      <c r="B982" s="222"/>
      <c r="C982" s="222"/>
      <c r="D982" s="224"/>
      <c r="E982" s="223"/>
      <c r="F982" s="223"/>
      <c r="G982" s="223"/>
      <c r="H982" s="223"/>
      <c r="I982" s="247"/>
      <c r="J982" s="223"/>
      <c r="K982" s="240"/>
      <c r="L982" s="223"/>
      <c r="M982" s="223"/>
      <c r="N982" s="223"/>
      <c r="O982" s="223"/>
      <c r="P982" s="223"/>
      <c r="Q982" s="223"/>
      <c r="R982" s="223" t="s">
        <v>535</v>
      </c>
      <c r="S982" s="220">
        <f t="shared" si="16"/>
        <v>0</v>
      </c>
      <c r="T982" s="219" t="str">
        <f>IFERROR(VLOOKUP($B982,'SIZE CALCULATION'!$F$2:$G$100,2,0),"")</f>
        <v/>
      </c>
    </row>
    <row r="983" spans="1:20" x14ac:dyDescent="0.2">
      <c r="A983" s="236"/>
      <c r="B983" s="222"/>
      <c r="C983" s="222"/>
      <c r="D983" s="224"/>
      <c r="E983" s="223"/>
      <c r="F983" s="223"/>
      <c r="G983" s="223"/>
      <c r="H983" s="223"/>
      <c r="I983" s="247"/>
      <c r="J983" s="223"/>
      <c r="K983" s="240"/>
      <c r="L983" s="223"/>
      <c r="M983" s="223"/>
      <c r="N983" s="223"/>
      <c r="O983" s="223"/>
      <c r="P983" s="223"/>
      <c r="Q983" s="223"/>
      <c r="R983" s="223" t="s">
        <v>535</v>
      </c>
      <c r="S983" s="220">
        <f t="shared" si="16"/>
        <v>0</v>
      </c>
      <c r="T983" s="219" t="str">
        <f>IFERROR(VLOOKUP($B983,'SIZE CALCULATION'!$F$2:$G$100,2,0),"")</f>
        <v/>
      </c>
    </row>
    <row r="984" spans="1:20" x14ac:dyDescent="0.2">
      <c r="A984" s="236"/>
      <c r="B984" s="222"/>
      <c r="C984" s="222"/>
      <c r="D984" s="224"/>
      <c r="E984" s="223"/>
      <c r="F984" s="223"/>
      <c r="G984" s="223"/>
      <c r="H984" s="223"/>
      <c r="I984" s="247"/>
      <c r="J984" s="223"/>
      <c r="K984" s="240"/>
      <c r="L984" s="223"/>
      <c r="M984" s="223"/>
      <c r="N984" s="223"/>
      <c r="O984" s="223"/>
      <c r="P984" s="223"/>
      <c r="Q984" s="223"/>
      <c r="R984" s="223" t="s">
        <v>535</v>
      </c>
      <c r="S984" s="220">
        <f t="shared" si="16"/>
        <v>0</v>
      </c>
      <c r="T984" s="219" t="str">
        <f>IFERROR(VLOOKUP($B984,'SIZE CALCULATION'!$F$2:$G$100,2,0),"")</f>
        <v/>
      </c>
    </row>
    <row r="985" spans="1:20" x14ac:dyDescent="0.2">
      <c r="A985" s="236"/>
      <c r="B985" s="222"/>
      <c r="C985" s="222"/>
      <c r="D985" s="224"/>
      <c r="E985" s="223"/>
      <c r="F985" s="223"/>
      <c r="G985" s="223"/>
      <c r="H985" s="223"/>
      <c r="I985" s="247"/>
      <c r="J985" s="223"/>
      <c r="K985" s="240"/>
      <c r="L985" s="223"/>
      <c r="M985" s="223"/>
      <c r="N985" s="223"/>
      <c r="O985" s="223"/>
      <c r="P985" s="223"/>
      <c r="Q985" s="223"/>
      <c r="R985" s="223" t="s">
        <v>535</v>
      </c>
      <c r="S985" s="220">
        <f t="shared" si="16"/>
        <v>0</v>
      </c>
      <c r="T985" s="219" t="str">
        <f>IFERROR(VLOOKUP($B985,'SIZE CALCULATION'!$F$2:$G$100,2,0),"")</f>
        <v/>
      </c>
    </row>
    <row r="986" spans="1:20" x14ac:dyDescent="0.2">
      <c r="A986" s="236"/>
      <c r="B986" s="222"/>
      <c r="C986" s="222"/>
      <c r="D986" s="224"/>
      <c r="E986" s="223"/>
      <c r="F986" s="223"/>
      <c r="G986" s="223"/>
      <c r="H986" s="223"/>
      <c r="I986" s="247"/>
      <c r="J986" s="223"/>
      <c r="K986" s="240"/>
      <c r="L986" s="223"/>
      <c r="M986" s="223"/>
      <c r="N986" s="223"/>
      <c r="O986" s="223"/>
      <c r="P986" s="223"/>
      <c r="Q986" s="223"/>
      <c r="R986" s="223" t="s">
        <v>535</v>
      </c>
      <c r="S986" s="220">
        <f t="shared" si="16"/>
        <v>0</v>
      </c>
      <c r="T986" s="219" t="str">
        <f>IFERROR(VLOOKUP($B986,'SIZE CALCULATION'!$F$2:$G$100,2,0),"")</f>
        <v/>
      </c>
    </row>
    <row r="987" spans="1:20" x14ac:dyDescent="0.2">
      <c r="A987" s="236"/>
      <c r="B987" s="222"/>
      <c r="C987" s="222"/>
      <c r="D987" s="224"/>
      <c r="E987" s="223"/>
      <c r="F987" s="223"/>
      <c r="G987" s="223"/>
      <c r="H987" s="223"/>
      <c r="I987" s="247"/>
      <c r="J987" s="223"/>
      <c r="K987" s="240"/>
      <c r="L987" s="223"/>
      <c r="M987" s="223"/>
      <c r="N987" s="223"/>
      <c r="O987" s="223"/>
      <c r="P987" s="223"/>
      <c r="Q987" s="223"/>
      <c r="R987" s="223"/>
      <c r="S987" s="220">
        <f t="shared" si="16"/>
        <v>0</v>
      </c>
      <c r="T987" s="219" t="str">
        <f>IFERROR(VLOOKUP($B987,'SIZE CALCULATION'!$F$2:$G$100,2,0),"")</f>
        <v/>
      </c>
    </row>
    <row r="988" spans="1:20" x14ac:dyDescent="0.2">
      <c r="A988" s="236"/>
      <c r="B988" s="222"/>
      <c r="C988" s="222"/>
      <c r="D988" s="224"/>
      <c r="E988" s="223"/>
      <c r="F988" s="223"/>
      <c r="G988" s="223"/>
      <c r="H988" s="223"/>
      <c r="I988" s="247"/>
      <c r="J988" s="223"/>
      <c r="K988" s="240"/>
      <c r="L988" s="223"/>
      <c r="M988" s="223"/>
      <c r="N988" s="223"/>
      <c r="O988" s="223"/>
      <c r="P988" s="223"/>
      <c r="Q988" s="223"/>
      <c r="R988" s="223"/>
      <c r="S988" s="220">
        <f t="shared" si="16"/>
        <v>0</v>
      </c>
      <c r="T988" s="219" t="str">
        <f>IFERROR(VLOOKUP($B988,'SIZE CALCULATION'!$F$2:$G$100,2,0),"")</f>
        <v/>
      </c>
    </row>
    <row r="989" spans="1:20" x14ac:dyDescent="0.2">
      <c r="A989" s="236"/>
      <c r="B989" s="222"/>
      <c r="C989" s="222"/>
      <c r="D989" s="224"/>
      <c r="E989" s="223"/>
      <c r="F989" s="223"/>
      <c r="G989" s="223"/>
      <c r="H989" s="223"/>
      <c r="I989" s="247"/>
      <c r="J989" s="223"/>
      <c r="K989" s="240"/>
      <c r="L989" s="223"/>
      <c r="M989" s="223"/>
      <c r="N989" s="223"/>
      <c r="O989" s="223"/>
      <c r="P989" s="223"/>
      <c r="Q989" s="223"/>
      <c r="R989" s="223"/>
      <c r="S989" s="220">
        <f t="shared" si="16"/>
        <v>0</v>
      </c>
      <c r="T989" s="219" t="str">
        <f>IFERROR(VLOOKUP($B989,'SIZE CALCULATION'!$F$2:$G$100,2,0),"")</f>
        <v/>
      </c>
    </row>
    <row r="990" spans="1:20" x14ac:dyDescent="0.2">
      <c r="A990" s="236"/>
      <c r="B990" s="222"/>
      <c r="C990" s="222"/>
      <c r="D990" s="224"/>
      <c r="E990" s="223"/>
      <c r="F990" s="223"/>
      <c r="G990" s="223"/>
      <c r="H990" s="223"/>
      <c r="I990" s="247"/>
      <c r="J990" s="223"/>
      <c r="K990" s="240"/>
      <c r="L990" s="223"/>
      <c r="M990" s="223"/>
      <c r="N990" s="223"/>
      <c r="O990" s="223"/>
      <c r="P990" s="223"/>
      <c r="Q990" s="223"/>
      <c r="R990" s="223"/>
      <c r="S990" s="220">
        <f t="shared" si="16"/>
        <v>0</v>
      </c>
      <c r="T990" s="219" t="str">
        <f>IFERROR(VLOOKUP($B990,'SIZE CALCULATION'!$F$2:$G$100,2,0),"")</f>
        <v/>
      </c>
    </row>
    <row r="991" spans="1:20" x14ac:dyDescent="0.2">
      <c r="A991" s="236"/>
      <c r="B991" s="222"/>
      <c r="C991" s="222"/>
      <c r="D991" s="224"/>
      <c r="E991" s="223"/>
      <c r="F991" s="223"/>
      <c r="G991" s="223"/>
      <c r="H991" s="223"/>
      <c r="I991" s="247"/>
      <c r="J991" s="223"/>
      <c r="K991" s="240"/>
      <c r="L991" s="223"/>
      <c r="M991" s="223"/>
      <c r="N991" s="223"/>
      <c r="O991" s="223"/>
      <c r="P991" s="223"/>
      <c r="Q991" s="223"/>
      <c r="R991" s="223"/>
      <c r="S991" s="220">
        <f t="shared" si="16"/>
        <v>0</v>
      </c>
      <c r="T991" s="219" t="str">
        <f>IFERROR(VLOOKUP($B991,'SIZE CALCULATION'!$F$2:$G$100,2,0),"")</f>
        <v/>
      </c>
    </row>
    <row r="992" spans="1:20" x14ac:dyDescent="0.2">
      <c r="A992" s="236"/>
      <c r="B992" s="222"/>
      <c r="C992" s="222"/>
      <c r="D992" s="224"/>
      <c r="E992" s="223"/>
      <c r="F992" s="223"/>
      <c r="G992" s="223"/>
      <c r="H992" s="223"/>
      <c r="I992" s="247"/>
      <c r="J992" s="223"/>
      <c r="K992" s="240"/>
      <c r="L992" s="223"/>
      <c r="M992" s="223"/>
      <c r="N992" s="223"/>
      <c r="O992" s="223"/>
      <c r="P992" s="223"/>
      <c r="Q992" s="223"/>
      <c r="R992" s="223"/>
      <c r="S992" s="220">
        <f t="shared" si="16"/>
        <v>0</v>
      </c>
      <c r="T992" s="219" t="str">
        <f>IFERROR(VLOOKUP($B992,'SIZE CALCULATION'!$F$2:$G$100,2,0),"")</f>
        <v/>
      </c>
    </row>
    <row r="993" spans="1:20" x14ac:dyDescent="0.2">
      <c r="A993" s="236"/>
      <c r="B993" s="222"/>
      <c r="C993" s="222"/>
      <c r="D993" s="224"/>
      <c r="E993" s="223"/>
      <c r="F993" s="223"/>
      <c r="G993" s="223"/>
      <c r="H993" s="223"/>
      <c r="I993" s="247"/>
      <c r="J993" s="223"/>
      <c r="K993" s="240"/>
      <c r="L993" s="223"/>
      <c r="M993" s="223"/>
      <c r="N993" s="223"/>
      <c r="O993" s="223"/>
      <c r="P993" s="223"/>
      <c r="Q993" s="223"/>
      <c r="R993" s="223"/>
      <c r="S993" s="220">
        <f t="shared" si="16"/>
        <v>0</v>
      </c>
      <c r="T993" s="219" t="str">
        <f>IFERROR(VLOOKUP($B993,'SIZE CALCULATION'!$F$2:$G$100,2,0),"")</f>
        <v/>
      </c>
    </row>
    <row r="994" spans="1:20" x14ac:dyDescent="0.2">
      <c r="A994" s="237" t="s">
        <v>373</v>
      </c>
      <c r="S994" s="203"/>
      <c r="T994" s="202"/>
    </row>
  </sheetData>
  <autoFilter ref="A1:T994"/>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6:R143"/>
  <sheetViews>
    <sheetView showGridLines="0" workbookViewId="0">
      <selection activeCell="F30" sqref="F30"/>
    </sheetView>
  </sheetViews>
  <sheetFormatPr defaultColWidth="10.42578125" defaultRowHeight="11.25" x14ac:dyDescent="0.15"/>
  <cols>
    <col min="1" max="4" width="11.28515625" style="4" customWidth="1"/>
    <col min="5" max="11" width="12.28515625" style="4" customWidth="1"/>
    <col min="12" max="12" width="10.42578125" style="4"/>
    <col min="13" max="13" width="17.5703125" style="49" customWidth="1"/>
    <col min="14" max="16384" width="10.42578125" style="4"/>
  </cols>
  <sheetData>
    <row r="6" spans="1:14" ht="13.5" customHeight="1" x14ac:dyDescent="0.15">
      <c r="A6" s="385" t="s">
        <v>37</v>
      </c>
      <c r="B6" s="385"/>
      <c r="C6" s="385"/>
      <c r="D6" s="385"/>
    </row>
    <row r="7" spans="1:14" ht="13.5" customHeight="1" x14ac:dyDescent="0.2">
      <c r="A7" s="385"/>
      <c r="B7" s="385"/>
      <c r="C7" s="385"/>
      <c r="D7" s="385"/>
      <c r="M7" s="50" t="s">
        <v>281</v>
      </c>
      <c r="N7" s="46" t="s">
        <v>282</v>
      </c>
    </row>
    <row r="8" spans="1:14" ht="13.5" customHeight="1" x14ac:dyDescent="0.2">
      <c r="A8" s="5" t="s">
        <v>38</v>
      </c>
      <c r="M8" s="51" t="s">
        <v>359</v>
      </c>
      <c r="N8" s="47" t="s">
        <v>68</v>
      </c>
    </row>
    <row r="9" spans="1:14" ht="13.5" customHeight="1" x14ac:dyDescent="0.2">
      <c r="H9" s="386" t="s">
        <v>39</v>
      </c>
      <c r="I9" s="386"/>
      <c r="J9" s="387">
        <v>43435</v>
      </c>
      <c r="K9" s="387"/>
      <c r="M9" s="51" t="s">
        <v>360</v>
      </c>
      <c r="N9" s="47" t="s">
        <v>69</v>
      </c>
    </row>
    <row r="10" spans="1:14" ht="13.5" customHeight="1" x14ac:dyDescent="0.2">
      <c r="A10" s="388" t="s">
        <v>40</v>
      </c>
      <c r="B10" s="388"/>
      <c r="C10" s="388"/>
      <c r="D10" s="388"/>
      <c r="E10" s="389" t="s">
        <v>41</v>
      </c>
      <c r="F10" s="390"/>
      <c r="G10" s="389" t="s">
        <v>42</v>
      </c>
      <c r="H10" s="391"/>
      <c r="I10" s="389" t="s">
        <v>43</v>
      </c>
      <c r="J10" s="390"/>
      <c r="K10" s="391"/>
      <c r="M10" s="51" t="s">
        <v>361</v>
      </c>
      <c r="N10" s="47" t="s">
        <v>70</v>
      </c>
    </row>
    <row r="11" spans="1:14" ht="13.5" customHeight="1" x14ac:dyDescent="0.2">
      <c r="A11" s="392" t="s">
        <v>44</v>
      </c>
      <c r="B11" s="393"/>
      <c r="C11" s="393"/>
      <c r="D11" s="393"/>
      <c r="E11" s="394"/>
      <c r="F11" s="394"/>
      <c r="G11" s="394"/>
      <c r="H11" s="394"/>
      <c r="I11" s="6"/>
      <c r="J11" s="7"/>
      <c r="K11" s="8"/>
      <c r="M11" s="51" t="s">
        <v>362</v>
      </c>
      <c r="N11" s="48" t="s">
        <v>71</v>
      </c>
    </row>
    <row r="12" spans="1:14" ht="13.5" customHeight="1" x14ac:dyDescent="0.2">
      <c r="A12" s="395" t="s">
        <v>45</v>
      </c>
      <c r="B12" s="396"/>
      <c r="C12" s="396"/>
      <c r="D12" s="397"/>
      <c r="E12" s="398" t="s">
        <v>46</v>
      </c>
      <c r="F12" s="399"/>
      <c r="G12" s="400">
        <v>200</v>
      </c>
      <c r="H12" s="401"/>
      <c r="I12" s="9">
        <v>250</v>
      </c>
      <c r="J12" s="402" t="s">
        <v>47</v>
      </c>
      <c r="K12" s="403"/>
      <c r="M12" s="51" t="s">
        <v>363</v>
      </c>
      <c r="N12" s="47" t="s">
        <v>72</v>
      </c>
    </row>
    <row r="13" spans="1:14" ht="13.5" customHeight="1" x14ac:dyDescent="0.2">
      <c r="A13" s="404" t="s">
        <v>48</v>
      </c>
      <c r="B13" s="386"/>
      <c r="C13" s="386"/>
      <c r="D13" s="405"/>
      <c r="E13" s="406" t="s">
        <v>49</v>
      </c>
      <c r="F13" s="407"/>
      <c r="G13" s="408">
        <v>2</v>
      </c>
      <c r="H13" s="409"/>
      <c r="I13" s="10"/>
      <c r="J13" s="11"/>
      <c r="K13" s="12"/>
      <c r="M13" s="51" t="s">
        <v>364</v>
      </c>
      <c r="N13" s="47" t="s">
        <v>73</v>
      </c>
    </row>
    <row r="14" spans="1:14" ht="13.5" customHeight="1" x14ac:dyDescent="0.2">
      <c r="A14" s="410" t="s">
        <v>50</v>
      </c>
      <c r="B14" s="410"/>
      <c r="C14" s="410"/>
      <c r="D14" s="410"/>
      <c r="E14" s="410"/>
      <c r="F14" s="410"/>
      <c r="G14" s="410"/>
      <c r="H14" s="410"/>
      <c r="I14" s="410"/>
      <c r="J14" s="410"/>
      <c r="K14" s="410"/>
      <c r="M14" s="51" t="s">
        <v>365</v>
      </c>
      <c r="N14" s="47" t="s">
        <v>283</v>
      </c>
    </row>
    <row r="15" spans="1:14" ht="13.5" customHeight="1" x14ac:dyDescent="0.15">
      <c r="A15" s="411" t="s">
        <v>51</v>
      </c>
      <c r="B15" s="411"/>
      <c r="C15" s="411"/>
      <c r="D15" s="411"/>
      <c r="E15" s="412" t="s">
        <v>52</v>
      </c>
      <c r="F15" s="412"/>
      <c r="G15" s="413">
        <v>5</v>
      </c>
      <c r="H15" s="413"/>
      <c r="I15" s="13"/>
      <c r="J15" s="414"/>
      <c r="K15" s="399"/>
    </row>
    <row r="16" spans="1:14" ht="13.5" customHeight="1" x14ac:dyDescent="0.15">
      <c r="A16" s="415" t="s">
        <v>53</v>
      </c>
      <c r="B16" s="415"/>
      <c r="C16" s="415"/>
      <c r="D16" s="415" t="s">
        <v>53</v>
      </c>
      <c r="E16" s="416" t="s">
        <v>54</v>
      </c>
      <c r="F16" s="416"/>
      <c r="G16" s="417">
        <v>10</v>
      </c>
      <c r="H16" s="417"/>
      <c r="I16" s="14"/>
      <c r="J16" s="418"/>
      <c r="K16" s="407"/>
    </row>
    <row r="17" spans="1:18" ht="13.5" customHeight="1" x14ac:dyDescent="0.15">
      <c r="A17" s="410" t="s">
        <v>55</v>
      </c>
      <c r="B17" s="410"/>
      <c r="C17" s="410"/>
      <c r="D17" s="410"/>
      <c r="E17" s="410"/>
      <c r="F17" s="410"/>
      <c r="G17" s="410"/>
      <c r="H17" s="410"/>
      <c r="I17" s="410"/>
      <c r="J17" s="410"/>
      <c r="K17" s="410"/>
    </row>
    <row r="18" spans="1:18" ht="13.5" customHeight="1" x14ac:dyDescent="0.15">
      <c r="A18" s="419" t="s">
        <v>56</v>
      </c>
      <c r="B18" s="420"/>
      <c r="C18" s="420"/>
      <c r="D18" s="421"/>
      <c r="E18" s="422" t="s">
        <v>57</v>
      </c>
      <c r="F18" s="423"/>
      <c r="G18" s="424">
        <v>5</v>
      </c>
      <c r="H18" s="425"/>
      <c r="I18" s="15"/>
      <c r="J18" s="15"/>
      <c r="K18" s="16"/>
    </row>
    <row r="19" spans="1:18" ht="13.5" customHeight="1" x14ac:dyDescent="0.15">
      <c r="A19" s="426" t="s">
        <v>58</v>
      </c>
      <c r="B19" s="427"/>
      <c r="C19" s="427"/>
      <c r="D19" s="428"/>
      <c r="E19" s="429" t="s">
        <v>59</v>
      </c>
      <c r="F19" s="430"/>
      <c r="G19" s="431">
        <v>5</v>
      </c>
      <c r="H19" s="432"/>
      <c r="I19" s="17"/>
      <c r="J19" s="17"/>
      <c r="K19" s="18"/>
    </row>
    <row r="20" spans="1:18" ht="13.5" customHeight="1" x14ac:dyDescent="0.15">
      <c r="A20" s="426" t="s">
        <v>60</v>
      </c>
      <c r="B20" s="427"/>
      <c r="C20" s="427"/>
      <c r="D20" s="428"/>
      <c r="E20" s="429" t="s">
        <v>61</v>
      </c>
      <c r="F20" s="430"/>
      <c r="G20" s="431">
        <v>20</v>
      </c>
      <c r="H20" s="432"/>
      <c r="I20" s="19"/>
      <c r="J20" s="19"/>
      <c r="K20" s="20"/>
    </row>
    <row r="21" spans="1:18" ht="13.5" customHeight="1" x14ac:dyDescent="0.15">
      <c r="A21" s="433"/>
      <c r="B21" s="434"/>
      <c r="C21" s="434"/>
      <c r="D21" s="435"/>
      <c r="E21" s="433"/>
      <c r="F21" s="435"/>
      <c r="G21" s="436"/>
      <c r="H21" s="437"/>
      <c r="I21" s="21"/>
      <c r="J21" s="22"/>
      <c r="K21" s="23"/>
    </row>
    <row r="22" spans="1:18" ht="13.5" customHeight="1" x14ac:dyDescent="0.15">
      <c r="A22" s="438" t="s">
        <v>62</v>
      </c>
      <c r="B22" s="438"/>
      <c r="C22" s="438"/>
      <c r="D22" s="438"/>
      <c r="E22" s="439" t="s">
        <v>63</v>
      </c>
      <c r="F22" s="439"/>
      <c r="G22" s="439"/>
      <c r="H22" s="439"/>
      <c r="I22" s="439"/>
      <c r="J22" s="439"/>
      <c r="K22" s="439"/>
    </row>
    <row r="23" spans="1:18" ht="13.5" customHeight="1" x14ac:dyDescent="0.15">
      <c r="A23" s="440" t="s">
        <v>64</v>
      </c>
      <c r="B23" s="441"/>
      <c r="C23" s="441"/>
      <c r="D23" s="442"/>
      <c r="E23" s="443">
        <v>2500</v>
      </c>
      <c r="F23" s="443"/>
      <c r="G23" s="443"/>
      <c r="H23" s="443"/>
      <c r="I23" s="443"/>
      <c r="J23" s="443"/>
      <c r="K23" s="443"/>
    </row>
    <row r="24" spans="1:18" ht="13.5" customHeight="1" x14ac:dyDescent="0.15">
      <c r="A24" s="439" t="s">
        <v>65</v>
      </c>
      <c r="B24" s="439"/>
      <c r="C24" s="439"/>
      <c r="D24" s="439"/>
      <c r="E24" s="389" t="s">
        <v>66</v>
      </c>
      <c r="F24" s="390"/>
      <c r="G24" s="390"/>
      <c r="H24" s="390"/>
      <c r="I24" s="390"/>
      <c r="J24" s="390"/>
      <c r="K24" s="391"/>
    </row>
    <row r="25" spans="1:18" ht="13.5" customHeight="1" x14ac:dyDescent="0.15">
      <c r="A25" s="444" t="s">
        <v>67</v>
      </c>
      <c r="B25" s="444"/>
      <c r="C25" s="444"/>
      <c r="D25" s="444"/>
      <c r="E25" s="24" t="s">
        <v>68</v>
      </c>
      <c r="F25" s="24" t="s">
        <v>69</v>
      </c>
      <c r="G25" s="24" t="s">
        <v>70</v>
      </c>
      <c r="H25" s="24" t="s">
        <v>71</v>
      </c>
      <c r="I25" s="24" t="s">
        <v>72</v>
      </c>
      <c r="J25" s="24" t="s">
        <v>73</v>
      </c>
      <c r="K25" s="25" t="s">
        <v>74</v>
      </c>
    </row>
    <row r="26" spans="1:18" ht="13.5" customHeight="1" x14ac:dyDescent="0.15">
      <c r="A26" s="444" t="s">
        <v>75</v>
      </c>
      <c r="B26" s="444"/>
      <c r="C26" s="444"/>
      <c r="D26" s="444"/>
      <c r="E26" s="24">
        <v>20</v>
      </c>
      <c r="F26" s="24">
        <v>30</v>
      </c>
      <c r="G26" s="24">
        <v>30</v>
      </c>
      <c r="H26" s="24">
        <v>35</v>
      </c>
      <c r="I26" s="24">
        <v>40</v>
      </c>
      <c r="J26" s="24">
        <v>45</v>
      </c>
      <c r="K26" s="26" t="s">
        <v>76</v>
      </c>
    </row>
    <row r="27" spans="1:18" ht="13.5" customHeight="1" x14ac:dyDescent="0.15">
      <c r="A27" s="444" t="s">
        <v>385</v>
      </c>
      <c r="B27" s="444"/>
      <c r="C27" s="444"/>
      <c r="D27" s="444"/>
      <c r="E27" s="24" t="s">
        <v>77</v>
      </c>
      <c r="F27" s="24" t="s">
        <v>78</v>
      </c>
      <c r="G27" s="24" t="s">
        <v>79</v>
      </c>
      <c r="H27" s="24" t="s">
        <v>80</v>
      </c>
      <c r="I27" s="24" t="s">
        <v>81</v>
      </c>
      <c r="J27" s="24" t="s">
        <v>82</v>
      </c>
      <c r="K27" s="27"/>
    </row>
    <row r="28" spans="1:18" ht="13.5" customHeight="1" x14ac:dyDescent="0.15">
      <c r="A28" s="444" t="s">
        <v>83</v>
      </c>
      <c r="B28" s="444"/>
      <c r="C28" s="444"/>
      <c r="D28" s="444"/>
      <c r="E28" s="24" t="s">
        <v>84</v>
      </c>
      <c r="F28" s="24" t="s">
        <v>85</v>
      </c>
      <c r="G28" s="24" t="s">
        <v>86</v>
      </c>
      <c r="H28" s="24" t="s">
        <v>87</v>
      </c>
      <c r="I28" s="24" t="s">
        <v>88</v>
      </c>
      <c r="J28" s="24" t="s">
        <v>89</v>
      </c>
      <c r="K28" s="24" t="s">
        <v>90</v>
      </c>
    </row>
    <row r="29" spans="1:18" ht="13.5" customHeight="1" x14ac:dyDescent="0.15">
      <c r="A29" s="445" t="s">
        <v>41</v>
      </c>
      <c r="B29" s="445"/>
      <c r="C29" s="445"/>
      <c r="D29" s="445"/>
      <c r="E29" s="28" t="s">
        <v>91</v>
      </c>
      <c r="F29" s="28" t="s">
        <v>91</v>
      </c>
      <c r="G29" s="28" t="s">
        <v>91</v>
      </c>
      <c r="H29" s="28" t="s">
        <v>91</v>
      </c>
      <c r="I29" s="28" t="s">
        <v>91</v>
      </c>
      <c r="J29" s="28" t="s">
        <v>91</v>
      </c>
      <c r="K29" s="28" t="s">
        <v>92</v>
      </c>
    </row>
    <row r="30" spans="1:18" ht="13.5" customHeight="1" x14ac:dyDescent="0.15">
      <c r="A30" s="446" t="s">
        <v>21</v>
      </c>
      <c r="B30" s="447"/>
      <c r="C30" s="448" t="s">
        <v>93</v>
      </c>
      <c r="D30" s="449"/>
      <c r="E30" s="29">
        <v>37</v>
      </c>
      <c r="F30" s="29">
        <v>46</v>
      </c>
      <c r="G30" s="29">
        <v>86</v>
      </c>
      <c r="H30" s="29">
        <v>129</v>
      </c>
      <c r="I30" s="29">
        <v>172</v>
      </c>
      <c r="J30" s="29">
        <v>215</v>
      </c>
      <c r="K30" s="29">
        <v>4.7300000000000004</v>
      </c>
      <c r="M30" s="52"/>
      <c r="N30" s="30"/>
      <c r="O30" s="30"/>
      <c r="P30" s="30"/>
      <c r="Q30" s="30"/>
      <c r="R30" s="30"/>
    </row>
    <row r="31" spans="1:18" ht="13.5" customHeight="1" x14ac:dyDescent="0.15">
      <c r="A31" s="446" t="s">
        <v>94</v>
      </c>
      <c r="B31" s="447"/>
      <c r="C31" s="448" t="s">
        <v>95</v>
      </c>
      <c r="D31" s="449"/>
      <c r="E31" s="29">
        <v>36</v>
      </c>
      <c r="F31" s="29">
        <v>44</v>
      </c>
      <c r="G31" s="29">
        <v>84</v>
      </c>
      <c r="H31" s="29">
        <v>126</v>
      </c>
      <c r="I31" s="29">
        <v>168</v>
      </c>
      <c r="J31" s="29">
        <v>210</v>
      </c>
      <c r="K31" s="29">
        <v>4.62</v>
      </c>
      <c r="M31" s="52"/>
      <c r="N31" s="30"/>
      <c r="O31" s="30"/>
      <c r="P31" s="30"/>
      <c r="Q31" s="30"/>
      <c r="R31" s="30"/>
    </row>
    <row r="32" spans="1:18" ht="13.5" customHeight="1" x14ac:dyDescent="0.15">
      <c r="A32" s="446" t="s">
        <v>96</v>
      </c>
      <c r="B32" s="447"/>
      <c r="C32" s="448" t="s">
        <v>97</v>
      </c>
      <c r="D32" s="449"/>
      <c r="E32" s="29">
        <v>34</v>
      </c>
      <c r="F32" s="29">
        <v>42</v>
      </c>
      <c r="G32" s="29">
        <v>80</v>
      </c>
      <c r="H32" s="29">
        <v>120</v>
      </c>
      <c r="I32" s="29">
        <v>160</v>
      </c>
      <c r="J32" s="29">
        <v>200</v>
      </c>
      <c r="K32" s="29">
        <v>4.41</v>
      </c>
      <c r="M32" s="52"/>
      <c r="N32" s="30"/>
      <c r="O32" s="30"/>
      <c r="P32" s="30"/>
      <c r="Q32" s="30"/>
      <c r="R32" s="30"/>
    </row>
    <row r="33" spans="1:18" ht="13.5" customHeight="1" x14ac:dyDescent="0.15">
      <c r="A33" s="446" t="s">
        <v>98</v>
      </c>
      <c r="B33" s="447"/>
      <c r="C33" s="448" t="s">
        <v>99</v>
      </c>
      <c r="D33" s="449"/>
      <c r="E33" s="29">
        <v>37</v>
      </c>
      <c r="F33" s="29">
        <v>46</v>
      </c>
      <c r="G33" s="29">
        <v>86</v>
      </c>
      <c r="H33" s="29">
        <v>129</v>
      </c>
      <c r="I33" s="29">
        <v>172</v>
      </c>
      <c r="J33" s="29">
        <v>215</v>
      </c>
      <c r="K33" s="29">
        <v>4.7300000000000004</v>
      </c>
      <c r="M33" s="52"/>
      <c r="N33" s="30"/>
      <c r="O33" s="30"/>
      <c r="P33" s="30"/>
      <c r="Q33" s="30"/>
      <c r="R33" s="30"/>
    </row>
    <row r="34" spans="1:18" ht="13.5" customHeight="1" x14ac:dyDescent="0.15">
      <c r="A34" s="446" t="s">
        <v>100</v>
      </c>
      <c r="B34" s="447"/>
      <c r="C34" s="448" t="s">
        <v>101</v>
      </c>
      <c r="D34" s="449"/>
      <c r="E34" s="29">
        <v>37</v>
      </c>
      <c r="F34" s="29">
        <v>46</v>
      </c>
      <c r="G34" s="29">
        <v>86</v>
      </c>
      <c r="H34" s="29">
        <v>129</v>
      </c>
      <c r="I34" s="29">
        <v>172</v>
      </c>
      <c r="J34" s="29">
        <v>215</v>
      </c>
      <c r="K34" s="29">
        <v>4.7300000000000004</v>
      </c>
      <c r="M34" s="52"/>
      <c r="N34" s="30"/>
      <c r="O34" s="30"/>
      <c r="P34" s="30"/>
      <c r="Q34" s="30"/>
      <c r="R34" s="30"/>
    </row>
    <row r="35" spans="1:18" ht="13.5" customHeight="1" x14ac:dyDescent="0.15">
      <c r="A35" s="446" t="s">
        <v>102</v>
      </c>
      <c r="B35" s="447"/>
      <c r="C35" s="448" t="s">
        <v>103</v>
      </c>
      <c r="D35" s="449" t="s">
        <v>103</v>
      </c>
      <c r="E35" s="29">
        <v>38</v>
      </c>
      <c r="F35" s="29">
        <v>48</v>
      </c>
      <c r="G35" s="29">
        <v>90</v>
      </c>
      <c r="H35" s="29">
        <v>135</v>
      </c>
      <c r="I35" s="29">
        <v>180</v>
      </c>
      <c r="J35" s="29">
        <v>225</v>
      </c>
      <c r="K35" s="29">
        <v>4.9400000000000004</v>
      </c>
      <c r="M35" s="52"/>
      <c r="N35" s="30"/>
      <c r="O35" s="30"/>
      <c r="P35" s="30"/>
      <c r="Q35" s="30"/>
      <c r="R35" s="30"/>
    </row>
    <row r="36" spans="1:18" ht="13.5" customHeight="1" x14ac:dyDescent="0.15">
      <c r="A36" s="446" t="s">
        <v>104</v>
      </c>
      <c r="B36" s="447"/>
      <c r="C36" s="448" t="s">
        <v>105</v>
      </c>
      <c r="D36" s="449" t="s">
        <v>103</v>
      </c>
      <c r="E36" s="29">
        <v>40</v>
      </c>
      <c r="F36" s="29">
        <v>50</v>
      </c>
      <c r="G36" s="29">
        <v>94</v>
      </c>
      <c r="H36" s="29">
        <v>141</v>
      </c>
      <c r="I36" s="29">
        <v>187</v>
      </c>
      <c r="J36" s="29">
        <v>234</v>
      </c>
      <c r="K36" s="29">
        <v>5.15</v>
      </c>
      <c r="M36" s="52"/>
      <c r="N36" s="30"/>
      <c r="O36" s="30"/>
      <c r="P36" s="30"/>
      <c r="Q36" s="30"/>
      <c r="R36" s="30"/>
    </row>
    <row r="37" spans="1:18" ht="13.5" customHeight="1" x14ac:dyDescent="0.15">
      <c r="A37" s="446" t="s">
        <v>106</v>
      </c>
      <c r="B37" s="447"/>
      <c r="C37" s="448" t="s">
        <v>107</v>
      </c>
      <c r="D37" s="449" t="s">
        <v>103</v>
      </c>
      <c r="E37" s="29">
        <v>35</v>
      </c>
      <c r="F37" s="29">
        <v>44</v>
      </c>
      <c r="G37" s="29">
        <v>82</v>
      </c>
      <c r="H37" s="29">
        <v>123</v>
      </c>
      <c r="I37" s="29">
        <v>164</v>
      </c>
      <c r="J37" s="29">
        <v>205</v>
      </c>
      <c r="K37" s="29">
        <v>4.5199999999999996</v>
      </c>
      <c r="M37" s="52"/>
      <c r="N37" s="30"/>
      <c r="O37" s="30"/>
      <c r="P37" s="30"/>
      <c r="Q37" s="30"/>
      <c r="R37" s="30"/>
    </row>
    <row r="38" spans="1:18" ht="13.5" customHeight="1" x14ac:dyDescent="0.15">
      <c r="A38" s="446" t="s">
        <v>108</v>
      </c>
      <c r="B38" s="447"/>
      <c r="C38" s="448" t="s">
        <v>109</v>
      </c>
      <c r="D38" s="449" t="s">
        <v>103</v>
      </c>
      <c r="E38" s="29">
        <v>40</v>
      </c>
      <c r="F38" s="29">
        <v>50</v>
      </c>
      <c r="G38" s="29">
        <v>94</v>
      </c>
      <c r="H38" s="29">
        <v>141</v>
      </c>
      <c r="I38" s="29">
        <v>187</v>
      </c>
      <c r="J38" s="29">
        <v>234</v>
      </c>
      <c r="K38" s="29">
        <v>5.15</v>
      </c>
      <c r="M38" s="52"/>
      <c r="N38" s="30"/>
      <c r="O38" s="30"/>
      <c r="P38" s="30"/>
      <c r="Q38" s="30"/>
      <c r="R38" s="30"/>
    </row>
    <row r="39" spans="1:18" ht="13.5" customHeight="1" x14ac:dyDescent="0.15">
      <c r="A39" s="446" t="s">
        <v>110</v>
      </c>
      <c r="B39" s="447"/>
      <c r="C39" s="448" t="s">
        <v>111</v>
      </c>
      <c r="D39" s="449" t="s">
        <v>103</v>
      </c>
      <c r="E39" s="29">
        <v>37</v>
      </c>
      <c r="F39" s="29">
        <v>46</v>
      </c>
      <c r="G39" s="29">
        <v>86</v>
      </c>
      <c r="H39" s="29">
        <v>129</v>
      </c>
      <c r="I39" s="29">
        <v>172</v>
      </c>
      <c r="J39" s="29">
        <v>215</v>
      </c>
      <c r="K39" s="29">
        <v>4.7300000000000004</v>
      </c>
      <c r="M39" s="52"/>
      <c r="N39" s="30"/>
      <c r="O39" s="30"/>
      <c r="P39" s="30"/>
      <c r="Q39" s="30"/>
      <c r="R39" s="30"/>
    </row>
    <row r="40" spans="1:18" ht="13.5" customHeight="1" x14ac:dyDescent="0.15">
      <c r="A40" s="446" t="s">
        <v>112</v>
      </c>
      <c r="B40" s="447"/>
      <c r="C40" s="448" t="s">
        <v>113</v>
      </c>
      <c r="D40" s="449" t="s">
        <v>103</v>
      </c>
      <c r="E40" s="29">
        <v>38</v>
      </c>
      <c r="F40" s="29">
        <v>48</v>
      </c>
      <c r="G40" s="29">
        <v>90</v>
      </c>
      <c r="H40" s="29">
        <v>135</v>
      </c>
      <c r="I40" s="29">
        <v>180</v>
      </c>
      <c r="J40" s="29">
        <v>225</v>
      </c>
      <c r="K40" s="29">
        <v>4.9400000000000004</v>
      </c>
      <c r="M40" s="52"/>
      <c r="N40" s="30"/>
      <c r="O40" s="30"/>
      <c r="P40" s="30"/>
      <c r="Q40" s="30"/>
      <c r="R40" s="30"/>
    </row>
    <row r="41" spans="1:18" ht="13.5" customHeight="1" x14ac:dyDescent="0.15">
      <c r="A41" s="446" t="s">
        <v>114</v>
      </c>
      <c r="B41" s="447"/>
      <c r="C41" s="448" t="s">
        <v>115</v>
      </c>
      <c r="D41" s="449" t="s">
        <v>103</v>
      </c>
      <c r="E41" s="29">
        <v>37</v>
      </c>
      <c r="F41" s="29">
        <v>46</v>
      </c>
      <c r="G41" s="29">
        <v>86</v>
      </c>
      <c r="H41" s="29">
        <v>129</v>
      </c>
      <c r="I41" s="29">
        <v>172</v>
      </c>
      <c r="J41" s="29">
        <v>215</v>
      </c>
      <c r="K41" s="29">
        <v>4.7300000000000004</v>
      </c>
      <c r="M41" s="52"/>
      <c r="N41" s="30"/>
      <c r="O41" s="30"/>
      <c r="P41" s="30"/>
      <c r="Q41" s="30"/>
      <c r="R41" s="30"/>
    </row>
    <row r="42" spans="1:18" ht="13.5" customHeight="1" x14ac:dyDescent="0.15">
      <c r="A42" s="446" t="s">
        <v>116</v>
      </c>
      <c r="B42" s="447"/>
      <c r="C42" s="448" t="s">
        <v>117</v>
      </c>
      <c r="D42" s="449" t="s">
        <v>103</v>
      </c>
      <c r="E42" s="29">
        <v>41</v>
      </c>
      <c r="F42" s="29">
        <v>52</v>
      </c>
      <c r="G42" s="29">
        <v>98</v>
      </c>
      <c r="H42" s="29">
        <v>146</v>
      </c>
      <c r="I42" s="29">
        <v>195</v>
      </c>
      <c r="J42" s="29">
        <v>244</v>
      </c>
      <c r="K42" s="29">
        <v>5.36</v>
      </c>
      <c r="M42" s="52"/>
      <c r="N42" s="30"/>
      <c r="O42" s="30"/>
      <c r="P42" s="30"/>
      <c r="Q42" s="30"/>
      <c r="R42" s="30"/>
    </row>
    <row r="43" spans="1:18" ht="13.5" customHeight="1" x14ac:dyDescent="0.15">
      <c r="A43" s="446" t="s">
        <v>118</v>
      </c>
      <c r="B43" s="447"/>
      <c r="C43" s="448" t="s">
        <v>119</v>
      </c>
      <c r="D43" s="449" t="s">
        <v>103</v>
      </c>
      <c r="E43" s="29">
        <v>44</v>
      </c>
      <c r="F43" s="29">
        <v>54</v>
      </c>
      <c r="G43" s="29">
        <v>103</v>
      </c>
      <c r="H43" s="29">
        <v>155</v>
      </c>
      <c r="I43" s="29">
        <v>206</v>
      </c>
      <c r="J43" s="29">
        <v>258</v>
      </c>
      <c r="K43" s="29">
        <v>5.67</v>
      </c>
      <c r="M43" s="52"/>
      <c r="N43" s="30"/>
      <c r="O43" s="30"/>
      <c r="P43" s="30"/>
      <c r="Q43" s="30"/>
      <c r="R43" s="30"/>
    </row>
    <row r="44" spans="1:18" ht="13.5" customHeight="1" x14ac:dyDescent="0.15">
      <c r="A44" s="446" t="s">
        <v>120</v>
      </c>
      <c r="B44" s="447"/>
      <c r="C44" s="448" t="s">
        <v>121</v>
      </c>
      <c r="D44" s="449" t="s">
        <v>103</v>
      </c>
      <c r="E44" s="29">
        <v>40</v>
      </c>
      <c r="F44" s="29">
        <v>50</v>
      </c>
      <c r="G44" s="29">
        <v>96</v>
      </c>
      <c r="H44" s="29">
        <v>143</v>
      </c>
      <c r="I44" s="29">
        <v>191</v>
      </c>
      <c r="J44" s="29">
        <v>239</v>
      </c>
      <c r="K44" s="29">
        <v>5.25</v>
      </c>
      <c r="M44" s="52"/>
      <c r="N44" s="30"/>
      <c r="O44" s="30"/>
      <c r="P44" s="30"/>
      <c r="Q44" s="30"/>
      <c r="R44" s="30"/>
    </row>
    <row r="45" spans="1:18" ht="13.5" customHeight="1" x14ac:dyDescent="0.15">
      <c r="A45" s="446" t="s">
        <v>122</v>
      </c>
      <c r="B45" s="447"/>
      <c r="C45" s="448" t="s">
        <v>123</v>
      </c>
      <c r="D45" s="449" t="s">
        <v>103</v>
      </c>
      <c r="E45" s="29">
        <v>40</v>
      </c>
      <c r="F45" s="29">
        <v>50</v>
      </c>
      <c r="G45" s="29">
        <v>96</v>
      </c>
      <c r="H45" s="29">
        <v>143</v>
      </c>
      <c r="I45" s="29">
        <v>191</v>
      </c>
      <c r="J45" s="29">
        <v>239</v>
      </c>
      <c r="K45" s="29">
        <v>5.25</v>
      </c>
      <c r="M45" s="52"/>
      <c r="N45" s="30"/>
      <c r="O45" s="30"/>
      <c r="P45" s="30"/>
      <c r="Q45" s="30"/>
      <c r="R45" s="30"/>
    </row>
    <row r="46" spans="1:18" ht="13.5" customHeight="1" x14ac:dyDescent="0.15">
      <c r="A46" s="446" t="s">
        <v>124</v>
      </c>
      <c r="B46" s="447"/>
      <c r="C46" s="448" t="s">
        <v>125</v>
      </c>
      <c r="D46" s="449" t="s">
        <v>103</v>
      </c>
      <c r="E46" s="29">
        <v>40</v>
      </c>
      <c r="F46" s="29">
        <v>50</v>
      </c>
      <c r="G46" s="29">
        <v>94</v>
      </c>
      <c r="H46" s="29">
        <v>141</v>
      </c>
      <c r="I46" s="29">
        <v>187</v>
      </c>
      <c r="J46" s="29">
        <v>234</v>
      </c>
      <c r="K46" s="29">
        <v>5.15</v>
      </c>
      <c r="M46" s="52"/>
      <c r="N46" s="30"/>
      <c r="O46" s="30"/>
      <c r="P46" s="30"/>
      <c r="Q46" s="30"/>
      <c r="R46" s="30"/>
    </row>
    <row r="47" spans="1:18" ht="13.5" customHeight="1" x14ac:dyDescent="0.15">
      <c r="A47" s="446" t="s">
        <v>126</v>
      </c>
      <c r="B47" s="447"/>
      <c r="C47" s="448" t="s">
        <v>127</v>
      </c>
      <c r="D47" s="449" t="s">
        <v>103</v>
      </c>
      <c r="E47" s="29">
        <v>40</v>
      </c>
      <c r="F47" s="29">
        <v>50</v>
      </c>
      <c r="G47" s="29">
        <v>94</v>
      </c>
      <c r="H47" s="29">
        <v>141</v>
      </c>
      <c r="I47" s="29">
        <v>187</v>
      </c>
      <c r="J47" s="29">
        <v>234</v>
      </c>
      <c r="K47" s="29">
        <v>5.15</v>
      </c>
      <c r="M47" s="52"/>
      <c r="N47" s="30"/>
      <c r="O47" s="30"/>
      <c r="P47" s="30"/>
      <c r="Q47" s="30"/>
      <c r="R47" s="30"/>
    </row>
    <row r="48" spans="1:18" ht="13.5" customHeight="1" x14ac:dyDescent="0.15">
      <c r="A48" s="446" t="s">
        <v>128</v>
      </c>
      <c r="B48" s="447"/>
      <c r="C48" s="448" t="s">
        <v>129</v>
      </c>
      <c r="D48" s="449" t="s">
        <v>103</v>
      </c>
      <c r="E48" s="29">
        <v>43</v>
      </c>
      <c r="F48" s="29">
        <v>54</v>
      </c>
      <c r="G48" s="29">
        <v>102</v>
      </c>
      <c r="H48" s="29">
        <v>152</v>
      </c>
      <c r="I48" s="29">
        <v>203</v>
      </c>
      <c r="J48" s="29">
        <v>253</v>
      </c>
      <c r="K48" s="29">
        <v>5.57</v>
      </c>
      <c r="M48" s="52"/>
      <c r="N48" s="30"/>
      <c r="O48" s="30"/>
      <c r="P48" s="30"/>
      <c r="Q48" s="30"/>
      <c r="R48" s="30"/>
    </row>
    <row r="49" spans="1:18" ht="13.5" customHeight="1" x14ac:dyDescent="0.15">
      <c r="A49" s="446" t="s">
        <v>130</v>
      </c>
      <c r="B49" s="447"/>
      <c r="C49" s="448" t="s">
        <v>131</v>
      </c>
      <c r="D49" s="449" t="s">
        <v>103</v>
      </c>
      <c r="E49" s="29">
        <v>39</v>
      </c>
      <c r="F49" s="29">
        <v>48</v>
      </c>
      <c r="G49" s="29">
        <v>92</v>
      </c>
      <c r="H49" s="29">
        <v>138</v>
      </c>
      <c r="I49" s="29">
        <v>183</v>
      </c>
      <c r="J49" s="29">
        <v>229</v>
      </c>
      <c r="K49" s="29">
        <v>5.04</v>
      </c>
      <c r="M49" s="52"/>
      <c r="N49" s="30"/>
      <c r="O49" s="30"/>
      <c r="P49" s="30"/>
      <c r="Q49" s="30"/>
      <c r="R49" s="30"/>
    </row>
    <row r="50" spans="1:18" ht="13.5" customHeight="1" x14ac:dyDescent="0.15">
      <c r="A50" s="446" t="s">
        <v>132</v>
      </c>
      <c r="B50" s="447"/>
      <c r="C50" s="448" t="s">
        <v>133</v>
      </c>
      <c r="D50" s="449" t="s">
        <v>103</v>
      </c>
      <c r="E50" s="29">
        <v>40</v>
      </c>
      <c r="F50" s="29">
        <v>50</v>
      </c>
      <c r="G50" s="29">
        <v>94</v>
      </c>
      <c r="H50" s="29">
        <v>141</v>
      </c>
      <c r="I50" s="29">
        <v>187</v>
      </c>
      <c r="J50" s="29">
        <v>234</v>
      </c>
      <c r="K50" s="29">
        <v>5.15</v>
      </c>
      <c r="M50" s="52"/>
      <c r="N50" s="30"/>
      <c r="O50" s="30"/>
      <c r="P50" s="30"/>
      <c r="Q50" s="30"/>
      <c r="R50" s="30"/>
    </row>
    <row r="51" spans="1:18" ht="13.5" customHeight="1" x14ac:dyDescent="0.15">
      <c r="A51" s="446" t="s">
        <v>134</v>
      </c>
      <c r="B51" s="447"/>
      <c r="C51" s="448" t="s">
        <v>135</v>
      </c>
      <c r="D51" s="449" t="s">
        <v>103</v>
      </c>
      <c r="E51" s="29">
        <v>44</v>
      </c>
      <c r="F51" s="29">
        <v>54</v>
      </c>
      <c r="G51" s="29">
        <v>103</v>
      </c>
      <c r="H51" s="29">
        <v>155</v>
      </c>
      <c r="I51" s="29">
        <v>206</v>
      </c>
      <c r="J51" s="29">
        <v>258</v>
      </c>
      <c r="K51" s="29">
        <v>5.67</v>
      </c>
      <c r="M51" s="52"/>
      <c r="N51" s="30"/>
      <c r="O51" s="30"/>
      <c r="P51" s="30"/>
      <c r="Q51" s="30"/>
      <c r="R51" s="30"/>
    </row>
    <row r="52" spans="1:18" ht="13.5" customHeight="1" x14ac:dyDescent="0.15">
      <c r="A52" s="446" t="s">
        <v>136</v>
      </c>
      <c r="B52" s="447"/>
      <c r="C52" s="448" t="s">
        <v>137</v>
      </c>
      <c r="D52" s="449" t="s">
        <v>103</v>
      </c>
      <c r="E52" s="29">
        <v>37</v>
      </c>
      <c r="F52" s="29">
        <v>46</v>
      </c>
      <c r="G52" s="29">
        <v>86</v>
      </c>
      <c r="H52" s="29">
        <v>129</v>
      </c>
      <c r="I52" s="29">
        <v>172</v>
      </c>
      <c r="J52" s="29">
        <v>215</v>
      </c>
      <c r="K52" s="29">
        <v>4.7300000000000004</v>
      </c>
      <c r="M52" s="52"/>
      <c r="N52" s="30"/>
      <c r="O52" s="30"/>
      <c r="P52" s="30"/>
      <c r="Q52" s="30"/>
      <c r="R52" s="30"/>
    </row>
    <row r="53" spans="1:18" ht="13.5" customHeight="1" x14ac:dyDescent="0.15">
      <c r="A53" s="446" t="s">
        <v>138</v>
      </c>
      <c r="B53" s="447"/>
      <c r="C53" s="448" t="s">
        <v>139</v>
      </c>
      <c r="D53" s="449" t="s">
        <v>103</v>
      </c>
      <c r="E53" s="29">
        <v>39</v>
      </c>
      <c r="F53" s="29">
        <v>48</v>
      </c>
      <c r="G53" s="29">
        <v>92</v>
      </c>
      <c r="H53" s="29">
        <v>138</v>
      </c>
      <c r="I53" s="29">
        <v>183</v>
      </c>
      <c r="J53" s="29">
        <v>229</v>
      </c>
      <c r="K53" s="29">
        <v>5.04</v>
      </c>
      <c r="M53" s="52"/>
      <c r="N53" s="30"/>
      <c r="O53" s="30"/>
      <c r="P53" s="30"/>
      <c r="Q53" s="30"/>
      <c r="R53" s="30"/>
    </row>
    <row r="54" spans="1:18" ht="13.5" customHeight="1" x14ac:dyDescent="0.15">
      <c r="A54" s="446" t="s">
        <v>140</v>
      </c>
      <c r="B54" s="447"/>
      <c r="C54" s="448" t="s">
        <v>141</v>
      </c>
      <c r="D54" s="449" t="s">
        <v>103</v>
      </c>
      <c r="E54" s="29">
        <v>41</v>
      </c>
      <c r="F54" s="29">
        <v>52</v>
      </c>
      <c r="G54" s="29">
        <v>98</v>
      </c>
      <c r="H54" s="29">
        <v>146</v>
      </c>
      <c r="I54" s="29">
        <v>195</v>
      </c>
      <c r="J54" s="29">
        <v>244</v>
      </c>
      <c r="K54" s="29">
        <v>5.36</v>
      </c>
      <c r="M54" s="52"/>
      <c r="N54" s="30"/>
      <c r="O54" s="30"/>
      <c r="P54" s="30"/>
      <c r="Q54" s="30"/>
      <c r="R54" s="30"/>
    </row>
    <row r="55" spans="1:18" ht="13.5" customHeight="1" x14ac:dyDescent="0.15">
      <c r="A55" s="446" t="s">
        <v>142</v>
      </c>
      <c r="B55" s="447"/>
      <c r="C55" s="448" t="s">
        <v>143</v>
      </c>
      <c r="D55" s="449" t="s">
        <v>103</v>
      </c>
      <c r="E55" s="29">
        <v>42</v>
      </c>
      <c r="F55" s="29">
        <v>52</v>
      </c>
      <c r="G55" s="29">
        <v>100</v>
      </c>
      <c r="H55" s="29">
        <v>149</v>
      </c>
      <c r="I55" s="29">
        <v>199</v>
      </c>
      <c r="J55" s="29">
        <v>248</v>
      </c>
      <c r="K55" s="29">
        <v>5.46</v>
      </c>
      <c r="M55" s="52"/>
      <c r="N55" s="30"/>
      <c r="O55" s="30"/>
      <c r="P55" s="30"/>
      <c r="Q55" s="30"/>
      <c r="R55" s="30"/>
    </row>
    <row r="56" spans="1:18" ht="13.5" customHeight="1" x14ac:dyDescent="0.15">
      <c r="A56" s="446" t="s">
        <v>144</v>
      </c>
      <c r="B56" s="447"/>
      <c r="C56" s="448" t="s">
        <v>145</v>
      </c>
      <c r="D56" s="449" t="s">
        <v>103</v>
      </c>
      <c r="E56" s="29">
        <v>47</v>
      </c>
      <c r="F56" s="29">
        <v>58</v>
      </c>
      <c r="G56" s="29">
        <v>111</v>
      </c>
      <c r="H56" s="29">
        <v>166</v>
      </c>
      <c r="I56" s="29">
        <v>221</v>
      </c>
      <c r="J56" s="29">
        <v>277</v>
      </c>
      <c r="K56" s="29">
        <v>6.09</v>
      </c>
      <c r="M56" s="52"/>
      <c r="N56" s="30"/>
      <c r="O56" s="30"/>
      <c r="P56" s="30"/>
      <c r="Q56" s="30"/>
      <c r="R56" s="30"/>
    </row>
    <row r="57" spans="1:18" ht="13.5" customHeight="1" x14ac:dyDescent="0.15">
      <c r="A57" s="446" t="s">
        <v>146</v>
      </c>
      <c r="B57" s="447"/>
      <c r="C57" s="448" t="s">
        <v>147</v>
      </c>
      <c r="D57" s="449" t="s">
        <v>103</v>
      </c>
      <c r="E57" s="29">
        <v>45</v>
      </c>
      <c r="F57" s="29">
        <v>56</v>
      </c>
      <c r="G57" s="29">
        <v>105</v>
      </c>
      <c r="H57" s="29">
        <v>158</v>
      </c>
      <c r="I57" s="29">
        <v>210</v>
      </c>
      <c r="J57" s="29">
        <v>263</v>
      </c>
      <c r="K57" s="29">
        <v>5.78</v>
      </c>
      <c r="M57" s="52"/>
      <c r="N57" s="30"/>
      <c r="O57" s="30"/>
      <c r="P57" s="30"/>
      <c r="Q57" s="30"/>
      <c r="R57" s="30"/>
    </row>
    <row r="58" spans="1:18" ht="13.5" customHeight="1" x14ac:dyDescent="0.15">
      <c r="A58" s="446" t="s">
        <v>148</v>
      </c>
      <c r="B58" s="447"/>
      <c r="C58" s="448" t="s">
        <v>149</v>
      </c>
      <c r="D58" s="449" t="s">
        <v>103</v>
      </c>
      <c r="E58" s="29">
        <v>47</v>
      </c>
      <c r="F58" s="29">
        <v>58</v>
      </c>
      <c r="G58" s="29">
        <v>111</v>
      </c>
      <c r="H58" s="29">
        <v>166</v>
      </c>
      <c r="I58" s="29">
        <v>221</v>
      </c>
      <c r="J58" s="29">
        <v>277</v>
      </c>
      <c r="K58" s="29">
        <v>6.09</v>
      </c>
      <c r="M58" s="52"/>
      <c r="N58" s="30"/>
      <c r="O58" s="30"/>
      <c r="P58" s="30"/>
      <c r="Q58" s="30"/>
      <c r="R58" s="30"/>
    </row>
    <row r="59" spans="1:18" ht="13.5" customHeight="1" x14ac:dyDescent="0.15">
      <c r="A59" s="446" t="s">
        <v>150</v>
      </c>
      <c r="B59" s="447"/>
      <c r="C59" s="448" t="s">
        <v>151</v>
      </c>
      <c r="D59" s="449" t="s">
        <v>103</v>
      </c>
      <c r="E59" s="29">
        <v>47</v>
      </c>
      <c r="F59" s="29">
        <v>58</v>
      </c>
      <c r="G59" s="29">
        <v>111</v>
      </c>
      <c r="H59" s="29">
        <v>166</v>
      </c>
      <c r="I59" s="29">
        <v>221</v>
      </c>
      <c r="J59" s="29">
        <v>277</v>
      </c>
      <c r="K59" s="29">
        <v>6.09</v>
      </c>
      <c r="M59" s="52"/>
      <c r="N59" s="30"/>
      <c r="O59" s="30"/>
      <c r="P59" s="30"/>
      <c r="Q59" s="30"/>
      <c r="R59" s="30"/>
    </row>
    <row r="60" spans="1:18" ht="13.5" customHeight="1" x14ac:dyDescent="0.15">
      <c r="A60" s="446" t="s">
        <v>152</v>
      </c>
      <c r="B60" s="447"/>
      <c r="C60" s="448" t="s">
        <v>153</v>
      </c>
      <c r="D60" s="449" t="s">
        <v>103</v>
      </c>
      <c r="E60" s="29">
        <v>48</v>
      </c>
      <c r="F60" s="29">
        <v>60</v>
      </c>
      <c r="G60" s="29">
        <v>113</v>
      </c>
      <c r="H60" s="29">
        <v>169</v>
      </c>
      <c r="I60" s="29">
        <v>225</v>
      </c>
      <c r="J60" s="29">
        <v>282</v>
      </c>
      <c r="K60" s="29">
        <v>6.2</v>
      </c>
      <c r="M60" s="52"/>
      <c r="N60" s="30"/>
      <c r="O60" s="30"/>
      <c r="P60" s="30"/>
      <c r="Q60" s="30"/>
      <c r="R60" s="30"/>
    </row>
    <row r="61" spans="1:18" ht="13.5" customHeight="1" x14ac:dyDescent="0.15">
      <c r="A61" s="446" t="s">
        <v>154</v>
      </c>
      <c r="B61" s="447"/>
      <c r="C61" s="448" t="s">
        <v>155</v>
      </c>
      <c r="D61" s="449" t="s">
        <v>103</v>
      </c>
      <c r="E61" s="29">
        <v>46</v>
      </c>
      <c r="F61" s="29">
        <v>58</v>
      </c>
      <c r="G61" s="29">
        <v>109</v>
      </c>
      <c r="H61" s="29">
        <v>163</v>
      </c>
      <c r="I61" s="29">
        <v>218</v>
      </c>
      <c r="J61" s="29">
        <v>272</v>
      </c>
      <c r="K61" s="29">
        <v>5.99</v>
      </c>
      <c r="M61" s="52"/>
      <c r="N61" s="30"/>
      <c r="O61" s="30"/>
      <c r="P61" s="30"/>
      <c r="Q61" s="30"/>
      <c r="R61" s="30"/>
    </row>
    <row r="62" spans="1:18" ht="13.5" customHeight="1" x14ac:dyDescent="0.15">
      <c r="A62" s="446" t="s">
        <v>156</v>
      </c>
      <c r="B62" s="447"/>
      <c r="C62" s="448" t="s">
        <v>157</v>
      </c>
      <c r="D62" s="449" t="s">
        <v>103</v>
      </c>
      <c r="E62" s="29">
        <v>46</v>
      </c>
      <c r="F62" s="29">
        <v>58</v>
      </c>
      <c r="G62" s="29">
        <v>109</v>
      </c>
      <c r="H62" s="29">
        <v>163</v>
      </c>
      <c r="I62" s="29">
        <v>218</v>
      </c>
      <c r="J62" s="29">
        <v>272</v>
      </c>
      <c r="K62" s="29">
        <v>5.99</v>
      </c>
      <c r="M62" s="52"/>
      <c r="N62" s="30"/>
      <c r="O62" s="30"/>
      <c r="P62" s="30"/>
      <c r="Q62" s="30"/>
      <c r="R62" s="30"/>
    </row>
    <row r="63" spans="1:18" ht="13.5" customHeight="1" x14ac:dyDescent="0.15">
      <c r="A63" s="446" t="s">
        <v>158</v>
      </c>
      <c r="B63" s="447"/>
      <c r="C63" s="448" t="s">
        <v>159</v>
      </c>
      <c r="D63" s="449" t="s">
        <v>103</v>
      </c>
      <c r="E63" s="29">
        <v>47</v>
      </c>
      <c r="F63" s="29">
        <v>58</v>
      </c>
      <c r="G63" s="29">
        <v>111</v>
      </c>
      <c r="H63" s="29">
        <v>166</v>
      </c>
      <c r="I63" s="29">
        <v>221</v>
      </c>
      <c r="J63" s="29">
        <v>277</v>
      </c>
      <c r="K63" s="29">
        <v>6.09</v>
      </c>
      <c r="M63" s="52"/>
      <c r="N63" s="30"/>
      <c r="O63" s="30"/>
      <c r="P63" s="30"/>
      <c r="Q63" s="30"/>
      <c r="R63" s="30"/>
    </row>
    <row r="64" spans="1:18" ht="13.5" customHeight="1" x14ac:dyDescent="0.15">
      <c r="A64" s="446" t="s">
        <v>160</v>
      </c>
      <c r="B64" s="447"/>
      <c r="C64" s="448" t="s">
        <v>161</v>
      </c>
      <c r="D64" s="449" t="s">
        <v>103</v>
      </c>
      <c r="E64" s="29">
        <v>48</v>
      </c>
      <c r="F64" s="29">
        <v>60</v>
      </c>
      <c r="G64" s="29">
        <v>113</v>
      </c>
      <c r="H64" s="29">
        <v>169</v>
      </c>
      <c r="I64" s="29">
        <v>225</v>
      </c>
      <c r="J64" s="29">
        <v>282</v>
      </c>
      <c r="K64" s="29">
        <v>6.2</v>
      </c>
      <c r="M64" s="52"/>
      <c r="N64" s="30"/>
      <c r="O64" s="30"/>
      <c r="P64" s="30"/>
      <c r="Q64" s="30"/>
      <c r="R64" s="30"/>
    </row>
    <row r="65" spans="1:18" ht="13.5" customHeight="1" x14ac:dyDescent="0.15">
      <c r="A65" s="446" t="s">
        <v>162</v>
      </c>
      <c r="B65" s="447"/>
      <c r="C65" s="448" t="s">
        <v>163</v>
      </c>
      <c r="D65" s="449" t="s">
        <v>103</v>
      </c>
      <c r="E65" s="29">
        <v>48</v>
      </c>
      <c r="F65" s="29">
        <v>60</v>
      </c>
      <c r="G65" s="29">
        <v>113</v>
      </c>
      <c r="H65" s="29">
        <v>169</v>
      </c>
      <c r="I65" s="29">
        <v>225</v>
      </c>
      <c r="J65" s="29">
        <v>282</v>
      </c>
      <c r="K65" s="29">
        <v>6.2</v>
      </c>
      <c r="M65" s="52"/>
      <c r="N65" s="30"/>
      <c r="O65" s="30"/>
      <c r="P65" s="30"/>
      <c r="Q65" s="30"/>
      <c r="R65" s="30"/>
    </row>
    <row r="66" spans="1:18" ht="13.5" customHeight="1" x14ac:dyDescent="0.15">
      <c r="A66" s="446" t="s">
        <v>164</v>
      </c>
      <c r="B66" s="447"/>
      <c r="C66" s="448" t="s">
        <v>165</v>
      </c>
      <c r="D66" s="449" t="s">
        <v>103</v>
      </c>
      <c r="E66" s="29">
        <v>47</v>
      </c>
      <c r="F66" s="29">
        <v>58</v>
      </c>
      <c r="G66" s="29">
        <v>111</v>
      </c>
      <c r="H66" s="29">
        <v>166</v>
      </c>
      <c r="I66" s="29">
        <v>221</v>
      </c>
      <c r="J66" s="29">
        <v>277</v>
      </c>
      <c r="K66" s="29">
        <v>6.09</v>
      </c>
      <c r="M66" s="52"/>
      <c r="N66" s="30"/>
      <c r="O66" s="30"/>
      <c r="P66" s="30"/>
      <c r="Q66" s="30"/>
      <c r="R66" s="30"/>
    </row>
    <row r="67" spans="1:18" ht="13.5" customHeight="1" x14ac:dyDescent="0.15">
      <c r="A67" s="446" t="s">
        <v>166</v>
      </c>
      <c r="B67" s="447"/>
      <c r="C67" s="448" t="s">
        <v>167</v>
      </c>
      <c r="D67" s="449" t="s">
        <v>103</v>
      </c>
      <c r="E67" s="29">
        <v>48</v>
      </c>
      <c r="F67" s="29">
        <v>60</v>
      </c>
      <c r="G67" s="29">
        <v>113</v>
      </c>
      <c r="H67" s="29">
        <v>169</v>
      </c>
      <c r="I67" s="29">
        <v>225</v>
      </c>
      <c r="J67" s="29">
        <v>282</v>
      </c>
      <c r="K67" s="29">
        <v>6.2</v>
      </c>
      <c r="M67" s="52"/>
      <c r="N67" s="30"/>
      <c r="O67" s="30"/>
      <c r="P67" s="30"/>
      <c r="Q67" s="30"/>
      <c r="R67" s="30"/>
    </row>
    <row r="68" spans="1:18" ht="13.5" customHeight="1" x14ac:dyDescent="0.15">
      <c r="A68" s="446" t="s">
        <v>168</v>
      </c>
      <c r="B68" s="447"/>
      <c r="C68" s="448" t="s">
        <v>169</v>
      </c>
      <c r="D68" s="449" t="s">
        <v>103</v>
      </c>
      <c r="E68" s="29">
        <v>48</v>
      </c>
      <c r="F68" s="29">
        <v>60</v>
      </c>
      <c r="G68" s="29">
        <v>113</v>
      </c>
      <c r="H68" s="29">
        <v>169</v>
      </c>
      <c r="I68" s="29">
        <v>225</v>
      </c>
      <c r="J68" s="29">
        <v>282</v>
      </c>
      <c r="K68" s="29">
        <v>6.2</v>
      </c>
      <c r="M68" s="52"/>
      <c r="N68" s="30"/>
      <c r="O68" s="30"/>
      <c r="P68" s="30"/>
      <c r="Q68" s="30"/>
      <c r="R68" s="30"/>
    </row>
    <row r="69" spans="1:18" ht="13.5" customHeight="1" x14ac:dyDescent="0.15">
      <c r="A69" s="446" t="s">
        <v>170</v>
      </c>
      <c r="B69" s="447"/>
      <c r="C69" s="448" t="s">
        <v>171</v>
      </c>
      <c r="D69" s="449" t="s">
        <v>103</v>
      </c>
      <c r="E69" s="29">
        <v>47</v>
      </c>
      <c r="F69" s="29">
        <v>58</v>
      </c>
      <c r="G69" s="29">
        <v>111</v>
      </c>
      <c r="H69" s="29">
        <v>166</v>
      </c>
      <c r="I69" s="29">
        <v>221</v>
      </c>
      <c r="J69" s="29">
        <v>277</v>
      </c>
      <c r="K69" s="29">
        <v>6.09</v>
      </c>
      <c r="M69" s="52"/>
      <c r="N69" s="30"/>
      <c r="O69" s="30"/>
      <c r="P69" s="30"/>
      <c r="Q69" s="30"/>
      <c r="R69" s="30"/>
    </row>
    <row r="70" spans="1:18" ht="13.5" customHeight="1" x14ac:dyDescent="0.15">
      <c r="A70" s="446" t="s">
        <v>172</v>
      </c>
      <c r="B70" s="447"/>
      <c r="C70" s="448" t="s">
        <v>173</v>
      </c>
      <c r="D70" s="449" t="s">
        <v>103</v>
      </c>
      <c r="E70" s="29">
        <v>47</v>
      </c>
      <c r="F70" s="29">
        <v>58</v>
      </c>
      <c r="G70" s="29">
        <v>111</v>
      </c>
      <c r="H70" s="29">
        <v>166</v>
      </c>
      <c r="I70" s="29">
        <v>221</v>
      </c>
      <c r="J70" s="29">
        <v>277</v>
      </c>
      <c r="K70" s="29">
        <v>6.09</v>
      </c>
      <c r="M70" s="52"/>
      <c r="N70" s="30"/>
      <c r="O70" s="30"/>
      <c r="P70" s="30"/>
      <c r="Q70" s="30"/>
      <c r="R70" s="30"/>
    </row>
    <row r="71" spans="1:18" ht="13.5" customHeight="1" x14ac:dyDescent="0.15">
      <c r="A71" s="446" t="s">
        <v>174</v>
      </c>
      <c r="B71" s="447"/>
      <c r="C71" s="448" t="s">
        <v>175</v>
      </c>
      <c r="D71" s="449" t="s">
        <v>103</v>
      </c>
      <c r="E71" s="29">
        <v>46</v>
      </c>
      <c r="F71" s="29">
        <v>58</v>
      </c>
      <c r="G71" s="29">
        <v>109</v>
      </c>
      <c r="H71" s="29">
        <v>163</v>
      </c>
      <c r="I71" s="29">
        <v>218</v>
      </c>
      <c r="J71" s="29">
        <v>272</v>
      </c>
      <c r="K71" s="29">
        <v>5.99</v>
      </c>
      <c r="M71" s="52"/>
      <c r="N71" s="30"/>
      <c r="O71" s="30"/>
      <c r="P71" s="30"/>
      <c r="Q71" s="30"/>
      <c r="R71" s="30"/>
    </row>
    <row r="72" spans="1:18" ht="13.5" customHeight="1" x14ac:dyDescent="0.15">
      <c r="A72" s="446" t="s">
        <v>176</v>
      </c>
      <c r="B72" s="447"/>
      <c r="C72" s="448" t="s">
        <v>177</v>
      </c>
      <c r="D72" s="449" t="s">
        <v>103</v>
      </c>
      <c r="E72" s="29">
        <v>46</v>
      </c>
      <c r="F72" s="29">
        <v>58</v>
      </c>
      <c r="G72" s="29">
        <v>109</v>
      </c>
      <c r="H72" s="29">
        <v>163</v>
      </c>
      <c r="I72" s="29">
        <v>218</v>
      </c>
      <c r="J72" s="29">
        <v>272</v>
      </c>
      <c r="K72" s="29">
        <v>5.99</v>
      </c>
      <c r="M72" s="52"/>
      <c r="N72" s="30"/>
      <c r="O72" s="30"/>
      <c r="P72" s="30"/>
      <c r="Q72" s="30"/>
      <c r="R72" s="30"/>
    </row>
    <row r="73" spans="1:18" ht="13.5" customHeight="1" x14ac:dyDescent="0.15">
      <c r="A73" s="446" t="s">
        <v>178</v>
      </c>
      <c r="B73" s="447"/>
      <c r="C73" s="448" t="s">
        <v>179</v>
      </c>
      <c r="D73" s="449" t="s">
        <v>103</v>
      </c>
      <c r="E73" s="29">
        <v>46</v>
      </c>
      <c r="F73" s="29">
        <v>58</v>
      </c>
      <c r="G73" s="29">
        <v>109</v>
      </c>
      <c r="H73" s="29">
        <v>163</v>
      </c>
      <c r="I73" s="29">
        <v>218</v>
      </c>
      <c r="J73" s="29">
        <v>272</v>
      </c>
      <c r="K73" s="29">
        <v>5.99</v>
      </c>
      <c r="M73" s="52"/>
      <c r="N73" s="30"/>
      <c r="O73" s="30"/>
      <c r="P73" s="30"/>
      <c r="Q73" s="30"/>
      <c r="R73" s="30"/>
    </row>
    <row r="74" spans="1:18" ht="13.5" customHeight="1" x14ac:dyDescent="0.15">
      <c r="A74" s="446" t="s">
        <v>180</v>
      </c>
      <c r="B74" s="447"/>
      <c r="C74" s="448" t="s">
        <v>181</v>
      </c>
      <c r="D74" s="449" t="s">
        <v>103</v>
      </c>
      <c r="E74" s="29">
        <v>45</v>
      </c>
      <c r="F74" s="29">
        <v>56</v>
      </c>
      <c r="G74" s="29">
        <v>105</v>
      </c>
      <c r="H74" s="29">
        <v>158</v>
      </c>
      <c r="I74" s="29">
        <v>210</v>
      </c>
      <c r="J74" s="29">
        <v>263</v>
      </c>
      <c r="K74" s="29">
        <v>5.78</v>
      </c>
      <c r="M74" s="52"/>
      <c r="N74" s="30"/>
      <c r="O74" s="30"/>
      <c r="P74" s="30"/>
      <c r="Q74" s="30"/>
      <c r="R74" s="30"/>
    </row>
    <row r="75" spans="1:18" ht="13.5" customHeight="1" x14ac:dyDescent="0.15">
      <c r="A75" s="446" t="s">
        <v>182</v>
      </c>
      <c r="B75" s="447"/>
      <c r="C75" s="448" t="s">
        <v>183</v>
      </c>
      <c r="D75" s="449" t="s">
        <v>103</v>
      </c>
      <c r="E75" s="29">
        <v>47</v>
      </c>
      <c r="F75" s="29">
        <v>58</v>
      </c>
      <c r="G75" s="29">
        <v>111</v>
      </c>
      <c r="H75" s="29">
        <v>166</v>
      </c>
      <c r="I75" s="29">
        <v>221</v>
      </c>
      <c r="J75" s="29">
        <v>277</v>
      </c>
      <c r="K75" s="29">
        <v>6.09</v>
      </c>
      <c r="M75" s="52"/>
      <c r="N75" s="30"/>
      <c r="O75" s="30"/>
      <c r="P75" s="30"/>
      <c r="Q75" s="30"/>
      <c r="R75" s="30"/>
    </row>
    <row r="76" spans="1:18" ht="13.5" customHeight="1" x14ac:dyDescent="0.15">
      <c r="A76" s="446" t="s">
        <v>184</v>
      </c>
      <c r="B76" s="447"/>
      <c r="C76" s="448" t="s">
        <v>185</v>
      </c>
      <c r="D76" s="449" t="s">
        <v>103</v>
      </c>
      <c r="E76" s="29">
        <v>45</v>
      </c>
      <c r="F76" s="29">
        <v>56</v>
      </c>
      <c r="G76" s="29">
        <v>105</v>
      </c>
      <c r="H76" s="29">
        <v>158</v>
      </c>
      <c r="I76" s="29">
        <v>210</v>
      </c>
      <c r="J76" s="29">
        <v>263</v>
      </c>
      <c r="K76" s="29">
        <v>5.78</v>
      </c>
      <c r="M76" s="52"/>
      <c r="N76" s="30"/>
      <c r="O76" s="30"/>
      <c r="P76" s="30"/>
      <c r="Q76" s="30"/>
      <c r="R76" s="30"/>
    </row>
    <row r="77" spans="1:18" ht="13.5" customHeight="1" x14ac:dyDescent="0.15">
      <c r="A77" s="446" t="s">
        <v>186</v>
      </c>
      <c r="B77" s="447"/>
      <c r="C77" s="448" t="s">
        <v>187</v>
      </c>
      <c r="D77" s="449" t="s">
        <v>103</v>
      </c>
      <c r="E77" s="29">
        <v>45</v>
      </c>
      <c r="F77" s="29">
        <v>56</v>
      </c>
      <c r="G77" s="29">
        <v>107</v>
      </c>
      <c r="H77" s="29">
        <v>160</v>
      </c>
      <c r="I77" s="29">
        <v>214</v>
      </c>
      <c r="J77" s="29">
        <v>267</v>
      </c>
      <c r="K77" s="29">
        <v>5.88</v>
      </c>
      <c r="M77" s="52"/>
      <c r="N77" s="30"/>
      <c r="O77" s="30"/>
      <c r="P77" s="30"/>
      <c r="Q77" s="30"/>
      <c r="R77" s="30"/>
    </row>
    <row r="78" spans="1:18" ht="13.5" customHeight="1" x14ac:dyDescent="0.15">
      <c r="A78" s="446" t="s">
        <v>188</v>
      </c>
      <c r="B78" s="447"/>
      <c r="C78" s="448" t="s">
        <v>189</v>
      </c>
      <c r="D78" s="449" t="s">
        <v>103</v>
      </c>
      <c r="E78" s="29">
        <v>45</v>
      </c>
      <c r="F78" s="29">
        <v>56</v>
      </c>
      <c r="G78" s="29">
        <v>105</v>
      </c>
      <c r="H78" s="29">
        <v>158</v>
      </c>
      <c r="I78" s="29">
        <v>210</v>
      </c>
      <c r="J78" s="29">
        <v>263</v>
      </c>
      <c r="K78" s="29">
        <v>5.78</v>
      </c>
      <c r="M78" s="52"/>
      <c r="N78" s="30"/>
      <c r="O78" s="30"/>
      <c r="P78" s="30"/>
      <c r="Q78" s="30"/>
      <c r="R78" s="30"/>
    </row>
    <row r="79" spans="1:18" ht="13.5" customHeight="1" x14ac:dyDescent="0.15">
      <c r="A79" s="446" t="s">
        <v>190</v>
      </c>
      <c r="B79" s="447"/>
      <c r="C79" s="448" t="s">
        <v>191</v>
      </c>
      <c r="D79" s="449" t="s">
        <v>103</v>
      </c>
      <c r="E79" s="29">
        <v>43</v>
      </c>
      <c r="F79" s="29">
        <v>54</v>
      </c>
      <c r="G79" s="29">
        <v>102</v>
      </c>
      <c r="H79" s="29">
        <v>152</v>
      </c>
      <c r="I79" s="29">
        <v>203</v>
      </c>
      <c r="J79" s="29">
        <v>253</v>
      </c>
      <c r="K79" s="29">
        <v>5.57</v>
      </c>
      <c r="M79" s="52"/>
      <c r="N79" s="30"/>
      <c r="O79" s="30"/>
      <c r="P79" s="30"/>
      <c r="Q79" s="30"/>
      <c r="R79" s="30"/>
    </row>
    <row r="80" spans="1:18" ht="13.5" customHeight="1" x14ac:dyDescent="0.15">
      <c r="A80" s="446" t="s">
        <v>192</v>
      </c>
      <c r="B80" s="447"/>
      <c r="C80" s="448" t="s">
        <v>193</v>
      </c>
      <c r="D80" s="449" t="s">
        <v>103</v>
      </c>
      <c r="E80" s="29">
        <v>45</v>
      </c>
      <c r="F80" s="29">
        <v>56</v>
      </c>
      <c r="G80" s="29">
        <v>105</v>
      </c>
      <c r="H80" s="29">
        <v>158</v>
      </c>
      <c r="I80" s="29">
        <v>210</v>
      </c>
      <c r="J80" s="29">
        <v>263</v>
      </c>
      <c r="K80" s="29">
        <v>5.78</v>
      </c>
      <c r="M80" s="52"/>
      <c r="N80" s="30"/>
      <c r="O80" s="30"/>
      <c r="P80" s="30"/>
      <c r="Q80" s="30"/>
      <c r="R80" s="30"/>
    </row>
    <row r="81" spans="1:18" ht="13.5" customHeight="1" x14ac:dyDescent="0.15">
      <c r="A81" s="446" t="s">
        <v>194</v>
      </c>
      <c r="B81" s="447"/>
      <c r="C81" s="448" t="s">
        <v>195</v>
      </c>
      <c r="D81" s="449" t="s">
        <v>103</v>
      </c>
      <c r="E81" s="29">
        <v>41</v>
      </c>
      <c r="F81" s="29">
        <v>52</v>
      </c>
      <c r="G81" s="29">
        <v>98</v>
      </c>
      <c r="H81" s="29">
        <v>146</v>
      </c>
      <c r="I81" s="29">
        <v>195</v>
      </c>
      <c r="J81" s="29">
        <v>244</v>
      </c>
      <c r="K81" s="29">
        <v>5.36</v>
      </c>
      <c r="M81" s="52"/>
      <c r="N81" s="30"/>
      <c r="O81" s="30"/>
      <c r="P81" s="30"/>
      <c r="Q81" s="30"/>
      <c r="R81" s="30"/>
    </row>
    <row r="82" spans="1:18" ht="13.5" customHeight="1" x14ac:dyDescent="0.15">
      <c r="A82" s="446" t="s">
        <v>196</v>
      </c>
      <c r="B82" s="447"/>
      <c r="C82" s="448" t="s">
        <v>197</v>
      </c>
      <c r="D82" s="449" t="s">
        <v>103</v>
      </c>
      <c r="E82" s="29">
        <v>43</v>
      </c>
      <c r="F82" s="29">
        <v>54</v>
      </c>
      <c r="G82" s="29">
        <v>102</v>
      </c>
      <c r="H82" s="29">
        <v>152</v>
      </c>
      <c r="I82" s="29">
        <v>203</v>
      </c>
      <c r="J82" s="29">
        <v>253</v>
      </c>
      <c r="K82" s="29">
        <v>5.57</v>
      </c>
      <c r="M82" s="52"/>
      <c r="N82" s="30"/>
      <c r="O82" s="30"/>
      <c r="P82" s="30"/>
      <c r="Q82" s="30"/>
      <c r="R82" s="30"/>
    </row>
    <row r="83" spans="1:18" ht="13.5" customHeight="1" x14ac:dyDescent="0.15">
      <c r="A83" s="446" t="s">
        <v>198</v>
      </c>
      <c r="B83" s="447"/>
      <c r="C83" s="448" t="s">
        <v>199</v>
      </c>
      <c r="D83" s="449" t="s">
        <v>103</v>
      </c>
      <c r="E83" s="29">
        <v>44</v>
      </c>
      <c r="F83" s="29">
        <v>54</v>
      </c>
      <c r="G83" s="29">
        <v>103</v>
      </c>
      <c r="H83" s="29">
        <v>155</v>
      </c>
      <c r="I83" s="29">
        <v>206</v>
      </c>
      <c r="J83" s="29">
        <v>258</v>
      </c>
      <c r="K83" s="29">
        <v>5.67</v>
      </c>
      <c r="M83" s="52"/>
      <c r="N83" s="30"/>
      <c r="O83" s="30"/>
      <c r="P83" s="30"/>
      <c r="Q83" s="30"/>
      <c r="R83" s="30"/>
    </row>
    <row r="84" spans="1:18" ht="13.5" customHeight="1" x14ac:dyDescent="0.15">
      <c r="A84" s="446" t="s">
        <v>200</v>
      </c>
      <c r="B84" s="447"/>
      <c r="C84" s="448" t="s">
        <v>201</v>
      </c>
      <c r="D84" s="449" t="s">
        <v>103</v>
      </c>
      <c r="E84" s="29">
        <v>43</v>
      </c>
      <c r="F84" s="29">
        <v>54</v>
      </c>
      <c r="G84" s="29">
        <v>102</v>
      </c>
      <c r="H84" s="29">
        <v>152</v>
      </c>
      <c r="I84" s="29">
        <v>203</v>
      </c>
      <c r="J84" s="29">
        <v>253</v>
      </c>
      <c r="K84" s="29">
        <v>5.57</v>
      </c>
      <c r="M84" s="52"/>
      <c r="N84" s="30"/>
      <c r="O84" s="30"/>
      <c r="P84" s="30"/>
      <c r="Q84" s="30"/>
      <c r="R84" s="30"/>
    </row>
    <row r="85" spans="1:18" ht="13.5" customHeight="1" x14ac:dyDescent="0.15">
      <c r="A85" s="446" t="s">
        <v>202</v>
      </c>
      <c r="B85" s="447"/>
      <c r="C85" s="448" t="s">
        <v>203</v>
      </c>
      <c r="D85" s="449" t="s">
        <v>103</v>
      </c>
      <c r="E85" s="29">
        <v>45</v>
      </c>
      <c r="F85" s="29">
        <v>56</v>
      </c>
      <c r="G85" s="29">
        <v>105</v>
      </c>
      <c r="H85" s="29">
        <v>158</v>
      </c>
      <c r="I85" s="29">
        <v>210</v>
      </c>
      <c r="J85" s="29">
        <v>263</v>
      </c>
      <c r="K85" s="29">
        <v>5.78</v>
      </c>
      <c r="M85" s="52"/>
      <c r="N85" s="30"/>
      <c r="O85" s="30"/>
      <c r="P85" s="30"/>
      <c r="Q85" s="30"/>
      <c r="R85" s="30"/>
    </row>
    <row r="86" spans="1:18" ht="13.5" customHeight="1" x14ac:dyDescent="0.15">
      <c r="A86" s="446" t="s">
        <v>204</v>
      </c>
      <c r="B86" s="447"/>
      <c r="C86" s="448" t="s">
        <v>205</v>
      </c>
      <c r="D86" s="449" t="s">
        <v>103</v>
      </c>
      <c r="E86" s="29">
        <v>41</v>
      </c>
      <c r="F86" s="29">
        <v>52</v>
      </c>
      <c r="G86" s="29">
        <v>98</v>
      </c>
      <c r="H86" s="29">
        <v>146</v>
      </c>
      <c r="I86" s="29">
        <v>195</v>
      </c>
      <c r="J86" s="29">
        <v>244</v>
      </c>
      <c r="K86" s="29">
        <v>5.36</v>
      </c>
      <c r="M86" s="52"/>
      <c r="N86" s="30"/>
      <c r="O86" s="30"/>
      <c r="P86" s="30"/>
      <c r="Q86" s="30"/>
      <c r="R86" s="30"/>
    </row>
    <row r="87" spans="1:18" ht="13.5" customHeight="1" x14ac:dyDescent="0.15">
      <c r="A87" s="446" t="s">
        <v>206</v>
      </c>
      <c r="B87" s="447"/>
      <c r="C87" s="448" t="s">
        <v>207</v>
      </c>
      <c r="D87" s="449" t="s">
        <v>103</v>
      </c>
      <c r="E87" s="29">
        <v>45</v>
      </c>
      <c r="F87" s="29">
        <v>56</v>
      </c>
      <c r="G87" s="29">
        <v>105</v>
      </c>
      <c r="H87" s="29">
        <v>158</v>
      </c>
      <c r="I87" s="29">
        <v>210</v>
      </c>
      <c r="J87" s="29">
        <v>263</v>
      </c>
      <c r="K87" s="29">
        <v>5.78</v>
      </c>
      <c r="M87" s="52"/>
      <c r="N87" s="30"/>
      <c r="O87" s="30"/>
      <c r="P87" s="30"/>
      <c r="Q87" s="30"/>
      <c r="R87" s="30"/>
    </row>
    <row r="88" spans="1:18" ht="13.5" customHeight="1" x14ac:dyDescent="0.15">
      <c r="A88" s="446" t="s">
        <v>208</v>
      </c>
      <c r="B88" s="447"/>
      <c r="C88" s="448" t="s">
        <v>209</v>
      </c>
      <c r="D88" s="449" t="s">
        <v>103</v>
      </c>
      <c r="E88" s="29">
        <v>45</v>
      </c>
      <c r="F88" s="29">
        <v>56</v>
      </c>
      <c r="G88" s="29">
        <v>105</v>
      </c>
      <c r="H88" s="29">
        <v>158</v>
      </c>
      <c r="I88" s="29">
        <v>210</v>
      </c>
      <c r="J88" s="29">
        <v>263</v>
      </c>
      <c r="K88" s="29">
        <v>5.78</v>
      </c>
      <c r="M88" s="52"/>
      <c r="N88" s="30"/>
      <c r="O88" s="30"/>
      <c r="P88" s="30"/>
      <c r="Q88" s="30"/>
      <c r="R88" s="30"/>
    </row>
    <row r="89" spans="1:18" ht="13.5" customHeight="1" x14ac:dyDescent="0.15">
      <c r="A89" s="446" t="s">
        <v>210</v>
      </c>
      <c r="B89" s="447"/>
      <c r="C89" s="448" t="s">
        <v>211</v>
      </c>
      <c r="D89" s="449" t="s">
        <v>103</v>
      </c>
      <c r="E89" s="29">
        <v>46</v>
      </c>
      <c r="F89" s="29">
        <v>58</v>
      </c>
      <c r="G89" s="29">
        <v>109</v>
      </c>
      <c r="H89" s="29">
        <v>163</v>
      </c>
      <c r="I89" s="29">
        <v>218</v>
      </c>
      <c r="J89" s="29">
        <v>272</v>
      </c>
      <c r="K89" s="29">
        <v>5.99</v>
      </c>
      <c r="M89" s="52"/>
      <c r="N89" s="30"/>
      <c r="O89" s="30"/>
      <c r="P89" s="30"/>
      <c r="Q89" s="30"/>
      <c r="R89" s="30"/>
    </row>
    <row r="90" spans="1:18" ht="13.5" customHeight="1" x14ac:dyDescent="0.15">
      <c r="A90" s="446" t="s">
        <v>212</v>
      </c>
      <c r="B90" s="447"/>
      <c r="C90" s="448" t="s">
        <v>213</v>
      </c>
      <c r="D90" s="449" t="s">
        <v>103</v>
      </c>
      <c r="E90" s="29">
        <v>45</v>
      </c>
      <c r="F90" s="29">
        <v>56</v>
      </c>
      <c r="G90" s="29">
        <v>105</v>
      </c>
      <c r="H90" s="29">
        <v>158</v>
      </c>
      <c r="I90" s="29">
        <v>210</v>
      </c>
      <c r="J90" s="29">
        <v>263</v>
      </c>
      <c r="K90" s="29">
        <v>5.78</v>
      </c>
      <c r="M90" s="52"/>
      <c r="N90" s="30"/>
      <c r="O90" s="30"/>
      <c r="P90" s="30"/>
      <c r="Q90" s="30"/>
      <c r="R90" s="30"/>
    </row>
    <row r="91" spans="1:18" ht="13.5" customHeight="1" x14ac:dyDescent="0.15">
      <c r="A91" s="446" t="s">
        <v>214</v>
      </c>
      <c r="B91" s="447"/>
      <c r="C91" s="448" t="s">
        <v>215</v>
      </c>
      <c r="D91" s="449" t="s">
        <v>103</v>
      </c>
      <c r="E91" s="29">
        <v>45</v>
      </c>
      <c r="F91" s="29">
        <v>56</v>
      </c>
      <c r="G91" s="29">
        <v>107</v>
      </c>
      <c r="H91" s="29">
        <v>160</v>
      </c>
      <c r="I91" s="29">
        <v>214</v>
      </c>
      <c r="J91" s="29">
        <v>267</v>
      </c>
      <c r="K91" s="29">
        <v>5.88</v>
      </c>
      <c r="M91" s="52"/>
      <c r="N91" s="30"/>
      <c r="O91" s="30"/>
      <c r="P91" s="30"/>
      <c r="Q91" s="30"/>
      <c r="R91" s="30"/>
    </row>
    <row r="92" spans="1:18" ht="13.5" customHeight="1" x14ac:dyDescent="0.15">
      <c r="A92" s="446" t="s">
        <v>216</v>
      </c>
      <c r="B92" s="447"/>
      <c r="C92" s="448" t="s">
        <v>217</v>
      </c>
      <c r="D92" s="449" t="s">
        <v>103</v>
      </c>
      <c r="E92" s="29">
        <v>45</v>
      </c>
      <c r="F92" s="29">
        <v>56</v>
      </c>
      <c r="G92" s="29">
        <v>105</v>
      </c>
      <c r="H92" s="29">
        <v>158</v>
      </c>
      <c r="I92" s="29">
        <v>210</v>
      </c>
      <c r="J92" s="29">
        <v>263</v>
      </c>
      <c r="K92" s="29">
        <v>5.78</v>
      </c>
      <c r="M92" s="52"/>
      <c r="N92" s="30"/>
      <c r="O92" s="30"/>
      <c r="P92" s="30"/>
      <c r="Q92" s="30"/>
      <c r="R92" s="30"/>
    </row>
    <row r="93" spans="1:18" ht="13.5" customHeight="1" x14ac:dyDescent="0.15">
      <c r="A93" s="446" t="s">
        <v>218</v>
      </c>
      <c r="B93" s="447"/>
      <c r="C93" s="448" t="s">
        <v>219</v>
      </c>
      <c r="D93" s="449" t="s">
        <v>103</v>
      </c>
      <c r="E93" s="29">
        <v>45</v>
      </c>
      <c r="F93" s="29">
        <v>56</v>
      </c>
      <c r="G93" s="29">
        <v>105</v>
      </c>
      <c r="H93" s="29">
        <v>158</v>
      </c>
      <c r="I93" s="29">
        <v>210</v>
      </c>
      <c r="J93" s="29">
        <v>263</v>
      </c>
      <c r="K93" s="29">
        <v>5.78</v>
      </c>
      <c r="M93" s="52"/>
      <c r="N93" s="30"/>
      <c r="O93" s="30"/>
      <c r="P93" s="30"/>
      <c r="Q93" s="30"/>
      <c r="R93" s="30"/>
    </row>
    <row r="94" spans="1:18" ht="13.5" customHeight="1" x14ac:dyDescent="0.15">
      <c r="A94" s="446" t="s">
        <v>220</v>
      </c>
      <c r="B94" s="447"/>
      <c r="C94" s="448" t="s">
        <v>221</v>
      </c>
      <c r="D94" s="449" t="s">
        <v>103</v>
      </c>
      <c r="E94" s="29">
        <v>45</v>
      </c>
      <c r="F94" s="29">
        <v>56</v>
      </c>
      <c r="G94" s="29">
        <v>107</v>
      </c>
      <c r="H94" s="29">
        <v>160</v>
      </c>
      <c r="I94" s="29">
        <v>214</v>
      </c>
      <c r="J94" s="29">
        <v>267</v>
      </c>
      <c r="K94" s="29">
        <v>5.88</v>
      </c>
      <c r="M94" s="52"/>
      <c r="N94" s="30"/>
      <c r="O94" s="30"/>
      <c r="P94" s="30"/>
      <c r="Q94" s="30"/>
      <c r="R94" s="30"/>
    </row>
    <row r="95" spans="1:18" ht="13.5" customHeight="1" x14ac:dyDescent="0.15">
      <c r="A95" s="446" t="s">
        <v>222</v>
      </c>
      <c r="B95" s="447"/>
      <c r="C95" s="448" t="s">
        <v>223</v>
      </c>
      <c r="D95" s="449" t="s">
        <v>103</v>
      </c>
      <c r="E95" s="29">
        <v>45</v>
      </c>
      <c r="F95" s="29">
        <v>56</v>
      </c>
      <c r="G95" s="29">
        <v>107</v>
      </c>
      <c r="H95" s="29">
        <v>160</v>
      </c>
      <c r="I95" s="29">
        <v>214</v>
      </c>
      <c r="J95" s="29">
        <v>267</v>
      </c>
      <c r="K95" s="29">
        <v>5.88</v>
      </c>
      <c r="M95" s="52"/>
      <c r="N95" s="30"/>
      <c r="O95" s="30"/>
      <c r="P95" s="30"/>
      <c r="Q95" s="30"/>
      <c r="R95" s="30"/>
    </row>
    <row r="96" spans="1:18" ht="13.5" customHeight="1" x14ac:dyDescent="0.15">
      <c r="A96" s="446" t="s">
        <v>224</v>
      </c>
      <c r="B96" s="447"/>
      <c r="C96" s="448" t="s">
        <v>225</v>
      </c>
      <c r="D96" s="449" t="s">
        <v>103</v>
      </c>
      <c r="E96" s="29">
        <v>45</v>
      </c>
      <c r="F96" s="29">
        <v>56</v>
      </c>
      <c r="G96" s="29">
        <v>105</v>
      </c>
      <c r="H96" s="29">
        <v>158</v>
      </c>
      <c r="I96" s="29">
        <v>210</v>
      </c>
      <c r="J96" s="29">
        <v>263</v>
      </c>
      <c r="K96" s="29">
        <v>5.78</v>
      </c>
      <c r="M96" s="52"/>
      <c r="N96" s="30"/>
      <c r="O96" s="30"/>
      <c r="P96" s="30"/>
      <c r="Q96" s="30"/>
      <c r="R96" s="30"/>
    </row>
    <row r="97" spans="1:18" ht="13.5" customHeight="1" x14ac:dyDescent="0.15">
      <c r="A97" s="446" t="s">
        <v>226</v>
      </c>
      <c r="B97" s="447"/>
      <c r="C97" s="448" t="s">
        <v>227</v>
      </c>
      <c r="D97" s="449" t="s">
        <v>103</v>
      </c>
      <c r="E97" s="29">
        <v>45</v>
      </c>
      <c r="F97" s="29">
        <v>56</v>
      </c>
      <c r="G97" s="29">
        <v>105</v>
      </c>
      <c r="H97" s="29">
        <v>158</v>
      </c>
      <c r="I97" s="29">
        <v>210</v>
      </c>
      <c r="J97" s="29">
        <v>263</v>
      </c>
      <c r="K97" s="29">
        <v>5.78</v>
      </c>
      <c r="M97" s="52"/>
      <c r="N97" s="30"/>
      <c r="O97" s="30"/>
      <c r="P97" s="30"/>
      <c r="Q97" s="30"/>
      <c r="R97" s="30"/>
    </row>
    <row r="98" spans="1:18" ht="13.5" customHeight="1" x14ac:dyDescent="0.15">
      <c r="A98" s="446" t="s">
        <v>228</v>
      </c>
      <c r="B98" s="447"/>
      <c r="C98" s="448" t="s">
        <v>229</v>
      </c>
      <c r="D98" s="449" t="s">
        <v>103</v>
      </c>
      <c r="E98" s="29">
        <v>44</v>
      </c>
      <c r="F98" s="29">
        <v>54</v>
      </c>
      <c r="G98" s="29">
        <v>103</v>
      </c>
      <c r="H98" s="29">
        <v>155</v>
      </c>
      <c r="I98" s="29">
        <v>206</v>
      </c>
      <c r="J98" s="29">
        <v>258</v>
      </c>
      <c r="K98" s="29">
        <v>5.67</v>
      </c>
      <c r="M98" s="52"/>
      <c r="N98" s="30"/>
      <c r="O98" s="30"/>
      <c r="P98" s="30"/>
      <c r="Q98" s="30"/>
      <c r="R98" s="30"/>
    </row>
    <row r="99" spans="1:18" ht="13.5" customHeight="1" x14ac:dyDescent="0.15">
      <c r="A99" s="446" t="s">
        <v>230</v>
      </c>
      <c r="B99" s="447"/>
      <c r="C99" s="448" t="s">
        <v>231</v>
      </c>
      <c r="D99" s="449" t="s">
        <v>103</v>
      </c>
      <c r="E99" s="29">
        <v>42</v>
      </c>
      <c r="F99" s="29">
        <v>52</v>
      </c>
      <c r="G99" s="29">
        <v>100</v>
      </c>
      <c r="H99" s="29">
        <v>149</v>
      </c>
      <c r="I99" s="29">
        <v>199</v>
      </c>
      <c r="J99" s="29">
        <v>248</v>
      </c>
      <c r="K99" s="29">
        <v>5.46</v>
      </c>
      <c r="M99" s="52"/>
      <c r="N99" s="30"/>
      <c r="O99" s="30"/>
      <c r="P99" s="30"/>
      <c r="Q99" s="30"/>
      <c r="R99" s="30"/>
    </row>
    <row r="100" spans="1:18" ht="13.5" customHeight="1" x14ac:dyDescent="0.15">
      <c r="A100" s="446" t="s">
        <v>232</v>
      </c>
      <c r="B100" s="447"/>
      <c r="C100" s="448" t="s">
        <v>233</v>
      </c>
      <c r="D100" s="449" t="s">
        <v>103</v>
      </c>
      <c r="E100" s="29">
        <v>44</v>
      </c>
      <c r="F100" s="29">
        <v>54</v>
      </c>
      <c r="G100" s="29">
        <v>103</v>
      </c>
      <c r="H100" s="29">
        <v>155</v>
      </c>
      <c r="I100" s="29">
        <v>206</v>
      </c>
      <c r="J100" s="29">
        <v>258</v>
      </c>
      <c r="K100" s="29">
        <v>5.67</v>
      </c>
      <c r="M100" s="52"/>
      <c r="N100" s="30"/>
      <c r="O100" s="30"/>
      <c r="P100" s="30"/>
      <c r="Q100" s="30"/>
      <c r="R100" s="30"/>
    </row>
    <row r="101" spans="1:18" ht="13.5" customHeight="1" x14ac:dyDescent="0.15">
      <c r="A101" s="446" t="s">
        <v>234</v>
      </c>
      <c r="B101" s="447"/>
      <c r="C101" s="448" t="s">
        <v>235</v>
      </c>
      <c r="D101" s="449" t="s">
        <v>103</v>
      </c>
      <c r="E101" s="29">
        <v>45</v>
      </c>
      <c r="F101" s="29">
        <v>56</v>
      </c>
      <c r="G101" s="29">
        <v>105</v>
      </c>
      <c r="H101" s="29">
        <v>158</v>
      </c>
      <c r="I101" s="29">
        <v>210</v>
      </c>
      <c r="J101" s="29">
        <v>263</v>
      </c>
      <c r="K101" s="29">
        <v>5.78</v>
      </c>
      <c r="M101" s="52"/>
      <c r="N101" s="30"/>
      <c r="O101" s="30"/>
      <c r="P101" s="30"/>
      <c r="Q101" s="30"/>
      <c r="R101" s="30"/>
    </row>
    <row r="102" spans="1:18" ht="13.5" customHeight="1" x14ac:dyDescent="0.15">
      <c r="A102" s="446" t="s">
        <v>236</v>
      </c>
      <c r="B102" s="447"/>
      <c r="C102" s="448" t="s">
        <v>237</v>
      </c>
      <c r="D102" s="449" t="s">
        <v>103</v>
      </c>
      <c r="E102" s="29">
        <v>45</v>
      </c>
      <c r="F102" s="29">
        <v>56</v>
      </c>
      <c r="G102" s="29">
        <v>105</v>
      </c>
      <c r="H102" s="29">
        <v>158</v>
      </c>
      <c r="I102" s="29">
        <v>210</v>
      </c>
      <c r="J102" s="29">
        <v>263</v>
      </c>
      <c r="K102" s="29">
        <v>5.78</v>
      </c>
      <c r="M102" s="52"/>
      <c r="N102" s="30"/>
      <c r="O102" s="30"/>
      <c r="P102" s="30"/>
      <c r="Q102" s="30"/>
      <c r="R102" s="30"/>
    </row>
    <row r="103" spans="1:18" ht="13.5" customHeight="1" x14ac:dyDescent="0.15">
      <c r="A103" s="446" t="s">
        <v>238</v>
      </c>
      <c r="B103" s="447"/>
      <c r="C103" s="448" t="s">
        <v>239</v>
      </c>
      <c r="D103" s="449" t="s">
        <v>103</v>
      </c>
      <c r="E103" s="29">
        <v>45</v>
      </c>
      <c r="F103" s="29">
        <v>56</v>
      </c>
      <c r="G103" s="29">
        <v>107</v>
      </c>
      <c r="H103" s="29">
        <v>160</v>
      </c>
      <c r="I103" s="29">
        <v>214</v>
      </c>
      <c r="J103" s="29">
        <v>267</v>
      </c>
      <c r="K103" s="29">
        <v>5.88</v>
      </c>
      <c r="M103" s="52"/>
      <c r="N103" s="30"/>
      <c r="O103" s="30"/>
      <c r="P103" s="30"/>
      <c r="Q103" s="30"/>
      <c r="R103" s="30"/>
    </row>
    <row r="104" spans="1:18" ht="13.5" customHeight="1" x14ac:dyDescent="0.15">
      <c r="A104" s="446" t="s">
        <v>240</v>
      </c>
      <c r="B104" s="447"/>
      <c r="C104" s="448" t="s">
        <v>241</v>
      </c>
      <c r="D104" s="449" t="s">
        <v>103</v>
      </c>
      <c r="E104" s="29">
        <v>45</v>
      </c>
      <c r="F104" s="29">
        <v>56</v>
      </c>
      <c r="G104" s="29">
        <v>107</v>
      </c>
      <c r="H104" s="29">
        <v>160</v>
      </c>
      <c r="I104" s="29">
        <v>214</v>
      </c>
      <c r="J104" s="29">
        <v>267</v>
      </c>
      <c r="K104" s="29">
        <v>5.88</v>
      </c>
      <c r="M104" s="52"/>
      <c r="N104" s="30"/>
      <c r="O104" s="30"/>
      <c r="P104" s="30"/>
      <c r="Q104" s="30"/>
      <c r="R104" s="30"/>
    </row>
    <row r="105" spans="1:18" ht="13.5" customHeight="1" x14ac:dyDescent="0.15">
      <c r="A105" s="446" t="s">
        <v>242</v>
      </c>
      <c r="B105" s="447"/>
      <c r="C105" s="448" t="s">
        <v>243</v>
      </c>
      <c r="D105" s="449" t="s">
        <v>103</v>
      </c>
      <c r="E105" s="29">
        <v>46</v>
      </c>
      <c r="F105" s="29">
        <v>58</v>
      </c>
      <c r="G105" s="29">
        <v>109</v>
      </c>
      <c r="H105" s="29">
        <v>163</v>
      </c>
      <c r="I105" s="29">
        <v>218</v>
      </c>
      <c r="J105" s="29">
        <v>272</v>
      </c>
      <c r="K105" s="29">
        <v>5.99</v>
      </c>
      <c r="M105" s="52"/>
      <c r="N105" s="30"/>
      <c r="O105" s="30"/>
      <c r="P105" s="30"/>
      <c r="Q105" s="30"/>
      <c r="R105" s="30"/>
    </row>
    <row r="106" spans="1:18" ht="13.5" customHeight="1" x14ac:dyDescent="0.15">
      <c r="A106" s="446" t="s">
        <v>244</v>
      </c>
      <c r="B106" s="447"/>
      <c r="C106" s="448" t="s">
        <v>245</v>
      </c>
      <c r="D106" s="449" t="s">
        <v>103</v>
      </c>
      <c r="E106" s="29">
        <v>45</v>
      </c>
      <c r="F106" s="29">
        <v>56</v>
      </c>
      <c r="G106" s="29">
        <v>105</v>
      </c>
      <c r="H106" s="29">
        <v>158</v>
      </c>
      <c r="I106" s="29">
        <v>210</v>
      </c>
      <c r="J106" s="29">
        <v>263</v>
      </c>
      <c r="K106" s="29">
        <v>5.78</v>
      </c>
      <c r="M106" s="52"/>
      <c r="N106" s="30"/>
      <c r="O106" s="30"/>
      <c r="P106" s="30"/>
      <c r="Q106" s="30"/>
      <c r="R106" s="30"/>
    </row>
    <row r="107" spans="1:18" ht="13.5" customHeight="1" x14ac:dyDescent="0.2">
      <c r="A107" s="450" t="s">
        <v>246</v>
      </c>
      <c r="B107" s="451"/>
      <c r="C107" s="451"/>
      <c r="D107" s="451"/>
      <c r="E107" s="451"/>
      <c r="F107" s="451"/>
      <c r="G107" s="451"/>
      <c r="H107" s="451"/>
      <c r="I107" s="451"/>
      <c r="J107" s="451"/>
      <c r="K107" s="452"/>
    </row>
    <row r="108" spans="1:18" ht="13.5" customHeight="1" x14ac:dyDescent="0.15"/>
    <row r="109" spans="1:18" ht="13.5" customHeight="1" x14ac:dyDescent="0.15">
      <c r="A109" s="31" t="s">
        <v>247</v>
      </c>
    </row>
    <row r="110" spans="1:18" ht="13.5" customHeight="1" x14ac:dyDescent="0.15">
      <c r="A110" s="32">
        <v>1</v>
      </c>
      <c r="B110" s="453" t="s">
        <v>248</v>
      </c>
      <c r="C110" s="453"/>
      <c r="D110" s="453"/>
      <c r="E110" s="453"/>
      <c r="F110" s="453"/>
      <c r="G110" s="453"/>
      <c r="H110" s="453"/>
      <c r="I110" s="453"/>
      <c r="J110" s="453"/>
      <c r="K110" s="453"/>
    </row>
    <row r="111" spans="1:18" ht="13.5" customHeight="1" x14ac:dyDescent="0.15">
      <c r="B111" s="453"/>
      <c r="C111" s="453"/>
      <c r="D111" s="453"/>
      <c r="E111" s="453"/>
      <c r="F111" s="453"/>
      <c r="G111" s="453"/>
      <c r="H111" s="453"/>
      <c r="I111" s="453"/>
      <c r="J111" s="453"/>
      <c r="K111" s="453"/>
    </row>
    <row r="112" spans="1:18" ht="13.5" customHeight="1" x14ac:dyDescent="0.15">
      <c r="B112" s="33"/>
      <c r="C112" s="33"/>
      <c r="D112" s="33"/>
      <c r="E112" s="33"/>
      <c r="F112" s="33"/>
      <c r="G112" s="33"/>
      <c r="H112" s="33"/>
      <c r="I112" s="33"/>
      <c r="J112" s="33"/>
      <c r="K112" s="33"/>
    </row>
    <row r="113" spans="1:11" ht="13.5" customHeight="1" x14ac:dyDescent="0.15">
      <c r="B113" s="33"/>
      <c r="C113" s="33"/>
      <c r="D113" s="33"/>
      <c r="E113" s="33"/>
      <c r="F113" s="33"/>
      <c r="G113" s="33"/>
      <c r="H113" s="33"/>
      <c r="I113" s="33"/>
      <c r="J113" s="33"/>
      <c r="K113" s="33"/>
    </row>
    <row r="114" spans="1:11" ht="13.5" customHeight="1" x14ac:dyDescent="0.15">
      <c r="A114" s="31" t="s">
        <v>249</v>
      </c>
    </row>
    <row r="115" spans="1:11" ht="13.5" customHeight="1" x14ac:dyDescent="0.15">
      <c r="A115" s="34" t="s">
        <v>250</v>
      </c>
      <c r="B115" s="4" t="s">
        <v>251</v>
      </c>
    </row>
    <row r="116" spans="1:11" ht="13.5" customHeight="1" x14ac:dyDescent="0.15">
      <c r="A116" s="34" t="s">
        <v>252</v>
      </c>
      <c r="B116" s="4" t="s">
        <v>253</v>
      </c>
    </row>
    <row r="117" spans="1:11" ht="13.5" customHeight="1" x14ac:dyDescent="0.15">
      <c r="A117" s="34" t="s">
        <v>254</v>
      </c>
      <c r="B117" s="4" t="s">
        <v>255</v>
      </c>
    </row>
    <row r="118" spans="1:11" ht="13.5" customHeight="1" x14ac:dyDescent="0.15">
      <c r="A118" s="34" t="s">
        <v>256</v>
      </c>
      <c r="B118" s="453" t="s">
        <v>257</v>
      </c>
      <c r="C118" s="453"/>
      <c r="D118" s="453"/>
      <c r="E118" s="453"/>
      <c r="F118" s="453"/>
      <c r="G118" s="453"/>
      <c r="H118" s="453"/>
      <c r="I118" s="453"/>
      <c r="J118" s="453"/>
      <c r="K118" s="453"/>
    </row>
    <row r="119" spans="1:11" ht="13.5" customHeight="1" x14ac:dyDescent="0.15">
      <c r="A119" s="34"/>
      <c r="B119" s="453"/>
      <c r="C119" s="453"/>
      <c r="D119" s="453"/>
      <c r="E119" s="453"/>
      <c r="F119" s="453"/>
      <c r="G119" s="453"/>
      <c r="H119" s="453"/>
      <c r="I119" s="453"/>
      <c r="J119" s="453"/>
      <c r="K119" s="453"/>
    </row>
    <row r="120" spans="1:11" ht="13.5" customHeight="1" x14ac:dyDescent="0.15">
      <c r="A120" s="34" t="s">
        <v>258</v>
      </c>
      <c r="B120" s="4" t="s">
        <v>259</v>
      </c>
    </row>
    <row r="121" spans="1:11" ht="13.5" customHeight="1" x14ac:dyDescent="0.15">
      <c r="A121" s="34" t="s">
        <v>260</v>
      </c>
      <c r="B121" s="453" t="s">
        <v>261</v>
      </c>
      <c r="C121" s="453"/>
      <c r="D121" s="453"/>
      <c r="E121" s="453"/>
      <c r="F121" s="453"/>
      <c r="G121" s="453"/>
      <c r="H121" s="453"/>
      <c r="I121" s="453"/>
      <c r="J121" s="453"/>
      <c r="K121" s="453"/>
    </row>
    <row r="122" spans="1:11" ht="13.5" customHeight="1" x14ac:dyDescent="0.15">
      <c r="A122" s="34"/>
      <c r="B122" s="453"/>
      <c r="C122" s="453"/>
      <c r="D122" s="453"/>
      <c r="E122" s="453"/>
      <c r="F122" s="453"/>
      <c r="G122" s="453"/>
      <c r="H122" s="453"/>
      <c r="I122" s="453"/>
      <c r="J122" s="453"/>
      <c r="K122" s="453"/>
    </row>
    <row r="123" spans="1:11" ht="13.5" customHeight="1" x14ac:dyDescent="0.15">
      <c r="A123" s="34" t="s">
        <v>262</v>
      </c>
      <c r="B123" s="4" t="s">
        <v>263</v>
      </c>
    </row>
    <row r="124" spans="1:11" ht="13.5" customHeight="1" x14ac:dyDescent="0.15">
      <c r="A124" s="34"/>
      <c r="B124" s="4" t="s">
        <v>264</v>
      </c>
    </row>
    <row r="125" spans="1:11" ht="13.5" customHeight="1" x14ac:dyDescent="0.15">
      <c r="A125" s="34"/>
      <c r="B125" s="4" t="s">
        <v>265</v>
      </c>
    </row>
    <row r="126" spans="1:11" ht="13.5" customHeight="1" x14ac:dyDescent="0.15">
      <c r="A126" s="34"/>
      <c r="B126" s="4" t="s">
        <v>266</v>
      </c>
    </row>
    <row r="127" spans="1:11" ht="13.5" customHeight="1" x14ac:dyDescent="0.15">
      <c r="A127" s="34" t="s">
        <v>267</v>
      </c>
      <c r="B127" s="453" t="s">
        <v>268</v>
      </c>
      <c r="C127" s="453"/>
      <c r="D127" s="453"/>
      <c r="E127" s="453"/>
      <c r="F127" s="453"/>
      <c r="G127" s="453"/>
      <c r="H127" s="453"/>
      <c r="I127" s="453"/>
      <c r="J127" s="453"/>
      <c r="K127" s="453"/>
    </row>
    <row r="128" spans="1:11" ht="13.5" customHeight="1" x14ac:dyDescent="0.15">
      <c r="A128" s="34"/>
      <c r="B128" s="453"/>
      <c r="C128" s="453"/>
      <c r="D128" s="453"/>
      <c r="E128" s="453"/>
      <c r="F128" s="453"/>
      <c r="G128" s="453"/>
      <c r="H128" s="453"/>
      <c r="I128" s="453"/>
      <c r="J128" s="453"/>
      <c r="K128" s="453"/>
    </row>
    <row r="129" spans="1:11" ht="13.5" customHeight="1" x14ac:dyDescent="0.15">
      <c r="A129" s="34" t="s">
        <v>269</v>
      </c>
      <c r="B129" s="4" t="s">
        <v>270</v>
      </c>
    </row>
    <row r="130" spans="1:11" ht="13.5" customHeight="1" x14ac:dyDescent="0.15">
      <c r="A130" s="34"/>
      <c r="B130" s="4" t="s">
        <v>271</v>
      </c>
    </row>
    <row r="131" spans="1:11" ht="13.5" customHeight="1" x14ac:dyDescent="0.15">
      <c r="A131" s="34"/>
      <c r="B131" s="453" t="s">
        <v>272</v>
      </c>
      <c r="C131" s="453"/>
      <c r="D131" s="453"/>
      <c r="E131" s="453"/>
      <c r="F131" s="453"/>
      <c r="G131" s="453"/>
      <c r="H131" s="453"/>
      <c r="I131" s="453"/>
      <c r="J131" s="453"/>
      <c r="K131" s="453"/>
    </row>
    <row r="132" spans="1:11" ht="13.5" customHeight="1" x14ac:dyDescent="0.15">
      <c r="A132" s="34"/>
      <c r="B132" s="453"/>
      <c r="C132" s="453"/>
      <c r="D132" s="453"/>
      <c r="E132" s="453"/>
      <c r="F132" s="453"/>
      <c r="G132" s="453"/>
      <c r="H132" s="453"/>
      <c r="I132" s="453"/>
      <c r="J132" s="453"/>
      <c r="K132" s="453"/>
    </row>
    <row r="133" spans="1:11" ht="13.5" customHeight="1" x14ac:dyDescent="0.2">
      <c r="A133" s="34"/>
      <c r="F133" s="35"/>
      <c r="G133" s="36"/>
      <c r="H133" s="37"/>
      <c r="I133" s="38"/>
    </row>
    <row r="134" spans="1:11" ht="13.5" customHeight="1" x14ac:dyDescent="0.2">
      <c r="A134" s="34"/>
      <c r="F134" s="39" t="s">
        <v>273</v>
      </c>
      <c r="G134" s="37"/>
      <c r="H134" s="37"/>
      <c r="I134" s="40"/>
    </row>
    <row r="135" spans="1:11" ht="13.5" customHeight="1" x14ac:dyDescent="0.2">
      <c r="A135" s="34"/>
      <c r="F135" s="41"/>
      <c r="G135" s="456"/>
      <c r="H135" s="456"/>
      <c r="I135" s="457"/>
    </row>
    <row r="136" spans="1:11" ht="13.5" customHeight="1" x14ac:dyDescent="0.2">
      <c r="A136" s="34"/>
      <c r="F136" s="42"/>
      <c r="G136" s="456" t="s">
        <v>274</v>
      </c>
      <c r="H136" s="456"/>
      <c r="I136" s="457"/>
    </row>
    <row r="137" spans="1:11" ht="13.5" customHeight="1" x14ac:dyDescent="0.2">
      <c r="A137" s="34"/>
      <c r="F137" s="43"/>
      <c r="G137" s="454">
        <v>2000</v>
      </c>
      <c r="H137" s="454"/>
      <c r="I137" s="455"/>
    </row>
    <row r="138" spans="1:11" ht="13.5" customHeight="1" x14ac:dyDescent="0.2">
      <c r="A138" s="34"/>
      <c r="F138" s="44"/>
      <c r="G138" s="37"/>
      <c r="H138" s="37"/>
      <c r="I138" s="45"/>
    </row>
    <row r="139" spans="1:11" ht="13.5" customHeight="1" x14ac:dyDescent="0.15">
      <c r="A139" s="34"/>
    </row>
    <row r="140" spans="1:11" ht="13.5" customHeight="1" x14ac:dyDescent="0.15">
      <c r="A140" s="34"/>
    </row>
    <row r="141" spans="1:11" ht="13.5" customHeight="1" x14ac:dyDescent="0.15">
      <c r="A141" s="34" t="s">
        <v>275</v>
      </c>
      <c r="B141" s="4" t="s">
        <v>276</v>
      </c>
    </row>
    <row r="142" spans="1:11" ht="13.5" customHeight="1" x14ac:dyDescent="0.15">
      <c r="A142" s="34" t="s">
        <v>277</v>
      </c>
      <c r="B142" s="4" t="s">
        <v>278</v>
      </c>
    </row>
    <row r="143" spans="1:11" ht="13.5" customHeight="1" x14ac:dyDescent="0.15">
      <c r="A143" s="34" t="s">
        <v>279</v>
      </c>
      <c r="B143" s="4" t="s">
        <v>280</v>
      </c>
    </row>
  </sheetData>
  <mergeCells count="213">
    <mergeCell ref="A106:B106"/>
    <mergeCell ref="C106:D106"/>
    <mergeCell ref="A107:K107"/>
    <mergeCell ref="B110:K111"/>
    <mergeCell ref="G137:I137"/>
    <mergeCell ref="B118:K119"/>
    <mergeCell ref="B121:K122"/>
    <mergeCell ref="B127:K128"/>
    <mergeCell ref="B131:K132"/>
    <mergeCell ref="G135:I135"/>
    <mergeCell ref="G136:I136"/>
    <mergeCell ref="A101:B101"/>
    <mergeCell ref="C101:D101"/>
    <mergeCell ref="A102:B102"/>
    <mergeCell ref="C102:D102"/>
    <mergeCell ref="A103:B103"/>
    <mergeCell ref="C103:D103"/>
    <mergeCell ref="A104:B104"/>
    <mergeCell ref="C104:D104"/>
    <mergeCell ref="A105:B105"/>
    <mergeCell ref="C105:D105"/>
    <mergeCell ref="A96:B96"/>
    <mergeCell ref="C96:D96"/>
    <mergeCell ref="A97:B97"/>
    <mergeCell ref="C97:D97"/>
    <mergeCell ref="A98:B98"/>
    <mergeCell ref="C98:D98"/>
    <mergeCell ref="A99:B99"/>
    <mergeCell ref="C99:D99"/>
    <mergeCell ref="A100:B100"/>
    <mergeCell ref="C100:D100"/>
    <mergeCell ref="A91:B91"/>
    <mergeCell ref="C91:D91"/>
    <mergeCell ref="A92:B92"/>
    <mergeCell ref="C92:D92"/>
    <mergeCell ref="A93:B93"/>
    <mergeCell ref="C93:D93"/>
    <mergeCell ref="A94:B94"/>
    <mergeCell ref="C94:D94"/>
    <mergeCell ref="A95:B95"/>
    <mergeCell ref="C95:D95"/>
    <mergeCell ref="A86:B86"/>
    <mergeCell ref="C86:D86"/>
    <mergeCell ref="A87:B87"/>
    <mergeCell ref="C87:D87"/>
    <mergeCell ref="A88:B88"/>
    <mergeCell ref="C88:D88"/>
    <mergeCell ref="A89:B89"/>
    <mergeCell ref="C89:D89"/>
    <mergeCell ref="A90:B90"/>
    <mergeCell ref="C90:D90"/>
    <mergeCell ref="A81:B81"/>
    <mergeCell ref="C81:D81"/>
    <mergeCell ref="A82:B82"/>
    <mergeCell ref="C82:D82"/>
    <mergeCell ref="A83:B83"/>
    <mergeCell ref="C83:D83"/>
    <mergeCell ref="A84:B84"/>
    <mergeCell ref="C84:D84"/>
    <mergeCell ref="A85:B85"/>
    <mergeCell ref="C85:D85"/>
    <mergeCell ref="A76:B76"/>
    <mergeCell ref="C76:D76"/>
    <mergeCell ref="A77:B77"/>
    <mergeCell ref="C77:D77"/>
    <mergeCell ref="A78:B78"/>
    <mergeCell ref="C78:D78"/>
    <mergeCell ref="A79:B79"/>
    <mergeCell ref="C79:D79"/>
    <mergeCell ref="A80:B80"/>
    <mergeCell ref="C80:D80"/>
    <mergeCell ref="A71:B71"/>
    <mergeCell ref="C71:D71"/>
    <mergeCell ref="A72:B72"/>
    <mergeCell ref="C72:D72"/>
    <mergeCell ref="A73:B73"/>
    <mergeCell ref="C73:D73"/>
    <mergeCell ref="A74:B74"/>
    <mergeCell ref="C74:D74"/>
    <mergeCell ref="A75:B75"/>
    <mergeCell ref="C75:D75"/>
    <mergeCell ref="A66:B66"/>
    <mergeCell ref="C66:D66"/>
    <mergeCell ref="A67:B67"/>
    <mergeCell ref="C67:D67"/>
    <mergeCell ref="A68:B68"/>
    <mergeCell ref="C68:D68"/>
    <mergeCell ref="A69:B69"/>
    <mergeCell ref="C69:D69"/>
    <mergeCell ref="A70:B70"/>
    <mergeCell ref="C70:D70"/>
    <mergeCell ref="A61:B61"/>
    <mergeCell ref="C61:D61"/>
    <mergeCell ref="A62:B62"/>
    <mergeCell ref="C62:D62"/>
    <mergeCell ref="A63:B63"/>
    <mergeCell ref="C63:D63"/>
    <mergeCell ref="A64:B64"/>
    <mergeCell ref="C64:D64"/>
    <mergeCell ref="A65:B65"/>
    <mergeCell ref="C65:D65"/>
    <mergeCell ref="A56:B56"/>
    <mergeCell ref="C56:D56"/>
    <mergeCell ref="A57:B57"/>
    <mergeCell ref="C57:D57"/>
    <mergeCell ref="A58:B58"/>
    <mergeCell ref="C58:D58"/>
    <mergeCell ref="A59:B59"/>
    <mergeCell ref="C59:D59"/>
    <mergeCell ref="A60:B60"/>
    <mergeCell ref="C60:D60"/>
    <mergeCell ref="A51:B51"/>
    <mergeCell ref="C51:D51"/>
    <mergeCell ref="A52:B52"/>
    <mergeCell ref="C52:D52"/>
    <mergeCell ref="A53:B53"/>
    <mergeCell ref="C53:D53"/>
    <mergeCell ref="A54:B54"/>
    <mergeCell ref="C54:D54"/>
    <mergeCell ref="A55:B55"/>
    <mergeCell ref="C55:D55"/>
    <mergeCell ref="A46:B46"/>
    <mergeCell ref="C46:D46"/>
    <mergeCell ref="A47:B47"/>
    <mergeCell ref="C47:D47"/>
    <mergeCell ref="A48:B48"/>
    <mergeCell ref="C48:D48"/>
    <mergeCell ref="A49:B49"/>
    <mergeCell ref="C49:D49"/>
    <mergeCell ref="A50:B50"/>
    <mergeCell ref="C50:D50"/>
    <mergeCell ref="A41:B41"/>
    <mergeCell ref="C41:D41"/>
    <mergeCell ref="A42:B42"/>
    <mergeCell ref="C42:D42"/>
    <mergeCell ref="A43:B43"/>
    <mergeCell ref="C43:D43"/>
    <mergeCell ref="A44:B44"/>
    <mergeCell ref="C44:D44"/>
    <mergeCell ref="A45:B45"/>
    <mergeCell ref="C45:D45"/>
    <mergeCell ref="A36:B36"/>
    <mergeCell ref="C36:D36"/>
    <mergeCell ref="A37:B37"/>
    <mergeCell ref="C37:D37"/>
    <mergeCell ref="A38:B38"/>
    <mergeCell ref="C38:D38"/>
    <mergeCell ref="A39:B39"/>
    <mergeCell ref="C39:D39"/>
    <mergeCell ref="A40:B40"/>
    <mergeCell ref="C40:D40"/>
    <mergeCell ref="A31:B31"/>
    <mergeCell ref="C31:D31"/>
    <mergeCell ref="A32:B32"/>
    <mergeCell ref="C32:D32"/>
    <mergeCell ref="A33:B33"/>
    <mergeCell ref="C33:D33"/>
    <mergeCell ref="A34:B34"/>
    <mergeCell ref="C34:D34"/>
    <mergeCell ref="A35:B35"/>
    <mergeCell ref="C35:D35"/>
    <mergeCell ref="A24:D24"/>
    <mergeCell ref="E24:K24"/>
    <mergeCell ref="A25:D25"/>
    <mergeCell ref="A26:D26"/>
    <mergeCell ref="A27:D27"/>
    <mergeCell ref="A28:D28"/>
    <mergeCell ref="A29:D29"/>
    <mergeCell ref="A30:B30"/>
    <mergeCell ref="C30:D30"/>
    <mergeCell ref="A20:D20"/>
    <mergeCell ref="E20:F20"/>
    <mergeCell ref="G20:H20"/>
    <mergeCell ref="A21:D21"/>
    <mergeCell ref="E21:F21"/>
    <mergeCell ref="G21:H21"/>
    <mergeCell ref="A22:D22"/>
    <mergeCell ref="E22:K22"/>
    <mergeCell ref="A23:D23"/>
    <mergeCell ref="E23:K23"/>
    <mergeCell ref="A16:D16"/>
    <mergeCell ref="E16:F16"/>
    <mergeCell ref="G16:H16"/>
    <mergeCell ref="J16:K16"/>
    <mergeCell ref="A17:K17"/>
    <mergeCell ref="A18:D18"/>
    <mergeCell ref="E18:F18"/>
    <mergeCell ref="G18:H18"/>
    <mergeCell ref="A19:D19"/>
    <mergeCell ref="E19:F19"/>
    <mergeCell ref="G19:H19"/>
    <mergeCell ref="A12:D12"/>
    <mergeCell ref="E12:F12"/>
    <mergeCell ref="G12:H12"/>
    <mergeCell ref="J12:K12"/>
    <mergeCell ref="A13:D13"/>
    <mergeCell ref="E13:F13"/>
    <mergeCell ref="G13:H13"/>
    <mergeCell ref="A14:K14"/>
    <mergeCell ref="A15:D15"/>
    <mergeCell ref="E15:F15"/>
    <mergeCell ref="G15:H15"/>
    <mergeCell ref="J15:K15"/>
    <mergeCell ref="A6:D7"/>
    <mergeCell ref="H9:I9"/>
    <mergeCell ref="J9:K9"/>
    <mergeCell ref="A10:D10"/>
    <mergeCell ref="E10:F10"/>
    <mergeCell ref="G10:H10"/>
    <mergeCell ref="I10:K10"/>
    <mergeCell ref="A11:D11"/>
    <mergeCell ref="E11:F11"/>
    <mergeCell ref="G11:H1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F12"/>
  <sheetViews>
    <sheetView workbookViewId="0">
      <selection activeCell="D5" sqref="D5"/>
    </sheetView>
  </sheetViews>
  <sheetFormatPr defaultRowHeight="12.75" x14ac:dyDescent="0.2"/>
  <cols>
    <col min="1" max="1" width="22.28515625" bestFit="1" customWidth="1"/>
    <col min="2" max="5" width="8" bestFit="1" customWidth="1"/>
    <col min="6" max="6" width="11.7109375" bestFit="1" customWidth="1"/>
    <col min="7" max="7" width="8" bestFit="1" customWidth="1"/>
    <col min="8" max="8" width="11.7109375" bestFit="1" customWidth="1"/>
  </cols>
  <sheetData>
    <row r="3" spans="1:6" x14ac:dyDescent="0.2">
      <c r="A3" s="63" t="s">
        <v>345</v>
      </c>
      <c r="B3" s="63" t="s">
        <v>30</v>
      </c>
    </row>
    <row r="4" spans="1:6" x14ac:dyDescent="0.2">
      <c r="A4" s="63" t="s">
        <v>0</v>
      </c>
      <c r="B4" t="s">
        <v>69</v>
      </c>
      <c r="C4" t="s">
        <v>68</v>
      </c>
      <c r="D4" t="s">
        <v>71</v>
      </c>
      <c r="E4" t="s">
        <v>70</v>
      </c>
      <c r="F4" t="s">
        <v>328</v>
      </c>
    </row>
    <row r="5" spans="1:6" x14ac:dyDescent="0.2">
      <c r="A5" s="273">
        <v>43892</v>
      </c>
      <c r="B5" s="62"/>
      <c r="C5" s="62"/>
      <c r="D5" s="62">
        <v>2</v>
      </c>
      <c r="E5" s="62"/>
      <c r="F5" s="62">
        <v>2</v>
      </c>
    </row>
    <row r="6" spans="1:6" x14ac:dyDescent="0.2">
      <c r="A6" s="273">
        <v>43895</v>
      </c>
      <c r="B6" s="62"/>
      <c r="C6" s="62"/>
      <c r="D6" s="62"/>
      <c r="E6" s="62">
        <v>1</v>
      </c>
      <c r="F6" s="62">
        <v>1</v>
      </c>
    </row>
    <row r="7" spans="1:6" x14ac:dyDescent="0.2">
      <c r="A7" s="273">
        <v>43899</v>
      </c>
      <c r="B7" s="62"/>
      <c r="C7" s="62"/>
      <c r="D7" s="62">
        <v>1</v>
      </c>
      <c r="E7" s="62"/>
      <c r="F7" s="62">
        <v>1</v>
      </c>
    </row>
    <row r="8" spans="1:6" x14ac:dyDescent="0.2">
      <c r="A8" s="273">
        <v>43900</v>
      </c>
      <c r="B8" s="62">
        <v>3</v>
      </c>
      <c r="C8" s="62"/>
      <c r="D8" s="62"/>
      <c r="E8" s="62"/>
      <c r="F8" s="62">
        <v>3</v>
      </c>
    </row>
    <row r="9" spans="1:6" x14ac:dyDescent="0.2">
      <c r="A9" s="273">
        <v>43904</v>
      </c>
      <c r="B9" s="62"/>
      <c r="C9" s="62"/>
      <c r="D9" s="62"/>
      <c r="E9" s="62">
        <v>1</v>
      </c>
      <c r="F9" s="62">
        <v>1</v>
      </c>
    </row>
    <row r="10" spans="1:6" x14ac:dyDescent="0.2">
      <c r="A10" s="273">
        <v>43906</v>
      </c>
      <c r="B10" s="62"/>
      <c r="C10" s="62">
        <v>10</v>
      </c>
      <c r="D10" s="62"/>
      <c r="E10" s="62"/>
      <c r="F10" s="62">
        <v>10</v>
      </c>
    </row>
    <row r="11" spans="1:6" x14ac:dyDescent="0.2">
      <c r="A11" s="273">
        <v>43907</v>
      </c>
      <c r="B11" s="62">
        <v>1</v>
      </c>
      <c r="C11" s="62"/>
      <c r="D11" s="62">
        <v>4</v>
      </c>
      <c r="E11" s="62">
        <v>3</v>
      </c>
      <c r="F11" s="62">
        <v>8</v>
      </c>
    </row>
    <row r="12" spans="1:6" x14ac:dyDescent="0.2">
      <c r="A12" t="s">
        <v>328</v>
      </c>
      <c r="B12" s="62">
        <v>4</v>
      </c>
      <c r="C12" s="62">
        <v>10</v>
      </c>
      <c r="D12" s="62">
        <v>7</v>
      </c>
      <c r="E12" s="62">
        <v>5</v>
      </c>
      <c r="F12" s="62">
        <v>26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9"/>
  <sheetViews>
    <sheetView showGridLines="0" workbookViewId="0">
      <pane xSplit="1" ySplit="3" topLeftCell="C4" activePane="bottomRight" state="frozen"/>
      <selection pane="topRight" activeCell="B1" sqref="B1"/>
      <selection pane="bottomLeft" activeCell="A4" sqref="A4"/>
      <selection pane="bottomRight" activeCell="F29" sqref="F29"/>
    </sheetView>
  </sheetViews>
  <sheetFormatPr defaultRowHeight="12.75" x14ac:dyDescent="0.2"/>
  <cols>
    <col min="1" max="1" width="17" style="47" customWidth="1"/>
    <col min="2" max="4" width="11.7109375" style="89" customWidth="1"/>
    <col min="5" max="5" width="9.140625" style="47"/>
    <col min="6" max="6" width="14.85546875" style="47" customWidth="1"/>
    <col min="7" max="7" width="13.28515625" style="47" customWidth="1"/>
    <col min="8" max="10" width="9.140625" style="47"/>
    <col min="11" max="11" width="14.85546875" style="47" customWidth="1"/>
    <col min="12" max="13" width="9.140625" style="47"/>
    <col min="14" max="14" width="21.28515625" style="47" customWidth="1"/>
    <col min="15" max="16384" width="9.140625" style="47"/>
  </cols>
  <sheetData>
    <row r="1" spans="1:11" x14ac:dyDescent="0.2">
      <c r="F1" s="118" t="s">
        <v>391</v>
      </c>
      <c r="G1" s="118" t="s">
        <v>392</v>
      </c>
      <c r="H1" s="118" t="s">
        <v>393</v>
      </c>
      <c r="I1" s="118" t="s">
        <v>394</v>
      </c>
      <c r="J1" s="118" t="s">
        <v>395</v>
      </c>
      <c r="K1" s="118" t="s">
        <v>391</v>
      </c>
    </row>
    <row r="2" spans="1:11" x14ac:dyDescent="0.2">
      <c r="B2" s="112" t="s">
        <v>380</v>
      </c>
      <c r="C2" s="112" t="s">
        <v>381</v>
      </c>
      <c r="D2" s="112" t="s">
        <v>382</v>
      </c>
      <c r="F2" s="117" t="s">
        <v>553</v>
      </c>
      <c r="G2" s="117" t="s">
        <v>68</v>
      </c>
      <c r="H2" s="117">
        <v>70</v>
      </c>
      <c r="I2" s="117">
        <v>5</v>
      </c>
      <c r="J2" s="117">
        <v>1</v>
      </c>
      <c r="K2" s="117" t="str">
        <f t="shared" ref="K2:K8" si="0">F2</f>
        <v>ZABZ90490001</v>
      </c>
    </row>
    <row r="3" spans="1:11" x14ac:dyDescent="0.2">
      <c r="B3" s="113" t="s">
        <v>383</v>
      </c>
      <c r="C3" s="113" t="s">
        <v>383</v>
      </c>
      <c r="D3" s="113" t="s">
        <v>383</v>
      </c>
      <c r="F3" s="117" t="s">
        <v>554</v>
      </c>
      <c r="G3" s="117" t="s">
        <v>69</v>
      </c>
      <c r="H3" s="117">
        <v>80</v>
      </c>
      <c r="I3" s="117">
        <v>10</v>
      </c>
      <c r="J3" s="117">
        <v>2</v>
      </c>
      <c r="K3" s="117" t="str">
        <f t="shared" si="0"/>
        <v>ZABZ90490002</v>
      </c>
    </row>
    <row r="4" spans="1:11" x14ac:dyDescent="0.2">
      <c r="A4" s="114" t="s">
        <v>384</v>
      </c>
      <c r="B4" s="115">
        <v>35.5</v>
      </c>
      <c r="C4" s="115">
        <v>52</v>
      </c>
      <c r="D4" s="115">
        <v>42</v>
      </c>
      <c r="F4" s="117" t="s">
        <v>555</v>
      </c>
      <c r="G4" s="117" t="s">
        <v>70</v>
      </c>
      <c r="H4" s="117">
        <v>110</v>
      </c>
      <c r="I4" s="117">
        <v>20</v>
      </c>
      <c r="J4" s="117">
        <v>3</v>
      </c>
      <c r="K4" s="117" t="str">
        <f t="shared" si="0"/>
        <v>ZABZ90490003</v>
      </c>
    </row>
    <row r="5" spans="1:11" x14ac:dyDescent="0.2">
      <c r="A5" s="116" t="s">
        <v>386</v>
      </c>
      <c r="B5" s="458">
        <f>B4+C4+D4</f>
        <v>129.5</v>
      </c>
      <c r="C5" s="458"/>
      <c r="D5" s="458"/>
      <c r="F5" s="117" t="s">
        <v>556</v>
      </c>
      <c r="G5" s="117" t="s">
        <v>71</v>
      </c>
      <c r="H5" s="117">
        <v>140</v>
      </c>
      <c r="I5" s="117">
        <v>30</v>
      </c>
      <c r="J5" s="117">
        <v>4</v>
      </c>
      <c r="K5" s="117" t="str">
        <f t="shared" si="0"/>
        <v>ZABZ90490004</v>
      </c>
    </row>
    <row r="6" spans="1:11" x14ac:dyDescent="0.2">
      <c r="A6" s="117" t="s">
        <v>387</v>
      </c>
      <c r="B6" s="459">
        <v>52</v>
      </c>
      <c r="C6" s="459"/>
      <c r="D6" s="459"/>
      <c r="F6" s="117" t="s">
        <v>557</v>
      </c>
      <c r="G6" s="117" t="s">
        <v>72</v>
      </c>
      <c r="H6" s="117">
        <v>160</v>
      </c>
      <c r="I6" s="117">
        <v>40</v>
      </c>
      <c r="J6" s="117">
        <v>5</v>
      </c>
      <c r="K6" s="117" t="str">
        <f t="shared" si="0"/>
        <v>ZABZ90490005</v>
      </c>
    </row>
    <row r="7" spans="1:11" x14ac:dyDescent="0.2">
      <c r="A7" s="117" t="s">
        <v>388</v>
      </c>
      <c r="B7" s="460">
        <f>IF($B$5&gt;$H$7,$J$8,IF($B$5&gt;$H$6,$J$7,IF($B$5&gt;$H$5,$J$6,IF($B$5&gt;$H$4,$J$5,IF($B$5&gt;$H$3,$J$4,IF($B$5&gt;$H$2,$J$3,$J$2))))))</f>
        <v>4</v>
      </c>
      <c r="C7" s="460"/>
      <c r="D7" s="460"/>
      <c r="F7" s="117" t="s">
        <v>558</v>
      </c>
      <c r="G7" s="117" t="s">
        <v>73</v>
      </c>
      <c r="H7" s="117">
        <v>190</v>
      </c>
      <c r="I7" s="117">
        <v>50</v>
      </c>
      <c r="J7" s="117">
        <v>6</v>
      </c>
      <c r="K7" s="117" t="str">
        <f t="shared" si="0"/>
        <v>ZABZ90490006</v>
      </c>
    </row>
    <row r="8" spans="1:11" x14ac:dyDescent="0.2">
      <c r="A8" s="117" t="s">
        <v>389</v>
      </c>
      <c r="B8" s="460">
        <f>IF($B$6&gt;$I$7,$J$8,IF($B$6&gt;$I$6,$J$7,IF($B$6&gt;$I$5,$J$6,IF($B$6&gt;$I$4,$J$5,IF($B$6&gt;$I$3,$J$4,IF($B$6&gt;$I$2,$J$3,$J$2))))))</f>
        <v>7</v>
      </c>
      <c r="C8" s="460"/>
      <c r="D8" s="460"/>
      <c r="F8" s="117" t="s">
        <v>559</v>
      </c>
      <c r="G8" s="117" t="s">
        <v>283</v>
      </c>
      <c r="H8" s="117"/>
      <c r="I8" s="117">
        <v>51</v>
      </c>
      <c r="J8" s="117">
        <v>7</v>
      </c>
      <c r="K8" s="117" t="str">
        <f t="shared" si="0"/>
        <v>ZABZ90490007</v>
      </c>
    </row>
    <row r="9" spans="1:11" x14ac:dyDescent="0.2">
      <c r="A9" s="117" t="s">
        <v>390</v>
      </c>
      <c r="B9" s="460" t="str">
        <f>VLOOKUP(IF($B$7&gt;$B$8,$B$7,$B$8),$J$2:$K$8,2,0)</f>
        <v>ZABZ90490007</v>
      </c>
      <c r="C9" s="460"/>
      <c r="D9" s="460"/>
      <c r="F9" s="117" t="s">
        <v>560</v>
      </c>
      <c r="G9" s="117" t="s">
        <v>68</v>
      </c>
      <c r="H9" s="117">
        <v>70</v>
      </c>
      <c r="I9" s="117">
        <v>5</v>
      </c>
      <c r="J9" s="117"/>
      <c r="K9" s="117" t="str">
        <f t="shared" ref="K9:K22" si="1">F9</f>
        <v>ZABZ90510001</v>
      </c>
    </row>
    <row r="10" spans="1:11" x14ac:dyDescent="0.2">
      <c r="F10" s="117" t="s">
        <v>561</v>
      </c>
      <c r="G10" s="117" t="s">
        <v>69</v>
      </c>
      <c r="H10" s="117">
        <v>80</v>
      </c>
      <c r="I10" s="117">
        <v>10</v>
      </c>
      <c r="J10" s="117"/>
      <c r="K10" s="117" t="str">
        <f t="shared" si="1"/>
        <v>ZABZ90510002</v>
      </c>
    </row>
    <row r="11" spans="1:11" x14ac:dyDescent="0.2">
      <c r="F11" s="117" t="s">
        <v>562</v>
      </c>
      <c r="G11" s="117" t="s">
        <v>70</v>
      </c>
      <c r="H11" s="117">
        <v>110</v>
      </c>
      <c r="I11" s="117">
        <v>20</v>
      </c>
      <c r="J11" s="117"/>
      <c r="K11" s="117" t="str">
        <f t="shared" si="1"/>
        <v>ZABZ90510003</v>
      </c>
    </row>
    <row r="12" spans="1:11" x14ac:dyDescent="0.2">
      <c r="F12" s="117" t="s">
        <v>563</v>
      </c>
      <c r="G12" s="117" t="s">
        <v>71</v>
      </c>
      <c r="H12" s="117">
        <v>140</v>
      </c>
      <c r="I12" s="117">
        <v>30</v>
      </c>
      <c r="J12" s="117"/>
      <c r="K12" s="117" t="str">
        <f t="shared" si="1"/>
        <v>ZABZ90510004</v>
      </c>
    </row>
    <row r="13" spans="1:11" x14ac:dyDescent="0.2">
      <c r="F13" s="117" t="s">
        <v>564</v>
      </c>
      <c r="G13" s="117" t="s">
        <v>72</v>
      </c>
      <c r="H13" s="117">
        <v>160</v>
      </c>
      <c r="I13" s="117">
        <v>40</v>
      </c>
      <c r="J13" s="117"/>
      <c r="K13" s="117" t="str">
        <f t="shared" si="1"/>
        <v>ZABZ90510005</v>
      </c>
    </row>
    <row r="14" spans="1:11" x14ac:dyDescent="0.2">
      <c r="F14" s="117" t="s">
        <v>565</v>
      </c>
      <c r="G14" s="117" t="s">
        <v>73</v>
      </c>
      <c r="H14" s="117">
        <v>190</v>
      </c>
      <c r="I14" s="117">
        <v>50</v>
      </c>
      <c r="J14" s="117"/>
      <c r="K14" s="117" t="str">
        <f t="shared" si="1"/>
        <v>ZABZ90510006</v>
      </c>
    </row>
    <row r="15" spans="1:11" x14ac:dyDescent="0.2">
      <c r="F15" s="117" t="s">
        <v>566</v>
      </c>
      <c r="G15" s="117" t="s">
        <v>283</v>
      </c>
      <c r="H15" s="117"/>
      <c r="I15" s="117">
        <v>51</v>
      </c>
      <c r="J15" s="117"/>
      <c r="K15" s="117" t="str">
        <f t="shared" si="1"/>
        <v>ZABZ90510007</v>
      </c>
    </row>
    <row r="16" spans="1:11" x14ac:dyDescent="0.2">
      <c r="F16" s="117" t="s">
        <v>567</v>
      </c>
      <c r="G16" s="117" t="s">
        <v>68</v>
      </c>
      <c r="H16" s="117">
        <v>70</v>
      </c>
      <c r="I16" s="117">
        <v>5</v>
      </c>
      <c r="J16" s="117"/>
      <c r="K16" s="117" t="str">
        <f t="shared" si="1"/>
        <v>ZABZ90480001</v>
      </c>
    </row>
    <row r="17" spans="6:11" x14ac:dyDescent="0.2">
      <c r="F17" s="117" t="s">
        <v>568</v>
      </c>
      <c r="G17" s="117" t="s">
        <v>69</v>
      </c>
      <c r="H17" s="117">
        <v>80</v>
      </c>
      <c r="I17" s="117">
        <v>10</v>
      </c>
      <c r="J17" s="117"/>
      <c r="K17" s="117" t="str">
        <f t="shared" si="1"/>
        <v>ZABZ90480002</v>
      </c>
    </row>
    <row r="18" spans="6:11" x14ac:dyDescent="0.2">
      <c r="F18" s="117" t="s">
        <v>569</v>
      </c>
      <c r="G18" s="117" t="s">
        <v>70</v>
      </c>
      <c r="H18" s="117">
        <v>110</v>
      </c>
      <c r="I18" s="117">
        <v>20</v>
      </c>
      <c r="J18" s="117"/>
      <c r="K18" s="117" t="str">
        <f t="shared" si="1"/>
        <v>ZABZ90480003</v>
      </c>
    </row>
    <row r="19" spans="6:11" x14ac:dyDescent="0.2">
      <c r="F19" s="117" t="s">
        <v>570</v>
      </c>
      <c r="G19" s="117" t="s">
        <v>71</v>
      </c>
      <c r="H19" s="117">
        <v>140</v>
      </c>
      <c r="I19" s="117">
        <v>30</v>
      </c>
      <c r="J19" s="117"/>
      <c r="K19" s="117" t="str">
        <f t="shared" si="1"/>
        <v>ZABZ90480004</v>
      </c>
    </row>
    <row r="20" spans="6:11" x14ac:dyDescent="0.2">
      <c r="F20" s="117" t="s">
        <v>571</v>
      </c>
      <c r="G20" s="117" t="s">
        <v>72</v>
      </c>
      <c r="H20" s="117">
        <v>160</v>
      </c>
      <c r="I20" s="117">
        <v>40</v>
      </c>
      <c r="J20" s="117"/>
      <c r="K20" s="117" t="str">
        <f t="shared" si="1"/>
        <v>ZABZ90480005</v>
      </c>
    </row>
    <row r="21" spans="6:11" x14ac:dyDescent="0.2">
      <c r="F21" s="117" t="s">
        <v>572</v>
      </c>
      <c r="G21" s="117" t="s">
        <v>73</v>
      </c>
      <c r="H21" s="117">
        <v>190</v>
      </c>
      <c r="I21" s="117">
        <v>50</v>
      </c>
      <c r="J21" s="117"/>
      <c r="K21" s="117" t="str">
        <f t="shared" si="1"/>
        <v>ZABZ90480006</v>
      </c>
    </row>
    <row r="22" spans="6:11" x14ac:dyDescent="0.2">
      <c r="F22" s="117" t="s">
        <v>573</v>
      </c>
      <c r="G22" s="117" t="s">
        <v>283</v>
      </c>
      <c r="H22" s="117"/>
      <c r="I22" s="117">
        <v>51</v>
      </c>
      <c r="J22" s="117"/>
      <c r="K22" s="117" t="str">
        <f t="shared" si="1"/>
        <v>ZABZ90480007</v>
      </c>
    </row>
    <row r="23" spans="6:11" x14ac:dyDescent="0.2">
      <c r="F23" s="117" t="s">
        <v>574</v>
      </c>
      <c r="G23" s="117" t="s">
        <v>68</v>
      </c>
      <c r="H23" s="117">
        <v>70</v>
      </c>
      <c r="I23" s="117">
        <v>5</v>
      </c>
      <c r="J23" s="117"/>
      <c r="K23" s="117" t="str">
        <f t="shared" ref="K23:K29" si="2">F23</f>
        <v>ZABZ90520001</v>
      </c>
    </row>
    <row r="24" spans="6:11" x14ac:dyDescent="0.2">
      <c r="F24" s="117" t="s">
        <v>575</v>
      </c>
      <c r="G24" s="117" t="s">
        <v>69</v>
      </c>
      <c r="H24" s="117">
        <v>80</v>
      </c>
      <c r="I24" s="117">
        <v>10</v>
      </c>
      <c r="J24" s="117"/>
      <c r="K24" s="117" t="str">
        <f t="shared" si="2"/>
        <v>ZABZ90520002</v>
      </c>
    </row>
    <row r="25" spans="6:11" x14ac:dyDescent="0.2">
      <c r="F25" s="117" t="s">
        <v>576</v>
      </c>
      <c r="G25" s="117" t="s">
        <v>70</v>
      </c>
      <c r="H25" s="117">
        <v>110</v>
      </c>
      <c r="I25" s="117">
        <v>20</v>
      </c>
      <c r="J25" s="117"/>
      <c r="K25" s="117" t="str">
        <f t="shared" si="2"/>
        <v>ZABZ90520003</v>
      </c>
    </row>
    <row r="26" spans="6:11" x14ac:dyDescent="0.2">
      <c r="F26" s="117" t="s">
        <v>577</v>
      </c>
      <c r="G26" s="117" t="s">
        <v>71</v>
      </c>
      <c r="H26" s="117">
        <v>140</v>
      </c>
      <c r="I26" s="117">
        <v>30</v>
      </c>
      <c r="J26" s="117"/>
      <c r="K26" s="117" t="str">
        <f t="shared" si="2"/>
        <v>ZABZ90520004</v>
      </c>
    </row>
    <row r="27" spans="6:11" x14ac:dyDescent="0.2">
      <c r="F27" s="117" t="s">
        <v>578</v>
      </c>
      <c r="G27" s="117" t="s">
        <v>72</v>
      </c>
      <c r="H27" s="117">
        <v>160</v>
      </c>
      <c r="I27" s="117">
        <v>40</v>
      </c>
      <c r="J27" s="117"/>
      <c r="K27" s="117" t="str">
        <f t="shared" si="2"/>
        <v>ZABZ90520005</v>
      </c>
    </row>
    <row r="28" spans="6:11" x14ac:dyDescent="0.2">
      <c r="F28" s="117" t="s">
        <v>579</v>
      </c>
      <c r="G28" s="117" t="s">
        <v>73</v>
      </c>
      <c r="H28" s="117">
        <v>190</v>
      </c>
      <c r="I28" s="117">
        <v>50</v>
      </c>
      <c r="J28" s="117"/>
      <c r="K28" s="117" t="str">
        <f t="shared" si="2"/>
        <v>ZABZ90520006</v>
      </c>
    </row>
    <row r="29" spans="6:11" x14ac:dyDescent="0.2">
      <c r="F29" s="117" t="s">
        <v>580</v>
      </c>
      <c r="G29" s="117" t="s">
        <v>283</v>
      </c>
      <c r="H29" s="117"/>
      <c r="I29" s="117">
        <v>51</v>
      </c>
      <c r="J29" s="117"/>
      <c r="K29" s="117" t="str">
        <f t="shared" si="2"/>
        <v>ZABZ90520007</v>
      </c>
    </row>
  </sheetData>
  <mergeCells count="5">
    <mergeCell ref="B5:D5"/>
    <mergeCell ref="B6:D6"/>
    <mergeCell ref="B7:D7"/>
    <mergeCell ref="B8:D8"/>
    <mergeCell ref="B9:D9"/>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15"/>
  <sheetViews>
    <sheetView workbookViewId="0">
      <selection activeCell="I13" sqref="I13"/>
    </sheetView>
  </sheetViews>
  <sheetFormatPr defaultRowHeight="12.75" x14ac:dyDescent="0.2"/>
  <cols>
    <col min="1" max="1" width="38.28515625" style="47" bestFit="1" customWidth="1"/>
    <col min="2" max="2" width="12" style="47" bestFit="1" customWidth="1"/>
    <col min="3" max="3" width="9.140625" style="47"/>
    <col min="4" max="4" width="6" style="47" bestFit="1" customWidth="1"/>
    <col min="5" max="5" width="17.28515625" style="89" bestFit="1" customWidth="1"/>
    <col min="6" max="6" width="10.28515625" style="47" bestFit="1" customWidth="1"/>
    <col min="7" max="7" width="13.5703125" style="47" bestFit="1" customWidth="1"/>
    <col min="8" max="8" width="12" style="47" bestFit="1" customWidth="1"/>
    <col min="9" max="16384" width="9.140625" style="47"/>
  </cols>
  <sheetData>
    <row r="1" spans="1:11" x14ac:dyDescent="0.2">
      <c r="A1" s="54" t="s">
        <v>285</v>
      </c>
      <c r="B1" s="54" t="s">
        <v>286</v>
      </c>
      <c r="C1" s="55"/>
      <c r="D1" s="54" t="s">
        <v>287</v>
      </c>
      <c r="E1" s="54" t="s">
        <v>288</v>
      </c>
      <c r="F1" s="54" t="s">
        <v>33</v>
      </c>
      <c r="G1" s="54" t="s">
        <v>289</v>
      </c>
      <c r="H1" s="54" t="s">
        <v>290</v>
      </c>
      <c r="J1" s="54" t="s">
        <v>318</v>
      </c>
      <c r="K1" s="54" t="s">
        <v>319</v>
      </c>
    </row>
    <row r="2" spans="1:11" x14ac:dyDescent="0.2">
      <c r="A2" s="56" t="s">
        <v>291</v>
      </c>
      <c r="B2" s="56" t="s">
        <v>292</v>
      </c>
      <c r="C2" s="56"/>
      <c r="D2" s="56">
        <v>1</v>
      </c>
      <c r="E2" s="60"/>
      <c r="F2" s="57">
        <f>IFERROR(VLOOKUP(E2,$G$2:$H$12,2,0),0)</f>
        <v>0</v>
      </c>
      <c r="G2" s="56" t="s">
        <v>293</v>
      </c>
      <c r="H2" s="58">
        <v>-0.06</v>
      </c>
      <c r="J2" s="47">
        <v>1</v>
      </c>
      <c r="K2" s="47" t="s">
        <v>320</v>
      </c>
    </row>
    <row r="3" spans="1:11" x14ac:dyDescent="0.2">
      <c r="A3" s="56" t="s">
        <v>294</v>
      </c>
      <c r="B3" s="56" t="s">
        <v>292</v>
      </c>
      <c r="C3" s="56"/>
      <c r="D3" s="56">
        <v>2</v>
      </c>
      <c r="E3" s="60"/>
      <c r="F3" s="57">
        <f t="shared" ref="F3:F13" si="0">IFERROR(VLOOKUP(E3,$G$2:$H$12,2,0),0)</f>
        <v>0</v>
      </c>
      <c r="G3" s="56" t="s">
        <v>295</v>
      </c>
      <c r="H3" s="58">
        <v>-0.04</v>
      </c>
      <c r="J3" s="47">
        <v>2</v>
      </c>
      <c r="K3" s="47" t="s">
        <v>321</v>
      </c>
    </row>
    <row r="4" spans="1:11" x14ac:dyDescent="0.2">
      <c r="A4" s="56" t="s">
        <v>296</v>
      </c>
      <c r="B4" s="56" t="s">
        <v>297</v>
      </c>
      <c r="C4" s="56"/>
      <c r="D4" s="56">
        <v>3</v>
      </c>
      <c r="E4" s="60"/>
      <c r="F4" s="57">
        <f t="shared" si="0"/>
        <v>0</v>
      </c>
      <c r="G4" s="56" t="s">
        <v>298</v>
      </c>
      <c r="H4" s="58">
        <v>-0.02</v>
      </c>
      <c r="J4" s="47">
        <v>3</v>
      </c>
      <c r="K4" s="47" t="s">
        <v>322</v>
      </c>
    </row>
    <row r="5" spans="1:11" x14ac:dyDescent="0.2">
      <c r="A5" s="56" t="s">
        <v>299</v>
      </c>
      <c r="B5" s="56" t="s">
        <v>300</v>
      </c>
      <c r="C5" s="56"/>
      <c r="D5" s="56">
        <v>4</v>
      </c>
      <c r="E5" s="60"/>
      <c r="F5" s="57">
        <f t="shared" si="0"/>
        <v>0</v>
      </c>
      <c r="G5" s="56" t="s">
        <v>301</v>
      </c>
      <c r="H5" s="58">
        <v>0</v>
      </c>
      <c r="J5" s="47">
        <v>4</v>
      </c>
      <c r="K5" s="47" t="s">
        <v>323</v>
      </c>
    </row>
    <row r="6" spans="1:11" x14ac:dyDescent="0.2">
      <c r="A6" s="56" t="s">
        <v>302</v>
      </c>
      <c r="B6" s="56" t="s">
        <v>300</v>
      </c>
      <c r="C6" s="56"/>
      <c r="D6" s="56">
        <v>5</v>
      </c>
      <c r="E6" s="60"/>
      <c r="F6" s="57">
        <f t="shared" si="0"/>
        <v>0</v>
      </c>
      <c r="G6" s="56" t="s">
        <v>303</v>
      </c>
      <c r="H6" s="58">
        <v>0.02</v>
      </c>
      <c r="J6" s="47">
        <v>5</v>
      </c>
      <c r="K6" s="47" t="s">
        <v>324</v>
      </c>
    </row>
    <row r="7" spans="1:11" x14ac:dyDescent="0.2">
      <c r="A7" s="56" t="s">
        <v>304</v>
      </c>
      <c r="B7" s="56" t="s">
        <v>300</v>
      </c>
      <c r="C7" s="56"/>
      <c r="D7" s="56">
        <v>6</v>
      </c>
      <c r="E7" s="60"/>
      <c r="F7" s="57">
        <f t="shared" si="0"/>
        <v>0</v>
      </c>
      <c r="G7" s="56" t="s">
        <v>305</v>
      </c>
      <c r="H7" s="58">
        <v>0.04</v>
      </c>
      <c r="J7" s="47">
        <v>6</v>
      </c>
      <c r="K7" s="47" t="s">
        <v>325</v>
      </c>
    </row>
    <row r="8" spans="1:11" x14ac:dyDescent="0.2">
      <c r="A8" s="56" t="s">
        <v>306</v>
      </c>
      <c r="B8" s="56" t="s">
        <v>300</v>
      </c>
      <c r="C8" s="56"/>
      <c r="D8" s="56">
        <v>7</v>
      </c>
      <c r="E8" s="60"/>
      <c r="F8" s="57">
        <f t="shared" si="0"/>
        <v>0</v>
      </c>
      <c r="G8" s="56" t="s">
        <v>307</v>
      </c>
      <c r="H8" s="58">
        <v>0.06</v>
      </c>
      <c r="J8" s="47">
        <v>7</v>
      </c>
      <c r="K8" s="47" t="s">
        <v>326</v>
      </c>
    </row>
    <row r="9" spans="1:11" x14ac:dyDescent="0.2">
      <c r="A9" s="56" t="s">
        <v>308</v>
      </c>
      <c r="B9" s="56" t="s">
        <v>300</v>
      </c>
      <c r="C9" s="56"/>
      <c r="D9" s="56">
        <v>8</v>
      </c>
      <c r="E9" s="60"/>
      <c r="F9" s="57">
        <f t="shared" si="0"/>
        <v>0</v>
      </c>
      <c r="G9" s="56"/>
      <c r="H9" s="56"/>
    </row>
    <row r="10" spans="1:11" x14ac:dyDescent="0.2">
      <c r="A10" s="56" t="s">
        <v>309</v>
      </c>
      <c r="B10" s="56" t="s">
        <v>300</v>
      </c>
      <c r="C10" s="56"/>
      <c r="D10" s="56">
        <v>9</v>
      </c>
      <c r="E10" s="60"/>
      <c r="F10" s="57">
        <f>IFERROR(VLOOKUP(E10,$G$2:$H$12,2,0),0)</f>
        <v>0</v>
      </c>
      <c r="G10" s="56"/>
      <c r="H10" s="56"/>
    </row>
    <row r="11" spans="1:11" x14ac:dyDescent="0.2">
      <c r="A11" s="59" t="s">
        <v>310</v>
      </c>
      <c r="B11" s="59" t="s">
        <v>311</v>
      </c>
      <c r="C11" s="56"/>
      <c r="D11" s="56">
        <v>10</v>
      </c>
      <c r="E11" s="60"/>
      <c r="F11" s="57">
        <f>IFERROR(VLOOKUP(E11,$G$2:$H$12,2,0),0)</f>
        <v>0</v>
      </c>
      <c r="G11" s="56"/>
      <c r="H11" s="56"/>
    </row>
    <row r="12" spans="1:11" x14ac:dyDescent="0.2">
      <c r="A12" s="56" t="s">
        <v>312</v>
      </c>
      <c r="B12" s="56" t="s">
        <v>313</v>
      </c>
      <c r="C12" s="56"/>
      <c r="D12" s="56">
        <v>11</v>
      </c>
      <c r="E12" s="60"/>
      <c r="F12" s="57">
        <f t="shared" si="0"/>
        <v>0</v>
      </c>
      <c r="G12" s="56"/>
      <c r="H12" s="56"/>
    </row>
    <row r="13" spans="1:11" x14ac:dyDescent="0.2">
      <c r="A13" s="59" t="s">
        <v>314</v>
      </c>
      <c r="B13" s="56" t="s">
        <v>313</v>
      </c>
      <c r="C13" s="56"/>
      <c r="D13" s="56">
        <v>12</v>
      </c>
      <c r="E13" s="60"/>
      <c r="F13" s="57">
        <f t="shared" si="0"/>
        <v>0</v>
      </c>
      <c r="G13" s="56"/>
      <c r="H13" s="56"/>
    </row>
    <row r="14" spans="1:11" x14ac:dyDescent="0.2">
      <c r="A14" s="56" t="s">
        <v>315</v>
      </c>
      <c r="B14" s="56" t="s">
        <v>316</v>
      </c>
      <c r="C14" s="59"/>
      <c r="D14" s="59"/>
      <c r="E14" s="60"/>
      <c r="F14" s="59"/>
      <c r="G14" s="59"/>
      <c r="H14" s="59"/>
    </row>
    <row r="15" spans="1:11" x14ac:dyDescent="0.2">
      <c r="A15" s="56" t="s">
        <v>317</v>
      </c>
      <c r="B15" s="56" t="s">
        <v>316</v>
      </c>
      <c r="C15" s="56"/>
      <c r="D15" s="56"/>
      <c r="E15" s="60"/>
      <c r="F15" s="56"/>
      <c r="G15" s="56"/>
      <c r="H15" s="56"/>
    </row>
  </sheetData>
  <dataValidations count="1">
    <dataValidation type="list" allowBlank="1" showInputMessage="1" showErrorMessage="1" sqref="E2:E13">
      <formula1>$G$2:$G$13</formula1>
    </dataValidation>
  </dataValidations>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T41"/>
  <sheetViews>
    <sheetView showGridLines="0" topLeftCell="A5" zoomScale="90" zoomScaleNormal="90" workbookViewId="0">
      <selection activeCell="C22" sqref="C22"/>
    </sheetView>
  </sheetViews>
  <sheetFormatPr defaultColWidth="10.42578125" defaultRowHeight="21" x14ac:dyDescent="0.45"/>
  <cols>
    <col min="1" max="12" width="10.42578125" style="122"/>
    <col min="13" max="19" width="10.42578125" style="123"/>
    <col min="20" max="20" width="16.85546875" style="123" bestFit="1" customWidth="1"/>
    <col min="21" max="16384" width="10.42578125" style="123"/>
  </cols>
  <sheetData>
    <row r="1" spans="1:20" x14ac:dyDescent="0.45">
      <c r="N1" s="124" t="s">
        <v>338</v>
      </c>
      <c r="O1" s="125">
        <v>12</v>
      </c>
      <c r="T1" s="126">
        <f ca="1">EOMONTH(J9,-1)+1</f>
        <v>43922</v>
      </c>
    </row>
    <row r="2" spans="1:20" x14ac:dyDescent="0.45">
      <c r="P2" s="123">
        <v>1</v>
      </c>
      <c r="Q2" s="123" t="s">
        <v>397</v>
      </c>
      <c r="R2" s="123" t="s">
        <v>398</v>
      </c>
      <c r="T2" s="126">
        <f ca="1">T1+14</f>
        <v>43936</v>
      </c>
    </row>
    <row r="3" spans="1:20" x14ac:dyDescent="0.45">
      <c r="P3" s="123">
        <v>2</v>
      </c>
      <c r="Q3" s="123" t="s">
        <v>399</v>
      </c>
      <c r="R3" s="123" t="s">
        <v>400</v>
      </c>
      <c r="T3" s="126">
        <f ca="1">EOMONTH($J$9,0)</f>
        <v>43951</v>
      </c>
    </row>
    <row r="4" spans="1:20" x14ac:dyDescent="0.45">
      <c r="A4" s="122" t="s">
        <v>401</v>
      </c>
      <c r="P4" s="123">
        <v>3</v>
      </c>
      <c r="Q4" s="123" t="s">
        <v>402</v>
      </c>
      <c r="R4" s="123" t="s">
        <v>403</v>
      </c>
      <c r="T4" s="126">
        <f ca="1">EOMONTH($J$9,0)+1</f>
        <v>43952</v>
      </c>
    </row>
    <row r="5" spans="1:20" x14ac:dyDescent="0.45">
      <c r="A5" s="122" t="s">
        <v>404</v>
      </c>
      <c r="P5" s="123">
        <v>4</v>
      </c>
      <c r="Q5" s="123" t="s">
        <v>405</v>
      </c>
      <c r="R5" s="123" t="s">
        <v>406</v>
      </c>
      <c r="T5" s="126">
        <f ca="1">T4+14</f>
        <v>43966</v>
      </c>
    </row>
    <row r="6" spans="1:20" x14ac:dyDescent="0.45">
      <c r="A6" s="122" t="s">
        <v>407</v>
      </c>
      <c r="P6" s="123">
        <v>5</v>
      </c>
      <c r="Q6" s="123" t="s">
        <v>408</v>
      </c>
      <c r="R6" s="123" t="s">
        <v>409</v>
      </c>
      <c r="T6" s="126">
        <f ca="1">EOMONTH(T4,0)</f>
        <v>43982</v>
      </c>
    </row>
    <row r="7" spans="1:20" x14ac:dyDescent="0.45">
      <c r="A7" s="122" t="s">
        <v>410</v>
      </c>
      <c r="P7" s="123">
        <v>6</v>
      </c>
      <c r="Q7" s="123" t="s">
        <v>411</v>
      </c>
      <c r="R7" s="123" t="s">
        <v>412</v>
      </c>
    </row>
    <row r="8" spans="1:20" x14ac:dyDescent="0.45">
      <c r="A8" s="122" t="s">
        <v>413</v>
      </c>
      <c r="P8" s="123">
        <v>7</v>
      </c>
      <c r="Q8" s="123" t="s">
        <v>414</v>
      </c>
      <c r="R8" s="123" t="s">
        <v>415</v>
      </c>
    </row>
    <row r="9" spans="1:20" x14ac:dyDescent="0.45">
      <c r="I9" s="127" t="s">
        <v>416</v>
      </c>
      <c r="J9" s="464">
        <f ca="1">TODAY()</f>
        <v>43932</v>
      </c>
      <c r="K9" s="464"/>
      <c r="L9" s="464"/>
      <c r="P9" s="123">
        <v>8</v>
      </c>
      <c r="Q9" s="123" t="s">
        <v>417</v>
      </c>
      <c r="R9" s="123" t="s">
        <v>418</v>
      </c>
    </row>
    <row r="10" spans="1:20" x14ac:dyDescent="0.45">
      <c r="I10" s="127"/>
      <c r="J10" s="128"/>
      <c r="K10" s="128"/>
      <c r="L10" s="128"/>
      <c r="P10" s="123">
        <v>9</v>
      </c>
      <c r="Q10" s="123" t="s">
        <v>419</v>
      </c>
      <c r="R10" s="123" t="s">
        <v>420</v>
      </c>
    </row>
    <row r="11" spans="1:20" ht="23.25" x14ac:dyDescent="0.5">
      <c r="A11" s="465" t="s">
        <v>421</v>
      </c>
      <c r="B11" s="465"/>
      <c r="C11" s="465"/>
      <c r="D11" s="465"/>
      <c r="E11" s="465"/>
      <c r="F11" s="465"/>
      <c r="G11" s="465"/>
      <c r="H11" s="465"/>
      <c r="I11" s="465"/>
      <c r="J11" s="465"/>
      <c r="K11" s="465"/>
      <c r="L11" s="465"/>
      <c r="P11" s="123">
        <v>10</v>
      </c>
      <c r="Q11" s="123" t="s">
        <v>422</v>
      </c>
      <c r="R11" s="123" t="s">
        <v>423</v>
      </c>
    </row>
    <row r="12" spans="1:20" x14ac:dyDescent="0.45">
      <c r="A12" s="466" t="s">
        <v>424</v>
      </c>
      <c r="B12" s="466"/>
      <c r="C12" s="466"/>
      <c r="D12" s="466"/>
      <c r="E12" s="466"/>
      <c r="F12" s="466"/>
      <c r="G12" s="466"/>
      <c r="H12" s="466"/>
      <c r="I12" s="466"/>
      <c r="J12" s="466"/>
      <c r="K12" s="466"/>
      <c r="L12" s="466"/>
      <c r="P12" s="123">
        <v>11</v>
      </c>
      <c r="Q12" s="123" t="s">
        <v>425</v>
      </c>
      <c r="R12" s="123" t="s">
        <v>426</v>
      </c>
    </row>
    <row r="13" spans="1:20" x14ac:dyDescent="0.45">
      <c r="A13" s="129" t="s">
        <v>427</v>
      </c>
      <c r="B13" s="130"/>
      <c r="C13" s="130"/>
      <c r="D13" s="467" t="s">
        <v>428</v>
      </c>
      <c r="E13" s="467"/>
      <c r="F13" s="467"/>
      <c r="G13" s="131" t="s">
        <v>429</v>
      </c>
      <c r="H13" s="131"/>
      <c r="I13" s="463" t="s">
        <v>430</v>
      </c>
      <c r="J13" s="463"/>
      <c r="K13" s="463"/>
      <c r="L13" s="462"/>
      <c r="P13" s="123">
        <v>12</v>
      </c>
      <c r="Q13" s="123" t="s">
        <v>431</v>
      </c>
      <c r="R13" s="123" t="s">
        <v>432</v>
      </c>
    </row>
    <row r="14" spans="1:20" x14ac:dyDescent="0.45">
      <c r="A14" s="132" t="s">
        <v>433</v>
      </c>
      <c r="B14" s="133"/>
      <c r="C14" s="133"/>
      <c r="D14" s="133"/>
      <c r="E14" s="133"/>
      <c r="F14" s="133"/>
      <c r="G14" s="134"/>
      <c r="H14" s="134"/>
      <c r="I14" s="134"/>
      <c r="J14" s="134"/>
      <c r="K14" s="134"/>
      <c r="L14" s="135"/>
    </row>
    <row r="15" spans="1:20" x14ac:dyDescent="0.45">
      <c r="A15" s="136"/>
      <c r="B15" s="134"/>
      <c r="C15" s="134"/>
      <c r="D15" s="134"/>
      <c r="E15" s="134"/>
      <c r="F15" s="134"/>
      <c r="G15" s="134"/>
      <c r="H15" s="134"/>
      <c r="I15" s="134"/>
      <c r="J15" s="134"/>
      <c r="K15" s="134"/>
      <c r="L15" s="135"/>
    </row>
    <row r="16" spans="1:20" x14ac:dyDescent="0.45">
      <c r="A16" s="136"/>
      <c r="B16" s="134"/>
      <c r="C16" s="134"/>
      <c r="D16" s="134"/>
      <c r="E16" s="134"/>
      <c r="F16" s="134"/>
      <c r="G16" s="134"/>
      <c r="H16" s="134"/>
      <c r="I16" s="134"/>
      <c r="J16" s="134"/>
      <c r="K16" s="134"/>
      <c r="L16" s="135"/>
    </row>
    <row r="17" spans="1:13" x14ac:dyDescent="0.45">
      <c r="A17" s="137"/>
      <c r="B17" s="138"/>
      <c r="C17" s="138"/>
      <c r="D17" s="138"/>
      <c r="E17" s="138"/>
      <c r="F17" s="138"/>
      <c r="G17" s="138"/>
      <c r="H17" s="138"/>
      <c r="I17" s="138"/>
      <c r="J17" s="138"/>
      <c r="K17" s="138"/>
      <c r="L17" s="139"/>
    </row>
    <row r="19" spans="1:13" x14ac:dyDescent="0.45">
      <c r="A19" s="461" t="s">
        <v>434</v>
      </c>
      <c r="B19" s="462"/>
      <c r="C19" s="461" t="s">
        <v>435</v>
      </c>
      <c r="D19" s="462"/>
      <c r="E19" s="461" t="s">
        <v>436</v>
      </c>
      <c r="F19" s="462"/>
      <c r="G19" s="461" t="s">
        <v>437</v>
      </c>
      <c r="H19" s="463"/>
      <c r="I19" s="462"/>
      <c r="J19" s="461" t="s">
        <v>438</v>
      </c>
      <c r="K19" s="463"/>
      <c r="L19" s="462"/>
    </row>
    <row r="20" spans="1:13" x14ac:dyDescent="0.45">
      <c r="A20" s="473" t="s">
        <v>439</v>
      </c>
      <c r="B20" s="474"/>
      <c r="C20" s="473" t="s">
        <v>440</v>
      </c>
      <c r="D20" s="474"/>
      <c r="E20" s="473" t="s">
        <v>441</v>
      </c>
      <c r="F20" s="474"/>
      <c r="G20" s="473" t="s">
        <v>442</v>
      </c>
      <c r="H20" s="475"/>
      <c r="I20" s="474"/>
      <c r="J20" s="473" t="s">
        <v>443</v>
      </c>
      <c r="K20" s="475"/>
      <c r="L20" s="474"/>
    </row>
    <row r="21" spans="1:13" x14ac:dyDescent="0.45">
      <c r="A21" s="468" t="s">
        <v>444</v>
      </c>
      <c r="B21" s="469"/>
      <c r="C21" s="468">
        <v>30</v>
      </c>
      <c r="D21" s="469"/>
      <c r="E21" s="470">
        <f ca="1">IF($J$9&gt;$T$2,$T$6,$T$5)</f>
        <v>43966</v>
      </c>
      <c r="F21" s="471"/>
      <c r="G21" s="468"/>
      <c r="H21" s="472"/>
      <c r="I21" s="469"/>
      <c r="J21" s="468"/>
      <c r="K21" s="472"/>
      <c r="L21" s="469"/>
    </row>
    <row r="23" spans="1:13" x14ac:dyDescent="0.45">
      <c r="A23" s="140" t="s">
        <v>445</v>
      </c>
      <c r="B23" s="476" t="s">
        <v>446</v>
      </c>
      <c r="C23" s="477"/>
      <c r="D23" s="477"/>
      <c r="E23" s="477"/>
      <c r="F23" s="478"/>
      <c r="G23" s="476" t="s">
        <v>447</v>
      </c>
      <c r="H23" s="478"/>
      <c r="I23" s="476" t="s">
        <v>448</v>
      </c>
      <c r="J23" s="478"/>
      <c r="K23" s="476" t="s">
        <v>449</v>
      </c>
      <c r="L23" s="478"/>
    </row>
    <row r="24" spans="1:13" x14ac:dyDescent="0.45">
      <c r="A24" s="141" t="s">
        <v>450</v>
      </c>
      <c r="B24" s="473" t="s">
        <v>451</v>
      </c>
      <c r="C24" s="475"/>
      <c r="D24" s="475"/>
      <c r="E24" s="475"/>
      <c r="F24" s="474"/>
      <c r="G24" s="473" t="s">
        <v>452</v>
      </c>
      <c r="H24" s="474"/>
      <c r="I24" s="473" t="s">
        <v>453</v>
      </c>
      <c r="J24" s="474"/>
      <c r="K24" s="473" t="s">
        <v>454</v>
      </c>
      <c r="L24" s="474"/>
    </row>
    <row r="25" spans="1:13" x14ac:dyDescent="0.45">
      <c r="A25" s="142">
        <v>1</v>
      </c>
      <c r="B25" s="479" t="s">
        <v>455</v>
      </c>
      <c r="C25" s="480"/>
      <c r="D25" s="480"/>
      <c r="E25" s="480"/>
      <c r="F25" s="481"/>
      <c r="G25" s="482">
        <f>'[1]SERVICE CHARGE SUMMARY (IDC) '!$E$9</f>
        <v>1832</v>
      </c>
      <c r="H25" s="482"/>
      <c r="I25" s="483">
        <v>1</v>
      </c>
      <c r="J25" s="483"/>
      <c r="K25" s="482">
        <f>I25*G25</f>
        <v>1832</v>
      </c>
      <c r="L25" s="484"/>
    </row>
    <row r="26" spans="1:13" x14ac:dyDescent="0.45">
      <c r="A26" s="143"/>
      <c r="B26" s="485" t="str">
        <f>"(เดือน "&amp;VLOOKUP($O$1,$P$2:$R$13,3,0)&amp;" "&amp;")"</f>
        <v>(เดือน ธันวาคม )</v>
      </c>
      <c r="C26" s="485"/>
      <c r="D26" s="485"/>
      <c r="E26" s="485"/>
      <c r="F26" s="485"/>
      <c r="G26" s="486"/>
      <c r="H26" s="486"/>
      <c r="I26" s="485"/>
      <c r="J26" s="485"/>
      <c r="K26" s="487"/>
      <c r="L26" s="487"/>
    </row>
    <row r="27" spans="1:13" x14ac:dyDescent="0.45">
      <c r="A27" s="143"/>
      <c r="B27" s="488"/>
      <c r="C27" s="489"/>
      <c r="D27" s="489"/>
      <c r="E27" s="489"/>
      <c r="F27" s="490"/>
      <c r="G27" s="491">
        <v>50000</v>
      </c>
      <c r="H27" s="491"/>
      <c r="I27" s="485"/>
      <c r="J27" s="485"/>
      <c r="K27" s="486"/>
      <c r="L27" s="486"/>
    </row>
    <row r="28" spans="1:13" x14ac:dyDescent="0.45">
      <c r="A28" s="143"/>
      <c r="B28" s="485"/>
      <c r="C28" s="485"/>
      <c r="D28" s="485"/>
      <c r="E28" s="485"/>
      <c r="F28" s="485"/>
      <c r="G28" s="486"/>
      <c r="H28" s="486"/>
      <c r="I28" s="485"/>
      <c r="J28" s="485"/>
      <c r="K28" s="487"/>
      <c r="L28" s="487"/>
    </row>
    <row r="29" spans="1:13" x14ac:dyDescent="0.45">
      <c r="A29" s="143"/>
      <c r="B29" s="485"/>
      <c r="C29" s="485"/>
      <c r="D29" s="485"/>
      <c r="E29" s="485"/>
      <c r="F29" s="485"/>
      <c r="G29" s="486"/>
      <c r="H29" s="486"/>
      <c r="I29" s="485"/>
      <c r="J29" s="485"/>
      <c r="K29" s="487"/>
      <c r="L29" s="487"/>
    </row>
    <row r="30" spans="1:13" x14ac:dyDescent="0.45">
      <c r="A30" s="141"/>
      <c r="B30" s="492"/>
      <c r="C30" s="492"/>
      <c r="D30" s="492"/>
      <c r="E30" s="492"/>
      <c r="F30" s="492"/>
      <c r="G30" s="493"/>
      <c r="H30" s="493"/>
      <c r="I30" s="492"/>
      <c r="J30" s="492"/>
      <c r="K30" s="494"/>
      <c r="L30" s="494"/>
    </row>
    <row r="31" spans="1:13" x14ac:dyDescent="0.45">
      <c r="A31" s="144" t="s">
        <v>456</v>
      </c>
      <c r="B31" s="145"/>
      <c r="C31" s="145"/>
      <c r="D31" s="145"/>
      <c r="E31" s="145"/>
      <c r="F31" s="146"/>
      <c r="G31" s="495" t="s">
        <v>457</v>
      </c>
      <c r="H31" s="495"/>
      <c r="I31" s="495"/>
      <c r="J31" s="495"/>
      <c r="K31" s="496">
        <f>SUM(K25:L30)</f>
        <v>1832</v>
      </c>
      <c r="L31" s="497"/>
      <c r="M31" s="147" t="s">
        <v>458</v>
      </c>
    </row>
    <row r="32" spans="1:13" x14ac:dyDescent="0.45">
      <c r="A32" s="498"/>
      <c r="B32" s="499"/>
      <c r="C32" s="499"/>
      <c r="D32" s="499"/>
      <c r="E32" s="499"/>
      <c r="F32" s="500"/>
      <c r="G32" s="488" t="s">
        <v>459</v>
      </c>
      <c r="H32" s="489"/>
      <c r="I32" s="489"/>
      <c r="J32" s="490"/>
      <c r="K32" s="496"/>
      <c r="L32" s="497"/>
      <c r="M32" s="147"/>
    </row>
    <row r="33" spans="1:13" x14ac:dyDescent="0.45">
      <c r="A33" s="498"/>
      <c r="B33" s="499"/>
      <c r="C33" s="499"/>
      <c r="D33" s="499"/>
      <c r="E33" s="499"/>
      <c r="F33" s="500"/>
      <c r="G33" s="148" t="s">
        <v>460</v>
      </c>
      <c r="H33" s="149"/>
      <c r="I33" s="149"/>
      <c r="J33" s="150"/>
      <c r="K33" s="496">
        <f>K31-K32</f>
        <v>1832</v>
      </c>
      <c r="L33" s="497"/>
      <c r="M33" s="147"/>
    </row>
    <row r="34" spans="1:13" x14ac:dyDescent="0.45">
      <c r="A34" s="498"/>
      <c r="B34" s="499"/>
      <c r="C34" s="499"/>
      <c r="D34" s="499"/>
      <c r="E34" s="499"/>
      <c r="F34" s="500"/>
      <c r="G34" s="501" t="s">
        <v>461</v>
      </c>
      <c r="H34" s="501"/>
      <c r="I34" s="501"/>
      <c r="J34" s="501"/>
      <c r="K34" s="502">
        <f>K33*M34</f>
        <v>0</v>
      </c>
      <c r="L34" s="503"/>
      <c r="M34" s="151"/>
    </row>
    <row r="35" spans="1:13" x14ac:dyDescent="0.45">
      <c r="A35" s="152"/>
      <c r="B35" s="153"/>
      <c r="C35" s="153"/>
      <c r="D35" s="153"/>
      <c r="E35" s="153"/>
      <c r="F35" s="154"/>
      <c r="G35" s="501" t="s">
        <v>462</v>
      </c>
      <c r="H35" s="501"/>
      <c r="I35" s="501"/>
      <c r="J35" s="501"/>
      <c r="K35" s="502">
        <f>K33*M35</f>
        <v>18.32</v>
      </c>
      <c r="L35" s="503"/>
      <c r="M35" s="151">
        <v>0.01</v>
      </c>
    </row>
    <row r="36" spans="1:13" x14ac:dyDescent="0.45">
      <c r="A36" s="512" t="s">
        <v>463</v>
      </c>
      <c r="B36" s="512"/>
      <c r="C36" s="512"/>
      <c r="D36" s="512"/>
      <c r="E36" s="512"/>
      <c r="F36" s="512"/>
      <c r="G36" s="513" t="s">
        <v>464</v>
      </c>
      <c r="H36" s="513"/>
      <c r="I36" s="513"/>
      <c r="J36" s="513"/>
      <c r="K36" s="502">
        <f>(K31+K34)-K35</f>
        <v>1813.68</v>
      </c>
      <c r="L36" s="503"/>
    </row>
    <row r="37" spans="1:13" x14ac:dyDescent="0.45">
      <c r="A37" s="461" t="s">
        <v>401</v>
      </c>
      <c r="B37" s="463"/>
      <c r="C37" s="463"/>
      <c r="D37" s="463"/>
      <c r="E37" s="463"/>
      <c r="F37" s="462"/>
      <c r="G37" s="461">
        <f>$A$15</f>
        <v>0</v>
      </c>
      <c r="H37" s="463"/>
      <c r="I37" s="463"/>
      <c r="J37" s="463"/>
      <c r="K37" s="463"/>
      <c r="L37" s="462"/>
    </row>
    <row r="38" spans="1:13" x14ac:dyDescent="0.45">
      <c r="A38" s="136"/>
      <c r="B38" s="134"/>
      <c r="C38" s="134"/>
      <c r="D38" s="134"/>
      <c r="E38" s="134"/>
      <c r="F38" s="135"/>
      <c r="G38" s="136"/>
      <c r="H38" s="134"/>
      <c r="I38" s="134"/>
      <c r="J38" s="134"/>
      <c r="K38" s="134"/>
      <c r="L38" s="135"/>
    </row>
    <row r="39" spans="1:13" x14ac:dyDescent="0.45">
      <c r="A39" s="136"/>
      <c r="B39" s="134"/>
      <c r="C39" s="134"/>
      <c r="D39" s="134"/>
      <c r="E39" s="134"/>
      <c r="F39" s="135"/>
      <c r="G39" s="136"/>
      <c r="H39" s="134"/>
      <c r="I39" s="134"/>
      <c r="J39" s="134"/>
      <c r="K39" s="134"/>
      <c r="L39" s="135"/>
    </row>
    <row r="40" spans="1:13" x14ac:dyDescent="0.45">
      <c r="A40" s="504" t="s">
        <v>465</v>
      </c>
      <c r="B40" s="505"/>
      <c r="C40" s="505"/>
      <c r="D40" s="505"/>
      <c r="E40" s="505"/>
      <c r="F40" s="506"/>
      <c r="G40" s="504" t="s">
        <v>466</v>
      </c>
      <c r="H40" s="505"/>
      <c r="I40" s="505"/>
      <c r="J40" s="505"/>
      <c r="K40" s="505"/>
      <c r="L40" s="506"/>
    </row>
    <row r="41" spans="1:13" x14ac:dyDescent="0.45">
      <c r="A41" s="155" t="s">
        <v>467</v>
      </c>
      <c r="B41" s="156"/>
      <c r="C41" s="507">
        <f ca="1">TODAY()</f>
        <v>43932</v>
      </c>
      <c r="D41" s="507"/>
      <c r="E41" s="507"/>
      <c r="F41" s="508"/>
      <c r="G41" s="509" t="s">
        <v>467</v>
      </c>
      <c r="H41" s="510"/>
      <c r="I41" s="510"/>
      <c r="J41" s="510"/>
      <c r="K41" s="510"/>
      <c r="L41" s="511"/>
    </row>
  </sheetData>
  <mergeCells count="71">
    <mergeCell ref="A40:F40"/>
    <mergeCell ref="G40:L40"/>
    <mergeCell ref="C41:F41"/>
    <mergeCell ref="G41:L41"/>
    <mergeCell ref="G35:J35"/>
    <mergeCell ref="K35:L35"/>
    <mergeCell ref="A36:F36"/>
    <mergeCell ref="G36:J36"/>
    <mergeCell ref="K36:L36"/>
    <mergeCell ref="A37:F37"/>
    <mergeCell ref="G37:L37"/>
    <mergeCell ref="G31:J31"/>
    <mergeCell ref="K31:L31"/>
    <mergeCell ref="A32:F34"/>
    <mergeCell ref="G32:J32"/>
    <mergeCell ref="K32:L32"/>
    <mergeCell ref="K33:L33"/>
    <mergeCell ref="G34:J34"/>
    <mergeCell ref="K34:L34"/>
    <mergeCell ref="B29:F29"/>
    <mergeCell ref="G29:H29"/>
    <mergeCell ref="I29:J29"/>
    <mergeCell ref="K29:L29"/>
    <mergeCell ref="B30:F30"/>
    <mergeCell ref="G30:H30"/>
    <mergeCell ref="I30:J30"/>
    <mergeCell ref="K30:L30"/>
    <mergeCell ref="B27:F27"/>
    <mergeCell ref="G27:H27"/>
    <mergeCell ref="I27:J27"/>
    <mergeCell ref="K27:L27"/>
    <mergeCell ref="B28:F28"/>
    <mergeCell ref="G28:H28"/>
    <mergeCell ref="I28:J28"/>
    <mergeCell ref="K28:L28"/>
    <mergeCell ref="B25:F25"/>
    <mergeCell ref="G25:H25"/>
    <mergeCell ref="I25:J25"/>
    <mergeCell ref="K25:L25"/>
    <mergeCell ref="B26:F26"/>
    <mergeCell ref="G26:H26"/>
    <mergeCell ref="I26:J26"/>
    <mergeCell ref="K26:L26"/>
    <mergeCell ref="B23:F23"/>
    <mergeCell ref="G23:H23"/>
    <mergeCell ref="I23:J23"/>
    <mergeCell ref="K23:L23"/>
    <mergeCell ref="B24:F24"/>
    <mergeCell ref="G24:H24"/>
    <mergeCell ref="I24:J24"/>
    <mergeCell ref="K24:L24"/>
    <mergeCell ref="A20:B20"/>
    <mergeCell ref="C20:D20"/>
    <mergeCell ref="E20:F20"/>
    <mergeCell ref="G20:I20"/>
    <mergeCell ref="J20:L20"/>
    <mergeCell ref="A21:B21"/>
    <mergeCell ref="C21:D21"/>
    <mergeCell ref="E21:F21"/>
    <mergeCell ref="G21:I21"/>
    <mergeCell ref="J21:L21"/>
    <mergeCell ref="J9:L9"/>
    <mergeCell ref="A11:L11"/>
    <mergeCell ref="A12:L12"/>
    <mergeCell ref="D13:F13"/>
    <mergeCell ref="I13:L13"/>
    <mergeCell ref="A19:B19"/>
    <mergeCell ref="C19:D19"/>
    <mergeCell ref="E19:F19"/>
    <mergeCell ref="G19:I19"/>
    <mergeCell ref="J19:L19"/>
  </mergeCells>
  <dataValidations count="1">
    <dataValidation type="list" allowBlank="1" showInputMessage="1" showErrorMessage="1" sqref="O1">
      <formula1>"1,2,3,4,5,6,7,8,9,10,11,12"</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PERFORMANCE DASHBOARD</vt:lpstr>
      <vt:lpstr>DELIVER REPORT</vt:lpstr>
      <vt:lpstr>DELIVERY CHARGE SUMMARY</vt:lpstr>
      <vt:lpstr>WAREHOUSE MANAGEMENT CHARGE</vt:lpstr>
      <vt:lpstr>WH CHARGE SUMMARY</vt:lpstr>
      <vt:lpstr>DELIVERY SERVICE CHARGE</vt:lpstr>
      <vt:lpstr>DATA PICKING PACKING UNIT</vt:lpstr>
      <vt:lpstr>TABLE CHARGE RATE</vt:lpstr>
      <vt:lpstr>PivotTable</vt:lpstr>
      <vt:lpstr>SIZE CALCULATION</vt:lpstr>
      <vt:lpstr>INDEX</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2020-03-09T04:17:28Z</cp:lastPrinted>
  <dcterms:created xsi:type="dcterms:W3CDTF">2018-12-10T08:09:49Z</dcterms:created>
  <dcterms:modified xsi:type="dcterms:W3CDTF">2020-04-11T09:14:56Z</dcterms:modified>
</cp:coreProperties>
</file>